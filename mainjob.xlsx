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C136CEE3-231A-487E-9BFC-667660DC5BAA}" xr6:coauthVersionLast="47" xr6:coauthVersionMax="47" xr10:uidLastSave="{00000000-0000-0000-0000-000000000000}"/>
  <bookViews>
    <workbookView xWindow="-120" yWindow="-120" windowWidth="19440" windowHeight="15000" tabRatio="707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2" i="5" l="1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B4" i="6"/>
  <c r="AB5" i="6"/>
  <c r="AB6" i="6"/>
  <c r="AB7" i="6"/>
  <c r="AD7" i="6" s="1"/>
  <c r="AB8" i="6"/>
  <c r="AB9" i="6"/>
  <c r="AB10" i="6"/>
  <c r="AB11" i="6"/>
  <c r="AD11" i="6" s="1"/>
  <c r="AB12" i="6"/>
  <c r="AB13" i="6"/>
  <c r="AB14" i="6"/>
  <c r="AB15" i="6"/>
  <c r="AD15" i="6" s="1"/>
  <c r="AB16" i="6"/>
  <c r="AB17" i="6"/>
  <c r="AB18" i="6"/>
  <c r="AB19" i="6"/>
  <c r="AD19" i="6" s="1"/>
  <c r="AB20" i="6"/>
  <c r="AB21" i="6"/>
  <c r="AB22" i="6"/>
  <c r="AB23" i="6"/>
  <c r="AD23" i="6" s="1"/>
  <c r="AB24" i="6"/>
  <c r="AB25" i="6"/>
  <c r="AB26" i="6"/>
  <c r="AB27" i="6"/>
  <c r="AD27" i="6" s="1"/>
  <c r="AB28" i="6"/>
  <c r="AB29" i="6"/>
  <c r="AB30" i="6"/>
  <c r="AB31" i="6"/>
  <c r="AD31" i="6" s="1"/>
  <c r="AB32" i="6"/>
  <c r="AB33" i="6"/>
  <c r="AB34" i="6"/>
  <c r="AB35" i="6"/>
  <c r="AD35" i="6" s="1"/>
  <c r="AB36" i="6"/>
  <c r="AB37" i="6"/>
  <c r="AB38" i="6"/>
  <c r="AB39" i="6"/>
  <c r="AD39" i="6" s="1"/>
  <c r="AB40" i="6"/>
  <c r="AB41" i="6"/>
  <c r="AB42" i="6"/>
  <c r="AB43" i="6"/>
  <c r="AD43" i="6" s="1"/>
  <c r="AB44" i="6"/>
  <c r="AB45" i="6"/>
  <c r="AB46" i="6"/>
  <c r="AB47" i="6"/>
  <c r="AD47" i="6" s="1"/>
  <c r="AB48" i="6"/>
  <c r="AB49" i="6"/>
  <c r="AB50" i="6"/>
  <c r="AB51" i="6"/>
  <c r="AD51" i="6" s="1"/>
  <c r="AB52" i="6"/>
  <c r="AB53" i="6"/>
  <c r="AB54" i="6"/>
  <c r="AB55" i="6"/>
  <c r="AD55" i="6" s="1"/>
  <c r="AB56" i="6"/>
  <c r="AB57" i="6"/>
  <c r="AB58" i="6"/>
  <c r="AB59" i="6"/>
  <c r="AD59" i="6" s="1"/>
  <c r="AB60" i="6"/>
  <c r="AB61" i="6"/>
  <c r="AB62" i="6"/>
  <c r="AB63" i="6"/>
  <c r="AD63" i="6" s="1"/>
  <c r="AB64" i="6"/>
  <c r="AB65" i="6"/>
  <c r="AB66" i="6"/>
  <c r="AB67" i="6"/>
  <c r="AD67" i="6" s="1"/>
  <c r="AB68" i="6"/>
  <c r="AB69" i="6"/>
  <c r="AB70" i="6"/>
  <c r="AB71" i="6"/>
  <c r="AD71" i="6" s="1"/>
  <c r="AB72" i="6"/>
  <c r="AB73" i="6"/>
  <c r="AB74" i="6"/>
  <c r="AB75" i="6"/>
  <c r="AD75" i="6" s="1"/>
  <c r="AB76" i="6"/>
  <c r="AB77" i="6"/>
  <c r="AB78" i="6"/>
  <c r="AB79" i="6"/>
  <c r="AD79" i="6" s="1"/>
  <c r="AB80" i="6"/>
  <c r="AB81" i="6"/>
  <c r="AB82" i="6"/>
  <c r="AB83" i="6"/>
  <c r="AD83" i="6" s="1"/>
  <c r="AB84" i="6"/>
  <c r="AB85" i="6"/>
  <c r="AB86" i="6"/>
  <c r="AB87" i="6"/>
  <c r="AD87" i="6" s="1"/>
  <c r="AB88" i="6"/>
  <c r="AB89" i="6"/>
  <c r="AB90" i="6"/>
  <c r="AB91" i="6"/>
  <c r="AD91" i="6" s="1"/>
  <c r="AB92" i="6"/>
  <c r="AB93" i="6"/>
  <c r="AB94" i="6"/>
  <c r="AB95" i="6"/>
  <c r="AD95" i="6" s="1"/>
  <c r="AB96" i="6"/>
  <c r="AB97" i="6"/>
  <c r="AB98" i="6"/>
  <c r="AB99" i="6"/>
  <c r="AD99" i="6" s="1"/>
  <c r="AB100" i="6"/>
  <c r="AB101" i="6"/>
  <c r="AB102" i="6"/>
  <c r="AB103" i="6"/>
  <c r="AD103" i="6" s="1"/>
  <c r="AB104" i="6"/>
  <c r="AB105" i="6"/>
  <c r="AB106" i="6"/>
  <c r="AB107" i="6"/>
  <c r="AD107" i="6" s="1"/>
  <c r="AB108" i="6"/>
  <c r="AB109" i="6"/>
  <c r="AB110" i="6"/>
  <c r="AB111" i="6"/>
  <c r="AD111" i="6" s="1"/>
  <c r="AB112" i="6"/>
  <c r="AB113" i="6"/>
  <c r="AB114" i="6"/>
  <c r="AB115" i="6"/>
  <c r="AD115" i="6" s="1"/>
  <c r="AB116" i="6"/>
  <c r="AB117" i="6"/>
  <c r="AB118" i="6"/>
  <c r="AB119" i="6"/>
  <c r="AD119" i="6" s="1"/>
  <c r="AB120" i="6"/>
  <c r="AB121" i="6"/>
  <c r="AB122" i="6"/>
  <c r="AB123" i="6"/>
  <c r="AD123" i="6" s="1"/>
  <c r="AB124" i="6"/>
  <c r="AB125" i="6"/>
  <c r="AB126" i="6"/>
  <c r="AB127" i="6"/>
  <c r="AD127" i="6" s="1"/>
  <c r="AB128" i="6"/>
  <c r="AB129" i="6"/>
  <c r="AB130" i="6"/>
  <c r="AB131" i="6"/>
  <c r="AD131" i="6" s="1"/>
  <c r="AB132" i="6"/>
  <c r="AB133" i="6"/>
  <c r="AB134" i="6"/>
  <c r="AB135" i="6"/>
  <c r="AD135" i="6" s="1"/>
  <c r="AB136" i="6"/>
  <c r="AB137" i="6"/>
  <c r="AB138" i="6"/>
  <c r="AB139" i="6"/>
  <c r="AD139" i="6" s="1"/>
  <c r="AB140" i="6"/>
  <c r="AB141" i="6"/>
  <c r="AB142" i="6"/>
  <c r="AB143" i="6"/>
  <c r="AD143" i="6" s="1"/>
  <c r="AB144" i="6"/>
  <c r="AB145" i="6"/>
  <c r="AB146" i="6"/>
  <c r="AB147" i="6"/>
  <c r="AD147" i="6" s="1"/>
  <c r="AB148" i="6"/>
  <c r="AB149" i="6"/>
  <c r="AB150" i="6"/>
  <c r="AB151" i="6"/>
  <c r="AD151" i="6" s="1"/>
  <c r="AB152" i="6"/>
  <c r="AB153" i="6"/>
  <c r="AB154" i="6"/>
  <c r="AB155" i="6"/>
  <c r="AD155" i="6" s="1"/>
  <c r="AB156" i="6"/>
  <c r="AB157" i="6"/>
  <c r="AB158" i="6"/>
  <c r="AB159" i="6"/>
  <c r="AD159" i="6" s="1"/>
  <c r="AB160" i="6"/>
  <c r="AB161" i="6"/>
  <c r="AB162" i="6"/>
  <c r="AB163" i="6"/>
  <c r="AD163" i="6" s="1"/>
  <c r="AB164" i="6"/>
  <c r="AB165" i="6"/>
  <c r="AB166" i="6"/>
  <c r="AB167" i="6"/>
  <c r="AD167" i="6" s="1"/>
  <c r="AB168" i="6"/>
  <c r="AB169" i="6"/>
  <c r="AB170" i="6"/>
  <c r="AB171" i="6"/>
  <c r="AD171" i="6" s="1"/>
  <c r="AB172" i="6"/>
  <c r="AB173" i="6"/>
  <c r="AB174" i="6"/>
  <c r="AB175" i="6"/>
  <c r="AD175" i="6" s="1"/>
  <c r="AB176" i="6"/>
  <c r="AB177" i="6"/>
  <c r="AB178" i="6"/>
  <c r="AB179" i="6"/>
  <c r="AD179" i="6" s="1"/>
  <c r="AB180" i="6"/>
  <c r="AB181" i="6"/>
  <c r="AB182" i="6"/>
  <c r="AB183" i="6"/>
  <c r="AD183" i="6" s="1"/>
  <c r="AB184" i="6"/>
  <c r="AB185" i="6"/>
  <c r="AB186" i="6"/>
  <c r="AB187" i="6"/>
  <c r="AD187" i="6" s="1"/>
  <c r="AB188" i="6"/>
  <c r="AB189" i="6"/>
  <c r="AB190" i="6"/>
  <c r="AB191" i="6"/>
  <c r="AD191" i="6" s="1"/>
  <c r="AB192" i="6"/>
  <c r="AB193" i="6"/>
  <c r="AB194" i="6"/>
  <c r="AB195" i="6"/>
  <c r="AD195" i="6" s="1"/>
  <c r="AB196" i="6"/>
  <c r="AB197" i="6"/>
  <c r="AB198" i="6"/>
  <c r="AB199" i="6"/>
  <c r="AD199" i="6" s="1"/>
  <c r="AB200" i="6"/>
  <c r="AB201" i="6"/>
  <c r="AB202" i="6"/>
  <c r="AB203" i="6"/>
  <c r="AD203" i="6" s="1"/>
  <c r="AB204" i="6"/>
  <c r="AB205" i="6"/>
  <c r="AB206" i="6"/>
  <c r="AB207" i="6"/>
  <c r="AD207" i="6" s="1"/>
  <c r="AB208" i="6"/>
  <c r="AB209" i="6"/>
  <c r="AB210" i="6"/>
  <c r="AB211" i="6"/>
  <c r="AD211" i="6" s="1"/>
  <c r="AB212" i="6"/>
  <c r="AB213" i="6"/>
  <c r="AB214" i="6"/>
  <c r="AB215" i="6"/>
  <c r="AD215" i="6" s="1"/>
  <c r="AB216" i="6"/>
  <c r="AB217" i="6"/>
  <c r="AB218" i="6"/>
  <c r="AB219" i="6"/>
  <c r="AD219" i="6" s="1"/>
  <c r="AB220" i="6"/>
  <c r="AB221" i="6"/>
  <c r="AB222" i="6"/>
  <c r="AB223" i="6"/>
  <c r="AD223" i="6" s="1"/>
  <c r="AB224" i="6"/>
  <c r="AB225" i="6"/>
  <c r="AB226" i="6"/>
  <c r="AB227" i="6"/>
  <c r="AD227" i="6" s="1"/>
  <c r="AB228" i="6"/>
  <c r="AB229" i="6"/>
  <c r="AB230" i="6"/>
  <c r="AB231" i="6"/>
  <c r="AD231" i="6" s="1"/>
  <c r="AB232" i="6"/>
  <c r="AB233" i="6"/>
  <c r="AB234" i="6"/>
  <c r="AB235" i="6"/>
  <c r="AD235" i="6" s="1"/>
  <c r="AB236" i="6"/>
  <c r="AB237" i="6"/>
  <c r="AB238" i="6"/>
  <c r="AB239" i="6"/>
  <c r="AD239" i="6" s="1"/>
  <c r="AB240" i="6"/>
  <c r="AB241" i="6"/>
  <c r="AB242" i="6"/>
  <c r="AB243" i="6"/>
  <c r="AD243" i="6" s="1"/>
  <c r="AB244" i="6"/>
  <c r="AB245" i="6"/>
  <c r="AB246" i="6"/>
  <c r="AB247" i="6"/>
  <c r="AD247" i="6" s="1"/>
  <c r="AB248" i="6"/>
  <c r="AB249" i="6"/>
  <c r="AB250" i="6"/>
  <c r="AB251" i="6"/>
  <c r="AD251" i="6" s="1"/>
  <c r="AB252" i="6"/>
  <c r="AB253" i="6"/>
  <c r="AB254" i="6"/>
  <c r="AB255" i="6"/>
  <c r="AD255" i="6" s="1"/>
  <c r="AB256" i="6"/>
  <c r="AB257" i="6"/>
  <c r="AB258" i="6"/>
  <c r="AB259" i="6"/>
  <c r="AD259" i="6" s="1"/>
  <c r="AB260" i="6"/>
  <c r="AB261" i="6"/>
  <c r="AB262" i="6"/>
  <c r="AB263" i="6"/>
  <c r="AD263" i="6" s="1"/>
  <c r="AB264" i="6"/>
  <c r="AB265" i="6"/>
  <c r="AB266" i="6"/>
  <c r="AB267" i="6"/>
  <c r="AD267" i="6" s="1"/>
  <c r="AB268" i="6"/>
  <c r="AB269" i="6"/>
  <c r="AB270" i="6"/>
  <c r="AB271" i="6"/>
  <c r="AD271" i="6" s="1"/>
  <c r="AB272" i="6"/>
  <c r="AB273" i="6"/>
  <c r="AB274" i="6"/>
  <c r="AB275" i="6"/>
  <c r="AD275" i="6" s="1"/>
  <c r="AB276" i="6"/>
  <c r="AB277" i="6"/>
  <c r="AB278" i="6"/>
  <c r="AB279" i="6"/>
  <c r="AD279" i="6" s="1"/>
  <c r="AB280" i="6"/>
  <c r="AB281" i="6"/>
  <c r="AB282" i="6"/>
  <c r="AB283" i="6"/>
  <c r="AD283" i="6" s="1"/>
  <c r="AB284" i="6"/>
  <c r="AB285" i="6"/>
  <c r="AB286" i="6"/>
  <c r="AB287" i="6"/>
  <c r="AD287" i="6" s="1"/>
  <c r="AB288" i="6"/>
  <c r="AB289" i="6"/>
  <c r="AB290" i="6"/>
  <c r="AB291" i="6"/>
  <c r="AD291" i="6" s="1"/>
  <c r="AB292" i="6"/>
  <c r="AB293" i="6"/>
  <c r="AB294" i="6"/>
  <c r="AB295" i="6"/>
  <c r="AD295" i="6" s="1"/>
  <c r="AB296" i="6"/>
  <c r="AB297" i="6"/>
  <c r="AB298" i="6"/>
  <c r="AB299" i="6"/>
  <c r="AD299" i="6" s="1"/>
  <c r="AB300" i="6"/>
  <c r="AB301" i="6"/>
  <c r="AB302" i="6"/>
  <c r="AB303" i="6"/>
  <c r="AD303" i="6" s="1"/>
  <c r="AB304" i="6"/>
  <c r="AB305" i="6"/>
  <c r="AB306" i="6"/>
  <c r="AB307" i="6"/>
  <c r="AD307" i="6" s="1"/>
  <c r="AB308" i="6"/>
  <c r="AB309" i="6"/>
  <c r="AB310" i="6"/>
  <c r="AB311" i="6"/>
  <c r="AD311" i="6" s="1"/>
  <c r="AB312" i="6"/>
  <c r="AB313" i="6"/>
  <c r="AB314" i="6"/>
  <c r="AB315" i="6"/>
  <c r="AD315" i="6" s="1"/>
  <c r="AB316" i="6"/>
  <c r="AB317" i="6"/>
  <c r="AB318" i="6"/>
  <c r="AB319" i="6"/>
  <c r="AD319" i="6" s="1"/>
  <c r="AB320" i="6"/>
  <c r="AB321" i="6"/>
  <c r="AB322" i="6"/>
  <c r="AB323" i="6"/>
  <c r="AD323" i="6" s="1"/>
  <c r="AB324" i="6"/>
  <c r="AB325" i="6"/>
  <c r="AB326" i="6"/>
  <c r="AB327" i="6"/>
  <c r="AD327" i="6" s="1"/>
  <c r="AB328" i="6"/>
  <c r="AB329" i="6"/>
  <c r="AB330" i="6"/>
  <c r="AB331" i="6"/>
  <c r="AD331" i="6" s="1"/>
  <c r="AB332" i="6"/>
  <c r="AB333" i="6"/>
  <c r="AB334" i="6"/>
  <c r="AB335" i="6"/>
  <c r="AD335" i="6" s="1"/>
  <c r="AB336" i="6"/>
  <c r="AB337" i="6"/>
  <c r="AB338" i="6"/>
  <c r="AB339" i="6"/>
  <c r="AD339" i="6" s="1"/>
  <c r="AB340" i="6"/>
  <c r="AB341" i="6"/>
  <c r="AB342" i="6"/>
  <c r="AB343" i="6"/>
  <c r="AD343" i="6" s="1"/>
  <c r="AB344" i="6"/>
  <c r="AB345" i="6"/>
  <c r="AB346" i="6"/>
  <c r="AB347" i="6"/>
  <c r="AD347" i="6" s="1"/>
  <c r="AB348" i="6"/>
  <c r="AB349" i="6"/>
  <c r="AB350" i="6"/>
  <c r="AB351" i="6"/>
  <c r="AD351" i="6" s="1"/>
  <c r="AB352" i="6"/>
  <c r="AB353" i="6"/>
  <c r="AB354" i="6"/>
  <c r="AB355" i="6"/>
  <c r="AD355" i="6" s="1"/>
  <c r="AB356" i="6"/>
  <c r="AB357" i="6"/>
  <c r="AB358" i="6"/>
  <c r="AB359" i="6"/>
  <c r="AD359" i="6" s="1"/>
  <c r="AB360" i="6"/>
  <c r="AB361" i="6"/>
  <c r="AB362" i="6"/>
  <c r="AB363" i="6"/>
  <c r="AD363" i="6" s="1"/>
  <c r="AB364" i="6"/>
  <c r="AB365" i="6"/>
  <c r="AB366" i="6"/>
  <c r="AB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S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2" i="5"/>
  <c r="AD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2" i="6" l="1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D2" i="1" l="1"/>
  <c r="AP2" i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AD273" i="4" s="1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AD286" i="4" s="1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AD301" i="4" s="1"/>
  <c r="T302" i="4"/>
  <c r="T303" i="4"/>
  <c r="X303" i="4" s="1"/>
  <c r="T304" i="4"/>
  <c r="T305" i="4"/>
  <c r="AD305" i="4" s="1"/>
  <c r="T306" i="4"/>
  <c r="T307" i="4"/>
  <c r="X307" i="4" s="1"/>
  <c r="T308" i="4"/>
  <c r="T309" i="4"/>
  <c r="AD309" i="4" s="1"/>
  <c r="T310" i="4"/>
  <c r="T311" i="4"/>
  <c r="X311" i="4" s="1"/>
  <c r="T312" i="4"/>
  <c r="T313" i="4"/>
  <c r="AD313" i="4" s="1"/>
  <c r="T314" i="4"/>
  <c r="T315" i="4"/>
  <c r="X315" i="4" s="1"/>
  <c r="T316" i="4"/>
  <c r="T317" i="4"/>
  <c r="AD317" i="4" s="1"/>
  <c r="T318" i="4"/>
  <c r="T319" i="4"/>
  <c r="X319" i="4" s="1"/>
  <c r="T320" i="4"/>
  <c r="T321" i="4"/>
  <c r="AD321" i="4" s="1"/>
  <c r="T322" i="4"/>
  <c r="T323" i="4"/>
  <c r="X323" i="4" s="1"/>
  <c r="T324" i="4"/>
  <c r="T325" i="4"/>
  <c r="AD325" i="4" s="1"/>
  <c r="T326" i="4"/>
  <c r="T327" i="4"/>
  <c r="X327" i="4" s="1"/>
  <c r="T328" i="4"/>
  <c r="T329" i="4"/>
  <c r="AD329" i="4" s="1"/>
  <c r="T330" i="4"/>
  <c r="T331" i="4"/>
  <c r="X331" i="4" s="1"/>
  <c r="T332" i="4"/>
  <c r="T333" i="4"/>
  <c r="AD333" i="4" s="1"/>
  <c r="T334" i="4"/>
  <c r="T335" i="4"/>
  <c r="X335" i="4" s="1"/>
  <c r="T336" i="4"/>
  <c r="T337" i="4"/>
  <c r="AD337" i="4" s="1"/>
  <c r="T338" i="4"/>
  <c r="T339" i="4"/>
  <c r="X339" i="4" s="1"/>
  <c r="T340" i="4"/>
  <c r="T341" i="4"/>
  <c r="AD341" i="4" s="1"/>
  <c r="T342" i="4"/>
  <c r="T343" i="4"/>
  <c r="X343" i="4" s="1"/>
  <c r="T344" i="4"/>
  <c r="T345" i="4"/>
  <c r="AD345" i="4" s="1"/>
  <c r="T346" i="4"/>
  <c r="T347" i="4"/>
  <c r="X347" i="4" s="1"/>
  <c r="T348" i="4"/>
  <c r="T349" i="4"/>
  <c r="AD349" i="4" s="1"/>
  <c r="T350" i="4"/>
  <c r="T351" i="4"/>
  <c r="X351" i="4" s="1"/>
  <c r="T352" i="4"/>
  <c r="T353" i="4"/>
  <c r="AD353" i="4" s="1"/>
  <c r="T354" i="4"/>
  <c r="T355" i="4"/>
  <c r="X355" i="4" s="1"/>
  <c r="T356" i="4"/>
  <c r="T357" i="4"/>
  <c r="AD357" i="4" s="1"/>
  <c r="T358" i="4"/>
  <c r="T359" i="4"/>
  <c r="X359" i="4" s="1"/>
  <c r="T360" i="4"/>
  <c r="T361" i="4"/>
  <c r="AD361" i="4" s="1"/>
  <c r="T362" i="4"/>
  <c r="T363" i="4"/>
  <c r="X363" i="4" s="1"/>
  <c r="T364" i="4"/>
  <c r="T365" i="4"/>
  <c r="AD365" i="4" s="1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D270" i="4" s="1"/>
  <c r="AB271" i="4"/>
  <c r="AB272" i="4"/>
  <c r="AB273" i="4"/>
  <c r="AB274" i="4"/>
  <c r="AD274" i="4" s="1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55" i="4" l="1"/>
  <c r="AD295" i="4"/>
  <c r="AD291" i="4"/>
  <c r="AD287" i="4"/>
  <c r="AD283" i="4"/>
  <c r="AD279" i="4"/>
  <c r="AD275" i="4"/>
  <c r="AD271" i="4"/>
  <c r="AD339" i="4"/>
  <c r="AD323" i="4"/>
  <c r="S298" i="4"/>
  <c r="S302" i="4"/>
  <c r="S306" i="4"/>
  <c r="S310" i="4"/>
  <c r="S322" i="4"/>
  <c r="S326" i="4"/>
  <c r="S334" i="4"/>
  <c r="S338" i="4"/>
  <c r="S350" i="4"/>
  <c r="S358" i="4"/>
  <c r="S366" i="4"/>
  <c r="AD364" i="4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00" i="4"/>
  <c r="AD307" i="4"/>
  <c r="AD297" i="4"/>
  <c r="AD293" i="4"/>
  <c r="AD289" i="4"/>
  <c r="AD285" i="4"/>
  <c r="AD281" i="4"/>
  <c r="AD277" i="4"/>
  <c r="AD269" i="4"/>
  <c r="AD229" i="4"/>
  <c r="AD213" i="4"/>
  <c r="AD197" i="4"/>
  <c r="AD181" i="4"/>
  <c r="AD165" i="4"/>
  <c r="AD149" i="4"/>
  <c r="AD141" i="4"/>
  <c r="AD137" i="4"/>
  <c r="AD133" i="4"/>
  <c r="AD125" i="4"/>
  <c r="AD121" i="4"/>
  <c r="AD117" i="4"/>
  <c r="AD109" i="4"/>
  <c r="AD105" i="4"/>
  <c r="AD101" i="4"/>
  <c r="AD93" i="4"/>
  <c r="AD89" i="4"/>
  <c r="AD85" i="4"/>
  <c r="AD77" i="4"/>
  <c r="AD73" i="4"/>
  <c r="AD69" i="4"/>
  <c r="AD61" i="4"/>
  <c r="AD57" i="4"/>
  <c r="AD53" i="4"/>
  <c r="AD45" i="4"/>
  <c r="AD41" i="4"/>
  <c r="AD37" i="4"/>
  <c r="AD29" i="4"/>
  <c r="AD25" i="4"/>
  <c r="AD21" i="4"/>
  <c r="AD13" i="4"/>
  <c r="AD9" i="4"/>
  <c r="AD5" i="4"/>
  <c r="AD351" i="4"/>
  <c r="AD335" i="4"/>
  <c r="AD319" i="4"/>
  <c r="AD303" i="4"/>
  <c r="AD363" i="4"/>
  <c r="AD347" i="4"/>
  <c r="AD331" i="4"/>
  <c r="AD315" i="4"/>
  <c r="AD299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AD282" i="4"/>
  <c r="AD278" i="4"/>
  <c r="X274" i="4"/>
  <c r="AD359" i="4"/>
  <c r="AD343" i="4"/>
  <c r="AD327" i="4"/>
  <c r="AD311" i="4"/>
  <c r="AD296" i="4"/>
  <c r="AD292" i="4"/>
  <c r="AD288" i="4"/>
  <c r="AD284" i="4"/>
  <c r="AD280" i="4"/>
  <c r="AD276" i="4"/>
  <c r="AD272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298" i="4"/>
  <c r="AD294" i="4"/>
  <c r="AD257" i="4"/>
  <c r="AD241" i="4"/>
  <c r="AD225" i="4"/>
  <c r="AD209" i="4"/>
  <c r="AD193" i="4"/>
  <c r="AD177" i="4"/>
  <c r="AD161" i="4"/>
  <c r="AD145" i="4"/>
  <c r="AD129" i="4"/>
  <c r="AD113" i="4"/>
  <c r="AD97" i="4"/>
  <c r="AD81" i="4"/>
  <c r="AD65" i="4"/>
  <c r="AD49" i="4"/>
  <c r="AD33" i="4"/>
  <c r="AD17" i="4"/>
  <c r="AD290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3" i="4"/>
  <c r="AD265" i="4"/>
  <c r="AD261" i="4"/>
  <c r="AD253" i="4"/>
  <c r="AD249" i="4"/>
  <c r="AD245" i="4"/>
  <c r="AD237" i="4"/>
  <c r="AD233" i="4"/>
  <c r="AD221" i="4"/>
  <c r="AD217" i="4"/>
  <c r="AD205" i="4"/>
  <c r="AD201" i="4"/>
  <c r="AD189" i="4"/>
  <c r="AD185" i="4"/>
  <c r="AD173" i="4"/>
  <c r="AD169" i="4"/>
  <c r="AD157" i="4"/>
  <c r="AD153" i="4"/>
  <c r="X267" i="4"/>
  <c r="AD267" i="4"/>
  <c r="X263" i="4"/>
  <c r="AD263" i="4"/>
  <c r="X259" i="4"/>
  <c r="AD259" i="4"/>
  <c r="X255" i="4"/>
  <c r="AD255" i="4"/>
  <c r="X251" i="4"/>
  <c r="AD251" i="4"/>
  <c r="X247" i="4"/>
  <c r="AD247" i="4"/>
  <c r="X243" i="4"/>
  <c r="AD243" i="4"/>
  <c r="X239" i="4"/>
  <c r="AD239" i="4"/>
  <c r="X235" i="4"/>
  <c r="AD235" i="4"/>
  <c r="X231" i="4"/>
  <c r="AD231" i="4"/>
  <c r="X227" i="4"/>
  <c r="AD227" i="4"/>
  <c r="X223" i="4"/>
  <c r="AD223" i="4"/>
  <c r="X219" i="4"/>
  <c r="AD219" i="4"/>
  <c r="X215" i="4"/>
  <c r="AD215" i="4"/>
  <c r="X211" i="4"/>
  <c r="AD211" i="4"/>
  <c r="X207" i="4"/>
  <c r="AD207" i="4"/>
  <c r="X203" i="4"/>
  <c r="AD203" i="4"/>
  <c r="X199" i="4"/>
  <c r="AD199" i="4"/>
  <c r="X195" i="4"/>
  <c r="AD195" i="4"/>
  <c r="X191" i="4"/>
  <c r="AD191" i="4"/>
  <c r="X187" i="4"/>
  <c r="AD187" i="4"/>
  <c r="X183" i="4"/>
  <c r="AD183" i="4"/>
  <c r="X179" i="4"/>
  <c r="AD179" i="4"/>
  <c r="X175" i="4"/>
  <c r="AD175" i="4"/>
  <c r="X171" i="4"/>
  <c r="AD171" i="4"/>
  <c r="X167" i="4"/>
  <c r="AD167" i="4"/>
  <c r="X163" i="4"/>
  <c r="AD163" i="4"/>
  <c r="X159" i="4"/>
  <c r="AD159" i="4"/>
  <c r="X155" i="4"/>
  <c r="AD155" i="4"/>
  <c r="X151" i="4"/>
  <c r="AD151" i="4"/>
  <c r="X147" i="4"/>
  <c r="AD147" i="4"/>
  <c r="X143" i="4"/>
  <c r="AD143" i="4"/>
  <c r="X139" i="4"/>
  <c r="AD139" i="4"/>
  <c r="X127" i="4"/>
  <c r="AD127" i="4"/>
  <c r="X115" i="4"/>
  <c r="AD115" i="4"/>
  <c r="X103" i="4"/>
  <c r="AD103" i="4"/>
  <c r="X91" i="4"/>
  <c r="AD91" i="4"/>
  <c r="X79" i="4"/>
  <c r="AD79" i="4"/>
  <c r="X75" i="4"/>
  <c r="AD75" i="4"/>
  <c r="AD266" i="4"/>
  <c r="AD262" i="4"/>
  <c r="X258" i="4"/>
  <c r="AD258" i="4"/>
  <c r="AD254" i="4"/>
  <c r="AD250" i="4"/>
  <c r="AD246" i="4"/>
  <c r="X242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2" i="4"/>
  <c r="X135" i="4"/>
  <c r="AD135" i="4"/>
  <c r="X123" i="4"/>
  <c r="AD123" i="4"/>
  <c r="X111" i="4"/>
  <c r="AD111" i="4"/>
  <c r="X99" i="4"/>
  <c r="AD99" i="4"/>
  <c r="X87" i="4"/>
  <c r="AD87" i="4"/>
  <c r="X131" i="4"/>
  <c r="AD131" i="4"/>
  <c r="X119" i="4"/>
  <c r="AD119" i="4"/>
  <c r="X107" i="4"/>
  <c r="AD107" i="4"/>
  <c r="X95" i="4"/>
  <c r="AD95" i="4"/>
  <c r="X83" i="4"/>
  <c r="AD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AD4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S364" i="1" s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S362" i="1" s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S360" i="1" s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S319" i="1"/>
  <c r="R319" i="1"/>
  <c r="P319" i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AD315" i="1" s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S303" i="1" s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S299" i="1" s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S293" i="1" s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S289" i="1" s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S277" i="1" s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S271" i="1" s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S267" i="1" s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S263" i="1" s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S259" i="1" s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S255" i="1" s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S251" i="1" s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S247" i="1" s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S243" i="1" s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S239" i="1" s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S235" i="1" s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S231" i="1" s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S227" i="1" s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S223" i="1" s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S221" i="1" s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S219" i="1" s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S217" i="1" s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S215" i="1" s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S213" i="1" s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S211" i="1" s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S209" i="1" s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S207" i="1" s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S205" i="1" s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S203" i="1" s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S201" i="1" s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S199" i="1" s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S39" i="1" s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AD25" i="1" s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AD22" i="1" l="1"/>
  <c r="AD114" i="1"/>
  <c r="AD118" i="1"/>
  <c r="AD122" i="1"/>
  <c r="AD126" i="1"/>
  <c r="AD130" i="1"/>
  <c r="AD134" i="1"/>
  <c r="X285" i="1"/>
  <c r="X293" i="1"/>
  <c r="S300" i="1"/>
  <c r="S311" i="1"/>
  <c r="S315" i="1"/>
  <c r="AD316" i="1"/>
  <c r="S318" i="1"/>
  <c r="X319" i="1"/>
  <c r="S321" i="1"/>
  <c r="S336" i="1"/>
  <c r="X337" i="1"/>
  <c r="S338" i="1"/>
  <c r="X354" i="1"/>
  <c r="X358" i="1"/>
  <c r="S361" i="1"/>
  <c r="X362" i="1"/>
  <c r="AD366" i="1"/>
  <c r="AD6" i="1"/>
  <c r="AD10" i="1"/>
  <c r="AD14" i="1"/>
  <c r="AD18" i="1"/>
  <c r="AD23" i="1"/>
  <c r="AD27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AD3" i="1"/>
  <c r="AD4" i="1"/>
  <c r="S6" i="1"/>
  <c r="AD8" i="1"/>
  <c r="AD12" i="1"/>
  <c r="AD16" i="1"/>
  <c r="AD20" i="1"/>
  <c r="S114" i="1"/>
  <c r="AD116" i="1"/>
  <c r="S118" i="1"/>
  <c r="AD120" i="1"/>
  <c r="S122" i="1"/>
  <c r="AD124" i="1"/>
  <c r="S126" i="1"/>
  <c r="AD128" i="1"/>
  <c r="S130" i="1"/>
  <c r="AD132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AD7" i="1"/>
  <c r="S9" i="1"/>
  <c r="AD11" i="1"/>
  <c r="AD15" i="1"/>
  <c r="AD19" i="1"/>
  <c r="AD26" i="1"/>
  <c r="AD5" i="1"/>
  <c r="S7" i="1"/>
  <c r="AD9" i="1"/>
  <c r="S11" i="1"/>
  <c r="AD13" i="1"/>
  <c r="AD17" i="1"/>
  <c r="AD21" i="1"/>
  <c r="AD24" i="1"/>
  <c r="X31" i="1"/>
  <c r="X35" i="1"/>
  <c r="X39" i="1"/>
  <c r="S197" i="1"/>
  <c r="X279" i="1"/>
  <c r="S43" i="1"/>
  <c r="AD44" i="1"/>
  <c r="S47" i="1"/>
  <c r="AD48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AD113" i="1"/>
  <c r="S115" i="1"/>
  <c r="AD117" i="1"/>
  <c r="S119" i="1"/>
  <c r="AD121" i="1"/>
  <c r="S123" i="1"/>
  <c r="AD125" i="1"/>
  <c r="S127" i="1"/>
  <c r="AD129" i="1"/>
  <c r="S131" i="1"/>
  <c r="AD133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AD365" i="1"/>
  <c r="X365" i="1"/>
  <c r="AD286" i="1"/>
  <c r="X312" i="1"/>
  <c r="X322" i="1"/>
  <c r="S337" i="1"/>
  <c r="X338" i="1"/>
  <c r="S341" i="1"/>
  <c r="X342" i="1"/>
  <c r="AD346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AD310" i="1"/>
  <c r="AD313" i="1"/>
  <c r="S340" i="1"/>
  <c r="S342" i="1"/>
  <c r="S349" i="1"/>
  <c r="AD350" i="1"/>
  <c r="X352" i="1"/>
  <c r="AD358" i="1"/>
  <c r="S359" i="1"/>
  <c r="X94" i="1"/>
  <c r="S97" i="1"/>
  <c r="X98" i="1"/>
  <c r="S101" i="1"/>
  <c r="X102" i="1"/>
  <c r="S105" i="1"/>
  <c r="X106" i="1"/>
  <c r="S109" i="1"/>
  <c r="X110" i="1"/>
  <c r="S113" i="1"/>
  <c r="AD115" i="1"/>
  <c r="S117" i="1"/>
  <c r="AD119" i="1"/>
  <c r="S121" i="1"/>
  <c r="AD123" i="1"/>
  <c r="S125" i="1"/>
  <c r="AD127" i="1"/>
  <c r="S129" i="1"/>
  <c r="AD131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AD158" i="1"/>
  <c r="X159" i="1"/>
  <c r="S161" i="1"/>
  <c r="AD162" i="1"/>
  <c r="X163" i="1"/>
  <c r="S165" i="1"/>
  <c r="AD166" i="1"/>
  <c r="S169" i="1"/>
  <c r="X170" i="1"/>
  <c r="S173" i="1"/>
  <c r="AD174" i="1"/>
  <c r="X175" i="1"/>
  <c r="S177" i="1"/>
  <c r="AD178" i="1"/>
  <c r="X179" i="1"/>
  <c r="S181" i="1"/>
  <c r="AD182" i="1"/>
  <c r="X183" i="1"/>
  <c r="S185" i="1"/>
  <c r="AD186" i="1"/>
  <c r="X187" i="1"/>
  <c r="S189" i="1"/>
  <c r="AD190" i="1"/>
  <c r="X191" i="1"/>
  <c r="S193" i="1"/>
  <c r="S196" i="1"/>
  <c r="AD274" i="1"/>
  <c r="X277" i="1"/>
  <c r="AD278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AD349" i="1"/>
  <c r="X360" i="1"/>
  <c r="AD362" i="1"/>
  <c r="X6" i="1"/>
  <c r="X10" i="1"/>
  <c r="X20" i="1"/>
  <c r="X24" i="1"/>
  <c r="AD341" i="1"/>
  <c r="X341" i="1"/>
  <c r="X4" i="1"/>
  <c r="X12" i="1"/>
  <c r="X16" i="1"/>
  <c r="X22" i="1"/>
  <c r="X36" i="1"/>
  <c r="X29" i="1"/>
  <c r="X33" i="1"/>
  <c r="AD357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AD282" i="1"/>
  <c r="AD342" i="1"/>
  <c r="X41" i="1"/>
  <c r="X45" i="1"/>
  <c r="AD49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AD159" i="1"/>
  <c r="X160" i="1"/>
  <c r="AD163" i="1"/>
  <c r="X164" i="1"/>
  <c r="X167" i="1"/>
  <c r="X171" i="1"/>
  <c r="AD175" i="1"/>
  <c r="X176" i="1"/>
  <c r="AD179" i="1"/>
  <c r="X180" i="1"/>
  <c r="AD183" i="1"/>
  <c r="X184" i="1"/>
  <c r="AD187" i="1"/>
  <c r="X188" i="1"/>
  <c r="X192" i="1"/>
  <c r="X246" i="1"/>
  <c r="X250" i="1"/>
  <c r="X254" i="1"/>
  <c r="X258" i="1"/>
  <c r="X262" i="1"/>
  <c r="X266" i="1"/>
  <c r="X270" i="1"/>
  <c r="AD273" i="1"/>
  <c r="X275" i="1"/>
  <c r="S281" i="1"/>
  <c r="X284" i="1"/>
  <c r="X287" i="1"/>
  <c r="X290" i="1"/>
  <c r="S292" i="1"/>
  <c r="X295" i="1"/>
  <c r="X298" i="1"/>
  <c r="X303" i="1"/>
  <c r="X306" i="1"/>
  <c r="AD311" i="1"/>
  <c r="AD314" i="1"/>
  <c r="X320" i="1"/>
  <c r="S324" i="1"/>
  <c r="X336" i="1"/>
  <c r="X350" i="1"/>
  <c r="S356" i="1"/>
  <c r="AD160" i="1"/>
  <c r="AD164" i="1"/>
  <c r="AD176" i="1"/>
  <c r="AD180" i="1"/>
  <c r="AD184" i="1"/>
  <c r="AD188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AD312" i="1"/>
  <c r="S314" i="1"/>
  <c r="X315" i="1"/>
  <c r="X318" i="1"/>
  <c r="S322" i="1"/>
  <c r="X323" i="1"/>
  <c r="S325" i="1"/>
  <c r="S329" i="1"/>
  <c r="S333" i="1"/>
  <c r="S339" i="1"/>
  <c r="X340" i="1"/>
  <c r="AD345" i="1"/>
  <c r="X346" i="1"/>
  <c r="S347" i="1"/>
  <c r="S350" i="1"/>
  <c r="X356" i="1"/>
  <c r="X43" i="1"/>
  <c r="X44" i="1"/>
  <c r="AD47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AD161" i="1"/>
  <c r="X162" i="1"/>
  <c r="AD165" i="1"/>
  <c r="X166" i="1"/>
  <c r="X169" i="1"/>
  <c r="AD173" i="1"/>
  <c r="X174" i="1"/>
  <c r="AD177" i="1"/>
  <c r="X178" i="1"/>
  <c r="AD181" i="1"/>
  <c r="X182" i="1"/>
  <c r="AD185" i="1"/>
  <c r="X186" i="1"/>
  <c r="AD189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AD337" i="1"/>
  <c r="X348" i="1"/>
  <c r="S352" i="1"/>
  <c r="AD353" i="1"/>
  <c r="AD361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5" i="1"/>
  <c r="AD46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X195" i="1"/>
  <c r="AD195" i="1"/>
  <c r="AD194" i="1"/>
  <c r="X198" i="1"/>
  <c r="AD198" i="1"/>
  <c r="X200" i="1"/>
  <c r="AD200" i="1"/>
  <c r="X202" i="1"/>
  <c r="AD202" i="1"/>
  <c r="X204" i="1"/>
  <c r="AD204" i="1"/>
  <c r="X206" i="1"/>
  <c r="AD206" i="1"/>
  <c r="X208" i="1"/>
  <c r="AD208" i="1"/>
  <c r="X210" i="1"/>
  <c r="AD210" i="1"/>
  <c r="X212" i="1"/>
  <c r="AD212" i="1"/>
  <c r="X214" i="1"/>
  <c r="AD214" i="1"/>
  <c r="X216" i="1"/>
  <c r="AD216" i="1"/>
  <c r="X218" i="1"/>
  <c r="AD218" i="1"/>
  <c r="X220" i="1"/>
  <c r="AD220" i="1"/>
  <c r="X222" i="1"/>
  <c r="AD222" i="1"/>
  <c r="X224" i="1"/>
  <c r="AD224" i="1"/>
  <c r="X226" i="1"/>
  <c r="AD226" i="1"/>
  <c r="X228" i="1"/>
  <c r="AD228" i="1"/>
  <c r="X230" i="1"/>
  <c r="AD230" i="1"/>
  <c r="X232" i="1"/>
  <c r="AD232" i="1"/>
  <c r="X234" i="1"/>
  <c r="AD234" i="1"/>
  <c r="X236" i="1"/>
  <c r="AD236" i="1"/>
  <c r="X238" i="1"/>
  <c r="AD238" i="1"/>
  <c r="X240" i="1"/>
  <c r="AD240" i="1"/>
  <c r="X242" i="1"/>
  <c r="AD242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67" i="1"/>
  <c r="AD168" i="1"/>
  <c r="AD169" i="1"/>
  <c r="AD170" i="1"/>
  <c r="AD171" i="1"/>
  <c r="AD172" i="1"/>
  <c r="AD191" i="1"/>
  <c r="AD192" i="1"/>
  <c r="AD193" i="1"/>
  <c r="AD197" i="1"/>
  <c r="AD196" i="1"/>
  <c r="X199" i="1"/>
  <c r="AD199" i="1"/>
  <c r="X201" i="1"/>
  <c r="AD201" i="1"/>
  <c r="X203" i="1"/>
  <c r="AD203" i="1"/>
  <c r="X205" i="1"/>
  <c r="AD205" i="1"/>
  <c r="X207" i="1"/>
  <c r="AD207" i="1"/>
  <c r="X209" i="1"/>
  <c r="AD209" i="1"/>
  <c r="X211" i="1"/>
  <c r="AD211" i="1"/>
  <c r="X213" i="1"/>
  <c r="AD213" i="1"/>
  <c r="X215" i="1"/>
  <c r="AD215" i="1"/>
  <c r="X217" i="1"/>
  <c r="AD217" i="1"/>
  <c r="X219" i="1"/>
  <c r="AD219" i="1"/>
  <c r="X221" i="1"/>
  <c r="AD221" i="1"/>
  <c r="X223" i="1"/>
  <c r="AD223" i="1"/>
  <c r="X225" i="1"/>
  <c r="AD225" i="1"/>
  <c r="X227" i="1"/>
  <c r="AD227" i="1"/>
  <c r="X229" i="1"/>
  <c r="AD229" i="1"/>
  <c r="X231" i="1"/>
  <c r="AD231" i="1"/>
  <c r="X233" i="1"/>
  <c r="AD233" i="1"/>
  <c r="X235" i="1"/>
  <c r="AD235" i="1"/>
  <c r="X237" i="1"/>
  <c r="AD237" i="1"/>
  <c r="X239" i="1"/>
  <c r="AD239" i="1"/>
  <c r="X241" i="1"/>
  <c r="AD241" i="1"/>
  <c r="X243" i="1"/>
  <c r="AD243" i="1"/>
  <c r="AD275" i="1"/>
  <c r="AD279" i="1"/>
  <c r="AD283" i="1"/>
  <c r="AD287" i="1"/>
  <c r="X328" i="1"/>
  <c r="AD328" i="1"/>
  <c r="X332" i="1"/>
  <c r="AD332" i="1"/>
  <c r="X347" i="1"/>
  <c r="AD347" i="1"/>
  <c r="X363" i="1"/>
  <c r="AD363" i="1"/>
  <c r="X325" i="1"/>
  <c r="AD325" i="1"/>
  <c r="X329" i="1"/>
  <c r="AD329" i="1"/>
  <c r="X333" i="1"/>
  <c r="AD333" i="1"/>
  <c r="X343" i="1"/>
  <c r="AD343" i="1"/>
  <c r="X359" i="1"/>
  <c r="AD359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7" i="1"/>
  <c r="AD281" i="1"/>
  <c r="AD285" i="1"/>
  <c r="X326" i="1"/>
  <c r="AD326" i="1"/>
  <c r="X330" i="1"/>
  <c r="AD330" i="1"/>
  <c r="X334" i="1"/>
  <c r="AD334" i="1"/>
  <c r="X339" i="1"/>
  <c r="AD339" i="1"/>
  <c r="X355" i="1"/>
  <c r="AD355" i="1"/>
  <c r="AD276" i="1"/>
  <c r="AD280" i="1"/>
  <c r="AD284" i="1"/>
  <c r="AD288" i="1"/>
  <c r="X289" i="1"/>
  <c r="AD289" i="1"/>
  <c r="X327" i="1"/>
  <c r="AD327" i="1"/>
  <c r="X331" i="1"/>
  <c r="AD331" i="1"/>
  <c r="X335" i="1"/>
  <c r="AD335" i="1"/>
  <c r="AD338" i="1"/>
  <c r="X351" i="1"/>
  <c r="AD351" i="1"/>
  <c r="AD354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7" i="1"/>
  <c r="AD318" i="1"/>
  <c r="AD319" i="1"/>
  <c r="AD320" i="1"/>
  <c r="AD321" i="1"/>
  <c r="AD322" i="1"/>
  <c r="AD323" i="1"/>
  <c r="AD336" i="1"/>
  <c r="AD340" i="1"/>
  <c r="AD344" i="1"/>
  <c r="AD348" i="1"/>
  <c r="AD352" i="1"/>
  <c r="AD356" i="1"/>
  <c r="AD360" i="1"/>
  <c r="AD364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<sst xmlns="http://schemas.openxmlformats.org/spreadsheetml/2006/main" count="252" uniqueCount="42">
  <si>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</si>
  <si>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</si>
  <si>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</si>
  <si>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</si>
  <si>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</si>
  <si>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</si>
  <si>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</si>
  <si>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</si>
  <si>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</si>
  <si>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</si>
  <si>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</si>
  <si>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</si>
  <si>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</si>
  <si>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</si>
  <si>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</si>
  <si>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</si>
  <si>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</si>
  <si>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</si>
  <si>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</si>
  <si>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</si>
  <si>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</si>
  <si>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</si>
  <si>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</si>
  <si>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</si>
  <si>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</si>
  <si>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</si>
  <si>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</si>
  <si>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</si>
  <si>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</si>
  <si>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</si>
  <si>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</si>
  <si>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</si>
  <si>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</si>
  <si>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</si>
  <si>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</si>
  <si>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</si>
  <si>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</si>
  <si>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</si>
  <si>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</si>
  <si>
    <t>AJD المخزون * 10</t>
  </si>
  <si>
    <t>BER المخزون * 10</t>
  </si>
  <si>
    <t>SER المخزون *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</si>
</sst>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8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164" fontId="3" fillId="4" borderId="7" xfId="1" applyNumberFormat="1" applyFont="1" applyFill="1" applyBorder="1" applyAlignment="1">
      <alignment horizontal="center" vertical="center" readingOrder="1"/>
    </xf>
    <xf numFmtId="1" fontId="8" fillId="0" borderId="7" xfId="1" applyNumberFormat="1" applyFont="1" applyBorder="1" applyAlignment="1">
      <alignment horizontal="center" vertical="center" readingOrder="1"/>
    </xf>
    <xf numFmtId="1" fontId="8" fillId="0" borderId="9" xfId="1" applyNumberFormat="1" applyFont="1" applyBorder="1" applyAlignment="1">
      <alignment horizontal="center" vertical="center" readingOrder="1"/>
    </xf>
    <xf numFmtId="167" fontId="8" fillId="0" borderId="9" xfId="1" applyNumberFormat="1" applyFont="1" applyBorder="1" applyAlignment="1">
      <alignment horizontal="center" vertical="center" readingOrder="1"/>
    </xf>
    <xf numFmtId="2" fontId="8" fillId="0" borderId="10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4" fillId="0" borderId="9" xfId="1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3" fontId="4" fillId="0" borderId="10" xfId="1" applyNumberFormat="1" applyFont="1" applyBorder="1" applyAlignment="1">
      <alignment horizontal="center" vertical="center" readingOrder="1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0" fontId="12" fillId="3" borderId="5" xfId="0" applyFont="1" applyFill="1" applyBorder="1" applyAlignment="1">
      <alignment horizontal="center" vertical="center" wrapText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512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426" headerRowBorderDxfId="425" tableBorderDxfId="424">
  <autoFilter ref="A1:AP366" xr:uid="{6E0F382F-67F4-430A-B384-60EF2F5DAC6C}"/>
  <tableColumns count="42">
    <tableColumn id="1" xr3:uid="{66387CC3-B100-4304-9559-EC4889828ABF}" name=" اليوم" dataDxfId="423" totalsRowDxfId="41" dataCellStyle="Normal 2" totalsRowCellStyle="Normal 2"/>
    <tableColumn id="19" xr3:uid="{73AF8B15-15C2-4FFB-A4CF-2BCAC459190F}" name="آبار منتجة TAZ" dataDxfId="422" totalsRowDxfId="40" dataCellStyle="Normal 2" totalsRowCellStyle="Normal 2"/>
    <tableColumn id="18" xr3:uid="{09325C69-53C6-4F31-92E3-CB300328F497}" name="الانتاج 1000 (م3) TAZ" dataDxfId="421" totalsRowDxfId="39" dataCellStyle="Normal 2" totalsRowCellStyle="Normal 2"/>
    <tableColumn id="17" xr3:uid="{16B8FBF1-029A-469C-B1C6-F69C4C4F7CAF}" name="آبار عاملة TAZ" dataDxfId="420" totalsRowDxfId="38" dataCellStyle="Normal 2" totalsRowCellStyle="Normal 2"/>
    <tableColumn id="16" xr3:uid="{00C28CE5-3D49-4F68-919C-13DF472F495C}" name="آبار احتياطية" dataDxfId="419" totalsRowDxfId="37" dataCellStyle="Normal 2" totalsRowCellStyle="Normal 2"/>
    <tableColumn id="26" xr3:uid="{EE5DB7EC-D86D-49D5-9B77-054A5BABE28D}" name="آبار منتجة SAR" dataDxfId="418" totalsRowDxfId="36" dataCellStyle="Normal 2" totalsRowCellStyle="Normal 2"/>
    <tableColumn id="25" xr3:uid="{7C165A36-3712-4689-8755-F53FE5B20ABE}" name="إنتاج آبار  SAR" dataDxfId="417" totalsRowDxfId="35" dataCellStyle="Normal 2" totalsRowCellStyle="Normal 2"/>
    <tableColumn id="24" xr3:uid="{83A6BBA7-380F-4769-8A42-D4612297E2AD}" name="آبار احتياطية  SAR" dataDxfId="416" totalsRowDxfId="34" dataCellStyle="Normal 2" totalsRowCellStyle="Normal 2"/>
    <tableColumn id="8" xr3:uid="{AE56A76F-A0FC-417D-B2B6-D4978FB39679}" name="خط (T/B  TOT) SAR" dataDxfId="415" totalsRowDxfId="33" dataCellStyle="Normal 2" totalsRowCellStyle="Normal 2"/>
    <tableColumn id="22" xr3:uid="{DAAA7253-4784-4BE7-9784-7EAE5F799701}" name="خط (S/S  TOT) SAR2" dataDxfId="414" totalsRowDxfId="32" dataCellStyle="Normal 2" totalsRowCellStyle="Normal 2"/>
    <tableColumn id="38" xr3:uid="{C17DFA01-DEFE-472D-8A02-0FF9206A0813}" name="(S/S+TB)SAR" dataDxfId="413" totalsRowDxfId="31" dataCellStyle="Normal 2" totalsRow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412" totalsRowDxfId="30" dataCellStyle="Normal 2" totalsRowCellStyle="Normal 2"/>
    <tableColumn id="20" xr3:uid="{3C1CE13A-ADA2-44D8-9F21-A08E5B226D9C}" name=" % ECV SAR" dataDxfId="411" totalsRowDxfId="29" dataCellStyle="Normal 2" totalsRowCellStyle="Normal 2"/>
    <tableColumn id="6" xr3:uid="{4245025E-4350-4CF5-A37D-368EE5D4C6E6}" name="الضغط ECV (bar) SAR" dataDxfId="410" totalsRowDxfId="28" dataCellStyle="Normal 2" totalsRowCellStyle="Normal 2"/>
    <tableColumn id="3" xr3:uid="{E521A30B-C651-47F3-8C9F-1644C97E55AB}" name="(S/S TOT) AJD" dataDxfId="409" totalsRowDxfId="27"/>
    <tableColumn id="36" xr3:uid="{2E18B7B5-1893-4635-84E6-AAD5165E012D}" name="الفرق بين بداية ونهاية خط  S/S" dataDxfId="408" totalsRowDxfId="26">
      <calculatedColumnFormula>TABL12[[#This Row],[خط (S/S  TOT) SAR2]]-TABL12[[#This Row],[(S/S TOT) AJD]]</calculatedColumnFormula>
    </tableColumn>
    <tableColumn id="5" xr3:uid="{2560A6DC-201C-40F0-8F48-5525F036384E}" name="(T/B TOT) AJD" dataDxfId="407" totalsRowDxfId="25"/>
    <tableColumn id="35" xr3:uid="{CCC03B44-9E2F-4CD1-89EE-A2983AA131AC}" name="الفرق بين بداية ونهاية خط  T/B" dataDxfId="406" totalsRowDxfId="24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405" totalsRowDxfId="23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404" totalsRowDxfId="22">
      <calculatedColumnFormula>O2+Q2</calculatedColumnFormula>
    </tableColumn>
    <tableColumn id="7" xr3:uid="{FE67C820-40E0-442E-9E31-856C32A508B6}" name="(A/B TOT) AJD" dataDxfId="403" totalsRowDxfId="21"/>
    <tableColumn id="9" xr3:uid="{D5679418-BA27-4A9E-9F79-B5750AE87354}" name="(A/S TOT) AJD" dataDxfId="402" totalsRowDxfId="20"/>
    <tableColumn id="14" xr3:uid="{3D7832B3-0EBF-4C36-9589-8817B10DB712}" name="(A/B + A/S) AJD" dataDxfId="401" totalsRowDxfId="19">
      <calculatedColumnFormula>U2+V2</calculatedColumnFormula>
    </tableColumn>
    <tableColumn id="15" xr3:uid="{9DF00D84-966C-444D-B303-1741455D7F9D}" name="(IN - OUT) AJD" dataDxfId="400" totalsRowDxfId="18">
      <calculatedColumnFormula>T2-W2</calculatedColumnFormula>
    </tableColumn>
    <tableColumn id="10" xr3:uid="{F816C09C-6DAC-44D6-8748-76EA15069B1B}" name="(RES. LEVEL) AJD" dataDxfId="399" totalsRowDxfId="17"/>
    <tableColumn id="11" xr3:uid="{00C5DB16-3CE7-43C0-85AC-3A94F1DF93AB}" name="(RESV. STORGE) AJD" dataDxfId="398" totalsRowDxfId="16"/>
    <tableColumn id="40" xr3:uid="{3BB612D7-93EF-4EAC-AE56-DDA1277F66BC}" name="AJD المخزون * 10" dataDxfId="397" totalsRowDxfId="15">
      <calculatedColumnFormula>TABL12[[#This Row],[(RESV. STORGE) AJD]]/10</calculatedColumnFormula>
    </tableColumn>
    <tableColumn id="4" xr3:uid="{15D5ED16-E158-4BC3-B9EB-7F0B835A68C3}" name="(STORGE DIFF.) AJD" dataDxfId="396" totalsRowDxfId="14"/>
    <tableColumn id="12" xr3:uid="{1995E128-14C8-4F8F-908D-D03A5E8655DC}" name="البخر  AJD" dataDxfId="395" totalsRowDxfId="13" dataCellStyle="Normal 2" totalsRowCellStyle="Normal 2">
      <calculatedColumnFormula>(Z2-Z1)/1000</calculatedColumnFormula>
    </tableColumn>
    <tableColumn id="39" xr3:uid="{E732E22F-62E8-4E58-A573-7DF93813B1E1}" name="الفاقد في خزان اجدابيا" dataDxfId="394" totalsRowDxfId="12">
      <calculatedColumnFormula>(TABL12[[#This Row],[( S/S+T/B) AJD]]*1000)-((TABL12[[#This Row],[(STORGE DIFF.) AJD]]*1000)+TABL12[[#This Row],[البخر  AJD]]+(TABL12[[#This Row],[(A/B + A/S) AJD]]*1000))</calculatedColumnFormula>
    </tableColumn>
    <tableColumn id="30" xr3:uid="{B8A4B6D6-AD45-4CC9-87FA-F1BA2E37ACCA}" name="BER_ IN" dataDxfId="393" totalsRowDxfId="11"/>
    <tableColumn id="31" xr3:uid="{55F50B2A-C1E1-433E-9815-41A6E80E52CD}" name="(RES. LEVEL) BER" dataDxfId="392" totalsRowDxfId="10"/>
    <tableColumn id="28" xr3:uid="{2651ABE7-B931-449C-B6AE-ACC17C319D95}" name=" (RESV. STORGE) BER" dataDxfId="391" totalsRowDxfId="9"/>
    <tableColumn id="41" xr3:uid="{E68DD80B-5F75-4484-AE22-A4DBB5C3D9D7}" name="BER المخزون * 10" dataDxfId="390" totalsRowDxfId="8">
      <calculatedColumnFormula>TABL12[[#This Row],[ (RESV. STORGE) BER]]/10</calculatedColumnFormula>
    </tableColumn>
    <tableColumn id="29" xr3:uid="{72C12724-11AC-42CC-A11D-EFF1C3F9C26F}" name="البخر  BER" dataDxfId="389" totalsRowDxfId="7"/>
    <tableColumn id="34" xr3:uid="{6D25E223-64FE-4345-BF75-4C64F7653DD7}" name=" إستهلاك AJD(A/B) - BER.IN" totalsRowFunction="custom" dataDxfId="388" totalsRowDxfId="6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387" totalsRowDxfId="5"/>
    <tableColumn id="33" xr3:uid="{4E73E2C8-F54D-4138-8186-189B1AB2FC67}" name="(RES. LEVEL) SER " dataDxfId="386" totalsRowDxfId="4"/>
    <tableColumn id="27" xr3:uid="{078E4705-C3C5-46D2-9B78-A05F1D915B91}" name=" (RESV. STORGE) SER" dataDxfId="385" totalsRowDxfId="3"/>
    <tableColumn id="42" xr3:uid="{67E01307-DE8B-4AEB-9752-499927A54124}" name="SER المخزون * 10" dataDxfId="384" totalsRowDxfId="2">
      <calculatedColumnFormula>TABL12[[#This Row],[ (RESV. STORGE) SER]]/10</calculatedColumnFormula>
    </tableColumn>
    <tableColumn id="2" xr3:uid="{E2C3B7C8-2EF3-47A2-B8EC-2DE7243E9A49}" name="البخر  SER" dataDxfId="383" totalsRowDxfId="1"/>
    <tableColumn id="23" xr3:uid="{BC79413F-8931-48D4-A08F-5DEBEF496FAE}" name="إستهلاك AJD(A/S) - SER.IN" dataDxfId="382" totalsRowDxfId="0" dataCellStyle="Normal 2" totalsRow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381" headerRowBorderDxfId="380" tableBorderDxfId="379">
  <autoFilter ref="A1:AP366" xr:uid="{C2A051BE-B5E3-493B-964B-8205F3177506}"/>
  <tableColumns count="42">
    <tableColumn id="1" xr3:uid="{F2C94FEB-A00A-4D88-9DB9-A505F694326E}" name=" اليوم" dataDxfId="378" totalsRowDxfId="377" dataCellStyle="Normal 2"/>
    <tableColumn id="19" xr3:uid="{68DB4C1E-A17C-490E-9705-B462F20FB2F5}" name="آبار منتجة TAZ" dataDxfId="376" totalsRowDxfId="375" dataCellStyle="Normal 2"/>
    <tableColumn id="18" xr3:uid="{E796FBBC-59BD-4C13-A0B4-3F479BF911CC}" name="الانتاج 1000 (م3) TAZ" dataDxfId="374" totalsRowDxfId="373" dataCellStyle="Normal 2"/>
    <tableColumn id="17" xr3:uid="{C89E9AFB-A295-4B42-8D04-66D22406019A}" name="آبار عاملة TAZ" dataDxfId="372" totalsRowDxfId="371" dataCellStyle="Normal 2"/>
    <tableColumn id="16" xr3:uid="{CCAB6794-76BB-4656-8BFD-720321A160A1}" name="آبار احتياطية" dataDxfId="370" totalsRowDxfId="369" dataCellStyle="Normal 2"/>
    <tableColumn id="26" xr3:uid="{B93CAD1F-9F70-4073-BA5B-9A25C7E0773A}" name="آبار منتجة SAR" dataDxfId="368" totalsRowDxfId="367" dataCellStyle="Normal 2"/>
    <tableColumn id="25" xr3:uid="{843065C2-FA24-4EBC-946C-017549EDBE73}" name="إنتاج آبار  SAR" dataDxfId="366" totalsRowDxfId="365" dataCellStyle="Normal 2"/>
    <tableColumn id="24" xr3:uid="{72E79D2B-11DD-4F09-9A98-C3DC5E961080}" name="آبار احتياطية  SAR" dataDxfId="364" totalsRowDxfId="363" dataCellStyle="Normal 2">
      <calculatedColumnFormula>103-F2</calculatedColumnFormula>
    </tableColumn>
    <tableColumn id="8" xr3:uid="{32ADAB80-0731-4497-9C74-B767F325E7AA}" name="خط (T/B  TOT) SAR" dataDxfId="362" totalsRowDxfId="361" dataCellStyle="Normal 2"/>
    <tableColumn id="22" xr3:uid="{D6CA7FCA-765E-4E81-A162-4CD8BB0D7043}" name="خط (S/S  TOT) SAR2" dataDxfId="360" totalsRowDxfId="359" dataCellStyle="Normal 2"/>
    <tableColumn id="38" xr3:uid="{33C2CB21-9229-4243-ADAE-776B8647DFD1}" name="(S/S+TB)SAR" dataDxfId="358" totalsRowDxfId="357" dataCellStyle="Normal 2">
      <calculatedColumnFormula>TABL123[[#This Row],[خط (T/B  TOT) SAR]]+TABL123[[#This Row],[خط (S/S  TOT) SAR2]]</calculatedColumnFormula>
    </tableColumn>
    <tableColumn id="21" xr3:uid="{5084FB58-C82F-41E5-A2B2-15A7632A1BEA}" name="خط TAZ/SAR" dataDxfId="356" totalsRowDxfId="355" dataCellStyle="Normal 2"/>
    <tableColumn id="20" xr3:uid="{66436F12-F860-44EF-B3A6-FFD54DC8AFC8}" name=" % ECV SAR" dataDxfId="354" totalsRowDxfId="353" dataCellStyle="Normal 2"/>
    <tableColumn id="6" xr3:uid="{4438EA12-D59A-4F0A-AA36-C59397D029D5}" name="الضغط ECV (bar) SAR" dataDxfId="352" totalsRowDxfId="351" dataCellStyle="Normal 2"/>
    <tableColumn id="3" xr3:uid="{5C7CE9FC-7273-4F20-97D1-277D70176732}" name="(S/S TOT) AJD" dataDxfId="350" totalsRowDxfId="349"/>
    <tableColumn id="36" xr3:uid="{6672827C-38A3-4694-A87C-BC06C39D02A5}" name="الفرق بين بداية ونهاية خط  S/S" dataDxfId="348" totalsRowDxfId="347">
      <calculatedColumnFormula>TABL123[[#This Row],[خط (S/S  TOT) SAR2]]-TABL123[[#This Row],[(S/S TOT) AJD]]</calculatedColumnFormula>
    </tableColumn>
    <tableColumn id="5" xr3:uid="{DF02E977-976C-497A-90D6-F963B833E43A}" name="(T/B TOT) AJD" dataDxfId="346" totalsRowDxfId="345"/>
    <tableColumn id="35" xr3:uid="{EA1BE12C-3660-4876-BFF2-4646FCDB4BA4}" name="الفرق بين بداية ونهاية خط  T/B" dataDxfId="344" totalsRowDxfId="343">
      <calculatedColumnFormula>TABL123[[#This Row],[خط (T/B  TOT) SAR]]-TABL123[[#This Row],[(T/B TOT) AJD]]</calculatedColumnFormula>
    </tableColumn>
    <tableColumn id="37" xr3:uid="{CD73554D-A9F7-4280-84E5-B46659328447}" name="الفرق بين السرير و اجدابيا (الإستهلاك)" dataDxfId="342" totalsRowDxfId="341">
      <calculatedColumnFormula>TABL123[[#This Row],[الفرق بين بداية ونهاية خط  T/B]]+TABL123[[#This Row],[الفرق بين بداية ونهاية خط  S/S]]</calculatedColumnFormula>
    </tableColumn>
    <tableColumn id="13" xr3:uid="{01AE2A1C-21BD-46A6-A4AA-D88652C86F49}" name="( S/S+T/B) AJD" dataDxfId="340" totalsRowDxfId="339">
      <calculatedColumnFormula>TABL123[[#This Row],[(S/S TOT) AJD]]+TABL123[[#This Row],[(T/B TOT) AJD]]</calculatedColumnFormula>
    </tableColumn>
    <tableColumn id="7" xr3:uid="{21BC058B-8A61-431E-BCD6-7FDA77C9E7C5}" name="(A/B TOT) AJD" dataDxfId="338" totalsRowDxfId="337"/>
    <tableColumn id="9" xr3:uid="{E4125AA8-4C18-482A-92C7-44662200A444}" name="(A/S TOT) AJD" dataDxfId="336" totalsRowDxfId="335"/>
    <tableColumn id="14" xr3:uid="{A5BCC66E-3B62-4C06-92B8-78FF88D4151A}" name="(A/B + A/S) AJD" dataDxfId="334" totalsRowDxfId="333">
      <calculatedColumnFormula>TABL123[[#This Row],[(A/B TOT) AJD]]+TABL123[[#This Row],[(A/S TOT) AJD]]</calculatedColumnFormula>
    </tableColumn>
    <tableColumn id="15" xr3:uid="{3BBEAFA6-6146-471B-A18A-86F379088B70}" name="(IN - OUT) AJD" dataDxfId="332" totalsRowDxfId="331">
      <calculatedColumnFormula>TABL123[[#This Row],[( S/S+T/B) AJD]]-TABL123[[#This Row],[(A/B + A/S) AJD]]</calculatedColumnFormula>
    </tableColumn>
    <tableColumn id="10" xr3:uid="{876922B5-A4E9-45ED-86BF-10C757F7DE2A}" name="(RES. LEVEL) AJD" dataDxfId="330" totalsRowDxfId="329"/>
    <tableColumn id="11" xr3:uid="{2F9A8435-0058-45F7-AA38-B4B4E3E3322D}" name="(RESV. STORGE) AJD" dataDxfId="328" totalsRowDxfId="327"/>
    <tableColumn id="40" xr3:uid="{F87A19EF-5769-4625-AC0A-777F3AC43946}" name="AJD المخزون * 10" dataDxfId="326" totalsRowDxfId="325" dataCellStyle="Normal 2">
      <calculatedColumnFormula>TABL123[[#This Row],[(RESV. STORGE) AJD]]/10</calculatedColumnFormula>
    </tableColumn>
    <tableColumn id="4" xr3:uid="{F15E20D7-B8EF-4163-9E31-6D3BF77A73A3}" name="(STORGE DIFF.) AJD" dataDxfId="324" totalsRowDxfId="323"/>
    <tableColumn id="12" xr3:uid="{BC2F8435-ACF2-46F4-8794-4AC9C2B6C9E9}" name="البخر  AJD" dataDxfId="322" totalsRowDxfId="321" dataCellStyle="Normal 2"/>
    <tableColumn id="39" xr3:uid="{FCD950FB-697C-49D6-8E16-0E7ECE2CAB54}" name="الفاقد في خزان اجدابيا" dataDxfId="320" totalsRowDxfId="319">
      <calculatedColumnFormula>TABL123[[#This Row],[( S/S+T/B) AJD]]-(TABL123[[#This Row],[(A/B + A/S) AJD]]+(TABL123[[#This Row],[(STORGE DIFF.) AJD]]*1000)+TABL123[[#This Row],[البخر  AJD]])</calculatedColumnFormula>
    </tableColumn>
    <tableColumn id="30" xr3:uid="{8CFBC8C8-233F-4A7C-8008-ADE64EB24554}" name="BER_ IN" dataDxfId="318" totalsRowDxfId="317"/>
    <tableColumn id="31" xr3:uid="{5D2F464C-C9F4-4576-8552-66822FE5010C}" name="(RES. LEVEL) BER" dataDxfId="316" totalsRowDxfId="315"/>
    <tableColumn id="28" xr3:uid="{79AC9202-E111-492A-A1C7-C20EAB7DB475}" name=" (RESV. STORGE) BER" dataDxfId="314" totalsRowDxfId="313"/>
    <tableColumn id="29" xr3:uid="{0D3228DA-C740-4CD4-8142-FA2E5314F93F}" name="BER المخزون * 10" dataDxfId="312" totalsRowDxfId="311"/>
    <tableColumn id="34" xr3:uid="{5733C1F9-D466-469C-ABB3-E7F7DB0EE0F1}" name="البخر  BER" dataDxfId="310" totalsRowDxfId="309"/>
    <tableColumn id="32" xr3:uid="{4CE1412A-4E2F-44FE-A87E-085A0A9129ED}" name=" إستهلاك AJD(A/B) - BER.IN" dataDxfId="308" totalsRowDxfId="307">
      <calculatedColumnFormula>TABL123[[#This Row],[(A/B TOT) AJD]]-TABL123[[#This Row],[BER_ IN]]</calculatedColumnFormula>
    </tableColumn>
    <tableColumn id="33" xr3:uid="{2395CD46-6205-4986-BD68-620680EE6F2E}" name="SER_ IN" dataDxfId="306" totalsRowDxfId="305"/>
    <tableColumn id="27" xr3:uid="{3AEA8C61-AA99-45B5-9461-2FF3EDCC8EA9}" name="(RES. LEVEL) SER " dataDxfId="304" totalsRowDxfId="303"/>
    <tableColumn id="2" xr3:uid="{7A48A26A-7876-4082-9402-59ED4782C9D4}" name=" (RESV. STORGE) SER" dataDxfId="302" totalsRowDxfId="301" dataCellStyle="Normal 2"/>
    <tableColumn id="23" xr3:uid="{CDFEC5F7-08FE-41DC-8D56-FDC100C5A4D5}" name="SER المخزون * 10" dataDxfId="300" totalsRowDxfId="299" dataCellStyle="Normal 2">
      <calculatedColumnFormula>TABL123[[#This Row],[ (RESV. STORGE) SER]]/10</calculatedColumnFormula>
    </tableColumn>
    <tableColumn id="42" xr3:uid="{BEA2B6C9-A747-4952-BA2D-D4DE723F4074}" name="البخر  SER" dataDxfId="298"/>
    <tableColumn id="43" xr3:uid="{B393EE02-A71B-4CC5-BB4E-081FA4FD0162}" name="إستهلاك AJD(A/S) - SER.IN" dataDxfId="297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296" headerRowBorderDxfId="295" tableBorderDxfId="294">
  <autoFilter ref="A1:AP366" xr:uid="{5FCB9D25-BF41-4AB4-98FB-CE010629717D}"/>
  <tableColumns count="42">
    <tableColumn id="1" xr3:uid="{CF2CC824-BD23-4EED-93E0-3B9E45F278EC}" name=" اليوم" dataDxfId="293" totalsRowDxfId="292" dataCellStyle="Normal 2"/>
    <tableColumn id="19" xr3:uid="{11FDAE88-09F6-4E94-8617-B2BA9147CD51}" name="آبار منتجة TAZ" dataDxfId="291" totalsRowDxfId="290" dataCellStyle="Normal 2"/>
    <tableColumn id="18" xr3:uid="{076C74DF-4714-4AD5-8210-E3B3407FBA13}" name="الانتاج 1000 (م3) TAZ" dataDxfId="289" totalsRowDxfId="288" dataCellStyle="Normal 2"/>
    <tableColumn id="17" xr3:uid="{C7220FDF-726E-40FC-99CD-A67D880F1387}" name="آبار عاملة TAZ" dataDxfId="287" totalsRowDxfId="286" dataCellStyle="Normal 2"/>
    <tableColumn id="16" xr3:uid="{DC504DC8-6426-4941-99CB-73AC50EFF406}" name="آبار احتياطية" dataDxfId="285" totalsRowDxfId="284" dataCellStyle="Normal 2"/>
    <tableColumn id="26" xr3:uid="{FF8B3ED8-B830-4308-B6C8-CB915A8ED015}" name="آبار منتجة SAR" dataDxfId="283" totalsRowDxfId="282" dataCellStyle="Normal 2"/>
    <tableColumn id="25" xr3:uid="{FA3000E5-6566-416F-921D-1508B5FB714F}" name="إنتاج آبار  SAR" dataDxfId="281" totalsRowDxfId="280" dataCellStyle="Normal 2"/>
    <tableColumn id="24" xr3:uid="{0AD83C01-DEC0-4843-A2F7-84F74F81F9CC}" name="آبار احتياطية  SAR" dataDxfId="279" totalsRowDxfId="278" dataCellStyle="Normal 2">
      <calculatedColumnFormula>103-F2</calculatedColumnFormula>
    </tableColumn>
    <tableColumn id="8" xr3:uid="{7253E698-DAEB-48C5-A750-7FE54CB2AA8A}" name="خط (T/B  TOT) SAR" dataDxfId="277" totalsRowDxfId="276" dataCellStyle="Normal 2"/>
    <tableColumn id="22" xr3:uid="{876E68A1-B3C2-447A-AB99-8D4E310E232B}" name="خط (S/S  TOT) SAR2" dataDxfId="275" totalsRowDxfId="274" dataCellStyle="Normal 2"/>
    <tableColumn id="38" xr3:uid="{453CB68D-B69C-4F00-BDB3-40499D0BFC97}" name="(S/S+TB)SAR" dataDxfId="273" totalsRowDxfId="272" dataCellStyle="Normal 2">
      <calculatedColumnFormula>TABL1234[[#This Row],[خط (T/B  TOT) SAR]]+TABL1234[[#This Row],[خط (S/S  TOT) SAR2]]</calculatedColumnFormula>
    </tableColumn>
    <tableColumn id="21" xr3:uid="{272404DA-C793-4A72-B0CB-0EB75185F322}" name="خط TAZ/SAR" dataDxfId="271" totalsRowDxfId="270" dataCellStyle="Normal 2"/>
    <tableColumn id="20" xr3:uid="{E1B79B18-AF6A-4A21-A847-69543D5853D3}" name=" % ECV SAR" dataDxfId="269" totalsRowDxfId="268" dataCellStyle="Normal 2"/>
    <tableColumn id="6" xr3:uid="{563D8C0C-0449-4C27-8802-1597757EAD90}" name="الضغط ECV (bar) SAR" dataDxfId="267" totalsRowDxfId="266" dataCellStyle="Normal 2"/>
    <tableColumn id="3" xr3:uid="{F8817DDA-13BF-41EE-A4AB-3E28920DA12E}" name="(S/S TOT) AJD" dataDxfId="265" totalsRowDxfId="264"/>
    <tableColumn id="36" xr3:uid="{1AEC5609-B8DD-415A-B860-5CA0A2B19CE9}" name="الفرق بين بداية ونهاية خط  S/S" dataDxfId="263" totalsRowDxfId="262">
      <calculatedColumnFormula>TABL1234[[#This Row],[خط (S/S  TOT) SAR2]]-TABL1234[[#This Row],[(S/S TOT) AJD]]</calculatedColumnFormula>
    </tableColumn>
    <tableColumn id="5" xr3:uid="{479D7584-5FE3-471E-B7AD-E43FC1963CC2}" name="(T/B TOT) AJD" dataDxfId="261" totalsRowDxfId="260"/>
    <tableColumn id="35" xr3:uid="{A8D868F1-5EFC-4A0C-9EDC-13DB03872867}" name="الفرق بين بداية ونهاية خط  T/B" dataDxfId="259" totalsRowDxfId="258">
      <calculatedColumnFormula>TABL1234[[#This Row],[خط (T/B  TOT) SAR]]-TABL1234[[#This Row],[(T/B TOT) AJD]]</calculatedColumnFormula>
    </tableColumn>
    <tableColumn id="37" xr3:uid="{AA566E6C-9D8D-4B70-B216-3F23038B5006}" name="الفرق بين السرير و اجدابيا (الإستهلاك)" dataDxfId="257" totalsRowDxfId="256">
      <calculatedColumnFormula>TABL1234[[#This Row],[الفرق بين بداية ونهاية خط  T/B]]+TABL1234[[#This Row],[الفرق بين بداية ونهاية خط  S/S]]</calculatedColumnFormula>
    </tableColumn>
    <tableColumn id="13" xr3:uid="{5DED3E6B-48E1-4C56-9CED-69CF638DBC14}" name="( S/S+T/B) AJD" dataDxfId="255" totalsRowDxfId="254">
      <calculatedColumnFormula>TABL1234[[#This Row],[(S/S TOT) AJD]]+TABL1234[[#This Row],[(T/B TOT) AJD]]</calculatedColumnFormula>
    </tableColumn>
    <tableColumn id="7" xr3:uid="{2F33E916-32B0-4678-8AF4-810EB069F853}" name="(A/B TOT) AJD" dataDxfId="253" totalsRowDxfId="252"/>
    <tableColumn id="9" xr3:uid="{FE3BEA3B-570A-4810-85AD-CA10BE4443F4}" name="(A/S TOT) AJD" dataDxfId="251" totalsRowDxfId="250"/>
    <tableColumn id="14" xr3:uid="{C6961044-444C-4633-81B0-E220652A0956}" name="(A/B + A/S) AJD" dataDxfId="249" totalsRowDxfId="248">
      <calculatedColumnFormula>TABL1234[[#This Row],[(A/B TOT) AJD]]+TABL1234[[#This Row],[(A/S TOT) AJD]]</calculatedColumnFormula>
    </tableColumn>
    <tableColumn id="15" xr3:uid="{084A6C51-A878-48CC-8273-CFCD05C0A26F}" name="(IN - OUT) AJD" dataDxfId="247" totalsRowDxfId="246">
      <calculatedColumnFormula>TABL1234[[#This Row],[( S/S+T/B) AJD]]-TABL1234[[#This Row],[(A/B + A/S) AJD]]</calculatedColumnFormula>
    </tableColumn>
    <tableColumn id="10" xr3:uid="{00FDC030-FCB6-400F-BDC0-59478D75D7A6}" name="(RES. LEVEL) AJD" dataDxfId="245" totalsRowDxfId="244"/>
    <tableColumn id="11" xr3:uid="{75090017-34DE-44D2-BD87-EF83DB956968}" name="(RESV. STORGE) AJD" dataDxfId="243" totalsRowDxfId="242"/>
    <tableColumn id="40" xr3:uid="{DF1E881D-1F9A-435B-BA4E-D02A45A7E3F5}" name="AJD المخزون * 10" dataDxfId="241" totalsRowDxfId="240" dataCellStyle="Normal 2">
      <calculatedColumnFormula>TABL1234[[#This Row],[(RESV. STORGE) AJD]]/10</calculatedColumnFormula>
    </tableColumn>
    <tableColumn id="4" xr3:uid="{2B5AF874-2B4A-4BF8-9FF3-43DDA618D54F}" name="(STORGE DIFF.) AJD" dataDxfId="239" totalsRowDxfId="238">
      <calculatedColumnFormula>(TABL123[[#This Row],[(RESV. STORGE) AJD]]-500797)/1000</calculatedColumnFormula>
    </tableColumn>
    <tableColumn id="12" xr3:uid="{F362C966-6D40-4FD8-BEB9-91AD30F56531}" name="البخر  AJD" dataDxfId="237" totalsRowDxfId="236" dataCellStyle="Normal 2"/>
    <tableColumn id="39" xr3:uid="{F6CC0FCA-E331-472D-B69B-B56A51958C65}" name="الفاقد في خزان اجدابيا" dataDxfId="235" totalsRowDxfId="234">
      <calculatedColumnFormula>TABL1234[[#This Row],[( S/S+T/B) AJD]]-(TABL1234[[#This Row],[(A/B + A/S) AJD]]+(TABL1234[[#This Row],[(STORGE DIFF.) AJD]]*1000)+TABL1234[[#This Row],[البخر  AJD]])</calculatedColumnFormula>
    </tableColumn>
    <tableColumn id="30" xr3:uid="{CBA7638F-53DA-4308-98C2-D8502C62FE53}" name="BER_ IN" dataDxfId="233" totalsRowDxfId="232"/>
    <tableColumn id="31" xr3:uid="{6A01F181-E82D-4F2D-86AB-EDF51D7FA079}" name="(RES. LEVEL) BER" dataDxfId="231" totalsRowDxfId="230"/>
    <tableColumn id="28" xr3:uid="{FE95C7D8-F5FD-4278-BB5F-1F990B036A22}" name=" (RESV. STORGE) BER" dataDxfId="229" totalsRowDxfId="228"/>
    <tableColumn id="29" xr3:uid="{1BBABB8C-A2C2-442C-B886-2D89A404BDEB}" name="BER المخزون * 10" dataDxfId="227" totalsRowDxfId="226"/>
    <tableColumn id="34" xr3:uid="{332C7D2C-C6A3-4A26-8AC2-FCD8106086E6}" name="البخر  BER" dataDxfId="225" totalsRowDxfId="224"/>
    <tableColumn id="32" xr3:uid="{C96F884E-1EEB-4DF2-9AA4-149162914A89}" name=" إستهلاك AJD(A/B) - BER.IN" dataDxfId="223" totalsRowDxfId="222">
      <calculatedColumnFormula>TABL1234[[#This Row],[(A/B TOT) AJD]]-TABL1234[[#This Row],[BER_ IN]]</calculatedColumnFormula>
    </tableColumn>
    <tableColumn id="33" xr3:uid="{617EB27D-221C-4A84-8637-DB1B7E5C8E4C}" name="SER_ IN" dataDxfId="221" totalsRowDxfId="220"/>
    <tableColumn id="27" xr3:uid="{F00A2A8B-D14F-4358-8227-4F0CF59784C3}" name="(RES. LEVEL) SER " dataDxfId="219" totalsRowDxfId="218"/>
    <tableColumn id="2" xr3:uid="{838E1437-DDEE-489A-9F90-354DE69A5FBD}" name=" (RESV. STORGE) SER" dataDxfId="217" totalsRowDxfId="216" dataCellStyle="Normal 2"/>
    <tableColumn id="23" xr3:uid="{09A5AB44-BC9D-4BE3-B380-C113AD5BED90}" name="SER المخزون * 10" dataDxfId="215" totalsRowDxfId="214" dataCellStyle="Normal 2">
      <calculatedColumnFormula>TABL1234[[#This Row],[ (RESV. STORGE) SER]]/10</calculatedColumnFormula>
    </tableColumn>
    <tableColumn id="41" xr3:uid="{E4770EDE-8ED4-4463-B885-7849D12BD6A0}" name="البخر  SER" dataDxfId="213"/>
    <tableColumn id="42" xr3:uid="{EFDA9A53-0CFE-4CCE-95F2-20AE62E22C56}" name="إستهلاك AJD(A/S) - SER.IN" dataDxfId="212">
      <calculatedColumnFormula>TABL1234[[#This Row],[(A/S TOT) AJD]]-TABL1234[[#This Row],[SER_ 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211" headerRowBorderDxfId="210" tableBorderDxfId="209">
  <autoFilter ref="A1:AP366" xr:uid="{E27AB35F-C506-4638-82E0-C9375E719914}"/>
  <tableColumns count="42">
    <tableColumn id="1" xr3:uid="{02DACF0D-7EB8-407A-B9F7-7C2292288349}" name=" اليوم" dataDxfId="208" totalsRowDxfId="207" dataCellStyle="Normal 2"/>
    <tableColumn id="19" xr3:uid="{43E17B12-9F51-4E38-809C-0DC2FB9D2198}" name="آبار منتجة TAZ" dataDxfId="206" totalsRowDxfId="205" dataCellStyle="Normal 2"/>
    <tableColumn id="18" xr3:uid="{AE342FC5-E6EF-41F4-A320-A8389AD104C8}" name="الانتاج 1000 (م3) TAZ" dataDxfId="204" totalsRowDxfId="203" dataCellStyle="Normal 2"/>
    <tableColumn id="17" xr3:uid="{B3C5CB3A-D0F1-49AC-B037-6C320FADF260}" name="آبار عاملة TAZ" dataDxfId="202" totalsRowDxfId="201" dataCellStyle="Normal 2"/>
    <tableColumn id="16" xr3:uid="{B716E35D-9012-40EA-AC38-60E9F6339C0D}" name="آبار احتياطية" dataDxfId="200" totalsRowDxfId="199" dataCellStyle="Normal 2"/>
    <tableColumn id="26" xr3:uid="{BEC03712-E2DC-4DF5-9B30-7E545FD4FB18}" name="آبار منتجة SAR" dataDxfId="198" totalsRowDxfId="197" dataCellStyle="Normal 2"/>
    <tableColumn id="25" xr3:uid="{5D056D5F-DD4D-4B13-9030-D38421746905}" name="إنتاج آبار  SAR" dataDxfId="196" totalsRowDxfId="195" dataCellStyle="Normal 2"/>
    <tableColumn id="24" xr3:uid="{E0F5724B-8BCB-47AC-BCF7-0DBD0CF9C33E}" name="آبار احتياطية  SAR" dataDxfId="194" totalsRowDxfId="193" dataCellStyle="Normal 2"/>
    <tableColumn id="8" xr3:uid="{61D18039-EDAC-4612-86A4-AFF23A4064AC}" name="خط (T/B  TOT) SAR" dataDxfId="192" totalsRowDxfId="191" dataCellStyle="Normal 2"/>
    <tableColumn id="22" xr3:uid="{2C3F81BA-C095-49B2-BF14-75F548667ECB}" name="خط (S/S  TOT) SAR2" dataDxfId="190" totalsRowDxfId="189" dataCellStyle="Normal 2"/>
    <tableColumn id="38" xr3:uid="{1679208C-75B3-4E3C-A4D6-0EECE2F8E911}" name="(S/S+TB)SAR" dataDxfId="188" totalsRowDxfId="187" dataCellStyle="Normal 2">
      <calculatedColumnFormula>TABL12345[[#This Row],[خط (T/B  TOT) SAR]]+TABL12345[[#This Row],[خط (S/S  TOT) SAR2]]</calculatedColumnFormula>
    </tableColumn>
    <tableColumn id="21" xr3:uid="{D2194429-B14F-4E7B-97D2-E7110F4C07FC}" name="خط TAZ/SAR" dataDxfId="186" totalsRowDxfId="185" dataCellStyle="Normal 2"/>
    <tableColumn id="20" xr3:uid="{35B39C80-C517-4DB5-B3E6-2C24ACD3BA7C}" name=" % ECV SAR" dataDxfId="184" totalsRowDxfId="183" dataCellStyle="Normal 2"/>
    <tableColumn id="6" xr3:uid="{22D7E0F8-B392-42D3-806C-5E133C18B9F0}" name="الضغط ECV (bar) SAR" dataDxfId="182" totalsRowDxfId="181" dataCellStyle="Normal 2"/>
    <tableColumn id="3" xr3:uid="{3907C5E1-E143-4AF6-8647-6264088EB00F}" name="(S/S TOT) AJD" dataDxfId="180" totalsRowDxfId="179"/>
    <tableColumn id="36" xr3:uid="{1631F47D-658D-4528-AA1F-B9937050D436}" name="الفرق بين بداية ونهاية خط  S/S" dataDxfId="178" totalsRowDxfId="177">
      <calculatedColumnFormula>TABL12345[[#This Row],[خط (S/S  TOT) SAR2]]-TABL12345[[#This Row],[(S/S TOT) AJD]]</calculatedColumnFormula>
    </tableColumn>
    <tableColumn id="5" xr3:uid="{D53678E2-A269-4C4F-8B0A-9BAE8FA907ED}" name="(T/B TOT) AJD" dataDxfId="176" totalsRowDxfId="175"/>
    <tableColumn id="35" xr3:uid="{5D374896-D11B-4B17-A855-150CE88C0760}" name="الفرق بين بداية ونهاية خط  T/B" dataDxfId="174" totalsRowDxfId="173">
      <calculatedColumnFormula>TABL12345[[#This Row],[خط (T/B  TOT) SAR]]-TABL12345[[#This Row],[(T/B TOT) AJD]]</calculatedColumnFormula>
    </tableColumn>
    <tableColumn id="37" xr3:uid="{09D6D753-1A3C-4535-BA78-4BF8327D882B}" name="الفرق بين السرير و اجدابيا (الإستهلاك)" dataDxfId="172" totalsRowDxfId="171">
      <calculatedColumnFormula>TABL12345[[#This Row],[الفرق بين بداية ونهاية خط  S/S]]+TABL12345[[#This Row],[الفرق بين بداية ونهاية خط  T/B]]</calculatedColumnFormula>
    </tableColumn>
    <tableColumn id="13" xr3:uid="{C58643E7-024E-443D-83D0-9EB1C639B54D}" name="( S/S+T/B) AJD" dataDxfId="170" totalsRowDxfId="169">
      <calculatedColumnFormula>O2+Q2</calculatedColumnFormula>
    </tableColumn>
    <tableColumn id="7" xr3:uid="{78547799-DE98-4575-BA47-DD3795A95957}" name="(A/B TOT) AJD" dataDxfId="168" totalsRowDxfId="167"/>
    <tableColumn id="9" xr3:uid="{07CD512D-7DBD-4DD8-A984-F7676F67A268}" name="(A/S TOT) AJD" dataDxfId="166" totalsRowDxfId="165"/>
    <tableColumn id="14" xr3:uid="{0213E337-B3B2-47BB-B8E3-6770CDF25454}" name="(A/B + A/S) AJD" dataDxfId="164" totalsRowDxfId="163">
      <calculatedColumnFormula>U2+V2</calculatedColumnFormula>
    </tableColumn>
    <tableColumn id="15" xr3:uid="{84EC5F01-D93C-4CD0-894A-EF313BB95D21}" name="(IN - OUT) AJD" dataDxfId="162" totalsRowDxfId="161">
      <calculatedColumnFormula>T2-W2</calculatedColumnFormula>
    </tableColumn>
    <tableColumn id="10" xr3:uid="{0BD7EC09-04AD-4217-9B85-C8B6B7E453F7}" name="(RES. LEVEL) AJD" dataDxfId="160" totalsRowDxfId="159"/>
    <tableColumn id="11" xr3:uid="{E3E279F5-1486-4471-939B-55F7B0DA545B}" name="(RESV. STORGE) AJD" dataDxfId="158" totalsRowDxfId="157"/>
    <tableColumn id="40" xr3:uid="{AF2423A7-B305-48AC-A45C-F40DDE6E1EDC}" name="AJD المخزون * 10" dataDxfId="156" totalsRowDxfId="155" dataCellStyle="Normal 2">
      <calculatedColumnFormula>TABL12345[[#This Row],[(RESV. STORGE) AJD]]/10</calculatedColumnFormula>
    </tableColumn>
    <tableColumn id="4" xr3:uid="{349662B3-3FED-4026-98BD-67FC3B66D23C}" name="(STORGE DIFF.) AJD" dataDxfId="154" totalsRowDxfId="153"/>
    <tableColumn id="12" xr3:uid="{852CAD1E-93C7-4B16-AA21-29103890C024}" name="البخر  AJD" dataDxfId="152" totalsRowDxfId="151" dataCellStyle="Normal 2"/>
    <tableColumn id="39" xr3:uid="{E8544CA2-A272-4E28-9BF8-A6613CA962F9}" name="الفاقد في خزان اجدابيا" dataDxfId="150" totalsRowDxfId="149">
      <calculatedColumnFormula>(TABL12345[[#This Row],[( S/S+T/B) AJD]]*1000)-((TABL12345[[#This Row],[(STORGE DIFF.) AJD]]*1000)+TABL12345[[#This Row],[البخر  AJD]]+(TABL12345[[#This Row],[(A/B + A/S) AJD]]*1000))</calculatedColumnFormula>
    </tableColumn>
    <tableColumn id="30" xr3:uid="{D5ED7AC2-6D51-4E79-8A60-BA6A9C05CE5E}" name="BER_ IN" dataDxfId="148" totalsRowDxfId="147"/>
    <tableColumn id="31" xr3:uid="{6AB09860-41B2-43B9-9D14-E120039D4952}" name="(RES. LEVEL) BER" dataDxfId="146" totalsRowDxfId="145"/>
    <tableColumn id="28" xr3:uid="{49154F88-FC89-408C-8485-83AC6DB6FE9D}" name=" (RESV. STORGE) BER" dataDxfId="144" totalsRowDxfId="143"/>
    <tableColumn id="29" xr3:uid="{57AD5D30-9B52-48CE-81E9-4506CB0FF416}" name="BER المخزون * 10" dataDxfId="142" totalsRowDxfId="141">
      <calculatedColumnFormula>TABL12345[[#This Row],[ (RESV. STORGE) BER]]/10</calculatedColumnFormula>
    </tableColumn>
    <tableColumn id="34" xr3:uid="{03FFF891-77B0-43E4-9D01-7AA2BB5AEA1B}" name="البخر  BER" dataDxfId="140" totalsRowDxfId="139"/>
    <tableColumn id="32" xr3:uid="{03EB162E-C5F0-4278-B7BA-4E7D6BDCA6AC}" name=" إستهلاك AJD(A/B) - BER.IN" dataDxfId="138" totalsRowDxfId="137">
      <calculatedColumnFormula>TABL12345[[#This Row],[(A/B TOT) AJD]]-TABL12345[[#This Row],[BER_ IN]]</calculatedColumnFormula>
    </tableColumn>
    <tableColumn id="33" xr3:uid="{A605DDD5-2F17-45B7-899A-FD1B18D252A5}" name="SER_ IN" dataDxfId="136" totalsRowDxfId="135"/>
    <tableColumn id="27" xr3:uid="{8EAA7A02-F906-476E-939D-D3BC9104B7ED}" name="(RES. LEVEL) SER " dataDxfId="134" totalsRowDxfId="133"/>
    <tableColumn id="2" xr3:uid="{8AA4184C-E831-4C5F-85E8-3E83C570A450}" name=" (RESV. STORGE) SER" dataDxfId="132" totalsRowDxfId="131" dataCellStyle="Normal 2"/>
    <tableColumn id="23" xr3:uid="{A3F2F42E-A42B-4160-AB32-0553ADC6D120}" name="SER المخزون * 10" dataDxfId="130" totalsRowDxfId="129" dataCellStyle="Normal 2">
      <calculatedColumnFormula>TABL12345[[#This Row],[ (RESV. STORGE) SER]]/10</calculatedColumnFormula>
    </tableColumn>
    <tableColumn id="41" xr3:uid="{9BF764BC-F0F0-4E32-9F3F-BA2F58E16484}" name="البخر  SER" dataDxfId="128"/>
    <tableColumn id="42" xr3:uid="{569575F4-872C-43F8-A630-9E5D78196769}" name="إستهلاك AJD(A/S) - SER.IN" dataDxfId="127">
      <calculatedColumnFormula>TABL12345[[#This Row],[(A/S TOT) AJD]]-TABL12345[[#This Row],[SER_ 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543B07-8935-42EF-92D8-656B372E9736}" name="TABL123456" displayName="TABL123456" ref="A1:AP367" totalsRowCount="1" headerRowDxfId="511" headerRowBorderDxfId="510" tableBorderDxfId="509">
  <autoFilter ref="A1:AP366" xr:uid="{E7543B07-8935-42EF-92D8-656B372E9736}"/>
  <tableColumns count="42">
    <tableColumn id="1" xr3:uid="{525EF22B-363C-4E42-BEC1-99974AC3914B}" name=" اليوم" dataDxfId="508" totalsRowDxfId="507" dataCellStyle="Normal 2"/>
    <tableColumn id="19" xr3:uid="{BBFD2272-00D1-40F1-8797-3143AAD020F9}" name="آبار منتجة TAZ" dataDxfId="506" totalsRowDxfId="505" dataCellStyle="Normal 2"/>
    <tableColumn id="18" xr3:uid="{712AB8DB-D153-43E7-B3E8-635DF026D77A}" name="الانتاج 1000 (م3) TAZ" dataDxfId="504" totalsRowDxfId="503" dataCellStyle="Normal 2"/>
    <tableColumn id="17" xr3:uid="{55B8ECA5-CE39-47C2-A6ED-14CEAE8B3795}" name="آبار عاملة TAZ" dataDxfId="502" totalsRowDxfId="501" dataCellStyle="Normal 2"/>
    <tableColumn id="16" xr3:uid="{246C05BA-85A0-4E77-8119-7636220A56F9}" name="آبار احتياطية" dataDxfId="500" totalsRowDxfId="499" dataCellStyle="Normal 2"/>
    <tableColumn id="26" xr3:uid="{094BC60A-1CF6-4A4B-BE60-0AEEB785FE36}" name="آبار منتجة SAR" dataDxfId="498" totalsRowDxfId="497" dataCellStyle="Normal 2"/>
    <tableColumn id="25" xr3:uid="{EA4E68FA-5894-461E-994C-AAA74C9883CA}" name="إنتاج آبار  SAR" dataDxfId="496" totalsRowDxfId="495" dataCellStyle="Normal 2"/>
    <tableColumn id="24" xr3:uid="{C9294D60-78EE-421F-8900-80F8405BAC32}" name="آبار احتياطية  SAR" dataDxfId="494" totalsRowDxfId="493" dataCellStyle="Normal 2"/>
    <tableColumn id="8" xr3:uid="{28BB0FAF-320E-4CAA-A70A-A794EC1A94D7}" name="خط (T/B  TOT) SAR" dataDxfId="492" totalsRowDxfId="491" dataCellStyle="Normal 2"/>
    <tableColumn id="22" xr3:uid="{5E58E18C-D145-47F5-B677-79734BB7CFBC}" name="خط (S/S  TOT) SAR2" dataDxfId="490" totalsRowDxfId="489" dataCellStyle="Normal 2"/>
    <tableColumn id="38" xr3:uid="{2F48D3DD-A6D8-4512-9A4F-D85F5CA18309}" name="(S/S+TB)SAR" dataDxfId="488" totalsRowDxfId="487" dataCellStyle="Normal 2"/>
    <tableColumn id="21" xr3:uid="{500FA4A5-CF8F-46D7-BBB4-E4E530627205}" name="خط TAZ/SAR" dataDxfId="486" totalsRowDxfId="485" dataCellStyle="Normal 2"/>
    <tableColumn id="20" xr3:uid="{FB597D7B-E75E-4591-B335-1E23486C3236}" name=" % ECV SAR" dataDxfId="484" totalsRowDxfId="483" dataCellStyle="Normal 2"/>
    <tableColumn id="6" xr3:uid="{41633F15-B202-4386-917C-B84CC5C6E285}" name="الضغط ECV (bar) SAR" dataDxfId="482" totalsRowDxfId="481" dataCellStyle="Normal 2"/>
    <tableColumn id="3" xr3:uid="{96C45BB2-5C20-4B2B-AE0F-0AF41B9474A0}" name="(S/S TOT) AJD" dataDxfId="480" totalsRowDxfId="479"/>
    <tableColumn id="36" xr3:uid="{E116085A-4C28-42B9-8496-8DD77CAB1331}" name="الفرق بين بداية ونهاية خط  S/S" dataDxfId="478" totalsRowDxfId="477"/>
    <tableColumn id="5" xr3:uid="{F00F4E64-3845-4567-BE48-F7826012C7F8}" name="(T/B TOT) AJD" dataDxfId="476" totalsRowDxfId="475"/>
    <tableColumn id="35" xr3:uid="{F181BD35-5DDB-4F11-ADA9-548C6789972C}" name="الفرق بين بداية ونهاية خط  T/B" dataDxfId="474" totalsRowDxfId="473"/>
    <tableColumn id="37" xr3:uid="{A65E1AA6-FBE5-420E-B607-1686836F6C14}" name="الفرق بين السرير و اجدابيا (الإستهلاك)" dataDxfId="472" totalsRowDxfId="471"/>
    <tableColumn id="13" xr3:uid="{3C22B4BE-8B55-4C2F-B4C3-F161B91AD417}" name="( S/S+T/B) AJD" dataDxfId="470" totalsRowDxfId="469"/>
    <tableColumn id="7" xr3:uid="{87D72257-7642-4DAF-8E24-A5F5CBF0BEB0}" name="(A/B TOT) AJD" dataDxfId="468" totalsRowDxfId="467"/>
    <tableColumn id="9" xr3:uid="{368D5D35-470D-4A72-9DBD-7470527C4DEF}" name="(A/S TOT) AJD" dataDxfId="466" totalsRowDxfId="465"/>
    <tableColumn id="14" xr3:uid="{30A93FA9-EC3C-46C1-8859-33826FB5401E}" name="(A/B + A/S) AJD" dataDxfId="464" totalsRowDxfId="463"/>
    <tableColumn id="15" xr3:uid="{D4FEF1FD-5268-4CDC-9945-6FA8FB640D31}" name="(IN - OUT) AJD" dataDxfId="462" totalsRowDxfId="461"/>
    <tableColumn id="10" xr3:uid="{3DEC801D-A55E-4E5A-974B-1A4FA5651638}" name="(RES. LEVEL) AJD" dataDxfId="460" totalsRowDxfId="459"/>
    <tableColumn id="11" xr3:uid="{371475F3-153D-40BB-93EC-3A3F61E1EB54}" name="(RESV. STORGE) AJD" dataDxfId="458" totalsRowDxfId="457"/>
    <tableColumn id="40" xr3:uid="{A040BB77-509F-41A3-998F-EC6AC3CFD45F}" name="AJD المخزون * 10" dataDxfId="456" totalsRowDxfId="455" dataCellStyle="Normal 2"/>
    <tableColumn id="4" xr3:uid="{B7BD4A27-254A-4004-9685-D9D183A153FA}" name="(STORGE DIFF.) AJD" dataDxfId="454" totalsRowDxfId="453"/>
    <tableColumn id="12" xr3:uid="{0BDF0303-F420-454E-B83D-89B2F9658C4C}" name="البخر  AJD" dataDxfId="452" totalsRowDxfId="451" dataCellStyle="Normal 2"/>
    <tableColumn id="39" xr3:uid="{0C0AE5E4-307D-4B6B-85FD-83D0BC15DA60}" name="الفاقد في خزان اجدابيا" dataDxfId="450" totalsRowDxfId="449"/>
    <tableColumn id="30" xr3:uid="{CF2A9E9F-5B40-4E89-BE1F-AF9D0EBB71C9}" name="BER_ IN" dataDxfId="448" totalsRowDxfId="447"/>
    <tableColumn id="31" xr3:uid="{DFDF9A15-3FBA-40F1-B674-DA17F3DB5DF0}" name="(RES. LEVEL) BER" dataDxfId="446" totalsRowDxfId="445"/>
    <tableColumn id="28" xr3:uid="{58E98F53-C6BC-4C3B-A397-CAD6025B233A}" name=" (RESV. STORGE) BER" dataDxfId="444" totalsRowDxfId="443"/>
    <tableColumn id="29" xr3:uid="{21C368F2-CDF6-43D1-98A4-208C1068AF3B}" name="BER المخزون * 10" dataDxfId="442" totalsRowDxfId="441"/>
    <tableColumn id="34" xr3:uid="{3A149D74-5981-49AA-86E8-C7523467C286}" name="البخر  BER" dataDxfId="440" totalsRowDxfId="439"/>
    <tableColumn id="32" xr3:uid="{8FCACBA7-D6DA-43AC-9B4B-58F9A31A82FB}" name=" إستهلاك AJD(A/B) - BER.IN" dataDxfId="438" totalsRowDxfId="437"/>
    <tableColumn id="33" xr3:uid="{3FAB8C84-669A-4365-9687-BA42F88F9EE8}" name="SER_ IN" dataDxfId="436" totalsRowDxfId="435"/>
    <tableColumn id="27" xr3:uid="{A2150E19-4112-4DE8-B939-4A36FAF35B2E}" name="(RES. LEVEL) SER " dataDxfId="434" totalsRowDxfId="433"/>
    <tableColumn id="2" xr3:uid="{494545D1-C197-4C71-9179-498EFBA5E15C}" name=" (RESV. STORGE) SER" dataDxfId="432" totalsRowDxfId="431" dataCellStyle="Normal 2"/>
    <tableColumn id="23" xr3:uid="{B15469FD-35C1-49E8-8152-F5BD459AFB5F}" name="SER المخزون * 10" dataDxfId="430" totalsRowDxfId="429" dataCellStyle="Normal 2"/>
    <tableColumn id="41" xr3:uid="{9DC2BD5D-8742-49D5-B9B7-7CE57FEA720F}" name="البخر  SER" dataDxfId="428"/>
    <tableColumn id="42" xr3:uid="{AC9B64BE-6F79-4170-9D65-04270A10FA8A}" name="إستهلاك AJD(A/S) - SER.IN" dataDxfId="427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162558-D62B-4F69-B07F-8331A10FC53C}" name="TABL123457" displayName="TABL123457" ref="A1:AP367" totalsRowCount="1" headerRowDxfId="126" headerRowBorderDxfId="125" tableBorderDxfId="124">
  <autoFilter ref="A1:AP366" xr:uid="{AA162558-D62B-4F69-B07F-8331A10FC53C}"/>
  <tableColumns count="42">
    <tableColumn id="1" xr3:uid="{751002F6-A888-4837-99E2-7E0D85912333}" name=" اليوم" dataDxfId="123" totalsRowDxfId="122" dataCellStyle="Normal 2"/>
    <tableColumn id="19" xr3:uid="{35CE15FD-B62F-4162-8B94-6617CDB89C23}" name="آبار منتجة TAZ" dataDxfId="121" totalsRowDxfId="120" dataCellStyle="Normal 2"/>
    <tableColumn id="18" xr3:uid="{46DF6841-1F9E-41D3-AF7D-F69151633AB3}" name="الانتاج 1000 (م3) TAZ" dataDxfId="119" totalsRowDxfId="118" dataCellStyle="Normal 2"/>
    <tableColumn id="17" xr3:uid="{15A50B65-8329-4DF2-8B03-8CC58633DB3B}" name="آبار عاملة TAZ" dataDxfId="117" totalsRowDxfId="116" dataCellStyle="Normal 2"/>
    <tableColumn id="16" xr3:uid="{E59CBC36-5D17-487A-9048-CDB98FF86432}" name="آبار احتياطية" dataDxfId="115" totalsRowDxfId="114" dataCellStyle="Normal 2"/>
    <tableColumn id="26" xr3:uid="{C2216C4F-FCB4-4BF1-833B-F09F2AB5893B}" name="آبار منتجة SAR" dataDxfId="113" totalsRowDxfId="112" dataCellStyle="Normal 2"/>
    <tableColumn id="25" xr3:uid="{DDB02AC5-EEBA-42D5-AF3D-A688270A3903}" name="إنتاج آبار  SAR" dataDxfId="111" totalsRowDxfId="110" dataCellStyle="Normal 2"/>
    <tableColumn id="24" xr3:uid="{C1F65271-C300-48D5-8150-5A208A04E276}" name="آبار احتياطية  SAR" dataDxfId="109" totalsRowDxfId="108" dataCellStyle="Normal 2"/>
    <tableColumn id="8" xr3:uid="{99BC82DC-C117-4714-82BC-41BD7EFE9B7A}" name="خط (T/B  TOT) SAR" dataDxfId="107" totalsRowDxfId="106" dataCellStyle="Normal 2"/>
    <tableColumn id="22" xr3:uid="{70F41B18-9727-437B-9D61-98A032E25113}" name="خط (S/S  TOT) SAR2" dataDxfId="105" totalsRowDxfId="104" dataCellStyle="Normal 2"/>
    <tableColumn id="38" xr3:uid="{2866F477-780C-476E-812C-0493478FA09B}" name="(S/S+TB)SAR" dataDxfId="103" totalsRowDxfId="102" dataCellStyle="Normal 2"/>
    <tableColumn id="21" xr3:uid="{13809FD8-46C2-495B-AA9C-E10DCA1CEF5F}" name="خط TAZ/SAR" dataDxfId="101" totalsRowDxfId="100" dataCellStyle="Normal 2"/>
    <tableColumn id="20" xr3:uid="{F2EA422D-B857-433D-B594-043BDC3D176D}" name=" % ECV SAR" dataDxfId="99" totalsRowDxfId="98" dataCellStyle="Normal 2"/>
    <tableColumn id="6" xr3:uid="{0B7DE8EE-BBA7-400B-9540-2F6BF35DA27F}" name="الضغط ECV (bar) SAR" dataDxfId="97" totalsRowDxfId="96" dataCellStyle="Normal 2"/>
    <tableColumn id="3" xr3:uid="{3D2F869F-792E-4F6C-A64A-445F85181E23}" name="(S/S TOT) AJD" dataDxfId="95" totalsRowDxfId="94"/>
    <tableColumn id="36" xr3:uid="{24781E7C-F46A-4616-BD47-D8839229E28F}" name="الفرق بين بداية ونهاية خط  S/S" dataDxfId="93" totalsRowDxfId="92"/>
    <tableColumn id="5" xr3:uid="{B71A5541-F660-4BFA-8958-B82013885CE4}" name="(T/B TOT) AJD" dataDxfId="91" totalsRowDxfId="90"/>
    <tableColumn id="35" xr3:uid="{59396F52-72F8-4C53-BA73-083A8C83B139}" name="الفرق بين بداية ونهاية خط  T/B" dataDxfId="89" totalsRowDxfId="88"/>
    <tableColumn id="37" xr3:uid="{B3C31D20-4CBB-4079-AB8E-2668BDD2F637}" name="الفرق بين السرير و اجدابيا (الإستهلاك)" dataDxfId="87" totalsRowDxfId="86"/>
    <tableColumn id="13" xr3:uid="{03610F20-9C08-4434-837F-4DF4A60A8478}" name="( S/S+T/B) AJD" dataDxfId="85" totalsRowDxfId="84"/>
    <tableColumn id="7" xr3:uid="{E36F8478-728B-441A-82AE-8D54A95E1E22}" name="(A/B TOT) AJD" dataDxfId="83" totalsRowDxfId="82"/>
    <tableColumn id="9" xr3:uid="{928C88ED-CFD6-4632-999A-9D8C4BE2B942}" name="(A/S TOT) AJD" dataDxfId="81" totalsRowDxfId="80"/>
    <tableColumn id="14" xr3:uid="{4B43357E-A204-4D18-B8FD-82658A8ABAB7}" name="(A/B + A/S) AJD" dataDxfId="79" totalsRowDxfId="78"/>
    <tableColumn id="15" xr3:uid="{A25F41B0-AB42-4D50-85E4-E3BDE89969AE}" name="(IN - OUT) AJD" dataDxfId="77" totalsRowDxfId="76"/>
    <tableColumn id="10" xr3:uid="{CE16704C-98D1-448B-962B-0DB729C7D155}" name="(RES. LEVEL) AJD" dataDxfId="75" totalsRowDxfId="74"/>
    <tableColumn id="11" xr3:uid="{3F45A81B-2342-45BB-B824-F2B101C2AC50}" name="(RESV. STORGE) AJD" dataDxfId="73" totalsRowDxfId="72"/>
    <tableColumn id="40" xr3:uid="{D635A974-7832-49BF-93AE-DA56B75551AA}" name="AJD المخزون * 10" dataDxfId="71" totalsRowDxfId="70" dataCellStyle="Normal 2"/>
    <tableColumn id="4" xr3:uid="{D71005CA-D204-451A-B127-C0B274763F5C}" name="(STORGE DIFF.) AJD" dataDxfId="69" totalsRowDxfId="68"/>
    <tableColumn id="12" xr3:uid="{73755E20-132E-4CD4-8FDE-DAF3B0899E5B}" name="البخر  AJD" dataDxfId="67" totalsRowDxfId="66" dataCellStyle="Normal 2"/>
    <tableColumn id="39" xr3:uid="{C96C9A21-4153-462C-9F7A-BD3A4C88FBBD}" name="الفاقد في خزان اجدابيا" dataDxfId="65" totalsRowDxfId="64"/>
    <tableColumn id="30" xr3:uid="{B657FAB8-4E19-4075-BCB4-CD671BEBF3D0}" name="BER_ IN" dataDxfId="63" totalsRowDxfId="62"/>
    <tableColumn id="31" xr3:uid="{4818E052-2768-477B-81D6-D4BAD7F6896E}" name="(RES. LEVEL) BER" dataDxfId="61" totalsRowDxfId="60"/>
    <tableColumn id="28" xr3:uid="{30C1A2CE-1B53-433D-B5DD-39B51FAFEDC4}" name=" (RESV. STORGE) BER" dataDxfId="59" totalsRowDxfId="58"/>
    <tableColumn id="29" xr3:uid="{A6766875-644B-48C7-8B9D-DAEBC6B21F1B}" name="BER المخزون * 10" dataDxfId="57" totalsRowDxfId="56"/>
    <tableColumn id="34" xr3:uid="{65CC0527-D749-4FD5-A882-807A12178DF3}" name="البخر  BER" dataDxfId="55" totalsRowDxfId="54"/>
    <tableColumn id="32" xr3:uid="{785EBFCF-EC83-4D18-AB04-FD14DF82714A}" name=" إستهلاك AJD(A/B) - BER.IN" dataDxfId="53" totalsRowDxfId="52"/>
    <tableColumn id="33" xr3:uid="{52DB72BF-6BC6-40CD-9A9C-BFF86A20EC8B}" name="SER_ IN" dataDxfId="51" totalsRowDxfId="50"/>
    <tableColumn id="27" xr3:uid="{1A0DC5E1-529B-47A0-A598-A9B2C96D8DF1}" name="(RES. LEVEL) SER " dataDxfId="49" totalsRowDxfId="48"/>
    <tableColumn id="2" xr3:uid="{392C98ED-9EBB-4BED-87FD-65BF982D2D98}" name=" (RESV. STORGE) SER" dataDxfId="47" totalsRowDxfId="46" dataCellStyle="Normal 2"/>
    <tableColumn id="23" xr3:uid="{9F5A8109-22D9-435F-BF47-775C1DF114D7}" name="SER المخزون * 10" dataDxfId="45" totalsRowDxfId="44" dataCellStyle="Normal 2"/>
    <tableColumn id="41" xr3:uid="{76771561-96AA-414D-AD42-22C5EA0CCE81}" name="البخر  SER" dataDxfId="43"/>
    <tableColumn id="42" xr3:uid="{87C7AFCA-5F02-46B9-A614-11E770F2C7F1}" name="إستهلاك AJD(A/S) - SER.IN" dataDxfId="4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abSelected="1" topLeftCell="L346" zoomScale="115" zoomScaleNormal="115" workbookViewId="0">
      <selection activeCell="U365" sqref="U365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(TABL12[[#This Row],[( S/S+T/B) AJD]]*1000)-((TABL12[[#This Row],[(STORGE DIFF.) AJD]]*1000)+TABL12[[#This Row],[البخر  AJD]]+(TABL12[[#This Row],[(A/B + A/S) AJD]]*1000))</f>
        <v>44099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 TOT) AJD]]-TABL12[[#This Row],[BER_ 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 TOT) AJD]]-TABL12[[#This Row],[SER_ 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(TABL12[[#This Row],[( S/S+T/B) AJD]]*1000)-((TABL12[[#This Row],[(STORGE DIFF.) AJD]]*1000)+TABL12[[#This Row],[البخر  AJD]]+(TABL12[[#This Row],[(A/B + A/S) AJD]]*1000))</f>
        <v>48618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 TOT) AJD]]-TABL12[[#This Row],[BER_ 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 TOT) AJD]]-TABL12[[#This Row],[SER_ 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(TABL12[[#This Row],[( S/S+T/B) AJD]]*1000)-((TABL12[[#This Row],[(STORGE DIFF.) AJD]]*1000)+TABL12[[#This Row],[البخر  AJD]]+(TABL12[[#This Row],[(A/B + A/S) AJD]]*1000))</f>
        <v>75653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 TOT) AJD]]-TABL12[[#This Row],[BER_ 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 TOT) AJD]]-TABL12[[#This Row],[SER_ 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(TABL12[[#This Row],[( S/S+T/B) AJD]]*1000)-((TABL12[[#This Row],[(STORGE DIFF.) AJD]]*1000)+TABL12[[#This Row],[البخر  AJD]]+(TABL12[[#This Row],[(A/B + A/S) AJD]]*1000))</f>
        <v>57475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 TOT) AJD]]-TABL12[[#This Row],[BER_ 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 TOT) AJD]]-TABL12[[#This Row],[SER_ 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(TABL12[[#This Row],[( S/S+T/B) AJD]]*1000)-((TABL12[[#This Row],[(STORGE DIFF.) AJD]]*1000)+TABL12[[#This Row],[البخر  AJD]]+(TABL12[[#This Row],[(A/B + A/S) AJD]]*1000))</f>
        <v>39366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 TOT) AJD]]-TABL12[[#This Row],[BER_ 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 TOT) AJD]]-TABL12[[#This Row],[SER_ 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(TABL12[[#This Row],[( S/S+T/B) AJD]]*1000)-((TABL12[[#This Row],[(STORGE DIFF.) AJD]]*1000)+TABL12[[#This Row],[البخر  AJD]]+(TABL12[[#This Row],[(A/B + A/S) AJD]]*1000))</f>
        <v>27886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 TOT) AJD]]-TABL12[[#This Row],[BER_ 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 TOT) AJD]]-TABL12[[#This Row],[SER_ 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(TABL12[[#This Row],[( S/S+T/B) AJD]]*1000)-((TABL12[[#This Row],[(STORGE DIFF.) AJD]]*1000)+TABL12[[#This Row],[البخر  AJD]]+(TABL12[[#This Row],[(A/B + A/S) AJD]]*1000))</f>
        <v>46160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 TOT) AJD]]-TABL12[[#This Row],[BER_ 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 TOT) AJD]]-TABL12[[#This Row],[SER_ 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(TABL12[[#This Row],[( S/S+T/B) AJD]]*1000)-((TABL12[[#This Row],[(STORGE DIFF.) AJD]]*1000)+TABL12[[#This Row],[البخر  AJD]]+(TABL12[[#This Row],[(A/B + A/S) AJD]]*1000))</f>
        <v>47544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 TOT) AJD]]-TABL12[[#This Row],[BER_ 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 TOT) AJD]]-TABL12[[#This Row],[SER_ 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(TABL12[[#This Row],[( S/S+T/B) AJD]]*1000)-((TABL12[[#This Row],[(STORGE DIFF.) AJD]]*1000)+TABL12[[#This Row],[البخر  AJD]]+(TABL12[[#This Row],[(A/B + A/S) AJD]]*1000))</f>
        <v>31098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 TOT) AJD]]-TABL12[[#This Row],[BER_ 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 TOT) AJD]]-TABL12[[#This Row],[SER_ 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(TABL12[[#This Row],[( S/S+T/B) AJD]]*1000)-((TABL12[[#This Row],[(STORGE DIFF.) AJD]]*1000)+TABL12[[#This Row],[البخر  AJD]]+(TABL12[[#This Row],[(A/B + A/S) AJD]]*1000))</f>
        <v>22702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 TOT) AJD]]-TABL12[[#This Row],[BER_ 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 TOT) AJD]]-TABL12[[#This Row],[SER_ 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(TABL12[[#This Row],[( S/S+T/B) AJD]]*1000)-((TABL12[[#This Row],[(STORGE DIFF.) AJD]]*1000)+TABL12[[#This Row],[البخر  AJD]]+(TABL12[[#This Row],[(A/B + A/S) AJD]]*1000))</f>
        <v>29108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 TOT) AJD]]-TABL12[[#This Row],[BER_ 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 TOT) AJD]]-TABL12[[#This Row],[SER_ 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(TABL12[[#This Row],[( S/S+T/B) AJD]]*1000)-((TABL12[[#This Row],[(STORGE DIFF.) AJD]]*1000)+TABL12[[#This Row],[البخر  AJD]]+(TABL12[[#This Row],[(A/B + A/S) AJD]]*1000))</f>
        <v>23143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 TOT) AJD]]-TABL12[[#This Row],[BER_ 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 TOT) AJD]]-TABL12[[#This Row],[SER_ 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(TABL12[[#This Row],[( S/S+T/B) AJD]]*1000)-((TABL12[[#This Row],[(STORGE DIFF.) AJD]]*1000)+TABL12[[#This Row],[البخر  AJD]]+(TABL12[[#This Row],[(A/B + A/S) AJD]]*1000))</f>
        <v>26702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 TOT) AJD]]-TABL12[[#This Row],[BER_ 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 TOT) AJD]]-TABL12[[#This Row],[SER_ 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(TABL12[[#This Row],[( S/S+T/B) AJD]]*1000)-((TABL12[[#This Row],[(STORGE DIFF.) AJD]]*1000)+TABL12[[#This Row],[البخر  AJD]]+(TABL12[[#This Row],[(A/B + A/S) AJD]]*1000))</f>
        <v>44249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 TOT) AJD]]-TABL12[[#This Row],[BER_ 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 TOT) AJD]]-TABL12[[#This Row],[SER_ 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(TABL12[[#This Row],[( S/S+T/B) AJD]]*1000)-((TABL12[[#This Row],[(STORGE DIFF.) AJD]]*1000)+TABL12[[#This Row],[البخر  AJD]]+(TABL12[[#This Row],[(A/B + A/S) AJD]]*1000))</f>
        <v>31829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 TOT) AJD]]-TABL12[[#This Row],[BER_ 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 TOT) AJD]]-TABL12[[#This Row],[SER_ 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(TABL12[[#This Row],[( S/S+T/B) AJD]]*1000)-((TABL12[[#This Row],[(STORGE DIFF.) AJD]]*1000)+TABL12[[#This Row],[البخر  AJD]]+(TABL12[[#This Row],[(A/B + A/S) AJD]]*1000))</f>
        <v>33765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 TOT) AJD]]-TABL12[[#This Row],[BER_ 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 TOT) AJD]]-TABL12[[#This Row],[SER_ 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(TABL12[[#This Row],[( S/S+T/B) AJD]]*1000)-((TABL12[[#This Row],[(STORGE DIFF.) AJD]]*1000)+TABL12[[#This Row],[البخر  AJD]]+(TABL12[[#This Row],[(A/B + A/S) AJD]]*1000))</f>
        <v>35214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 TOT) AJD]]-TABL12[[#This Row],[BER_ 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 TOT) AJD]]-TABL12[[#This Row],[SER_ 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(TABL12[[#This Row],[( S/S+T/B) AJD]]*1000)-((TABL12[[#This Row],[(STORGE DIFF.) AJD]]*1000)+TABL12[[#This Row],[البخر  AJD]]+(TABL12[[#This Row],[(A/B + A/S) AJD]]*1000))</f>
        <v>28928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 TOT) AJD]]-TABL12[[#This Row],[BER_ 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 TOT) AJD]]-TABL12[[#This Row],[SER_ 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(TABL12[[#This Row],[( S/S+T/B) AJD]]*1000)-((TABL12[[#This Row],[(STORGE DIFF.) AJD]]*1000)+TABL12[[#This Row],[البخر  AJD]]+(TABL12[[#This Row],[(A/B + A/S) AJD]]*1000))</f>
        <v>30881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 TOT) AJD]]-TABL12[[#This Row],[BER_ 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 TOT) AJD]]-TABL12[[#This Row],[SER_ 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(TABL12[[#This Row],[( S/S+T/B) AJD]]*1000)-((TABL12[[#This Row],[(STORGE DIFF.) AJD]]*1000)+TABL12[[#This Row],[البخر  AJD]]+(TABL12[[#This Row],[(A/B + A/S) AJD]]*1000))</f>
        <v>12418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 TOT) AJD]]-TABL12[[#This Row],[BER_ 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 TOT) AJD]]-TABL12[[#This Row],[SER_ 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(TABL12[[#This Row],[( S/S+T/B) AJD]]*1000)-((TABL12[[#This Row],[(STORGE DIFF.) AJD]]*1000)+TABL12[[#This Row],[البخر  AJD]]+(TABL12[[#This Row],[(A/B + A/S) AJD]]*1000))</f>
        <v>47423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 TOT) AJD]]-TABL12[[#This Row],[BER_ 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 TOT) AJD]]-TABL12[[#This Row],[SER_ 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(TABL12[[#This Row],[( S/S+T/B) AJD]]*1000)-((TABL12[[#This Row],[(STORGE DIFF.) AJD]]*1000)+TABL12[[#This Row],[البخر  AJD]]+(TABL12[[#This Row],[(A/B + A/S) AJD]]*1000))</f>
        <v>26325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 TOT) AJD]]-TABL12[[#This Row],[BER_ 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 TOT) AJD]]-TABL12[[#This Row],[SER_ 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(TABL12[[#This Row],[( S/S+T/B) AJD]]*1000)-((TABL12[[#This Row],[(STORGE DIFF.) AJD]]*1000)+TABL12[[#This Row],[البخر  AJD]]+(TABL12[[#This Row],[(A/B + A/S) AJD]]*1000))</f>
        <v>44185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 TOT) AJD]]-TABL12[[#This Row],[BER_ 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 TOT) AJD]]-TABL12[[#This Row],[SER_ 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(TABL12[[#This Row],[( S/S+T/B) AJD]]*1000)-((TABL12[[#This Row],[(STORGE DIFF.) AJD]]*1000)+TABL12[[#This Row],[البخر  AJD]]+(TABL12[[#This Row],[(A/B + A/S) AJD]]*1000))</f>
        <v>26332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 TOT) AJD]]-TABL12[[#This Row],[BER_ 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 TOT) AJD]]-TABL12[[#This Row],[SER_ 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(TABL12[[#This Row],[( S/S+T/B) AJD]]*1000)-((TABL12[[#This Row],[(STORGE DIFF.) AJD]]*1000)+TABL12[[#This Row],[البخر  AJD]]+(TABL12[[#This Row],[(A/B + A/S) AJD]]*1000))</f>
        <v>10673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 TOT) AJD]]-TABL12[[#This Row],[BER_ 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 TOT) AJD]]-TABL12[[#This Row],[SER_ 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(TABL12[[#This Row],[( S/S+T/B) AJD]]*1000)-((TABL12[[#This Row],[(STORGE DIFF.) AJD]]*1000)+TABL12[[#This Row],[البخر  AJD]]+(TABL12[[#This Row],[(A/B + A/S) AJD]]*1000))</f>
        <v>26267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 TOT) AJD]]-TABL12[[#This Row],[BER_ 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 TOT) AJD]]-TABL12[[#This Row],[SER_ 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(TABL12[[#This Row],[( S/S+T/B) AJD]]*1000)-((TABL12[[#This Row],[(STORGE DIFF.) AJD]]*1000)+TABL12[[#This Row],[البخر  AJD]]+(TABL12[[#This Row],[(A/B + A/S) AJD]]*1000))</f>
        <v>32884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 TOT) AJD]]-TABL12[[#This Row],[BER_ 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 TOT) AJD]]-TABL12[[#This Row],[SER_ 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(TABL12[[#This Row],[( S/S+T/B) AJD]]*1000)-((TABL12[[#This Row],[(STORGE DIFF.) AJD]]*1000)+TABL12[[#This Row],[البخر  AJD]]+(TABL12[[#This Row],[(A/B + A/S) AJD]]*1000))</f>
        <v>14808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 TOT) AJD]]-TABL12[[#This Row],[BER_ 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 TOT) AJD]]-TABL12[[#This Row],[SER_ 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(TABL12[[#This Row],[( S/S+T/B) AJD]]*1000)-((TABL12[[#This Row],[(STORGE DIFF.) AJD]]*1000)+TABL12[[#This Row],[البخر  AJD]]+(TABL12[[#This Row],[(A/B + A/S) AJD]]*1000))</f>
        <v>25635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 TOT) AJD]]-TABL12[[#This Row],[BER_ 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 TOT) AJD]]-TABL12[[#This Row],[SER_ 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(TABL12[[#This Row],[( S/S+T/B) AJD]]*1000)-((TABL12[[#This Row],[(STORGE DIFF.) AJD]]*1000)+TABL12[[#This Row],[البخر  AJD]]+(TABL12[[#This Row],[(A/B + A/S) AJD]]*1000))</f>
        <v>6037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 TOT) AJD]]-TABL12[[#This Row],[BER_ 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 TOT) AJD]]-TABL12[[#This Row],[SER_ 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(TABL12[[#This Row],[( S/S+T/B) AJD]]*1000)-((TABL12[[#This Row],[(STORGE DIFF.) AJD]]*1000)+TABL12[[#This Row],[البخر  AJD]]+(TABL12[[#This Row],[(A/B + A/S) AJD]]*1000))</f>
        <v>11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 TOT) AJD]]-TABL12[[#This Row],[BER_ 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 TOT) AJD]]-TABL12[[#This Row],[SER_ 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(TABL12[[#This Row],[( S/S+T/B) AJD]]*1000)-((TABL12[[#This Row],[(STORGE DIFF.) AJD]]*1000)+TABL12[[#This Row],[البخر  AJD]]+(TABL12[[#This Row],[(A/B + A/S) AJD]]*1000))</f>
        <v>113539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 TOT) AJD]]-TABL12[[#This Row],[BER_ 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 TOT) AJD]]-TABL12[[#This Row],[SER_ 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(TABL12[[#This Row],[( S/S+T/B) AJD]]*1000)-((TABL12[[#This Row],[(STORGE DIFF.) AJD]]*1000)+TABL12[[#This Row],[البخر  AJD]]+(TABL12[[#This Row],[(A/B + A/S) AJD]]*1000))</f>
        <v>-40332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 TOT) AJD]]-TABL12[[#This Row],[BER_ 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 TOT) AJD]]-TABL12[[#This Row],[SER_ 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(TABL12[[#This Row],[( S/S+T/B) AJD]]*1000)-((TABL12[[#This Row],[(STORGE DIFF.) AJD]]*1000)+TABL12[[#This Row],[البخر  AJD]]+(TABL12[[#This Row],[(A/B + A/S) AJD]]*1000))</f>
        <v>-31531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 TOT) AJD]]-TABL12[[#This Row],[BER_ 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 TOT) AJD]]-TABL12[[#This Row],[SER_ 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(TABL12[[#This Row],[( S/S+T/B) AJD]]*1000)-((TABL12[[#This Row],[(STORGE DIFF.) AJD]]*1000)+TABL12[[#This Row],[البخر  AJD]]+(TABL12[[#This Row],[(A/B + A/S) AJD]]*1000))</f>
        <v>221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 TOT) AJD]]-TABL12[[#This Row],[BER_ 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 TOT) AJD]]-TABL12[[#This Row],[SER_ 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(TABL12[[#This Row],[( S/S+T/B) AJD]]*1000)-((TABL12[[#This Row],[(STORGE DIFF.) AJD]]*1000)+TABL12[[#This Row],[البخر  AJD]]+(TABL12[[#This Row],[(A/B + A/S) AJD]]*1000))</f>
        <v>39296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 TOT) AJD]]-TABL12[[#This Row],[BER_ 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 TOT) AJD]]-TABL12[[#This Row],[SER_ 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(TABL12[[#This Row],[( S/S+T/B) AJD]]*1000)-((TABL12[[#This Row],[(STORGE DIFF.) AJD]]*1000)+TABL12[[#This Row],[البخر  AJD]]+(TABL12[[#This Row],[(A/B + A/S) AJD]]*1000))</f>
        <v>2188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 TOT) AJD]]-TABL12[[#This Row],[BER_ 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 TOT) AJD]]-TABL12[[#This Row],[SER_ 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(TABL12[[#This Row],[( S/S+T/B) AJD]]*1000)-((TABL12[[#This Row],[(STORGE DIFF.) AJD]]*1000)+TABL12[[#This Row],[البخر  AJD]]+(TABL12[[#This Row],[(A/B + A/S) AJD]]*1000))</f>
        <v>-1000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 TOT) AJD]]-TABL12[[#This Row],[BER_ 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 TOT) AJD]]-TABL12[[#This Row],[SER_ 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(TABL12[[#This Row],[( S/S+T/B) AJD]]*1000)-((TABL12[[#This Row],[(STORGE DIFF.) AJD]]*1000)+TABL12[[#This Row],[البخر  AJD]]+(TABL12[[#This Row],[(A/B + A/S) AJD]]*1000))</f>
        <v>-2000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 TOT) AJD]]-TABL12[[#This Row],[BER_ 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 TOT) AJD]]-TABL12[[#This Row],[SER_ 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(TABL12[[#This Row],[( S/S+T/B) AJD]]*1000)-((TABL12[[#This Row],[(STORGE DIFF.) AJD]]*1000)+TABL12[[#This Row],[البخر  AJD]]+(TABL12[[#This Row],[(A/B + A/S) AJD]]*1000))</f>
        <v>-5000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 TOT) AJD]]-TABL12[[#This Row],[BER_ 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 TOT) AJD]]-TABL12[[#This Row],[SER_ 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(TABL12[[#This Row],[( S/S+T/B) AJD]]*1000)-((TABL12[[#This Row],[(STORGE DIFF.) AJD]]*1000)+TABL12[[#This Row],[البخر  AJD]]+(TABL12[[#This Row],[(A/B + A/S) AJD]]*1000))</f>
        <v>4000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 TOT) AJD]]-TABL12[[#This Row],[BER_ 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 TOT) AJD]]-TABL12[[#This Row],[SER_ 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(TABL12[[#This Row],[( S/S+T/B) AJD]]*1000)-((TABL12[[#This Row],[(STORGE DIFF.) AJD]]*1000)+TABL12[[#This Row],[البخر  AJD]]+(TABL12[[#This Row],[(A/B + A/S) AJD]]*1000))</f>
        <v>-2000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 TOT) AJD]]-TABL12[[#This Row],[BER_ 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 TOT) AJD]]-TABL12[[#This Row],[SER_ 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(TABL12[[#This Row],[( S/S+T/B) AJD]]*1000)-((TABL12[[#This Row],[(STORGE DIFF.) AJD]]*1000)+TABL12[[#This Row],[البخر  AJD]]+(TABL12[[#This Row],[(A/B + A/S) AJD]]*1000))</f>
        <v>-3000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 TOT) AJD]]-TABL12[[#This Row],[BER_ 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 TOT) AJD]]-TABL12[[#This Row],[SER_ 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(TABL12[[#This Row],[( S/S+T/B) AJD]]*1000)-((TABL12[[#This Row],[(STORGE DIFF.) AJD]]*1000)+TABL12[[#This Row],[البخر  AJD]]+(TABL12[[#This Row],[(A/B + A/S) AJD]]*1000))</f>
        <v>-1000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 TOT) AJD]]-TABL12[[#This Row],[BER_ 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 TOT) AJD]]-TABL12[[#This Row],[SER_ 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(TABL12[[#This Row],[( S/S+T/B) AJD]]*1000)-((TABL12[[#This Row],[(STORGE DIFF.) AJD]]*1000)+TABL12[[#This Row],[البخر  AJD]]+(TABL12[[#This Row],[(A/B + A/S) AJD]]*1000))</f>
        <v>5000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 TOT) AJD]]-TABL12[[#This Row],[BER_ 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 TOT) AJD]]-TABL12[[#This Row],[SER_ 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(TABL12[[#This Row],[( S/S+T/B) AJD]]*1000)-((TABL12[[#This Row],[(STORGE DIFF.) AJD]]*1000)+TABL12[[#This Row],[البخر  AJD]]+(TABL12[[#This Row],[(A/B + A/S) AJD]]*1000))</f>
        <v>-2000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 TOT) AJD]]-TABL12[[#This Row],[BER_ 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 TOT) AJD]]-TABL12[[#This Row],[SER_ 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(TABL12[[#This Row],[( S/S+T/B) AJD]]*1000)-((TABL12[[#This Row],[(STORGE DIFF.) AJD]]*1000)+TABL12[[#This Row],[البخر  AJD]]+(TABL12[[#This Row],[(A/B + A/S) AJD]]*1000))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 TOT) AJD]]-TABL12[[#This Row],[BER_ 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 TOT) AJD]]-TABL12[[#This Row],[SER_ 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(TABL12[[#This Row],[( S/S+T/B) AJD]]*1000)-((TABL12[[#This Row],[(STORGE DIFF.) AJD]]*1000)+TABL12[[#This Row],[البخر  AJD]]+(TABL12[[#This Row],[(A/B + A/S) AJD]]*1000))</f>
        <v>-2000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 TOT) AJD]]-TABL12[[#This Row],[BER_ 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 TOT) AJD]]-TABL12[[#This Row],[SER_ 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(TABL12[[#This Row],[( S/S+T/B) AJD]]*1000)-((TABL12[[#This Row],[(STORGE DIFF.) AJD]]*1000)+TABL12[[#This Row],[البخر  AJD]]+(TABL12[[#This Row],[(A/B + A/S) AJD]]*1000))</f>
        <v>-3000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 TOT) AJD]]-TABL12[[#This Row],[BER_ 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 TOT) AJD]]-TABL12[[#This Row],[SER_ 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(TABL12[[#This Row],[( S/S+T/B) AJD]]*1000)-((TABL12[[#This Row],[(STORGE DIFF.) AJD]]*1000)+TABL12[[#This Row],[البخر  AJD]]+(TABL12[[#This Row],[(A/B + A/S) AJD]]*1000))</f>
        <v>-4000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 TOT) AJD]]-TABL12[[#This Row],[BER_ 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 TOT) AJD]]-TABL12[[#This Row],[SER_ 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(TABL12[[#This Row],[( S/S+T/B) AJD]]*1000)-((TABL12[[#This Row],[(STORGE DIFF.) AJD]]*1000)+TABL12[[#This Row],[البخر  AJD]]+(TABL12[[#This Row],[(A/B + A/S) AJD]]*1000))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 TOT) AJD]]-TABL12[[#This Row],[BER_ 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 TOT) AJD]]-TABL12[[#This Row],[SER_ 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(TABL12[[#This Row],[( S/S+T/B) AJD]]*1000)-((TABL12[[#This Row],[(STORGE DIFF.) AJD]]*1000)+TABL12[[#This Row],[البخر  AJD]]+(TABL12[[#This Row],[(A/B + A/S) AJD]]*1000))</f>
        <v>-4000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 TOT) AJD]]-TABL12[[#This Row],[BER_ 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 TOT) AJD]]-TABL12[[#This Row],[SER_ 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(TABL12[[#This Row],[( S/S+T/B) AJD]]*1000)-((TABL12[[#This Row],[(STORGE DIFF.) AJD]]*1000)+TABL12[[#This Row],[البخر  AJD]]+(TABL12[[#This Row],[(A/B + A/S) AJD]]*1000))</f>
        <v>-1000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 TOT) AJD]]-TABL12[[#This Row],[BER_ 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 TOT) AJD]]-TABL12[[#This Row],[SER_ 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(TABL12[[#This Row],[( S/S+T/B) AJD]]*1000)-((TABL12[[#This Row],[(STORGE DIFF.) AJD]]*1000)+TABL12[[#This Row],[البخر  AJD]]+(TABL12[[#This Row],[(A/B + A/S) AJD]]*1000))</f>
        <v>-3000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 TOT) AJD]]-TABL12[[#This Row],[BER_ 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 TOT) AJD]]-TABL12[[#This Row],[SER_ 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(TABL12[[#This Row],[( S/S+T/B) AJD]]*1000)-((TABL12[[#This Row],[(STORGE DIFF.) AJD]]*1000)+TABL12[[#This Row],[البخر  AJD]]+(TABL12[[#This Row],[(A/B + A/S) AJD]]*1000))</f>
        <v>-51000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 TOT) AJD]]-TABL12[[#This Row],[BER_ 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 TOT) AJD]]-TABL12[[#This Row],[SER_ 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(TABL12[[#This Row],[( S/S+T/B) AJD]]*1000)-((TABL12[[#This Row],[(STORGE DIFF.) AJD]]*1000)+TABL12[[#This Row],[البخر  AJD]]+(TABL12[[#This Row],[(A/B + A/S) AJD]]*1000))</f>
        <v>-1000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 TOT) AJD]]-TABL12[[#This Row],[BER_ 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 TOT) AJD]]-TABL12[[#This Row],[SER_ 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(TABL12[[#This Row],[( S/S+T/B) AJD]]*1000)-((TABL12[[#This Row],[(STORGE DIFF.) AJD]]*1000)+TABL12[[#This Row],[البخر  AJD]]+(TABL12[[#This Row],[(A/B + A/S) AJD]]*1000))</f>
        <v>-3000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 TOT) AJD]]-TABL12[[#This Row],[BER_ 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 TOT) AJD]]-TABL12[[#This Row],[SER_ 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(TABL12[[#This Row],[( S/S+T/B) AJD]]*1000)-((TABL12[[#This Row],[(STORGE DIFF.) AJD]]*1000)+TABL12[[#This Row],[البخر  AJD]]+(TABL12[[#This Row],[(A/B + A/S) AJD]]*1000))</f>
        <v>-2000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 TOT) AJD]]-TABL12[[#This Row],[BER_ 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 TOT) AJD]]-TABL12[[#This Row],[SER_ 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(TABL12[[#This Row],[( S/S+T/B) AJD]]*1000)-((TABL12[[#This Row],[(STORGE DIFF.) AJD]]*1000)+TABL12[[#This Row],[البخر  AJD]]+(TABL12[[#This Row],[(A/B + A/S) AJD]]*1000))</f>
        <v>-2000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 TOT) AJD]]-TABL12[[#This Row],[BER_ 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 TOT) AJD]]-TABL12[[#This Row],[SER_ 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(TABL12[[#This Row],[( S/S+T/B) AJD]]*1000)-((TABL12[[#This Row],[(STORGE DIFF.) AJD]]*1000)+TABL12[[#This Row],[البخر  AJD]]+(TABL12[[#This Row],[(A/B + A/S) AJD]]*1000))</f>
        <v>1000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 TOT) AJD]]-TABL12[[#This Row],[BER_ 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 TOT) AJD]]-TABL12[[#This Row],[SER_ 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(TABL12[[#This Row],[( S/S+T/B) AJD]]*1000)-((TABL12[[#This Row],[(STORGE DIFF.) AJD]]*1000)+TABL12[[#This Row],[البخر  AJD]]+(TABL12[[#This Row],[(A/B + A/S) AJD]]*1000))</f>
        <v>1000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 TOT) AJD]]-TABL12[[#This Row],[BER_ 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 TOT) AJD]]-TABL12[[#This Row],[SER_ 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(TABL12[[#This Row],[( S/S+T/B) AJD]]*1000)-((TABL12[[#This Row],[(STORGE DIFF.) AJD]]*1000)+TABL12[[#This Row],[البخر  AJD]]+(TABL12[[#This Row],[(A/B + A/S) AJD]]*1000))</f>
        <v>-4000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 TOT) AJD]]-TABL12[[#This Row],[BER_ 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 TOT) AJD]]-TABL12[[#This Row],[SER_ 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(TABL12[[#This Row],[( S/S+T/B) AJD]]*1000)-((TABL12[[#This Row],[(STORGE DIFF.) AJD]]*1000)+TABL12[[#This Row],[البخر  AJD]]+(TABL12[[#This Row],[(A/B + A/S) AJD]]*1000))</f>
        <v>-2000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 TOT) AJD]]-TABL12[[#This Row],[BER_ 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 TOT) AJD]]-TABL12[[#This Row],[SER_ 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(TABL12[[#This Row],[( S/S+T/B) AJD]]*1000)-((TABL12[[#This Row],[(STORGE DIFF.) AJD]]*1000)+TABL12[[#This Row],[البخر  AJD]]+(TABL12[[#This Row],[(A/B + A/S) AJD]]*1000))</f>
        <v>-2000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 TOT) AJD]]-TABL12[[#This Row],[BER_ 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 TOT) AJD]]-TABL12[[#This Row],[SER_ 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(TABL12[[#This Row],[( S/S+T/B) AJD]]*1000)-((TABL12[[#This Row],[(STORGE DIFF.) AJD]]*1000)+TABL12[[#This Row],[البخر  AJD]]+(TABL12[[#This Row],[(A/B + A/S) AJD]]*1000))</f>
        <v>-2000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 TOT) AJD]]-TABL12[[#This Row],[BER_ 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 TOT) AJD]]-TABL12[[#This Row],[SER_ 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(TABL12[[#This Row],[( S/S+T/B) AJD]]*1000)-((TABL12[[#This Row],[(STORGE DIFF.) AJD]]*1000)+TABL12[[#This Row],[البخر  AJD]]+(TABL12[[#This Row],[(A/B + A/S) AJD]]*1000))</f>
        <v>-1000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 TOT) AJD]]-TABL12[[#This Row],[BER_ 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 TOT) AJD]]-TABL12[[#This Row],[SER_ 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(TABL12[[#This Row],[( S/S+T/B) AJD]]*1000)-((TABL12[[#This Row],[(STORGE DIFF.) AJD]]*1000)+TABL12[[#This Row],[البخر  AJD]]+(TABL12[[#This Row],[(A/B + A/S) AJD]]*1000))</f>
        <v>3000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 TOT) AJD]]-TABL12[[#This Row],[BER_ 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 TOT) AJD]]-TABL12[[#This Row],[SER_ 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(TABL12[[#This Row],[( S/S+T/B) AJD]]*1000)-((TABL12[[#This Row],[(STORGE DIFF.) AJD]]*1000)+TABL12[[#This Row],[البخر  AJD]]+(TABL12[[#This Row],[(A/B + A/S) AJD]]*1000))</f>
        <v>5000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 TOT) AJD]]-TABL12[[#This Row],[BER_ 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 TOT) AJD]]-TABL12[[#This Row],[SER_ 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(TABL12[[#This Row],[( S/S+T/B) AJD]]*1000)-((TABL12[[#This Row],[(STORGE DIFF.) AJD]]*1000)+TABL12[[#This Row],[البخر  AJD]]+(TABL12[[#This Row],[(A/B + A/S) AJD]]*1000))</f>
        <v>3000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 TOT) AJD]]-TABL12[[#This Row],[BER_ 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 TOT) AJD]]-TABL12[[#This Row],[SER_ 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(TABL12[[#This Row],[( S/S+T/B) AJD]]*1000)-((TABL12[[#This Row],[(STORGE DIFF.) AJD]]*1000)+TABL12[[#This Row],[البخر  AJD]]+(TABL12[[#This Row],[(A/B + A/S) AJD]]*1000))</f>
        <v>-4000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 TOT) AJD]]-TABL12[[#This Row],[BER_ 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 TOT) AJD]]-TABL12[[#This Row],[SER_ 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(TABL12[[#This Row],[( S/S+T/B) AJD]]*1000)-((TABL12[[#This Row],[(STORGE DIFF.) AJD]]*1000)+TABL12[[#This Row],[البخر  AJD]]+(TABL12[[#This Row],[(A/B + A/S) AJD]]*1000))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 TOT) AJD]]-TABL12[[#This Row],[BER_ 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 TOT) AJD]]-TABL12[[#This Row],[SER_ 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(TABL12[[#This Row],[( S/S+T/B) AJD]]*1000)-((TABL12[[#This Row],[(STORGE DIFF.) AJD]]*1000)+TABL12[[#This Row],[البخر  AJD]]+(TABL12[[#This Row],[(A/B + A/S) AJD]]*1000))</f>
        <v>-1000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 TOT) AJD]]-TABL12[[#This Row],[BER_ 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 TOT) AJD]]-TABL12[[#This Row],[SER_ 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(TABL12[[#This Row],[( S/S+T/B) AJD]]*1000)-((TABL12[[#This Row],[(STORGE DIFF.) AJD]]*1000)+TABL12[[#This Row],[البخر  AJD]]+(TABL12[[#This Row],[(A/B + A/S) AJD]]*1000))</f>
        <v>-2000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 TOT) AJD]]-TABL12[[#This Row],[BER_ 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 TOT) AJD]]-TABL12[[#This Row],[SER_ 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(TABL12[[#This Row],[( S/S+T/B) AJD]]*1000)-((TABL12[[#This Row],[(STORGE DIFF.) AJD]]*1000)+TABL12[[#This Row],[البخر  AJD]]+(TABL12[[#This Row],[(A/B + A/S) AJD]]*1000))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 TOT) AJD]]-TABL12[[#This Row],[BER_ 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 TOT) AJD]]-TABL12[[#This Row],[SER_ 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(TABL12[[#This Row],[( S/S+T/B) AJD]]*1000)-((TABL12[[#This Row],[(STORGE DIFF.) AJD]]*1000)+TABL12[[#This Row],[البخر  AJD]]+(TABL12[[#This Row],[(A/B + A/S) AJD]]*1000))</f>
        <v>-6000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 TOT) AJD]]-TABL12[[#This Row],[BER_ 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 TOT) AJD]]-TABL12[[#This Row],[SER_ 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(TABL12[[#This Row],[( S/S+T/B) AJD]]*1000)-((TABL12[[#This Row],[(STORGE DIFF.) AJD]]*1000)+TABL12[[#This Row],[البخر  AJD]]+(TABL12[[#This Row],[(A/B + A/S) AJD]]*1000))</f>
        <v>4000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 TOT) AJD]]-TABL12[[#This Row],[BER_ 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 TOT) AJD]]-TABL12[[#This Row],[SER_ 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(TABL12[[#This Row],[( S/S+T/B) AJD]]*1000)-((TABL12[[#This Row],[(STORGE DIFF.) AJD]]*1000)+TABL12[[#This Row],[البخر  AJD]]+(TABL12[[#This Row],[(A/B + A/S) AJD]]*1000))</f>
        <v>-5000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 TOT) AJD]]-TABL12[[#This Row],[BER_ 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 TOT) AJD]]-TABL12[[#This Row],[SER_ 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(TABL12[[#This Row],[( S/S+T/B) AJD]]*1000)-((TABL12[[#This Row],[(STORGE DIFF.) AJD]]*1000)+TABL12[[#This Row],[البخر  AJD]]+(TABL12[[#This Row],[(A/B + A/S) AJD]]*1000))</f>
        <v>-2000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 TOT) AJD]]-TABL12[[#This Row],[BER_ 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 TOT) AJD]]-TABL12[[#This Row],[SER_ 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(TABL12[[#This Row],[( S/S+T/B) AJD]]*1000)-((TABL12[[#This Row],[(STORGE DIFF.) AJD]]*1000)+TABL12[[#This Row],[البخر  AJD]]+(TABL12[[#This Row],[(A/B + A/S) AJD]]*1000))</f>
        <v>1000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 TOT) AJD]]-TABL12[[#This Row],[BER_ 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 TOT) AJD]]-TABL12[[#This Row],[SER_ 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(TABL12[[#This Row],[( S/S+T/B) AJD]]*1000)-((TABL12[[#This Row],[(STORGE DIFF.) AJD]]*1000)+TABL12[[#This Row],[البخر  AJD]]+(TABL12[[#This Row],[(A/B + A/S) AJD]]*1000))</f>
        <v>2000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 TOT) AJD]]-TABL12[[#This Row],[BER_ 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 TOT) AJD]]-TABL12[[#This Row],[SER_ 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(TABL12[[#This Row],[( S/S+T/B) AJD]]*1000)-((TABL12[[#This Row],[(STORGE DIFF.) AJD]]*1000)+TABL12[[#This Row],[البخر  AJD]]+(TABL12[[#This Row],[(A/B + A/S) AJD]]*1000))</f>
        <v>-7000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 TOT) AJD]]-TABL12[[#This Row],[BER_ 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 TOT) AJD]]-TABL12[[#This Row],[SER_ 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(TABL12[[#This Row],[( S/S+T/B) AJD]]*1000)-((TABL12[[#This Row],[(STORGE DIFF.) AJD]]*1000)+TABL12[[#This Row],[البخر  AJD]]+(TABL12[[#This Row],[(A/B + A/S) AJD]]*1000))</f>
        <v>2000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 TOT) AJD]]-TABL12[[#This Row],[BER_ 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 TOT) AJD]]-TABL12[[#This Row],[SER_ 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(TABL12[[#This Row],[( S/S+T/B) AJD]]*1000)-((TABL12[[#This Row],[(STORGE DIFF.) AJD]]*1000)+TABL12[[#This Row],[البخر  AJD]]+(TABL12[[#This Row],[(A/B + A/S) AJD]]*1000))</f>
        <v>5000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 TOT) AJD]]-TABL12[[#This Row],[BER_ 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 TOT) AJD]]-TABL12[[#This Row],[SER_ 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(TABL12[[#This Row],[( S/S+T/B) AJD]]*1000)-((TABL12[[#This Row],[(STORGE DIFF.) AJD]]*1000)+TABL12[[#This Row],[البخر  AJD]]+(TABL12[[#This Row],[(A/B + A/S) AJD]]*1000))</f>
        <v>-3000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 TOT) AJD]]-TABL12[[#This Row],[BER_ 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 TOT) AJD]]-TABL12[[#This Row],[SER_ 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(TABL12[[#This Row],[( S/S+T/B) AJD]]*1000)-((TABL12[[#This Row],[(STORGE DIFF.) AJD]]*1000)+TABL12[[#This Row],[البخر  AJD]]+(TABL12[[#This Row],[(A/B + A/S) AJD]]*1000))</f>
        <v>-1000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 TOT) AJD]]-TABL12[[#This Row],[BER_ 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 TOT) AJD]]-TABL12[[#This Row],[SER_ 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(TABL12[[#This Row],[( S/S+T/B) AJD]]*1000)-((TABL12[[#This Row],[(STORGE DIFF.) AJD]]*1000)+TABL12[[#This Row],[البخر  AJD]]+(TABL12[[#This Row],[(A/B + A/S) AJD]]*1000))</f>
        <v>-2000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 TOT) AJD]]-TABL12[[#This Row],[BER_ 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 TOT) AJD]]-TABL12[[#This Row],[SER_ 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(TABL12[[#This Row],[( S/S+T/B) AJD]]*1000)-((TABL12[[#This Row],[(STORGE DIFF.) AJD]]*1000)+TABL12[[#This Row],[البخر  AJD]]+(TABL12[[#This Row],[(A/B + A/S) AJD]]*1000))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 TOT) AJD]]-TABL12[[#This Row],[BER_ 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 TOT) AJD]]-TABL12[[#This Row],[SER_ 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(TABL12[[#This Row],[( S/S+T/B) AJD]]*1000)-((TABL12[[#This Row],[(STORGE DIFF.) AJD]]*1000)+TABL12[[#This Row],[البخر  AJD]]+(TABL12[[#This Row],[(A/B + A/S) AJD]]*1000))</f>
        <v>34000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 TOT) AJD]]-TABL12[[#This Row],[BER_ 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 TOT) AJD]]-TABL12[[#This Row],[SER_ 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(TABL12[[#This Row],[( S/S+T/B) AJD]]*1000)-((TABL12[[#This Row],[(STORGE DIFF.) AJD]]*1000)+TABL12[[#This Row],[البخر  AJD]]+(TABL12[[#This Row],[(A/B + A/S) AJD]]*1000))</f>
        <v>3000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 TOT) AJD]]-TABL12[[#This Row],[BER_ 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 TOT) AJD]]-TABL12[[#This Row],[SER_ 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(TABL12[[#This Row],[( S/S+T/B) AJD]]*1000)-((TABL12[[#This Row],[(STORGE DIFF.) AJD]]*1000)+TABL12[[#This Row],[البخر  AJD]]+(TABL12[[#This Row],[(A/B + A/S) AJD]]*1000))</f>
        <v>-6000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 TOT) AJD]]-TABL12[[#This Row],[BER_ 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 TOT) AJD]]-TABL12[[#This Row],[SER_ 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(TABL12[[#This Row],[( S/S+T/B) AJD]]*1000)-((TABL12[[#This Row],[(STORGE DIFF.) AJD]]*1000)+TABL12[[#This Row],[البخر  AJD]]+(TABL12[[#This Row],[(A/B + A/S) AJD]]*1000))</f>
        <v>1000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 TOT) AJD]]-TABL12[[#This Row],[BER_ 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 TOT) AJD]]-TABL12[[#This Row],[SER_ 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(TABL12[[#This Row],[( S/S+T/B) AJD]]*1000)-((TABL12[[#This Row],[(STORGE DIFF.) AJD]]*1000)+TABL12[[#This Row],[البخر  AJD]]+(TABL12[[#This Row],[(A/B + A/S) AJD]]*1000))</f>
        <v>-4000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 TOT) AJD]]-TABL12[[#This Row],[BER_ 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 TOT) AJD]]-TABL12[[#This Row],[SER_ 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(TABL12[[#This Row],[( S/S+T/B) AJD]]*1000)-((TABL12[[#This Row],[(STORGE DIFF.) AJD]]*1000)+TABL12[[#This Row],[البخر  AJD]]+(TABL12[[#This Row],[(A/B + A/S) AJD]]*1000))</f>
        <v>-5000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 TOT) AJD]]-TABL12[[#This Row],[BER_ 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 TOT) AJD]]-TABL12[[#This Row],[SER_ 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(TABL12[[#This Row],[( S/S+T/B) AJD]]*1000)-((TABL12[[#This Row],[(STORGE DIFF.) AJD]]*1000)+TABL12[[#This Row],[البخر  AJD]]+(TABL12[[#This Row],[(A/B + A/S) AJD]]*1000))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 TOT) AJD]]-TABL12[[#This Row],[BER_ 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 TOT) AJD]]-TABL12[[#This Row],[SER_ 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(TABL12[[#This Row],[( S/S+T/B) AJD]]*1000)-((TABL12[[#This Row],[(STORGE DIFF.) AJD]]*1000)+TABL12[[#This Row],[البخر  AJD]]+(TABL12[[#This Row],[(A/B + A/S) AJD]]*1000))</f>
        <v>-4000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 TOT) AJD]]-TABL12[[#This Row],[BER_ 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 TOT) AJD]]-TABL12[[#This Row],[SER_ 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(TABL12[[#This Row],[( S/S+T/B) AJD]]*1000)-((TABL12[[#This Row],[(STORGE DIFF.) AJD]]*1000)+TABL12[[#This Row],[البخر  AJD]]+(TABL12[[#This Row],[(A/B + A/S) AJD]]*1000))</f>
        <v>5000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 TOT) AJD]]-TABL12[[#This Row],[BER_ 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 TOT) AJD]]-TABL12[[#This Row],[SER_ 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(TABL12[[#This Row],[( S/S+T/B) AJD]]*1000)-((TABL12[[#This Row],[(STORGE DIFF.) AJD]]*1000)+TABL12[[#This Row],[البخر  AJD]]+(TABL12[[#This Row],[(A/B + A/S) AJD]]*1000))</f>
        <v>-3000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 TOT) AJD]]-TABL12[[#This Row],[BER_ 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 TOT) AJD]]-TABL12[[#This Row],[SER_ 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(TABL12[[#This Row],[( S/S+T/B) AJD]]*1000)-((TABL12[[#This Row],[(STORGE DIFF.) AJD]]*1000)+TABL12[[#This Row],[البخر  AJD]]+(TABL12[[#This Row],[(A/B + A/S) AJD]]*1000))</f>
        <v>2000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 TOT) AJD]]-TABL12[[#This Row],[BER_ 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 TOT) AJD]]-TABL12[[#This Row],[SER_ 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(TABL12[[#This Row],[( S/S+T/B) AJD]]*1000)-((TABL12[[#This Row],[(STORGE DIFF.) AJD]]*1000)+TABL12[[#This Row],[البخر  AJD]]+(TABL12[[#This Row],[(A/B + A/S) AJD]]*1000))</f>
        <v>7000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 TOT) AJD]]-TABL12[[#This Row],[BER_ 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 TOT) AJD]]-TABL12[[#This Row],[SER_ 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(TABL12[[#This Row],[( S/S+T/B) AJD]]*1000)-((TABL12[[#This Row],[(STORGE DIFF.) AJD]]*1000)+TABL12[[#This Row],[البخر  AJD]]+(TABL12[[#This Row],[(A/B + A/S) AJD]]*1000))</f>
        <v>6000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 TOT) AJD]]-TABL12[[#This Row],[BER_ 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 TOT) AJD]]-TABL12[[#This Row],[SER_ 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(TABL12[[#This Row],[( S/S+T/B) AJD]]*1000)-((TABL12[[#This Row],[(STORGE DIFF.) AJD]]*1000)+TABL12[[#This Row],[البخر  AJD]]+(TABL12[[#This Row],[(A/B + A/S) AJD]]*1000))</f>
        <v>-1000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 TOT) AJD]]-TABL12[[#This Row],[BER_ 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 TOT) AJD]]-TABL12[[#This Row],[SER_ 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(TABL12[[#This Row],[( S/S+T/B) AJD]]*1000)-((TABL12[[#This Row],[(STORGE DIFF.) AJD]]*1000)+TABL12[[#This Row],[البخر  AJD]]+(TABL12[[#This Row],[(A/B + A/S) AJD]]*1000))</f>
        <v>-8000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 TOT) AJD]]-TABL12[[#This Row],[BER_ 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 TOT) AJD]]-TABL12[[#This Row],[SER_ 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(TABL12[[#This Row],[( S/S+T/B) AJD]]*1000)-((TABL12[[#This Row],[(STORGE DIFF.) AJD]]*1000)+TABL12[[#This Row],[البخر  AJD]]+(TABL12[[#This Row],[(A/B + A/S) AJD]]*1000))</f>
        <v>1000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 TOT) AJD]]-TABL12[[#This Row],[BER_ 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 TOT) AJD]]-TABL12[[#This Row],[SER_ 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(TABL12[[#This Row],[( S/S+T/B) AJD]]*1000)-((TABL12[[#This Row],[(STORGE DIFF.) AJD]]*1000)+TABL12[[#This Row],[البخر  AJD]]+(TABL12[[#This Row],[(A/B + A/S) AJD]]*1000))</f>
        <v>6000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 TOT) AJD]]-TABL12[[#This Row],[BER_ 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 TOT) AJD]]-TABL12[[#This Row],[SER_ 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(TABL12[[#This Row],[( S/S+T/B) AJD]]*1000)-((TABL12[[#This Row],[(STORGE DIFF.) AJD]]*1000)+TABL12[[#This Row],[البخر  AJD]]+(TABL12[[#This Row],[(A/B + A/S) AJD]]*1000))</f>
        <v>-3000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 TOT) AJD]]-TABL12[[#This Row],[BER_ 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 TOT) AJD]]-TABL12[[#This Row],[SER_ 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(TABL12[[#This Row],[( S/S+T/B) AJD]]*1000)-((TABL12[[#This Row],[(STORGE DIFF.) AJD]]*1000)+TABL12[[#This Row],[البخر  AJD]]+(TABL12[[#This Row],[(A/B + A/S) AJD]]*1000))</f>
        <v>4000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 TOT) AJD]]-TABL12[[#This Row],[BER_ 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 TOT) AJD]]-TABL12[[#This Row],[SER_ 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(TABL12[[#This Row],[( S/S+T/B) AJD]]*1000)-((TABL12[[#This Row],[(STORGE DIFF.) AJD]]*1000)+TABL12[[#This Row],[البخر  AJD]]+(TABL12[[#This Row],[(A/B + A/S) AJD]]*1000))</f>
        <v>-2000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 TOT) AJD]]-TABL12[[#This Row],[BER_ 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 TOT) AJD]]-TABL12[[#This Row],[SER_ 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(TABL12[[#This Row],[( S/S+T/B) AJD]]*1000)-((TABL12[[#This Row],[(STORGE DIFF.) AJD]]*1000)+TABL12[[#This Row],[البخر  AJD]]+(TABL12[[#This Row],[(A/B + A/S) AJD]]*1000))</f>
        <v>-1000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 TOT) AJD]]-TABL12[[#This Row],[BER_ 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 TOT) AJD]]-TABL12[[#This Row],[SER_ 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(TABL12[[#This Row],[( S/S+T/B) AJD]]*1000)-((TABL12[[#This Row],[(STORGE DIFF.) AJD]]*1000)+TABL12[[#This Row],[البخر  AJD]]+(TABL12[[#This Row],[(A/B + A/S) AJD]]*1000))</f>
        <v>-4000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 TOT) AJD]]-TABL12[[#This Row],[BER_ 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 TOT) AJD]]-TABL12[[#This Row],[SER_ 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(TABL12[[#This Row],[( S/S+T/B) AJD]]*1000)-((TABL12[[#This Row],[(STORGE DIFF.) AJD]]*1000)+TABL12[[#This Row],[البخر  AJD]]+(TABL12[[#This Row],[(A/B + A/S) AJD]]*1000))</f>
        <v>-5000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 TOT) AJD]]-TABL12[[#This Row],[BER_ 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 TOT) AJD]]-TABL12[[#This Row],[SER_ 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(TABL12[[#This Row],[( S/S+T/B) AJD]]*1000)-((TABL12[[#This Row],[(STORGE DIFF.) AJD]]*1000)+TABL12[[#This Row],[البخر  AJD]]+(TABL12[[#This Row],[(A/B + A/S) AJD]]*1000))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 TOT) AJD]]-TABL12[[#This Row],[BER_ 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 TOT) AJD]]-TABL12[[#This Row],[SER_ 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(TABL12[[#This Row],[( S/S+T/B) AJD]]*1000)-((TABL12[[#This Row],[(STORGE DIFF.) AJD]]*1000)+TABL12[[#This Row],[البخر  AJD]]+(TABL12[[#This Row],[(A/B + A/S) AJD]]*1000))</f>
        <v>-4000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 TOT) AJD]]-TABL12[[#This Row],[BER_ 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 TOT) AJD]]-TABL12[[#This Row],[SER_ 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(TABL12[[#This Row],[( S/S+T/B) AJD]]*1000)-((TABL12[[#This Row],[(STORGE DIFF.) AJD]]*1000)+TABL12[[#This Row],[البخر  AJD]]+(TABL12[[#This Row],[(A/B + A/S) AJD]]*1000))</f>
        <v>-1000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 TOT) AJD]]-TABL12[[#This Row],[BER_ 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 TOT) AJD]]-TABL12[[#This Row],[SER_ 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(TABL12[[#This Row],[( S/S+T/B) AJD]]*1000)-((TABL12[[#This Row],[(STORGE DIFF.) AJD]]*1000)+TABL12[[#This Row],[البخر  AJD]]+(TABL12[[#This Row],[(A/B + A/S) AJD]]*1000))</f>
        <v>-3000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 TOT) AJD]]-TABL12[[#This Row],[BER_ 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 TOT) AJD]]-TABL12[[#This Row],[SER_ 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(TABL12[[#This Row],[( S/S+T/B) AJD]]*1000)-((TABL12[[#This Row],[(STORGE DIFF.) AJD]]*1000)+TABL12[[#This Row],[البخر  AJD]]+(TABL12[[#This Row],[(A/B + A/S) AJD]]*1000))</f>
        <v>-1000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 TOT) AJD]]-TABL12[[#This Row],[BER_ 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 TOT) AJD]]-TABL12[[#This Row],[SER_ 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(TABL12[[#This Row],[( S/S+T/B) AJD]]*1000)-((TABL12[[#This Row],[(STORGE DIFF.) AJD]]*1000)+TABL12[[#This Row],[البخر  AJD]]+(TABL12[[#This Row],[(A/B + A/S) AJD]]*1000))</f>
        <v>-3000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 TOT) AJD]]-TABL12[[#This Row],[BER_ 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 TOT) AJD]]-TABL12[[#This Row],[SER_ 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(TABL12[[#This Row],[( S/S+T/B) AJD]]*1000)-((TABL12[[#This Row],[(STORGE DIFF.) AJD]]*1000)+TABL12[[#This Row],[البخر  AJD]]+(TABL12[[#This Row],[(A/B + A/S) AJD]]*1000))</f>
        <v>-4000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 TOT) AJD]]-TABL12[[#This Row],[BER_ 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 TOT) AJD]]-TABL12[[#This Row],[SER_ 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(TABL12[[#This Row],[( S/S+T/B) AJD]]*1000)-((TABL12[[#This Row],[(STORGE DIFF.) AJD]]*1000)+TABL12[[#This Row],[البخر  AJD]]+(TABL12[[#This Row],[(A/B + A/S) AJD]]*1000))</f>
        <v>-2000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 TOT) AJD]]-TABL12[[#This Row],[BER_ 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 TOT) AJD]]-TABL12[[#This Row],[SER_ 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(TABL12[[#This Row],[( S/S+T/B) AJD]]*1000)-((TABL12[[#This Row],[(STORGE DIFF.) AJD]]*1000)+TABL12[[#This Row],[البخر  AJD]]+(TABL12[[#This Row],[(A/B + A/S) AJD]]*1000))</f>
        <v>-2000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 TOT) AJD]]-TABL12[[#This Row],[BER_ 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 TOT) AJD]]-TABL12[[#This Row],[SER_ 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(TABL12[[#This Row],[( S/S+T/B) AJD]]*1000)-((TABL12[[#This Row],[(STORGE DIFF.) AJD]]*1000)+TABL12[[#This Row],[البخر  AJD]]+(TABL12[[#This Row],[(A/B + A/S) AJD]]*1000))</f>
        <v>-2000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 TOT) AJD]]-TABL12[[#This Row],[BER_ 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 TOT) AJD]]-TABL12[[#This Row],[SER_ 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(TABL12[[#This Row],[( S/S+T/B) AJD]]*1000)-((TABL12[[#This Row],[(STORGE DIFF.) AJD]]*1000)+TABL12[[#This Row],[البخر  AJD]]+(TABL12[[#This Row],[(A/B + A/S) AJD]]*1000))</f>
        <v>2000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 TOT) AJD]]-TABL12[[#This Row],[BER_ 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 TOT) AJD]]-TABL12[[#This Row],[SER_ 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(TABL12[[#This Row],[( S/S+T/B) AJD]]*1000)-((TABL12[[#This Row],[(STORGE DIFF.) AJD]]*1000)+TABL12[[#This Row],[البخر  AJD]]+(TABL12[[#This Row],[(A/B + A/S) AJD]]*1000))</f>
        <v>-2000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 TOT) AJD]]-TABL12[[#This Row],[BER_ 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 TOT) AJD]]-TABL12[[#This Row],[SER_ 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(TABL12[[#This Row],[( S/S+T/B) AJD]]*1000)-((TABL12[[#This Row],[(STORGE DIFF.) AJD]]*1000)+TABL12[[#This Row],[البخر  AJD]]+(TABL12[[#This Row],[(A/B + A/S) AJD]]*1000))</f>
        <v>-1000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 TOT) AJD]]-TABL12[[#This Row],[BER_ 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 TOT) AJD]]-TABL12[[#This Row],[SER_ 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(TABL12[[#This Row],[( S/S+T/B) AJD]]*1000)-((TABL12[[#This Row],[(STORGE DIFF.) AJD]]*1000)+TABL12[[#This Row],[البخر  AJD]]+(TABL12[[#This Row],[(A/B + A/S) AJD]]*1000))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 TOT) AJD]]-TABL12[[#This Row],[BER_ 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 TOT) AJD]]-TABL12[[#This Row],[SER_ 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(TABL12[[#This Row],[( S/S+T/B) AJD]]*1000)-((TABL12[[#This Row],[(STORGE DIFF.) AJD]]*1000)+TABL12[[#This Row],[البخر  AJD]]+(TABL12[[#This Row],[(A/B + A/S) AJD]]*1000))</f>
        <v>-4000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 TOT) AJD]]-TABL12[[#This Row],[BER_ 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 TOT) AJD]]-TABL12[[#This Row],[SER_ 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(TABL12[[#This Row],[( S/S+T/B) AJD]]*1000)-((TABL12[[#This Row],[(STORGE DIFF.) AJD]]*1000)+TABL12[[#This Row],[البخر  AJD]]+(TABL12[[#This Row],[(A/B + A/S) AJD]]*1000))</f>
        <v>-5000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 TOT) AJD]]-TABL12[[#This Row],[BER_ 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 TOT) AJD]]-TABL12[[#This Row],[SER_ 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(TABL12[[#This Row],[( S/S+T/B) AJD]]*1000)-((TABL12[[#This Row],[(STORGE DIFF.) AJD]]*1000)+TABL12[[#This Row],[البخر  AJD]]+(TABL12[[#This Row],[(A/B + A/S) AJD]]*1000))</f>
        <v>-2000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 TOT) AJD]]-TABL12[[#This Row],[BER_ 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 TOT) AJD]]-TABL12[[#This Row],[SER_ 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(TABL12[[#This Row],[( S/S+T/B) AJD]]*1000)-((TABL12[[#This Row],[(STORGE DIFF.) AJD]]*1000)+TABL12[[#This Row],[البخر  AJD]]+(TABL12[[#This Row],[(A/B + A/S) AJD]]*1000))</f>
        <v>-2000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 TOT) AJD]]-TABL12[[#This Row],[BER_ 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 TOT) AJD]]-TABL12[[#This Row],[SER_ 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(TABL12[[#This Row],[( S/S+T/B) AJD]]*1000)-((TABL12[[#This Row],[(STORGE DIFF.) AJD]]*1000)+TABL12[[#This Row],[البخر  AJD]]+(TABL12[[#This Row],[(A/B + A/S) AJD]]*1000))</f>
        <v>-5000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 TOT) AJD]]-TABL12[[#This Row],[BER_ 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 TOT) AJD]]-TABL12[[#This Row],[SER_ 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(TABL12[[#This Row],[( S/S+T/B) AJD]]*1000)-((TABL12[[#This Row],[(STORGE DIFF.) AJD]]*1000)+TABL12[[#This Row],[البخر  AJD]]+(TABL12[[#This Row],[(A/B + A/S) AJD]]*1000))</f>
        <v>-3000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 TOT) AJD]]-TABL12[[#This Row],[BER_ 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 TOT) AJD]]-TABL12[[#This Row],[SER_ 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(TABL12[[#This Row],[( S/S+T/B) AJD]]*1000)-((TABL12[[#This Row],[(STORGE DIFF.) AJD]]*1000)+TABL12[[#This Row],[البخر  AJD]]+(TABL12[[#This Row],[(A/B + A/S) AJD]]*1000))</f>
        <v>9000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 TOT) AJD]]-TABL12[[#This Row],[BER_ 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 TOT) AJD]]-TABL12[[#This Row],[SER_ 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(TABL12[[#This Row],[( S/S+T/B) AJD]]*1000)-((TABL12[[#This Row],[(STORGE DIFF.) AJD]]*1000)+TABL12[[#This Row],[البخر  AJD]]+(TABL12[[#This Row],[(A/B + A/S) AJD]]*1000))</f>
        <v>-2000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 TOT) AJD]]-TABL12[[#This Row],[BER_ 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 TOT) AJD]]-TABL12[[#This Row],[SER_ 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(TABL12[[#This Row],[( S/S+T/B) AJD]]*1000)-((TABL12[[#This Row],[(STORGE DIFF.) AJD]]*1000)+TABL12[[#This Row],[البخر  AJD]]+(TABL12[[#This Row],[(A/B + A/S) AJD]]*1000))</f>
        <v>-3000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 TOT) AJD]]-TABL12[[#This Row],[BER_ 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 TOT) AJD]]-TABL12[[#This Row],[SER_ 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(TABL12[[#This Row],[( S/S+T/B) AJD]]*1000)-((TABL12[[#This Row],[(STORGE DIFF.) AJD]]*1000)+TABL12[[#This Row],[البخر  AJD]]+(TABL12[[#This Row],[(A/B + A/S) AJD]]*1000))</f>
        <v>-3000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 TOT) AJD]]-TABL12[[#This Row],[BER_ 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 TOT) AJD]]-TABL12[[#This Row],[SER_ 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(TABL12[[#This Row],[( S/S+T/B) AJD]]*1000)-((TABL12[[#This Row],[(STORGE DIFF.) AJD]]*1000)+TABL12[[#This Row],[البخر  AJD]]+(TABL12[[#This Row],[(A/B + A/S) AJD]]*1000))</f>
        <v>-1000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 TOT) AJD]]-TABL12[[#This Row],[BER_ 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 TOT) AJD]]-TABL12[[#This Row],[SER_ 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(TABL12[[#This Row],[( S/S+T/B) AJD]]*1000)-((TABL12[[#This Row],[(STORGE DIFF.) AJD]]*1000)+TABL12[[#This Row],[البخر  AJD]]+(TABL12[[#This Row],[(A/B + A/S) AJD]]*1000))</f>
        <v>-5000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 TOT) AJD]]-TABL12[[#This Row],[BER_ 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 TOT) AJD]]-TABL12[[#This Row],[SER_ 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(TABL12[[#This Row],[( S/S+T/B) AJD]]*1000)-((TABL12[[#This Row],[(STORGE DIFF.) AJD]]*1000)+TABL12[[#This Row],[البخر  AJD]]+(TABL12[[#This Row],[(A/B + A/S) AJD]]*1000))</f>
        <v>4000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 TOT) AJD]]-TABL12[[#This Row],[BER_ 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 TOT) AJD]]-TABL12[[#This Row],[SER_ 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(TABL12[[#This Row],[( S/S+T/B) AJD]]*1000)-((TABL12[[#This Row],[(STORGE DIFF.) AJD]]*1000)+TABL12[[#This Row],[البخر  AJD]]+(TABL12[[#This Row],[(A/B + A/S) AJD]]*1000))</f>
        <v>-3000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 TOT) AJD]]-TABL12[[#This Row],[BER_ 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 TOT) AJD]]-TABL12[[#This Row],[SER_ 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(TABL12[[#This Row],[( S/S+T/B) AJD]]*1000)-((TABL12[[#This Row],[(STORGE DIFF.) AJD]]*1000)+TABL12[[#This Row],[البخر  AJD]]+(TABL12[[#This Row],[(A/B + A/S) AJD]]*1000))</f>
        <v>12000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 TOT) AJD]]-TABL12[[#This Row],[BER_ 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 TOT) AJD]]-TABL12[[#This Row],[SER_ 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(TABL12[[#This Row],[( S/S+T/B) AJD]]*1000)-((TABL12[[#This Row],[(STORGE DIFF.) AJD]]*1000)+TABL12[[#This Row],[البخر  AJD]]+(TABL12[[#This Row],[(A/B + A/S) AJD]]*1000))</f>
        <v>3000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 TOT) AJD]]-TABL12[[#This Row],[BER_ 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 TOT) AJD]]-TABL12[[#This Row],[SER_ 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(TABL12[[#This Row],[( S/S+T/B) AJD]]*1000)-((TABL12[[#This Row],[(STORGE DIFF.) AJD]]*1000)+TABL12[[#This Row],[البخر  AJD]]+(TABL12[[#This Row],[(A/B + A/S) AJD]]*1000))</f>
        <v>1000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 TOT) AJD]]-TABL12[[#This Row],[BER_ 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 TOT) AJD]]-TABL12[[#This Row],[SER_ 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(TABL12[[#This Row],[( S/S+T/B) AJD]]*1000)-((TABL12[[#This Row],[(STORGE DIFF.) AJD]]*1000)+TABL12[[#This Row],[البخر  AJD]]+(TABL12[[#This Row],[(A/B + A/S) AJD]]*1000))</f>
        <v>2000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 TOT) AJD]]-TABL12[[#This Row],[BER_ 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 TOT) AJD]]-TABL12[[#This Row],[SER_ 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(TABL12[[#This Row],[( S/S+T/B) AJD]]*1000)-((TABL12[[#This Row],[(STORGE DIFF.) AJD]]*1000)+TABL12[[#This Row],[البخر  AJD]]+(TABL12[[#This Row],[(A/B + A/S) AJD]]*1000))</f>
        <v>-1000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 TOT) AJD]]-TABL12[[#This Row],[BER_ 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 TOT) AJD]]-TABL12[[#This Row],[SER_ 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(TABL12[[#This Row],[( S/S+T/B) AJD]]*1000)-((TABL12[[#This Row],[(STORGE DIFF.) AJD]]*1000)+TABL12[[#This Row],[البخر  AJD]]+(TABL12[[#This Row],[(A/B + A/S) AJD]]*1000))</f>
        <v>-88000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 TOT) AJD]]-TABL12[[#This Row],[BER_ 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 TOT) AJD]]-TABL12[[#This Row],[SER_ 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(TABL12[[#This Row],[( S/S+T/B) AJD]]*1000)-((TABL12[[#This Row],[(STORGE DIFF.) AJD]]*1000)+TABL12[[#This Row],[البخر  AJD]]+(TABL12[[#This Row],[(A/B + A/S) AJD]]*1000))</f>
        <v>-1000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 TOT) AJD]]-TABL12[[#This Row],[BER_ 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 TOT) AJD]]-TABL12[[#This Row],[SER_ 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(TABL12[[#This Row],[( S/S+T/B) AJD]]*1000)-((TABL12[[#This Row],[(STORGE DIFF.) AJD]]*1000)+TABL12[[#This Row],[البخر  AJD]]+(TABL12[[#This Row],[(A/B + A/S) AJD]]*1000))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 TOT) AJD]]-TABL12[[#This Row],[BER_ 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 TOT) AJD]]-TABL12[[#This Row],[SER_ 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(TABL12[[#This Row],[( S/S+T/B) AJD]]*1000)-((TABL12[[#This Row],[(STORGE DIFF.) AJD]]*1000)+TABL12[[#This Row],[البخر  AJD]]+(TABL12[[#This Row],[(A/B + A/S) AJD]]*1000))</f>
        <v>-1000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 TOT) AJD]]-TABL12[[#This Row],[BER_ 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 TOT) AJD]]-TABL12[[#This Row],[SER_ 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(TABL12[[#This Row],[( S/S+T/B) AJD]]*1000)-((TABL12[[#This Row],[(STORGE DIFF.) AJD]]*1000)+TABL12[[#This Row],[البخر  AJD]]+(TABL12[[#This Row],[(A/B + A/S) AJD]]*1000))</f>
        <v>-3000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 TOT) AJD]]-TABL12[[#This Row],[BER_ 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 TOT) AJD]]-TABL12[[#This Row],[SER_ 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(TABL12[[#This Row],[( S/S+T/B) AJD]]*1000)-((TABL12[[#This Row],[(STORGE DIFF.) AJD]]*1000)+TABL12[[#This Row],[البخر  AJD]]+(TABL12[[#This Row],[(A/B + A/S) AJD]]*1000))</f>
        <v>-1000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 TOT) AJD]]-TABL12[[#This Row],[BER_ 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 TOT) AJD]]-TABL12[[#This Row],[SER_ 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(TABL12[[#This Row],[( S/S+T/B) AJD]]*1000)-((TABL12[[#This Row],[(STORGE DIFF.) AJD]]*1000)+TABL12[[#This Row],[البخر  AJD]]+(TABL12[[#This Row],[(A/B + A/S) AJD]]*1000))</f>
        <v>-5000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 TOT) AJD]]-TABL12[[#This Row],[BER_ 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 TOT) AJD]]-TABL12[[#This Row],[SER_ 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(TABL12[[#This Row],[( S/S+T/B) AJD]]*1000)-((TABL12[[#This Row],[(STORGE DIFF.) AJD]]*1000)+TABL12[[#This Row],[البخر  AJD]]+(TABL12[[#This Row],[(A/B + A/S) AJD]]*1000))</f>
        <v>-1000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 TOT) AJD]]-TABL12[[#This Row],[BER_ 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 TOT) AJD]]-TABL12[[#This Row],[SER_ 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(TABL12[[#This Row],[( S/S+T/B) AJD]]*1000)-((TABL12[[#This Row],[(STORGE DIFF.) AJD]]*1000)+TABL12[[#This Row],[البخر  AJD]]+(TABL12[[#This Row],[(A/B + A/S) AJD]]*1000))</f>
        <v>-4000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 TOT) AJD]]-TABL12[[#This Row],[BER_ 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 TOT) AJD]]-TABL12[[#This Row],[SER_ 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(TABL12[[#This Row],[( S/S+T/B) AJD]]*1000)-((TABL12[[#This Row],[(STORGE DIFF.) AJD]]*1000)+TABL12[[#This Row],[البخر  AJD]]+(TABL12[[#This Row],[(A/B + A/S) AJD]]*1000))</f>
        <v>4000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 TOT) AJD]]-TABL12[[#This Row],[BER_ 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 TOT) AJD]]-TABL12[[#This Row],[SER_ 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(TABL12[[#This Row],[( S/S+T/B) AJD]]*1000)-((TABL12[[#This Row],[(STORGE DIFF.) AJD]]*1000)+TABL12[[#This Row],[البخر  AJD]]+(TABL12[[#This Row],[(A/B + A/S) AJD]]*1000))</f>
        <v>-4000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 TOT) AJD]]-TABL12[[#This Row],[BER_ 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 TOT) AJD]]-TABL12[[#This Row],[SER_ 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(TABL12[[#This Row],[( S/S+T/B) AJD]]*1000)-((TABL12[[#This Row],[(STORGE DIFF.) AJD]]*1000)+TABL12[[#This Row],[البخر  AJD]]+(TABL12[[#This Row],[(A/B + A/S) AJD]]*1000))</f>
        <v>-3000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 TOT) AJD]]-TABL12[[#This Row],[BER_ 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 TOT) AJD]]-TABL12[[#This Row],[SER_ 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(TABL12[[#This Row],[( S/S+T/B) AJD]]*1000)-((TABL12[[#This Row],[(STORGE DIFF.) AJD]]*1000)+TABL12[[#This Row],[البخر  AJD]]+(TABL12[[#This Row],[(A/B + A/S) AJD]]*1000))</f>
        <v>-3000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 TOT) AJD]]-TABL12[[#This Row],[BER_ 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 TOT) AJD]]-TABL12[[#This Row],[SER_ 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(TABL12[[#This Row],[( S/S+T/B) AJD]]*1000)-((TABL12[[#This Row],[(STORGE DIFF.) AJD]]*1000)+TABL12[[#This Row],[البخر  AJD]]+(TABL12[[#This Row],[(A/B + A/S) AJD]]*1000))</f>
        <v>-3000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 TOT) AJD]]-TABL12[[#This Row],[BER_ 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 TOT) AJD]]-TABL12[[#This Row],[SER_ 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(TABL12[[#This Row],[( S/S+T/B) AJD]]*1000)-((TABL12[[#This Row],[(STORGE DIFF.) AJD]]*1000)+TABL12[[#This Row],[البخر  AJD]]+(TABL12[[#This Row],[(A/B + A/S) AJD]]*1000))</f>
        <v>-1000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 TOT) AJD]]-TABL12[[#This Row],[BER_ 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 TOT) AJD]]-TABL12[[#This Row],[SER_ 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(TABL12[[#This Row],[( S/S+T/B) AJD]]*1000)-((TABL12[[#This Row],[(STORGE DIFF.) AJD]]*1000)+TABL12[[#This Row],[البخر  AJD]]+(TABL12[[#This Row],[(A/B + A/S) AJD]]*1000))</f>
        <v>-3000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 TOT) AJD]]-TABL12[[#This Row],[BER_ 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 TOT) AJD]]-TABL12[[#This Row],[SER_ 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(TABL12[[#This Row],[( S/S+T/B) AJD]]*1000)-((TABL12[[#This Row],[(STORGE DIFF.) AJD]]*1000)+TABL12[[#This Row],[البخر  AJD]]+(TABL12[[#This Row],[(A/B + A/S) AJD]]*1000))</f>
        <v>1000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 TOT) AJD]]-TABL12[[#This Row],[BER_ 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 TOT) AJD]]-TABL12[[#This Row],[SER_ 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(TABL12[[#This Row],[( S/S+T/B) AJD]]*1000)-((TABL12[[#This Row],[(STORGE DIFF.) AJD]]*1000)+TABL12[[#This Row],[البخر  AJD]]+(TABL12[[#This Row],[(A/B + A/S) AJD]]*1000))</f>
        <v>2000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 TOT) AJD]]-TABL12[[#This Row],[BER_ 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 TOT) AJD]]-TABL12[[#This Row],[SER_ 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(TABL12[[#This Row],[( S/S+T/B) AJD]]*1000)-((TABL12[[#This Row],[(STORGE DIFF.) AJD]]*1000)+TABL12[[#This Row],[البخر  AJD]]+(TABL12[[#This Row],[(A/B + A/S) AJD]]*1000))</f>
        <v>-3000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 TOT) AJD]]-TABL12[[#This Row],[BER_ 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 TOT) AJD]]-TABL12[[#This Row],[SER_ 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(TABL12[[#This Row],[( S/S+T/B) AJD]]*1000)-((TABL12[[#This Row],[(STORGE DIFF.) AJD]]*1000)+TABL12[[#This Row],[البخر  AJD]]+(TABL12[[#This Row],[(A/B + A/S) AJD]]*1000))</f>
        <v>3000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 TOT) AJD]]-TABL12[[#This Row],[BER_ 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 TOT) AJD]]-TABL12[[#This Row],[SER_ 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(TABL12[[#This Row],[( S/S+T/B) AJD]]*1000)-((TABL12[[#This Row],[(STORGE DIFF.) AJD]]*1000)+TABL12[[#This Row],[البخر  AJD]]+(TABL12[[#This Row],[(A/B + A/S) AJD]]*1000))</f>
        <v>-1000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 TOT) AJD]]-TABL12[[#This Row],[BER_ 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 TOT) AJD]]-TABL12[[#This Row],[SER_ 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(TABL12[[#This Row],[( S/S+T/B) AJD]]*1000)-((TABL12[[#This Row],[(STORGE DIFF.) AJD]]*1000)+TABL12[[#This Row],[البخر  AJD]]+(TABL12[[#This Row],[(A/B + A/S) AJD]]*1000))</f>
        <v>-4000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 TOT) AJD]]-TABL12[[#This Row],[BER_ 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 TOT) AJD]]-TABL12[[#This Row],[SER_ 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(TABL12[[#This Row],[( S/S+T/B) AJD]]*1000)-((TABL12[[#This Row],[(STORGE DIFF.) AJD]]*1000)+TABL12[[#This Row],[البخر  AJD]]+(TABL12[[#This Row],[(A/B + A/S) AJD]]*1000))</f>
        <v>-1000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 TOT) AJD]]-TABL12[[#This Row],[BER_ 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 TOT) AJD]]-TABL12[[#This Row],[SER_ 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(TABL12[[#This Row],[( S/S+T/B) AJD]]*1000)-((TABL12[[#This Row],[(STORGE DIFF.) AJD]]*1000)+TABL12[[#This Row],[البخر  AJD]]+(TABL12[[#This Row],[(A/B + A/S) AJD]]*1000))</f>
        <v>-3000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 TOT) AJD]]-TABL12[[#This Row],[BER_ 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 TOT) AJD]]-TABL12[[#This Row],[SER_ 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(TABL12[[#This Row],[( S/S+T/B) AJD]]*1000)-((TABL12[[#This Row],[(STORGE DIFF.) AJD]]*1000)+TABL12[[#This Row],[البخر  AJD]]+(TABL12[[#This Row],[(A/B + A/S) AJD]]*1000))</f>
        <v>-1000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 TOT) AJD]]-TABL12[[#This Row],[BER_ 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 TOT) AJD]]-TABL12[[#This Row],[SER_ 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(TABL12[[#This Row],[( S/S+T/B) AJD]]*1000)-((TABL12[[#This Row],[(STORGE DIFF.) AJD]]*1000)+TABL12[[#This Row],[البخر  AJD]]+(TABL12[[#This Row],[(A/B + A/S) AJD]]*1000))</f>
        <v>3000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 TOT) AJD]]-TABL12[[#This Row],[BER_ 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 TOT) AJD]]-TABL12[[#This Row],[SER_ 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(TABL12[[#This Row],[( S/S+T/B) AJD]]*1000)-((TABL12[[#This Row],[(STORGE DIFF.) AJD]]*1000)+TABL12[[#This Row],[البخر  AJD]]+(TABL12[[#This Row],[(A/B + A/S) AJD]]*1000))</f>
        <v>6000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 TOT) AJD]]-TABL12[[#This Row],[BER_ 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 TOT) AJD]]-TABL12[[#This Row],[SER_ 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(TABL12[[#This Row],[( S/S+T/B) AJD]]*1000)-((TABL12[[#This Row],[(STORGE DIFF.) AJD]]*1000)+TABL12[[#This Row],[البخر  AJD]]+(TABL12[[#This Row],[(A/B + A/S) AJD]]*1000))</f>
        <v>-1000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 TOT) AJD]]-TABL12[[#This Row],[BER_ 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 TOT) AJD]]-TABL12[[#This Row],[SER_ 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(TABL12[[#This Row],[( S/S+T/B) AJD]]*1000)-((TABL12[[#This Row],[(STORGE DIFF.) AJD]]*1000)+TABL12[[#This Row],[البخر  AJD]]+(TABL12[[#This Row],[(A/B + A/S) AJD]]*1000))</f>
        <v>-3000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 TOT) AJD]]-TABL12[[#This Row],[BER_ 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 TOT) AJD]]-TABL12[[#This Row],[SER_ 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(TABL12[[#This Row],[( S/S+T/B) AJD]]*1000)-((TABL12[[#This Row],[(STORGE DIFF.) AJD]]*1000)+TABL12[[#This Row],[البخر  AJD]]+(TABL12[[#This Row],[(A/B + A/S) AJD]]*1000))</f>
        <v>-8000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 TOT) AJD]]-TABL12[[#This Row],[BER_ 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 TOT) AJD]]-TABL12[[#This Row],[SER_ 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(TABL12[[#This Row],[( S/S+T/B) AJD]]*1000)-((TABL12[[#This Row],[(STORGE DIFF.) AJD]]*1000)+TABL12[[#This Row],[البخر  AJD]]+(TABL12[[#This Row],[(A/B + A/S) AJD]]*1000))</f>
        <v>7000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 TOT) AJD]]-TABL12[[#This Row],[BER_ 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 TOT) AJD]]-TABL12[[#This Row],[SER_ 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(TABL12[[#This Row],[( S/S+T/B) AJD]]*1000)-((TABL12[[#This Row],[(STORGE DIFF.) AJD]]*1000)+TABL12[[#This Row],[البخر  AJD]]+(TABL12[[#This Row],[(A/B + A/S) AJD]]*1000))</f>
        <v>31000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 TOT) AJD]]-TABL12[[#This Row],[BER_ 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 TOT) AJD]]-TABL12[[#This Row],[SER_ 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(TABL12[[#This Row],[( S/S+T/B) AJD]]*1000)-((TABL12[[#This Row],[(STORGE DIFF.) AJD]]*1000)+TABL12[[#This Row],[البخر  AJD]]+(TABL12[[#This Row],[(A/B + A/S) AJD]]*1000))</f>
        <v>-5000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 TOT) AJD]]-TABL12[[#This Row],[BER_ 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 TOT) AJD]]-TABL12[[#This Row],[SER_ 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(TABL12[[#This Row],[( S/S+T/B) AJD]]*1000)-((TABL12[[#This Row],[(STORGE DIFF.) AJD]]*1000)+TABL12[[#This Row],[البخر  AJD]]+(TABL12[[#This Row],[(A/B + A/S) AJD]]*1000))</f>
        <v>64000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 TOT) AJD]]-TABL12[[#This Row],[BER_ 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 TOT) AJD]]-TABL12[[#This Row],[SER_ 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(TABL12[[#This Row],[( S/S+T/B) AJD]]*1000)-((TABL12[[#This Row],[(STORGE DIFF.) AJD]]*1000)+TABL12[[#This Row],[البخر  AJD]]+(TABL12[[#This Row],[(A/B + A/S) AJD]]*1000))</f>
        <v>70000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 TOT) AJD]]-TABL12[[#This Row],[BER_ 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 TOT) AJD]]-TABL12[[#This Row],[SER_ 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(TABL12[[#This Row],[( S/S+T/B) AJD]]*1000)-((TABL12[[#This Row],[(STORGE DIFF.) AJD]]*1000)+TABL12[[#This Row],[البخر  AJD]]+(TABL12[[#This Row],[(A/B + A/S) AJD]]*1000))</f>
        <v>82000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 TOT) AJD]]-TABL12[[#This Row],[BER_ 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 TOT) AJD]]-TABL12[[#This Row],[SER_ 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(TABL12[[#This Row],[( S/S+T/B) AJD]]*1000)-((TABL12[[#This Row],[(STORGE DIFF.) AJD]]*1000)+TABL12[[#This Row],[البخر  AJD]]+(TABL12[[#This Row],[(A/B + A/S) AJD]]*1000))</f>
        <v>-89284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 TOT) AJD]]-TABL12[[#This Row],[BER_ 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 TOT) AJD]]-TABL12[[#This Row],[SER_ 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(TABL12[[#This Row],[( S/S+T/B) AJD]]*1000)-((TABL12[[#This Row],[(STORGE DIFF.) AJD]]*1000)+TABL12[[#This Row],[البخر  AJD]]+(TABL12[[#This Row],[(A/B + A/S) AJD]]*1000))</f>
        <v>21486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 TOT) AJD]]-TABL12[[#This Row],[BER_ 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 TOT) AJD]]-TABL12[[#This Row],[SER_ 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(TABL12[[#This Row],[( S/S+T/B) AJD]]*1000)-((TABL12[[#This Row],[(STORGE DIFF.) AJD]]*1000)+TABL12[[#This Row],[البخر  AJD]]+(TABL12[[#This Row],[(A/B + A/S) AJD]]*1000))</f>
        <v>3460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 TOT) AJD]]-TABL12[[#This Row],[BER_ 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 TOT) AJD]]-TABL12[[#This Row],[SER_ 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(TABL12[[#This Row],[( S/S+T/B) AJD]]*1000)-((TABL12[[#This Row],[(STORGE DIFF.) AJD]]*1000)+TABL12[[#This Row],[البخر  AJD]]+(TABL12[[#This Row],[(A/B + A/S) AJD]]*1000))</f>
        <v>4080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 TOT) AJD]]-TABL12[[#This Row],[BER_ 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 TOT) AJD]]-TABL12[[#This Row],[SER_ 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(TABL12[[#This Row],[( S/S+T/B) AJD]]*1000)-((TABL12[[#This Row],[(STORGE DIFF.) AJD]]*1000)+TABL12[[#This Row],[البخر  AJD]]+(TABL12[[#This Row],[(A/B + A/S) AJD]]*1000))</f>
        <v>19835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 TOT) AJD]]-TABL12[[#This Row],[BER_ 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 TOT) AJD]]-TABL12[[#This Row],[SER_ 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(TABL12[[#This Row],[( S/S+T/B) AJD]]*1000)-((TABL12[[#This Row],[(STORGE DIFF.) AJD]]*1000)+TABL12[[#This Row],[البخر  AJD]]+(TABL12[[#This Row],[(A/B + A/S) AJD]]*1000))</f>
        <v>6918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 TOT) AJD]]-TABL12[[#This Row],[BER_ 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 TOT) AJD]]-TABL12[[#This Row],[SER_ 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(TABL12[[#This Row],[( S/S+T/B) AJD]]*1000)-((TABL12[[#This Row],[(STORGE DIFF.) AJD]]*1000)+TABL12[[#This Row],[البخر  AJD]]+(TABL12[[#This Row],[(A/B + A/S) AJD]]*1000))</f>
        <v>8391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 TOT) AJD]]-TABL12[[#This Row],[BER_ 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 TOT) AJD]]-TABL12[[#This Row],[SER_ 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(TABL12[[#This Row],[( S/S+T/B) AJD]]*1000)-((TABL12[[#This Row],[(STORGE DIFF.) AJD]]*1000)+TABL12[[#This Row],[البخر  AJD]]+(TABL12[[#This Row],[(A/B + A/S) AJD]]*1000))</f>
        <v>5251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 TOT) AJD]]-TABL12[[#This Row],[BER_ 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 TOT) AJD]]-TABL12[[#This Row],[SER_ 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(TABL12[[#This Row],[( S/S+T/B) AJD]]*1000)-((TABL12[[#This Row],[(STORGE DIFF.) AJD]]*1000)+TABL12[[#This Row],[البخر  AJD]]+(TABL12[[#This Row],[(A/B + A/S) AJD]]*1000))</f>
        <v>9693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 TOT) AJD]]-TABL12[[#This Row],[BER_ 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 TOT) AJD]]-TABL12[[#This Row],[SER_ 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(TABL12[[#This Row],[( S/S+T/B) AJD]]*1000)-((TABL12[[#This Row],[(STORGE DIFF.) AJD]]*1000)+TABL12[[#This Row],[البخر  AJD]]+(TABL12[[#This Row],[(A/B + A/S) AJD]]*1000))</f>
        <v>8364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 TOT) AJD]]-TABL12[[#This Row],[BER_ 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 TOT) AJD]]-TABL12[[#This Row],[SER_ 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(TABL12[[#This Row],[( S/S+T/B) AJD]]*1000)-((TABL12[[#This Row],[(STORGE DIFF.) AJD]]*1000)+TABL12[[#This Row],[البخر  AJD]]+(TABL12[[#This Row],[(A/B + A/S) AJD]]*1000))</f>
        <v>5702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 TOT) AJD]]-TABL12[[#This Row],[BER_ 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 TOT) AJD]]-TABL12[[#This Row],[SER_ 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(TABL12[[#This Row],[( S/S+T/B) AJD]]*1000)-((TABL12[[#This Row],[(STORGE DIFF.) AJD]]*1000)+TABL12[[#This Row],[البخر  AJD]]+(TABL12[[#This Row],[(A/B + A/S) AJD]]*1000))</f>
        <v>21428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 TOT) AJD]]-TABL12[[#This Row],[BER_ 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 TOT) AJD]]-TABL12[[#This Row],[SER_ 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(TABL12[[#This Row],[( S/S+T/B) AJD]]*1000)-((TABL12[[#This Row],[(STORGE DIFF.) AJD]]*1000)+TABL12[[#This Row],[البخر  AJD]]+(TABL12[[#This Row],[(A/B + A/S) AJD]]*1000))</f>
        <v>20636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 TOT) AJD]]-TABL12[[#This Row],[BER_ 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 TOT) AJD]]-TABL12[[#This Row],[SER_ 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(TABL12[[#This Row],[( S/S+T/B) AJD]]*1000)-((TABL12[[#This Row],[(STORGE DIFF.) AJD]]*1000)+TABL12[[#This Row],[البخر  AJD]]+(TABL12[[#This Row],[(A/B + A/S) AJD]]*1000))</f>
        <v>5347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 TOT) AJD]]-TABL12[[#This Row],[BER_ 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 TOT) AJD]]-TABL12[[#This Row],[SER_ 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(TABL12[[#This Row],[( S/S+T/B) AJD]]*1000)-((TABL12[[#This Row],[(STORGE DIFF.) AJD]]*1000)+TABL12[[#This Row],[البخر  AJD]]+(TABL12[[#This Row],[(A/B + A/S) AJD]]*1000))</f>
        <v>10646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 TOT) AJD]]-TABL12[[#This Row],[BER_ 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 TOT) AJD]]-TABL12[[#This Row],[SER_ 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(TABL12[[#This Row],[( S/S+T/B) AJD]]*1000)-((TABL12[[#This Row],[(STORGE DIFF.) AJD]]*1000)+TABL12[[#This Row],[البخر  AJD]]+(TABL12[[#This Row],[(A/B + A/S) AJD]]*1000))</f>
        <v>2502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 TOT) AJD]]-TABL12[[#This Row],[BER_ 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 TOT) AJD]]-TABL12[[#This Row],[SER_ 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(TABL12[[#This Row],[( S/S+T/B) AJD]]*1000)-((TABL12[[#This Row],[(STORGE DIFF.) AJD]]*1000)+TABL12[[#This Row],[البخر  AJD]]+(TABL12[[#This Row],[(A/B + A/S) AJD]]*1000))</f>
        <v>14000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 TOT) AJD]]-TABL12[[#This Row],[BER_ 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 TOT) AJD]]-TABL12[[#This Row],[SER_ 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(TABL12[[#This Row],[( S/S+T/B) AJD]]*1000)-((TABL12[[#This Row],[(STORGE DIFF.) AJD]]*1000)+TABL12[[#This Row],[البخر  AJD]]+(TABL12[[#This Row],[(A/B + A/S) AJD]]*1000))</f>
        <v>-12000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 TOT) AJD]]-TABL12[[#This Row],[BER_ 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 TOT) AJD]]-TABL12[[#This Row],[SER_ 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(TABL12[[#This Row],[( S/S+T/B) AJD]]*1000)-((TABL12[[#This Row],[(STORGE DIFF.) AJD]]*1000)+TABL12[[#This Row],[البخر  AJD]]+(TABL12[[#This Row],[(A/B + A/S) AJD]]*1000))</f>
        <v>73000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 TOT) AJD]]-TABL12[[#This Row],[BER_ 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 TOT) AJD]]-TABL12[[#This Row],[SER_ 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(TABL12[[#This Row],[( S/S+T/B) AJD]]*1000)-((TABL12[[#This Row],[(STORGE DIFF.) AJD]]*1000)+TABL12[[#This Row],[البخر  AJD]]+(TABL12[[#This Row],[(A/B + A/S) AJD]]*1000))</f>
        <v>-42810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 TOT) AJD]]-TABL12[[#This Row],[BER_ 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 TOT) AJD]]-TABL12[[#This Row],[SER_ 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(TABL12[[#This Row],[( S/S+T/B) AJD]]*1000)-((TABL12[[#This Row],[(STORGE DIFF.) AJD]]*1000)+TABL12[[#This Row],[البخر  AJD]]+(TABL12[[#This Row],[(A/B + A/S) AJD]]*1000))</f>
        <v>10272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 TOT) AJD]]-TABL12[[#This Row],[BER_ 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 TOT) AJD]]-TABL12[[#This Row],[SER_ 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(TABL12[[#This Row],[( S/S+T/B) AJD]]*1000)-((TABL12[[#This Row],[(STORGE DIFF.) AJD]]*1000)+TABL12[[#This Row],[البخر  AJD]]+(TABL12[[#This Row],[(A/B + A/S) AJD]]*1000))</f>
        <v>21515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 TOT) AJD]]-TABL12[[#This Row],[BER_ 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 TOT) AJD]]-TABL12[[#This Row],[SER_ 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(TABL12[[#This Row],[( S/S+T/B) AJD]]*1000)-((TABL12[[#This Row],[(STORGE DIFF.) AJD]]*1000)+TABL12[[#This Row],[البخر  AJD]]+(TABL12[[#This Row],[(A/B + A/S) AJD]]*1000))</f>
        <v>16730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 TOT) AJD]]-TABL12[[#This Row],[BER_ 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 TOT) AJD]]-TABL12[[#This Row],[SER_ 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(TABL12[[#This Row],[( S/S+T/B) AJD]]*1000)-((TABL12[[#This Row],[(STORGE DIFF.) AJD]]*1000)+TABL12[[#This Row],[البخر  AJD]]+(TABL12[[#This Row],[(A/B + A/S) AJD]]*1000))</f>
        <v>18153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 TOT) AJD]]-TABL12[[#This Row],[BER_ 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 TOT) AJD]]-TABL12[[#This Row],[SER_ 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(TABL12[[#This Row],[( S/S+T/B) AJD]]*1000)-((TABL12[[#This Row],[(STORGE DIFF.) AJD]]*1000)+TABL12[[#This Row],[البخر  AJD]]+(TABL12[[#This Row],[(A/B + A/S) AJD]]*1000))</f>
        <v>17153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 TOT) AJD]]-TABL12[[#This Row],[BER_ 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 TOT) AJD]]-TABL12[[#This Row],[SER_ 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(TABL12[[#This Row],[( S/S+T/B) AJD]]*1000)-((TABL12[[#This Row],[(STORGE DIFF.) AJD]]*1000)+TABL12[[#This Row],[البخر  AJD]]+(TABL12[[#This Row],[(A/B + A/S) AJD]]*1000))</f>
        <v>19294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 TOT) AJD]]-TABL12[[#This Row],[BER_ 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 TOT) AJD]]-TABL12[[#This Row],[SER_ 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(TABL12[[#This Row],[( S/S+T/B) AJD]]*1000)-((TABL12[[#This Row],[(STORGE DIFF.) AJD]]*1000)+TABL12[[#This Row],[البخر  AJD]]+(TABL12[[#This Row],[(A/B + A/S) AJD]]*1000))</f>
        <v>11788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 TOT) AJD]]-TABL12[[#This Row],[BER_ 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 TOT) AJD]]-TABL12[[#This Row],[SER_ 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(TABL12[[#This Row],[( S/S+T/B) AJD]]*1000)-((TABL12[[#This Row],[(STORGE DIFF.) AJD]]*1000)+TABL12[[#This Row],[البخر  AJD]]+(TABL12[[#This Row],[(A/B + A/S) AJD]]*1000))</f>
        <v>20431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 TOT) AJD]]-TABL12[[#This Row],[BER_ 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 TOT) AJD]]-TABL12[[#This Row],[SER_ 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(TABL12[[#This Row],[( S/S+T/B) AJD]]*1000)-((TABL12[[#This Row],[(STORGE DIFF.) AJD]]*1000)+TABL12[[#This Row],[البخر  AJD]]+(TABL12[[#This Row],[(A/B + A/S) AJD]]*1000))</f>
        <v>16940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 TOT) AJD]]-TABL12[[#This Row],[BER_ 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 TOT) AJD]]-TABL12[[#This Row],[SER_ 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(TABL12[[#This Row],[( S/S+T/B) AJD]]*1000)-((TABL12[[#This Row],[(STORGE DIFF.) AJD]]*1000)+TABL12[[#This Row],[البخر  AJD]]+(TABL12[[#This Row],[(A/B + A/S) AJD]]*1000))</f>
        <v>8646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 TOT) AJD]]-TABL12[[#This Row],[BER_ 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 TOT) AJD]]-TABL12[[#This Row],[SER_ 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(TABL12[[#This Row],[( S/S+T/B) AJD]]*1000)-((TABL12[[#This Row],[(STORGE DIFF.) AJD]]*1000)+TABL12[[#This Row],[البخر  AJD]]+(TABL12[[#This Row],[(A/B + A/S) AJD]]*1000))</f>
        <v>40695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 TOT) AJD]]-TABL12[[#This Row],[BER_ 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 TOT) AJD]]-TABL12[[#This Row],[SER_ 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(TABL12[[#This Row],[( S/S+T/B) AJD]]*1000)-((TABL12[[#This Row],[(STORGE DIFF.) AJD]]*1000)+TABL12[[#This Row],[البخر  AJD]]+(TABL12[[#This Row],[(A/B + A/S) AJD]]*1000))</f>
        <v>18694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 TOT) AJD]]-TABL12[[#This Row],[BER_ 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 TOT) AJD]]-TABL12[[#This Row],[SER_ 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(TABL12[[#This Row],[( S/S+T/B) AJD]]*1000)-((TABL12[[#This Row],[(STORGE DIFF.) AJD]]*1000)+TABL12[[#This Row],[البخر  AJD]]+(TABL12[[#This Row],[(A/B + A/S) AJD]]*1000))</f>
        <v>25190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 TOT) AJD]]-TABL12[[#This Row],[BER_ 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 TOT) AJD]]-TABL12[[#This Row],[SER_ 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(TABL12[[#This Row],[( S/S+T/B) AJD]]*1000)-((TABL12[[#This Row],[(STORGE DIFF.) AJD]]*1000)+TABL12[[#This Row],[البخر  AJD]]+(TABL12[[#This Row],[(A/B + A/S) AJD]]*1000))</f>
        <v>18713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 TOT) AJD]]-TABL12[[#This Row],[BER_ 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 TOT) AJD]]-TABL12[[#This Row],[SER_ 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(TABL12[[#This Row],[( S/S+T/B) AJD]]*1000)-((TABL12[[#This Row],[(STORGE DIFF.) AJD]]*1000)+TABL12[[#This Row],[البخر  AJD]]+(TABL12[[#This Row],[(A/B + A/S) AJD]]*1000))</f>
        <v>25114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 TOT) AJD]]-TABL12[[#This Row],[BER_ 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 TOT) AJD]]-TABL12[[#This Row],[SER_ 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(TABL12[[#This Row],[( S/S+T/B) AJD]]*1000)-((TABL12[[#This Row],[(STORGE DIFF.) AJD]]*1000)+TABL12[[#This Row],[البخر  AJD]]+(TABL12[[#This Row],[(A/B + A/S) AJD]]*1000))</f>
        <v>25008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 TOT) AJD]]-TABL12[[#This Row],[BER_ 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 TOT) AJD]]-TABL12[[#This Row],[SER_ 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(TABL12[[#This Row],[( S/S+T/B) AJD]]*1000)-((TABL12[[#This Row],[(STORGE DIFF.) AJD]]*1000)+TABL12[[#This Row],[البخر  AJD]]+(TABL12[[#This Row],[(A/B + A/S) AJD]]*1000))</f>
        <v>22245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 TOT) AJD]]-TABL12[[#This Row],[BER_ 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 TOT) AJD]]-TABL12[[#This Row],[SER_ 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(TABL12[[#This Row],[( S/S+T/B) AJD]]*1000)-((TABL12[[#This Row],[(STORGE DIFF.) AJD]]*1000)+TABL12[[#This Row],[البخر  AJD]]+(TABL12[[#This Row],[(A/B + A/S) AJD]]*1000))</f>
        <v>26214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 TOT) AJD]]-TABL12[[#This Row],[BER_ 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 TOT) AJD]]-TABL12[[#This Row],[SER_ 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(TABL12[[#This Row],[( S/S+T/B) AJD]]*1000)-((TABL12[[#This Row],[(STORGE DIFF.) AJD]]*1000)+TABL12[[#This Row],[البخر  AJD]]+(TABL12[[#This Row],[(A/B + A/S) AJD]]*1000))</f>
        <v>27047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 TOT) AJD]]-TABL12[[#This Row],[BER_ 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 TOT) AJD]]-TABL12[[#This Row],[SER_ 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(TABL12[[#This Row],[( S/S+T/B) AJD]]*1000)-((TABL12[[#This Row],[(STORGE DIFF.) AJD]]*1000)+TABL12[[#This Row],[البخر  AJD]]+(TABL12[[#This Row],[(A/B + A/S) AJD]]*1000))</f>
        <v>22216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 TOT) AJD]]-TABL12[[#This Row],[BER_ 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 TOT) AJD]]-TABL12[[#This Row],[SER_ 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(TABL12[[#This Row],[( S/S+T/B) AJD]]*1000)-((TABL12[[#This Row],[(STORGE DIFF.) AJD]]*1000)+TABL12[[#This Row],[البخر  AJD]]+(TABL12[[#This Row],[(A/B + A/S) AJD]]*1000))</f>
        <v>-8752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 TOT) AJD]]-TABL12[[#This Row],[BER_ 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 TOT) AJD]]-TABL12[[#This Row],[SER_ 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(TABL12[[#This Row],[( S/S+T/B) AJD]]*1000)-((TABL12[[#This Row],[(STORGE DIFF.) AJD]]*1000)+TABL12[[#This Row],[البخر  AJD]]+(TABL12[[#This Row],[(A/B + A/S) AJD]]*1000))</f>
        <v>53261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 TOT) AJD]]-TABL12[[#This Row],[BER_ 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 TOT) AJD]]-TABL12[[#This Row],[SER_ 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(TABL12[[#This Row],[( S/S+T/B) AJD]]*1000)-((TABL12[[#This Row],[(STORGE DIFF.) AJD]]*1000)+TABL12[[#This Row],[البخر  AJD]]+(TABL12[[#This Row],[(A/B + A/S) AJD]]*1000))</f>
        <v>12245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 TOT) AJD]]-TABL12[[#This Row],[BER_ 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 TOT) AJD]]-TABL12[[#This Row],[SER_ 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(TABL12[[#This Row],[( S/S+T/B) AJD]]*1000)-((TABL12[[#This Row],[(STORGE DIFF.) AJD]]*1000)+TABL12[[#This Row],[البخر  AJD]]+(TABL12[[#This Row],[(A/B + A/S) AJD]]*1000))</f>
        <v>33489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 TOT) AJD]]-TABL12[[#This Row],[BER_ 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 TOT) AJD]]-TABL12[[#This Row],[SER_ 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(TABL12[[#This Row],[( S/S+T/B) AJD]]*1000)-((TABL12[[#This Row],[(STORGE DIFF.) AJD]]*1000)+TABL12[[#This Row],[البخر  AJD]]+(TABL12[[#This Row],[(A/B + A/S) AJD]]*1000))</f>
        <v>25936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 TOT) AJD]]-TABL12[[#This Row],[BER_ 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 TOT) AJD]]-TABL12[[#This Row],[SER_ 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(TABL12[[#This Row],[( S/S+T/B) AJD]]*1000)-((TABL12[[#This Row],[(STORGE DIFF.) AJD]]*1000)+TABL12[[#This Row],[البخر  AJD]]+(TABL12[[#This Row],[(A/B + A/S) AJD]]*1000))</f>
        <v>25740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 TOT) AJD]]-TABL12[[#This Row],[BER_ 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 TOT) AJD]]-TABL12[[#This Row],[SER_ 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(TABL12[[#This Row],[( S/S+T/B) AJD]]*1000)-((TABL12[[#This Row],[(STORGE DIFF.) AJD]]*1000)+TABL12[[#This Row],[البخر  AJD]]+(TABL12[[#This Row],[(A/B + A/S) AJD]]*1000))</f>
        <v>28001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 TOT) AJD]]-TABL12[[#This Row],[BER_ 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 TOT) AJD]]-TABL12[[#This Row],[SER_ 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(TABL12[[#This Row],[( S/S+T/B) AJD]]*1000)-((TABL12[[#This Row],[(STORGE DIFF.) AJD]]*1000)+TABL12[[#This Row],[البخر  AJD]]+(TABL12[[#This Row],[(A/B + A/S) AJD]]*1000))</f>
        <v>28985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 TOT) AJD]]-TABL12[[#This Row],[BER_ 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 TOT) AJD]]-TABL12[[#This Row],[SER_ 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(TABL12[[#This Row],[( S/S+T/B) AJD]]*1000)-((TABL12[[#This Row],[(STORGE DIFF.) AJD]]*1000)+TABL12[[#This Row],[البخر  AJD]]+(TABL12[[#This Row],[(A/B + A/S) AJD]]*1000))</f>
        <v>24548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 TOT) AJD]]-TABL12[[#This Row],[BER_ 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 TOT) AJD]]-TABL12[[#This Row],[SER_ 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(TABL12[[#This Row],[( S/S+T/B) AJD]]*1000)-((TABL12[[#This Row],[(STORGE DIFF.) AJD]]*1000)+TABL12[[#This Row],[البخر  AJD]]+(TABL12[[#This Row],[(A/B + A/S) AJD]]*1000))</f>
        <v>12814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 TOT) AJD]]-TABL12[[#This Row],[BER_ 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 TOT) AJD]]-TABL12[[#This Row],[SER_ 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(TABL12[[#This Row],[( S/S+T/B) AJD]]*1000)-((TABL12[[#This Row],[(STORGE DIFF.) AJD]]*1000)+TABL12[[#This Row],[البخر  AJD]]+(TABL12[[#This Row],[(A/B + A/S) AJD]]*1000))</f>
        <v>22873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 TOT) AJD]]-TABL12[[#This Row],[BER_ 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 TOT) AJD]]-TABL12[[#This Row],[SER_ 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(TABL12[[#This Row],[( S/S+T/B) AJD]]*1000)-((TABL12[[#This Row],[(STORGE DIFF.) AJD]]*1000)+TABL12[[#This Row],[البخر  AJD]]+(TABL12[[#This Row],[(A/B + A/S) AJD]]*1000))</f>
        <v>46461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 TOT) AJD]]-TABL12[[#This Row],[BER_ 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 TOT) AJD]]-TABL12[[#This Row],[SER_ 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(TABL12[[#This Row],[( S/S+T/B) AJD]]*1000)-((TABL12[[#This Row],[(STORGE DIFF.) AJD]]*1000)+TABL12[[#This Row],[البخر  AJD]]+(TABL12[[#This Row],[(A/B + A/S) AJD]]*1000))</f>
        <v>37775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 TOT) AJD]]-TABL12[[#This Row],[BER_ 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 TOT) AJD]]-TABL12[[#This Row],[SER_ 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(TABL12[[#This Row],[( S/S+T/B) AJD]]*1000)-((TABL12[[#This Row],[(STORGE DIFF.) AJD]]*1000)+TABL12[[#This Row],[البخر  AJD]]+(TABL12[[#This Row],[(A/B + A/S) AJD]]*1000))</f>
        <v>29874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 TOT) AJD]]-TABL12[[#This Row],[BER_ 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 TOT) AJD]]-TABL12[[#This Row],[SER_ 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(TABL12[[#This Row],[( S/S+T/B) AJD]]*1000)-((TABL12[[#This Row],[(STORGE DIFF.) AJD]]*1000)+TABL12[[#This Row],[البخر  AJD]]+(TABL12[[#This Row],[(A/B + A/S) AJD]]*1000))</f>
        <v>95872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 TOT) AJD]]-TABL12[[#This Row],[BER_ 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 TOT) AJD]]-TABL12[[#This Row],[SER_ 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(TABL12[[#This Row],[( S/S+T/B) AJD]]*1000)-((TABL12[[#This Row],[(STORGE DIFF.) AJD]]*1000)+TABL12[[#This Row],[البخر  AJD]]+(TABL12[[#This Row],[(A/B + A/S) AJD]]*1000))</f>
        <v>56890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 TOT) AJD]]-TABL12[[#This Row],[BER_ 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 TOT) AJD]]-TABL12[[#This Row],[SER_ 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(TABL12[[#This Row],[( S/S+T/B) AJD]]*1000)-((TABL12[[#This Row],[(STORGE DIFF.) AJD]]*1000)+TABL12[[#This Row],[البخر  AJD]]+(TABL12[[#This Row],[(A/B + A/S) AJD]]*1000))</f>
        <v>49092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 TOT) AJD]]-TABL12[[#This Row],[BER_ 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 TOT) AJD]]-TABL12[[#This Row],[SER_ 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(TABL12[[#This Row],[( S/S+T/B) AJD]]*1000)-((TABL12[[#This Row],[(STORGE DIFF.) AJD]]*1000)+TABL12[[#This Row],[البخر  AJD]]+(TABL12[[#This Row],[(A/B + A/S) AJD]]*1000))</f>
        <v>-7963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 TOT) AJD]]-TABL12[[#This Row],[BER_ 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 TOT) AJD]]-TABL12[[#This Row],[SER_ 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(TABL12[[#This Row],[( S/S+T/B) AJD]]*1000)-((TABL12[[#This Row],[(STORGE DIFF.) AJD]]*1000)+TABL12[[#This Row],[البخر  AJD]]+(TABL12[[#This Row],[(A/B + A/S) AJD]]*1000))</f>
        <v>49803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 TOT) AJD]]-TABL12[[#This Row],[BER_ 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 TOT) AJD]]-TABL12[[#This Row],[SER_ 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(TABL12[[#This Row],[( S/S+T/B) AJD]]*1000)-((TABL12[[#This Row],[(STORGE DIFF.) AJD]]*1000)+TABL12[[#This Row],[البخر  AJD]]+(TABL12[[#This Row],[(A/B + A/S) AJD]]*1000))</f>
        <v>32010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 TOT) AJD]]-TABL12[[#This Row],[BER_ 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 TOT) AJD]]-TABL12[[#This Row],[SER_ 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(TABL12[[#This Row],[( S/S+T/B) AJD]]*1000)-((TABL12[[#This Row],[(STORGE DIFF.) AJD]]*1000)+TABL12[[#This Row],[البخر  AJD]]+(TABL12[[#This Row],[(A/B + A/S) AJD]]*1000))</f>
        <v>29888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 TOT) AJD]]-TABL12[[#This Row],[BER_ 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 TOT) AJD]]-TABL12[[#This Row],[SER_ 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(TABL12[[#This Row],[( S/S+T/B) AJD]]*1000)-((TABL12[[#This Row],[(STORGE DIFF.) AJD]]*1000)+TABL12[[#This Row],[البخر  AJD]]+(TABL12[[#This Row],[(A/B + A/S) AJD]]*1000))</f>
        <v>25938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 TOT) AJD]]-TABL12[[#This Row],[BER_ 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 TOT) AJD]]-TABL12[[#This Row],[SER_ 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(TABL12[[#This Row],[( S/S+T/B) AJD]]*1000)-((TABL12[[#This Row],[(STORGE DIFF.) AJD]]*1000)+TABL12[[#This Row],[البخر  AJD]]+(TABL12[[#This Row],[(A/B + A/S) AJD]]*1000))</f>
        <v>31043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 TOT) AJD]]-TABL12[[#This Row],[BER_ 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 TOT) AJD]]-TABL12[[#This Row],[SER_ 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(TABL12[[#This Row],[( S/S+T/B) AJD]]*1000)-((TABL12[[#This Row],[(STORGE DIFF.) AJD]]*1000)+TABL12[[#This Row],[البخر  AJD]]+(TABL12[[#This Row],[(A/B + A/S) AJD]]*1000))</f>
        <v>20772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 TOT) AJD]]-TABL12[[#This Row],[BER_ 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 TOT) AJD]]-TABL12[[#This Row],[SER_ 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(TABL12[[#This Row],[( S/S+T/B) AJD]]*1000)-((TABL12[[#This Row],[(STORGE DIFF.) AJD]]*1000)+TABL12[[#This Row],[البخر  AJD]]+(TABL12[[#This Row],[(A/B + A/S) AJD]]*1000))</f>
        <v>25168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 TOT) AJD]]-TABL12[[#This Row],[BER_ 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 TOT) AJD]]-TABL12[[#This Row],[SER_ 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(TABL12[[#This Row],[( S/S+T/B) AJD]]*1000)-((TABL12[[#This Row],[(STORGE DIFF.) AJD]]*1000)+TABL12[[#This Row],[البخر  AJD]]+(TABL12[[#This Row],[(A/B + A/S) AJD]]*1000))</f>
        <v>28036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 TOT) AJD]]-TABL12[[#This Row],[BER_ 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 TOT) AJD]]-TABL12[[#This Row],[SER_ 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(TABL12[[#This Row],[( S/S+T/B) AJD]]*1000)-((TABL12[[#This Row],[(STORGE DIFF.) AJD]]*1000)+TABL12[[#This Row],[البخر  AJD]]+(TABL12[[#This Row],[(A/B + A/S) AJD]]*1000))</f>
        <v>43687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 TOT) AJD]]-TABL12[[#This Row],[BER_ 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 TOT) AJD]]-TABL12[[#This Row],[SER_ 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(TABL12[[#This Row],[( S/S+T/B) AJD]]*1000)-((TABL12[[#This Row],[(STORGE DIFF.) AJD]]*1000)+TABL12[[#This Row],[البخر  AJD]]+(TABL12[[#This Row],[(A/B + A/S) AJD]]*1000))</f>
        <v>17790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 TOT) AJD]]-TABL12[[#This Row],[BER_ 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 TOT) AJD]]-TABL12[[#This Row],[SER_ 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(TABL12[[#This Row],[( S/S+T/B) AJD]]*1000)-((TABL12[[#This Row],[(STORGE DIFF.) AJD]]*1000)+TABL12[[#This Row],[البخر  AJD]]+(TABL12[[#This Row],[(A/B + A/S) AJD]]*1000))</f>
        <v>36053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 TOT) AJD]]-TABL12[[#This Row],[BER_ 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 TOT) AJD]]-TABL12[[#This Row],[SER_ 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(TABL12[[#This Row],[( S/S+T/B) AJD]]*1000)-((TABL12[[#This Row],[(STORGE DIFF.) AJD]]*1000)+TABL12[[#This Row],[البخر  AJD]]+(TABL12[[#This Row],[(A/B + A/S) AJD]]*1000))</f>
        <v>27897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 TOT) AJD]]-TABL12[[#This Row],[BER_ 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 TOT) AJD]]-TABL12[[#This Row],[SER_ 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(TABL12[[#This Row],[( S/S+T/B) AJD]]*1000)-((TABL12[[#This Row],[(STORGE DIFF.) AJD]]*1000)+TABL12[[#This Row],[البخر  AJD]]+(TABL12[[#This Row],[(A/B + A/S) AJD]]*1000))</f>
        <v>22059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 TOT) AJD]]-TABL12[[#This Row],[BER_ 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 TOT) AJD]]-TABL12[[#This Row],[SER_ 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(TABL12[[#This Row],[( S/S+T/B) AJD]]*1000)-((TABL12[[#This Row],[(STORGE DIFF.) AJD]]*1000)+TABL12[[#This Row],[البخر  AJD]]+(TABL12[[#This Row],[(A/B + A/S) AJD]]*1000))</f>
        <v>25693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 TOT) AJD]]-TABL12[[#This Row],[BER_ 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 TOT) AJD]]-TABL12[[#This Row],[SER_ 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(TABL12[[#This Row],[( S/S+T/B) AJD]]*1000)-((TABL12[[#This Row],[(STORGE DIFF.) AJD]]*1000)+TABL12[[#This Row],[البخر  AJD]]+(TABL12[[#This Row],[(A/B + A/S) AJD]]*1000))</f>
        <v>25072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 TOT) AJD]]-TABL12[[#This Row],[BER_ 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 TOT) AJD]]-TABL12[[#This Row],[SER_ 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(TABL12[[#This Row],[( S/S+T/B) AJD]]*1000)-((TABL12[[#This Row],[(STORGE DIFF.) AJD]]*1000)+TABL12[[#This Row],[البخر  AJD]]+(TABL12[[#This Row],[(A/B + A/S) AJD]]*1000))</f>
        <v>23817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 TOT) AJD]]-TABL12[[#This Row],[BER_ 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 TOT) AJD]]-TABL12[[#This Row],[SER_ 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(TABL12[[#This Row],[( S/S+T/B) AJD]]*1000)-((TABL12[[#This Row],[(STORGE DIFF.) AJD]]*1000)+TABL12[[#This Row],[البخر  AJD]]+(TABL12[[#This Row],[(A/B + A/S) AJD]]*1000))</f>
        <v>29466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 TOT) AJD]]-TABL12[[#This Row],[BER_ 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 TOT) AJD]]-TABL12[[#This Row],[SER_ 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(TABL12[[#This Row],[( S/S+T/B) AJD]]*1000)-((TABL12[[#This Row],[(STORGE DIFF.) AJD]]*1000)+TABL12[[#This Row],[البخر  AJD]]+(TABL12[[#This Row],[(A/B + A/S) AJD]]*1000))</f>
        <v>22958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 TOT) AJD]]-TABL12[[#This Row],[BER_ 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 TOT) AJD]]-TABL12[[#This Row],[SER_ 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(TABL12[[#This Row],[( S/S+T/B) AJD]]*1000)-((TABL12[[#This Row],[(STORGE DIFF.) AJD]]*1000)+TABL12[[#This Row],[البخر  AJD]]+(TABL12[[#This Row],[(A/B + A/S) AJD]]*1000))</f>
        <v>23389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 TOT) AJD]]-TABL12[[#This Row],[BER_ 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 TOT) AJD]]-TABL12[[#This Row],[SER_ 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(TABL12[[#This Row],[( S/S+T/B) AJD]]*1000)-((TABL12[[#This Row],[(STORGE DIFF.) AJD]]*1000)+TABL12[[#This Row],[البخر  AJD]]+(TABL12[[#This Row],[(A/B + A/S) AJD]]*1000))</f>
        <v>22167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 TOT) AJD]]-TABL12[[#This Row],[BER_ 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 TOT) AJD]]-TABL12[[#This Row],[SER_ 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(TABL12[[#This Row],[( S/S+T/B) AJD]]*1000)-((TABL12[[#This Row],[(STORGE DIFF.) AJD]]*1000)+TABL12[[#This Row],[البخر  AJD]]+(TABL12[[#This Row],[(A/B + A/S) AJD]]*1000))</f>
        <v>26273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 TOT) AJD]]-TABL12[[#This Row],[BER_ 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 TOT) AJD]]-TABL12[[#This Row],[SER_ 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(TABL12[[#This Row],[( S/S+T/B) AJD]]*1000)-((TABL12[[#This Row],[(STORGE DIFF.) AJD]]*1000)+TABL12[[#This Row],[البخر  AJD]]+(TABL12[[#This Row],[(A/B + A/S) AJD]]*1000))</f>
        <v>24615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 TOT) AJD]]-TABL12[[#This Row],[BER_ 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 TOT) AJD]]-TABL12[[#This Row],[SER_ 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(TABL12[[#This Row],[( S/S+T/B) AJD]]*1000)-((TABL12[[#This Row],[(STORGE DIFF.) AJD]]*1000)+TABL12[[#This Row],[البخر  AJD]]+(TABL12[[#This Row],[(A/B + A/S) AJD]]*1000))</f>
        <v>27018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 TOT) AJD]]-TABL12[[#This Row],[BER_ 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 TOT) AJD]]-TABL12[[#This Row],[SER_ 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(TABL12[[#This Row],[( S/S+T/B) AJD]]*1000)-((TABL12[[#This Row],[(STORGE DIFF.) AJD]]*1000)+TABL12[[#This Row],[البخر  AJD]]+(TABL12[[#This Row],[(A/B + A/S) AJD]]*1000))</f>
        <v>28177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 TOT) AJD]]-TABL12[[#This Row],[BER_ 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 TOT) AJD]]-TABL12[[#This Row],[SER_ 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(TABL12[[#This Row],[( S/S+T/B) AJD]]*1000)-((TABL12[[#This Row],[(STORGE DIFF.) AJD]]*1000)+TABL12[[#This Row],[البخر  AJD]]+(TABL12[[#This Row],[(A/B + A/S) AJD]]*1000))</f>
        <v>37502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 TOT) AJD]]-TABL12[[#This Row],[BER_ 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 TOT) AJD]]-TABL12[[#This Row],[SER_ 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(TABL12[[#This Row],[( S/S+T/B) AJD]]*1000)-((TABL12[[#This Row],[(STORGE DIFF.) AJD]]*1000)+TABL12[[#This Row],[البخر  AJD]]+(TABL12[[#This Row],[(A/B + A/S) AJD]]*1000))</f>
        <v>31033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 TOT) AJD]]-TABL12[[#This Row],[BER_ 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 TOT) AJD]]-TABL12[[#This Row],[SER_ 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(TABL12[[#This Row],[( S/S+T/B) AJD]]*1000)-((TABL12[[#This Row],[(STORGE DIFF.) AJD]]*1000)+TABL12[[#This Row],[البخر  AJD]]+(TABL12[[#This Row],[(A/B + A/S) AJD]]*1000))</f>
        <v>36918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 TOT) AJD]]-TABL12[[#This Row],[BER_ 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 TOT) AJD]]-TABL12[[#This Row],[SER_ 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(TABL12[[#This Row],[( S/S+T/B) AJD]]*1000)-((TABL12[[#This Row],[(STORGE DIFF.) AJD]]*1000)+TABL12[[#This Row],[البخر  AJD]]+(TABL12[[#This Row],[(A/B + A/S) AJD]]*1000))</f>
        <v>35253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 TOT) AJD]]-TABL12[[#This Row],[BER_ 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 TOT) AJD]]-TABL12[[#This Row],[SER_ 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(TABL12[[#This Row],[( S/S+T/B) AJD]]*1000)-((TABL12[[#This Row],[(STORGE DIFF.) AJD]]*1000)+TABL12[[#This Row],[البخر  AJD]]+(TABL12[[#This Row],[(A/B + A/S) AJD]]*1000))</f>
        <v>37436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 TOT) AJD]]-TABL12[[#This Row],[BER_ 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 TOT) AJD]]-TABL12[[#This Row],[SER_ 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(TABL12[[#This Row],[( S/S+T/B) AJD]]*1000)-((TABL12[[#This Row],[(STORGE DIFF.) AJD]]*1000)+TABL12[[#This Row],[البخر  AJD]]+(TABL12[[#This Row],[(A/B + A/S) AJD]]*1000))</f>
        <v>37598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 TOT) AJD]]-TABL12[[#This Row],[BER_ 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 TOT) AJD]]-TABL12[[#This Row],[SER_ 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(TABL12[[#This Row],[( S/S+T/B) AJD]]*1000)-((TABL12[[#This Row],[(STORGE DIFF.) AJD]]*1000)+TABL12[[#This Row],[البخر  AJD]]+(TABL12[[#This Row],[(A/B + A/S) AJD]]*1000))</f>
        <v>41131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 TOT) AJD]]-TABL12[[#This Row],[BER_ 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 TOT) AJD]]-TABL12[[#This Row],[SER_ 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(TABL12[[#This Row],[( S/S+T/B) AJD]]*1000)-((TABL12[[#This Row],[(STORGE DIFF.) AJD]]*1000)+TABL12[[#This Row],[البخر  AJD]]+(TABL12[[#This Row],[(A/B + A/S) AJD]]*1000))</f>
        <v>38284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 TOT) AJD]]-TABL12[[#This Row],[BER_ 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 TOT) AJD]]-TABL12[[#This Row],[SER_ 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(TABL12[[#This Row],[( S/S+T/B) AJD]]*1000)-((TABL12[[#This Row],[(STORGE DIFF.) AJD]]*1000)+TABL12[[#This Row],[البخر  AJD]]+(TABL12[[#This Row],[(A/B + A/S) AJD]]*1000))</f>
        <v>31438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 TOT) AJD]]-TABL12[[#This Row],[BER_ 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 TOT) AJD]]-TABL12[[#This Row],[SER_ 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(TABL12[[#This Row],[( S/S+T/B) AJD]]*1000)-((TABL12[[#This Row],[(STORGE DIFF.) AJD]]*1000)+TABL12[[#This Row],[البخر  AJD]]+(TABL12[[#This Row],[(A/B + A/S) AJD]]*1000))</f>
        <v>40952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 TOT) AJD]]-TABL12[[#This Row],[BER_ 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 TOT) AJD]]-TABL12[[#This Row],[SER_ 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(TABL12[[#This Row],[( S/S+T/B) AJD]]*1000)-((TABL12[[#This Row],[(STORGE DIFF.) AJD]]*1000)+TABL12[[#This Row],[البخر  AJD]]+(TABL12[[#This Row],[(A/B + A/S) AJD]]*1000))</f>
        <v>30504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 TOT) AJD]]-TABL12[[#This Row],[BER_ 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 TOT) AJD]]-TABL12[[#This Row],[SER_ 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(TABL12[[#This Row],[( S/S+T/B) AJD]]*1000)-((TABL12[[#This Row],[(STORGE DIFF.) AJD]]*1000)+TABL12[[#This Row],[البخر  AJD]]+(TABL12[[#This Row],[(A/B + A/S) AJD]]*1000))</f>
        <v>36705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 TOT) AJD]]-TABL12[[#This Row],[BER_ 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 TOT) AJD]]-TABL12[[#This Row],[SER_ 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(TABL12[[#This Row],[( S/S+T/B) AJD]]*1000)-((TABL12[[#This Row],[(STORGE DIFF.) AJD]]*1000)+TABL12[[#This Row],[البخر  AJD]]+(TABL12[[#This Row],[(A/B + A/S) AJD]]*1000))</f>
        <v>35354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 TOT) AJD]]-TABL12[[#This Row],[BER_ 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 TOT) AJD]]-TABL12[[#This Row],[SER_ 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(TABL12[[#This Row],[( S/S+T/B) AJD]]*1000)-((TABL12[[#This Row],[(STORGE DIFF.) AJD]]*1000)+TABL12[[#This Row],[البخر  AJD]]+(TABL12[[#This Row],[(A/B + A/S) AJD]]*1000))</f>
        <v>36877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 TOT) AJD]]-TABL12[[#This Row],[BER_ 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 TOT) AJD]]-TABL12[[#This Row],[SER_ 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(TABL12[[#This Row],[( S/S+T/B) AJD]]*1000)-((TABL12[[#This Row],[(STORGE DIFF.) AJD]]*1000)+TABL12[[#This Row],[البخر  AJD]]+(TABL12[[#This Row],[(A/B + A/S) AJD]]*1000))</f>
        <v>10377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 TOT) AJD]]-TABL12[[#This Row],[BER_ 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 TOT) AJD]]-TABL12[[#This Row],[SER_ 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(TABL12[[#This Row],[( S/S+T/B) AJD]]*1000)-((TABL12[[#This Row],[(STORGE DIFF.) AJD]]*1000)+TABL12[[#This Row],[البخر  AJD]]+(TABL12[[#This Row],[(A/B + A/S) AJD]]*1000))</f>
        <v>40737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 TOT) AJD]]-TABL12[[#This Row],[BER_ 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 TOT) AJD]]-TABL12[[#This Row],[SER_ 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(TABL12[[#This Row],[( S/S+T/B) AJD]]*1000)-((TABL12[[#This Row],[(STORGE DIFF.) AJD]]*1000)+TABL12[[#This Row],[البخر  AJD]]+(TABL12[[#This Row],[(A/B + A/S) AJD]]*1000))</f>
        <v>22405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 TOT) AJD]]-TABL12[[#This Row],[BER_ 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 TOT) AJD]]-TABL12[[#This Row],[SER_ 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(TABL12[[#This Row],[( S/S+T/B) AJD]]*1000)-((TABL12[[#This Row],[(STORGE DIFF.) AJD]]*1000)+TABL12[[#This Row],[البخر  AJD]]+(TABL12[[#This Row],[(A/B + A/S) AJD]]*1000))</f>
        <v>32818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 TOT) AJD]]-TABL12[[#This Row],[BER_ 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 TOT) AJD]]-TABL12[[#This Row],[SER_ 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(TABL12[[#This Row],[( S/S+T/B) AJD]]*1000)-((TABL12[[#This Row],[(STORGE DIFF.) AJD]]*1000)+TABL12[[#This Row],[البخر  AJD]]+(TABL12[[#This Row],[(A/B + A/S) AJD]]*1000))</f>
        <v>20683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 TOT) AJD]]-TABL12[[#This Row],[BER_ 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 TOT) AJD]]-TABL12[[#This Row],[SER_ 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(TABL12[[#This Row],[( S/S+T/B) AJD]]*1000)-((TABL12[[#This Row],[(STORGE DIFF.) AJD]]*1000)+TABL12[[#This Row],[البخر  AJD]]+(TABL12[[#This Row],[(A/B + A/S) AJD]]*1000))</f>
        <v>25573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 TOT) AJD]]-TABL12[[#This Row],[BER_ 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 TOT) AJD]]-TABL12[[#This Row],[SER_ 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(TABL12[[#This Row],[( S/S+T/B) AJD]]*1000)-((TABL12[[#This Row],[(STORGE DIFF.) AJD]]*1000)+TABL12[[#This Row],[البخر  AJD]]+(TABL12[[#This Row],[(A/B + A/S) AJD]]*1000))</f>
        <v>19658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 TOT) AJD]]-TABL12[[#This Row],[BER_ 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 TOT) AJD]]-TABL12[[#This Row],[SER_ 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(TABL12[[#This Row],[( S/S+T/B) AJD]]*1000)-((TABL12[[#This Row],[(STORGE DIFF.) AJD]]*1000)+TABL12[[#This Row],[البخر  AJD]]+(TABL12[[#This Row],[(A/B + A/S) AJD]]*1000))</f>
        <v>32672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 TOT) AJD]]-TABL12[[#This Row],[BER_ 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 TOT) AJD]]-TABL12[[#This Row],[SER_ 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(TABL12[[#This Row],[( S/S+T/B) AJD]]*1000)-((TABL12[[#This Row],[(STORGE DIFF.) AJD]]*1000)+TABL12[[#This Row],[البخر  AJD]]+(TABL12[[#This Row],[(A/B + A/S) AJD]]*1000))</f>
        <v>21888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 TOT) AJD]]-TABL12[[#This Row],[BER_ 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 TOT) AJD]]-TABL12[[#This Row],[SER_ 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(TABL12[[#This Row],[( S/S+T/B) AJD]]*1000)-((TABL12[[#This Row],[(STORGE DIFF.) AJD]]*1000)+TABL12[[#This Row],[البخر  AJD]]+(TABL12[[#This Row],[(A/B + A/S) AJD]]*1000))</f>
        <v>6827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 TOT) AJD]]-TABL12[[#This Row],[BER_ 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 TOT) AJD]]-TABL12[[#This Row],[SER_ 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(TABL12[[#This Row],[( S/S+T/B) AJD]]*1000)-((TABL12[[#This Row],[(STORGE DIFF.) AJD]]*1000)+TABL12[[#This Row],[البخر  AJD]]+(TABL12[[#This Row],[(A/B + A/S) AJD]]*1000))</f>
        <v>42427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 TOT) AJD]]-TABL12[[#This Row],[BER_ 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 TOT) AJD]]-TABL12[[#This Row],[SER_ 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(TABL12[[#This Row],[( S/S+T/B) AJD]]*1000)-((TABL12[[#This Row],[(STORGE DIFF.) AJD]]*1000)+TABL12[[#This Row],[البخر  AJD]]+(TABL12[[#This Row],[(A/B + A/S) AJD]]*1000))</f>
        <v>22883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 TOT) AJD]]-TABL12[[#This Row],[BER_ 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 TOT) AJD]]-TABL12[[#This Row],[SER_ 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(TABL12[[#This Row],[( S/S+T/B) AJD]]*1000)-((TABL12[[#This Row],[(STORGE DIFF.) AJD]]*1000)+TABL12[[#This Row],[البخر  AJD]]+(TABL12[[#This Row],[(A/B + A/S) AJD]]*1000))</f>
        <v>31911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 TOT) AJD]]-TABL12[[#This Row],[BER_ 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 TOT) AJD]]-TABL12[[#This Row],[SER_ 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(TABL12[[#This Row],[( S/S+T/B) AJD]]*1000)-((TABL12[[#This Row],[(STORGE DIFF.) AJD]]*1000)+TABL12[[#This Row],[البخر  AJD]]+(TABL12[[#This Row],[(A/B + A/S) AJD]]*1000))</f>
        <v>23726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 TOT) AJD]]-TABL12[[#This Row],[BER_ 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 TOT) AJD]]-TABL12[[#This Row],[SER_ 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(TABL12[[#This Row],[( S/S+T/B) AJD]]*1000)-((TABL12[[#This Row],[(STORGE DIFF.) AJD]]*1000)+TABL12[[#This Row],[البخر  AJD]]+(TABL12[[#This Row],[(A/B + A/S) AJD]]*1000))</f>
        <v>19022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 TOT) AJD]]-TABL12[[#This Row],[BER_ 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 TOT) AJD]]-TABL12[[#This Row],[SER_ 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(TABL12[[#This Row],[( S/S+T/B) AJD]]*1000)-((TABL12[[#This Row],[(STORGE DIFF.) AJD]]*1000)+TABL12[[#This Row],[البخر  AJD]]+(TABL12[[#This Row],[(A/B + A/S) AJD]]*1000))</f>
        <v>30698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 TOT) AJD]]-TABL12[[#This Row],[BER_ 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 TOT) AJD]]-TABL12[[#This Row],[SER_ 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(TABL12[[#This Row],[( S/S+T/B) AJD]]*1000)-((TABL12[[#This Row],[(STORGE DIFF.) AJD]]*1000)+TABL12[[#This Row],[البخر  AJD]]+(TABL12[[#This Row],[(A/B + A/S) AJD]]*1000))</f>
        <v>25321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 TOT) AJD]]-TABL12[[#This Row],[BER_ 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 TOT) AJD]]-TABL12[[#This Row],[SER_ 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(TABL12[[#This Row],[( S/S+T/B) AJD]]*1000)-((TABL12[[#This Row],[(STORGE DIFF.) AJD]]*1000)+TABL12[[#This Row],[البخر  AJD]]+(TABL12[[#This Row],[(A/B + A/S) AJD]]*1000))</f>
        <v>22302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 TOT) AJD]]-TABL12[[#This Row],[BER_ 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 TOT) AJD]]-TABL12[[#This Row],[SER_ 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(TABL12[[#This Row],[( S/S+T/B) AJD]]*1000)-((TABL12[[#This Row],[(STORGE DIFF.) AJD]]*1000)+TABL12[[#This Row],[البخر  AJD]]+(TABL12[[#This Row],[(A/B + A/S) AJD]]*1000))</f>
        <v>20996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 TOT) AJD]]-TABL12[[#This Row],[BER_ 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 TOT) AJD]]-TABL12[[#This Row],[SER_ 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(TABL12[[#This Row],[( S/S+T/B) AJD]]*1000)-((TABL12[[#This Row],[(STORGE DIFF.) AJD]]*1000)+TABL12[[#This Row],[البخر  AJD]]+(TABL12[[#This Row],[(A/B + A/S) AJD]]*1000))</f>
        <v>30855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 TOT) AJD]]-TABL12[[#This Row],[BER_ 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 TOT) AJD]]-TABL12[[#This Row],[SER_ 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(TABL12[[#This Row],[( S/S+T/B) AJD]]*1000)-((TABL12[[#This Row],[(STORGE DIFF.) AJD]]*1000)+TABL12[[#This Row],[البخر  AJD]]+(TABL12[[#This Row],[(A/B + A/S) AJD]]*1000))</f>
        <v>16184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 TOT) AJD]]-TABL12[[#This Row],[BER_ 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 TOT) AJD]]-TABL12[[#This Row],[SER_ 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(TABL12[[#This Row],[( S/S+T/B) AJD]]*1000)-((TABL12[[#This Row],[(STORGE DIFF.) AJD]]*1000)+TABL12[[#This Row],[البخر  AJD]]+(TABL12[[#This Row],[(A/B + A/S) AJD]]*1000))</f>
        <v>22634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 TOT) AJD]]-TABL12[[#This Row],[BER_ 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 TOT) AJD]]-TABL12[[#This Row],[SER_ 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(TABL12[[#This Row],[( S/S+T/B) AJD]]*1000)-((TABL12[[#This Row],[(STORGE DIFF.) AJD]]*1000)+TABL12[[#This Row],[البخر  AJD]]+(TABL12[[#This Row],[(A/B + A/S) AJD]]*1000))</f>
        <v>23611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 TOT) AJD]]-TABL12[[#This Row],[BER_ 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 TOT) AJD]]-TABL12[[#This Row],[SER_ 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(TABL12[[#This Row],[( S/S+T/B) AJD]]*1000)-((TABL12[[#This Row],[(STORGE DIFF.) AJD]]*1000)+TABL12[[#This Row],[البخر  AJD]]+(TABL12[[#This Row],[(A/B + A/S) AJD]]*1000))</f>
        <v>25873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 TOT) AJD]]-TABL12[[#This Row],[BER_ 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 TOT) AJD]]-TABL12[[#This Row],[SER_ 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(TABL12[[#This Row],[( S/S+T/B) AJD]]*1000)-((TABL12[[#This Row],[(STORGE DIFF.) AJD]]*1000)+TABL12[[#This Row],[البخر  AJD]]+(TABL12[[#This Row],[(A/B + A/S) AJD]]*1000))</f>
        <v>29651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 TOT) AJD]]-TABL12[[#This Row],[BER_ 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 TOT) AJD]]-TABL12[[#This Row],[SER_ 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(TABL12[[#This Row],[( S/S+T/B) AJD]]*1000)-((TABL12[[#This Row],[(STORGE DIFF.) AJD]]*1000)+TABL12[[#This Row],[البخر  AJD]]+(TABL12[[#This Row],[(A/B + A/S) AJD]]*1000))</f>
        <v>27246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 TOT) AJD]]-TABL12[[#This Row],[BER_ 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 TOT) AJD]]-TABL12[[#This Row],[SER_ 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(TABL12[[#This Row],[( S/S+T/B) AJD]]*1000)-((TABL12[[#This Row],[(STORGE DIFF.) AJD]]*1000)+TABL12[[#This Row],[البخر  AJD]]+(TABL12[[#This Row],[(A/B + A/S) AJD]]*1000))</f>
        <v>19205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 TOT) AJD]]-TABL12[[#This Row],[BER_ 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 TOT) AJD]]-TABL12[[#This Row],[SER_ 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(TABL12[[#This Row],[( S/S+T/B) AJD]]*1000)-((TABL12[[#This Row],[(STORGE DIFF.) AJD]]*1000)+TABL12[[#This Row],[البخر  AJD]]+(TABL12[[#This Row],[(A/B + A/S) AJD]]*1000))</f>
        <v>22595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 TOT) AJD]]-TABL12[[#This Row],[BER_ 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 TOT) AJD]]-TABL12[[#This Row],[SER_ 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(TABL12[[#This Row],[( S/S+T/B) AJD]]*1000)-((TABL12[[#This Row],[(STORGE DIFF.) AJD]]*1000)+TABL12[[#This Row],[البخر  AJD]]+(TABL12[[#This Row],[(A/B + A/S) AJD]]*1000))</f>
        <v>-20545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 TOT) AJD]]-TABL12[[#This Row],[BER_ 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 TOT) AJD]]-TABL12[[#This Row],[SER_ 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(TABL12[[#This Row],[( S/S+T/B) AJD]]*1000)-((TABL12[[#This Row],[(STORGE DIFF.) AJD]]*1000)+TABL12[[#This Row],[البخر  AJD]]+(TABL12[[#This Row],[(A/B + A/S) AJD]]*1000))</f>
        <v>46104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 TOT) AJD]]-TABL12[[#This Row],[BER_ 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 TOT) AJD]]-TABL12[[#This Row],[SER_ 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(TABL12[[#This Row],[( S/S+T/B) AJD]]*1000)-((TABL12[[#This Row],[(STORGE DIFF.) AJD]]*1000)+TABL12[[#This Row],[البخر  AJD]]+(TABL12[[#This Row],[(A/B + A/S) AJD]]*1000))</f>
        <v>23190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 TOT) AJD]]-TABL12[[#This Row],[BER_ 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 TOT) AJD]]-TABL12[[#This Row],[SER_ 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(TABL12[[#This Row],[( S/S+T/B) AJD]]*1000)-((TABL12[[#This Row],[(STORGE DIFF.) AJD]]*1000)+TABL12[[#This Row],[البخر  AJD]]+(TABL12[[#This Row],[(A/B + A/S) AJD]]*1000))</f>
        <v>30533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 TOT) AJD]]-TABL12[[#This Row],[BER_ 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 TOT) AJD]]-TABL12[[#This Row],[SER_ 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(TABL12[[#This Row],[( S/S+T/B) AJD]]*1000)-((TABL12[[#This Row],[(STORGE DIFF.) AJD]]*1000)+TABL12[[#This Row],[البخر  AJD]]+(TABL12[[#This Row],[(A/B + A/S) AJD]]*1000))</f>
        <v>31259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 TOT) AJD]]-TABL12[[#This Row],[BER_ 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 TOT) AJD]]-TABL12[[#This Row],[SER_ 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(TABL12[[#This Row],[( S/S+T/B) AJD]]*1000)-((TABL12[[#This Row],[(STORGE DIFF.) AJD]]*1000)+TABL12[[#This Row],[البخر  AJD]]+(TABL12[[#This Row],[(A/B + A/S) AJD]]*1000))</f>
        <v>40999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 TOT) AJD]]-TABL12[[#This Row],[BER_ 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 TOT) AJD]]-TABL12[[#This Row],[SER_ 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(TABL12[[#This Row],[( S/S+T/B) AJD]]*1000)-((TABL12[[#This Row],[(STORGE DIFF.) AJD]]*1000)+TABL12[[#This Row],[البخر  AJD]]+(TABL12[[#This Row],[(A/B + A/S) AJD]]*1000))</f>
        <v>42103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 TOT) AJD]]-TABL12[[#This Row],[BER_ 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 TOT) AJD]]-TABL12[[#This Row],[SER_ 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(TABL12[[#This Row],[( S/S+T/B) AJD]]*1000)-((TABL12[[#This Row],[(STORGE DIFF.) AJD]]*1000)+TABL12[[#This Row],[البخر  AJD]]+(TABL12[[#This Row],[(A/B + A/S) AJD]]*1000))</f>
        <v>41441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 TOT) AJD]]-TABL12[[#This Row],[BER_ 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 TOT) AJD]]-TABL12[[#This Row],[SER_ 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(TABL12[[#This Row],[( S/S+T/B) AJD]]*1000)-((TABL12[[#This Row],[(STORGE DIFF.) AJD]]*1000)+TABL12[[#This Row],[البخر  AJD]]+(TABL12[[#This Row],[(A/B + A/S) AJD]]*1000))</f>
        <v>555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 TOT) AJD]]-TABL12[[#This Row],[BER_ 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 TOT) AJD]]-TABL12[[#This Row],[SER_ 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(TABL12[[#This Row],[( S/S+T/B) AJD]]*1000)-((TABL12[[#This Row],[(STORGE DIFF.) AJD]]*1000)+TABL12[[#This Row],[البخر  AJD]]+(TABL12[[#This Row],[(A/B + A/S) AJD]]*1000))</f>
        <v>83161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 TOT) AJD]]-TABL12[[#This Row],[BER_ 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 TOT) AJD]]-TABL12[[#This Row],[SER_ 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(TABL12[[#This Row],[( S/S+T/B) AJD]]*1000)-((TABL12[[#This Row],[(STORGE DIFF.) AJD]]*1000)+TABL12[[#This Row],[البخر  AJD]]+(TABL12[[#This Row],[(A/B + A/S) AJD]]*1000))</f>
        <v>39645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 TOT) AJD]]-TABL12[[#This Row],[BER_ 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 TOT) AJD]]-TABL12[[#This Row],[SER_ 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(TABL12[[#This Row],[( S/S+T/B) AJD]]*1000)-((TABL12[[#This Row],[(STORGE DIFF.) AJD]]*1000)+TABL12[[#This Row],[البخر  AJD]]+(TABL12[[#This Row],[(A/B + A/S) AJD]]*1000))</f>
        <v>28434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 TOT) AJD]]-TABL12[[#This Row],[BER_ 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 TOT) AJD]]-TABL12[[#This Row],[SER_ 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(TABL12[[#This Row],[( S/S+T/B) AJD]]*1000)-((TABL12[[#This Row],[(STORGE DIFF.) AJD]]*1000)+TABL12[[#This Row],[البخر  AJD]]+(TABL12[[#This Row],[(A/B + A/S) AJD]]*1000))</f>
        <v>25354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 TOT) AJD]]-TABL12[[#This Row],[BER_ 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 TOT) AJD]]-TABL12[[#This Row],[SER_ 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(TABL12[[#This Row],[( S/S+T/B) AJD]]*1000)-((TABL12[[#This Row],[(STORGE DIFF.) AJD]]*1000)+TABL12[[#This Row],[البخر  AJD]]+(TABL12[[#This Row],[(A/B + A/S) AJD]]*1000))</f>
        <v>29381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 TOT) AJD]]-TABL12[[#This Row],[BER_ 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 TOT) AJD]]-TABL12[[#This Row],[SER_ 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(TABL12[[#This Row],[( S/S+T/B) AJD]]*1000)-((TABL12[[#This Row],[(STORGE DIFF.) AJD]]*1000)+TABL12[[#This Row],[البخر  AJD]]+(TABL12[[#This Row],[(A/B + A/S) AJD]]*1000))</f>
        <v>27040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 TOT) AJD]]-TABL12[[#This Row],[BER_ 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 TOT) AJD]]-TABL12[[#This Row],[SER_ 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(TABL12[[#This Row],[( S/S+T/B) AJD]]*1000)-((TABL12[[#This Row],[(STORGE DIFF.) AJD]]*1000)+TABL12[[#This Row],[البخر  AJD]]+(TABL12[[#This Row],[(A/B + A/S) AJD]]*1000))</f>
        <v>31437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 TOT) AJD]]-TABL12[[#This Row],[BER_ 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 TOT) AJD]]-TABL12[[#This Row],[SER_ 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(TABL12[[#This Row],[( S/S+T/B) AJD]]*1000)-((TABL12[[#This Row],[(STORGE DIFF.) AJD]]*1000)+TABL12[[#This Row],[البخر  AJD]]+(TABL12[[#This Row],[(A/B + A/S) AJD]]*1000))</f>
        <v>20235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 TOT) AJD]]-TABL12[[#This Row],[BER_ 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 TOT) AJD]]-TABL12[[#This Row],[SER_ 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(TABL12[[#This Row],[( S/S+T/B) AJD]]*1000)-((TABL12[[#This Row],[(STORGE DIFF.) AJD]]*1000)+TABL12[[#This Row],[البخر  AJD]]+(TABL12[[#This Row],[(A/B + A/S) AJD]]*1000))</f>
        <v>24684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 TOT) AJD]]-TABL12[[#This Row],[BER_ 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 TOT) AJD]]-TABL12[[#This Row],[SER_ 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(TABL12[[#This Row],[( S/S+T/B) AJD]]*1000)-((TABL12[[#This Row],[(STORGE DIFF.) AJD]]*1000)+TABL12[[#This Row],[البخر  AJD]]+(TABL12[[#This Row],[(A/B + A/S) AJD]]*1000))</f>
        <v>28471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 TOT) AJD]]-TABL12[[#This Row],[BER_ 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 TOT) AJD]]-TABL12[[#This Row],[SER_ 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v>0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 TOT) AJD]]-TABL12[[#This Row],[BER_ 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 TOT) AJD]]-TABL12[[#This Row],[SER_ 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(TABL12[[#This Row],[( S/S+T/B) AJD]]*1000)-((TABL12[[#This Row],[(STORGE DIFF.) AJD]]*1000)+TABL12[[#This Row],[البخر  AJD]]+(TABL12[[#This Row],[(A/B + A/S) AJD]]*1000))</f>
        <v>16043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 TOT) AJD]]-TABL12[[#This Row],[BER_ 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 TOT) AJD]]-TABL12[[#This Row],[SER_ 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(TABL12[[#This Row],[( S/S+T/B) AJD]]*1000)-((TABL12[[#This Row],[(STORGE DIFF.) AJD]]*1000)+TABL12[[#This Row],[البخر  AJD]]+(TABL12[[#This Row],[(A/B + A/S) AJD]]*1000))</f>
        <v>19711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 TOT) AJD]]-TABL12[[#This Row],[BER_ 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 TOT) AJD]]-TABL12[[#This Row],[SER_ 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(TABL12[[#This Row],[( S/S+T/B) AJD]]*1000)-((TABL12[[#This Row],[(STORGE DIFF.) AJD]]*1000)+TABL12[[#This Row],[البخر  AJD]]+(TABL12[[#This Row],[(A/B + A/S) AJD]]*1000))</f>
        <v>31036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 TOT) AJD]]-TABL12[[#This Row],[BER_ 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 TOT) AJD]]-TABL12[[#This Row],[SER_ 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(TABL12[[#This Row],[( S/S+T/B) AJD]]*1000)-((TABL12[[#This Row],[(STORGE DIFF.) AJD]]*1000)+TABL12[[#This Row],[البخر  AJD]]+(TABL12[[#This Row],[(A/B + A/S) AJD]]*1000))</f>
        <v>9346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 TOT) AJD]]-TABL12[[#This Row],[BER_ 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 TOT) AJD]]-TABL12[[#This Row],[SER_ 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(TABL12[[#This Row],[( S/S+T/B) AJD]]*1000)-((TABL12[[#This Row],[(STORGE DIFF.) AJD]]*1000)+TABL12[[#This Row],[البخر  AJD]]+(TABL12[[#This Row],[(A/B + A/S) AJD]]*1000))</f>
        <v>14322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 TOT) AJD]]-TABL12[[#This Row],[BER_ 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 TOT) AJD]]-TABL12[[#This Row],[SER_ 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(TABL12[[#This Row],[( S/S+T/B) AJD]]*1000)-((TABL12[[#This Row],[(STORGE DIFF.) AJD]]*1000)+TABL12[[#This Row],[البخر  AJD]]+(TABL12[[#This Row],[(A/B + A/S) AJD]]*1000))</f>
        <v>38730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 TOT) AJD]]-TABL12[[#This Row],[BER_ 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 TOT) AJD]]-TABL12[[#This Row],[SER_ 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(TABL12[[#This Row],[( S/S+T/B) AJD]]*1000)-((TABL12[[#This Row],[(STORGE DIFF.) AJD]]*1000)+TABL12[[#This Row],[البخر  AJD]]+(TABL12[[#This Row],[(A/B + A/S) AJD]]*1000))</f>
        <v>16563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 TOT) AJD]]-TABL12[[#This Row],[BER_ 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 TOT) AJD]]-TABL12[[#This Row],[SER_ 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(TABL12[[#This Row],[( S/S+T/B) AJD]]*1000)-((TABL12[[#This Row],[(STORGE DIFF.) AJD]]*1000)+TABL12[[#This Row],[البخر  AJD]]+(TABL12[[#This Row],[(A/B + A/S) AJD]]*1000))</f>
        <v>9680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 TOT) AJD]]-TABL12[[#This Row],[BER_ 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 TOT) AJD]]-TABL12[[#This Row],[SER_ 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(TABL12[[#This Row],[( S/S+T/B) AJD]]*1000)-((TABL12[[#This Row],[(STORGE DIFF.) AJD]]*1000)+TABL12[[#This Row],[البخر  AJD]]+(TABL12[[#This Row],[(A/B + A/S) AJD]]*1000))</f>
        <v>24626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 TOT) AJD]]-TABL12[[#This Row],[BER_ 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 TOT) AJD]]-TABL12[[#This Row],[SER_ 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(TABL12[[#This Row],[( S/S+T/B) AJD]]*1000)-((TABL12[[#This Row],[(STORGE DIFF.) AJD]]*1000)+TABL12[[#This Row],[البخر  AJD]]+(TABL12[[#This Row],[(A/B + A/S) AJD]]*1000))</f>
        <v>14380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 TOT) AJD]]-TABL12[[#This Row],[BER_ 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 TOT) AJD]]-TABL12[[#This Row],[SER_ 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(TABL12[[#This Row],[( S/S+T/B) AJD]]*1000)-((TABL12[[#This Row],[(STORGE DIFF.) AJD]]*1000)+TABL12[[#This Row],[البخر  AJD]]+(TABL12[[#This Row],[(A/B + A/S) AJD]]*1000))</f>
        <v>4214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 TOT) AJD]]-TABL12[[#This Row],[BER_ 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 TOT) AJD]]-TABL12[[#This Row],[SER_ 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(TABL12[[#This Row],[( S/S+T/B) AJD]]*1000)-((TABL12[[#This Row],[(STORGE DIFF.) AJD]]*1000)+TABL12[[#This Row],[البخر  AJD]]+(TABL12[[#This Row],[(A/B + A/S) AJD]]*1000))</f>
        <v>258806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 TOT) AJD]]-TABL12[[#This Row],[BER_ 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 TOT) AJD]]-TABL12[[#This Row],[SER_ 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(TABL12[[#This Row],[( S/S+T/B) AJD]]*1000)-((TABL12[[#This Row],[(STORGE DIFF.) AJD]]*1000)+TABL12[[#This Row],[البخر  AJD]]+(TABL12[[#This Row],[(A/B + A/S) AJD]]*1000))</f>
        <v>26861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 TOT) AJD]]-TABL12[[#This Row],[BER_ 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 TOT) AJD]]-TABL12[[#This Row],[SER_ 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(TABL12[[#This Row],[( S/S+T/B) AJD]]*1000)-((TABL12[[#This Row],[(STORGE DIFF.) AJD]]*1000)+TABL12[[#This Row],[البخر  AJD]]+(TABL12[[#This Row],[(A/B + A/S) AJD]]*1000))</f>
        <v>22122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 TOT) AJD]]-TABL12[[#This Row],[BER_ 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 TOT) AJD]]-TABL12[[#This Row],[SER_ 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(TABL12[[#This Row],[( S/S+T/B) AJD]]*1000)-((TABL12[[#This Row],[(STORGE DIFF.) AJD]]*1000)+TABL12[[#This Row],[البخر  AJD]]+(TABL12[[#This Row],[(A/B + A/S) AJD]]*1000))</f>
        <v>233536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 TOT) AJD]]-TABL12[[#This Row],[BER_ 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 TOT) AJD]]-TABL12[[#This Row],[SER_ 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(TABL12[[#This Row],[( S/S+T/B) AJD]]*1000)-((TABL12[[#This Row],[(STORGE DIFF.) AJD]]*1000)+TABL12[[#This Row],[البخر  AJD]]+(TABL12[[#This Row],[(A/B + A/S) AJD]]*1000))</f>
        <v>10255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 TOT) AJD]]-TABL12[[#This Row],[BER_ 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 TOT) AJD]]-TABL12[[#This Row],[SER_ 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(TABL12[[#This Row],[( S/S+T/B) AJD]]*1000)-((TABL12[[#This Row],[(STORGE DIFF.) AJD]]*1000)+TABL12[[#This Row],[البخر  AJD]]+(TABL12[[#This Row],[(A/B + A/S) AJD]]*1000))</f>
        <v>5090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 TOT) AJD]]-TABL12[[#This Row],[BER_ 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 TOT) AJD]]-TABL12[[#This Row],[SER_ 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(TABL12[[#This Row],[( S/S+T/B) AJD]]*1000)-((TABL12[[#This Row],[(STORGE DIFF.) AJD]]*1000)+TABL12[[#This Row],[البخر  AJD]]+(TABL12[[#This Row],[(A/B + A/S) AJD]]*1000))</f>
        <v>33761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 TOT) AJD]]-TABL12[[#This Row],[BER_ 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 TOT) AJD]]-TABL12[[#This Row],[SER_ 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(TABL12[[#This Row],[( S/S+T/B) AJD]]*1000)-((TABL12[[#This Row],[(STORGE DIFF.) AJD]]*1000)+TABL12[[#This Row],[البخر  AJD]]+(TABL12[[#This Row],[(A/B + A/S) AJD]]*1000))</f>
        <v>9404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 TOT) AJD]]-TABL12[[#This Row],[BER_ 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 TOT) AJD]]-TABL12[[#This Row],[SER_ 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(TABL12[[#This Row],[( S/S+T/B) AJD]]*1000)-((TABL12[[#This Row],[(STORGE DIFF.) AJD]]*1000)+TABL12[[#This Row],[البخر  AJD]]+(TABL12[[#This Row],[(A/B + A/S) AJD]]*1000))</f>
        <v>3319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 TOT) AJD]]-TABL12[[#This Row],[BER_ 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 TOT) AJD]]-TABL12[[#This Row],[SER_ 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(TABL12[[#This Row],[( S/S+T/B) AJD]]*1000)-((TABL12[[#This Row],[(STORGE DIFF.) AJD]]*1000)+TABL12[[#This Row],[البخر  AJD]]+(TABL12[[#This Row],[(A/B + A/S) AJD]]*1000))</f>
        <v>47356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 TOT) AJD]]-TABL12[[#This Row],[BER_ 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 TOT) AJD]]-TABL12[[#This Row],[SER_ 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(TABL12[[#This Row],[( S/S+T/B) AJD]]*1000)-((TABL12[[#This Row],[(STORGE DIFF.) AJD]]*1000)+TABL12[[#This Row],[البخر  AJD]]+(TABL12[[#This Row],[(A/B + A/S) AJD]]*1000))</f>
        <v>29297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 TOT) AJD]]-TABL12[[#This Row],[BER_ 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 TOT) AJD]]-TABL12[[#This Row],[SER_ 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(TABL12[[#This Row],[( S/S+T/B) AJD]]*1000)-((TABL12[[#This Row],[(STORGE DIFF.) AJD]]*1000)+TABL12[[#This Row],[البخر  AJD]]+(TABL12[[#This Row],[(A/B + A/S) AJD]]*1000))</f>
        <v>21540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 TOT) AJD]]-TABL12[[#This Row],[BER_ 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 TOT) AJD]]-TABL12[[#This Row],[SER_ 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(TABL12[[#This Row],[( S/S+T/B) AJD]]*1000)-((TABL12[[#This Row],[(STORGE DIFF.) AJD]]*1000)+TABL12[[#This Row],[البخر  AJD]]+(TABL12[[#This Row],[(A/B + A/S) AJD]]*1000))</f>
        <v>27739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 TOT) AJD]]-TABL12[[#This Row],[BER_ 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 TOT) AJD]]-TABL12[[#This Row],[SER_ 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(TABL12[[#This Row],[( S/S+T/B) AJD]]*1000)-((TABL12[[#This Row],[(STORGE DIFF.) AJD]]*1000)+TABL12[[#This Row],[البخر  AJD]]+(TABL12[[#This Row],[(A/B + A/S) AJD]]*1000))</f>
        <v>21276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 TOT) AJD]]-TABL12[[#This Row],[BER_ 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 TOT) AJD]]-TABL12[[#This Row],[SER_ 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(TABL12[[#This Row],[( S/S+T/B) AJD]]*1000)-((TABL12[[#This Row],[(STORGE DIFF.) AJD]]*1000)+TABL12[[#This Row],[البخر  AJD]]+(TABL12[[#This Row],[(A/B + A/S) AJD]]*1000))</f>
        <v>23524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 TOT) AJD]]-TABL12[[#This Row],[BER_ 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 TOT) AJD]]-TABL12[[#This Row],[SER_ 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(TABL12[[#This Row],[( S/S+T/B) AJD]]*1000)-((TABL12[[#This Row],[(STORGE DIFF.) AJD]]*1000)+TABL12[[#This Row],[البخر  AJD]]+(TABL12[[#This Row],[(A/B + A/S) AJD]]*1000))</f>
        <v>20263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 TOT) AJD]]-TABL12[[#This Row],[BER_ 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 TOT) AJD]]-TABL12[[#This Row],[SER_ 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(TABL12[[#This Row],[( S/S+T/B) AJD]]*1000)-((TABL12[[#This Row],[(STORGE DIFF.) AJD]]*1000)+TABL12[[#This Row],[البخر  AJD]]+(TABL12[[#This Row],[(A/B + A/S) AJD]]*1000))</f>
        <v>28390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 TOT) AJD]]-TABL12[[#This Row],[BER_ 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 TOT) AJD]]-TABL12[[#This Row],[SER_ 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(TABL12[[#This Row],[( S/S+T/B) AJD]]*1000)-((TABL12[[#This Row],[(STORGE DIFF.) AJD]]*1000)+TABL12[[#This Row],[البخر  AJD]]+(TABL12[[#This Row],[(A/B + A/S) AJD]]*1000))</f>
        <v>25160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 TOT) AJD]]-TABL12[[#This Row],[BER_ 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 TOT) AJD]]-TABL12[[#This Row],[SER_ 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(TABL12[[#This Row],[( S/S+T/B) AJD]]*1000)-((TABL12[[#This Row],[(STORGE DIFF.) AJD]]*1000)+TABL12[[#This Row],[البخر  AJD]]+(TABL12[[#This Row],[(A/B + A/S) AJD]]*1000))</f>
        <v>22200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 TOT) AJD]]-TABL12[[#This Row],[BER_ 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 TOT) AJD]]-TABL12[[#This Row],[SER_ 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(TABL12[[#This Row],[( S/S+T/B) AJD]]*1000)-((TABL12[[#This Row],[(STORGE DIFF.) AJD]]*1000)+TABL12[[#This Row],[البخر  AJD]]+(TABL12[[#This Row],[(A/B + A/S) AJD]]*1000))</f>
        <v>14252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 TOT) AJD]]-TABL12[[#This Row],[BER_ 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 TOT) AJD]]-TABL12[[#This Row],[SER_ 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(TABL12[[#This Row],[( S/S+T/B) AJD]]*1000)-((TABL12[[#This Row],[(STORGE DIFF.) AJD]]*1000)+TABL12[[#This Row],[البخر  AJD]]+(TABL12[[#This Row],[(A/B + A/S) AJD]]*1000))</f>
        <v>13640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 TOT) AJD]]-TABL12[[#This Row],[BER_ 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 TOT) AJD]]-TABL12[[#This Row],[SER_ 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(TABL12[[#This Row],[( S/S+T/B) AJD]]*1000)-((TABL12[[#This Row],[(STORGE DIFF.) AJD]]*1000)+TABL12[[#This Row],[البخر  AJD]]+(TABL12[[#This Row],[(A/B + A/S) AJD]]*1000))</f>
        <v>30219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 TOT) AJD]]-TABL12[[#This Row],[BER_ 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 TOT) AJD]]-TABL12[[#This Row],[SER_ 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(TABL12[[#This Row],[( S/S+T/B) AJD]]*1000)-((TABL12[[#This Row],[(STORGE DIFF.) AJD]]*1000)+TABL12[[#This Row],[البخر  AJD]]+(TABL12[[#This Row],[(A/B + A/S) AJD]]*1000))</f>
        <v>28248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 TOT) AJD]]-TABL12[[#This Row],[BER_ 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 TOT) AJD]]-TABL12[[#This Row],[SER_ 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(TABL12[[#This Row],[( S/S+T/B) AJD]]*1000)-((TABL12[[#This Row],[(STORGE DIFF.) AJD]]*1000)+TABL12[[#This Row],[البخر  AJD]]+(TABL12[[#This Row],[(A/B + A/S) AJD]]*1000))</f>
        <v>30748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 TOT) AJD]]-TABL12[[#This Row],[BER_ 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 TOT) AJD]]-TABL12[[#This Row],[SER_ 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(TABL12[[#This Row],[( S/S+T/B) AJD]]*1000)-((TABL12[[#This Row],[(STORGE DIFF.) AJD]]*1000)+TABL12[[#This Row],[البخر  AJD]]+(TABL12[[#This Row],[(A/B + A/S) AJD]]*1000))</f>
        <v>27167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 TOT) AJD]]-TABL12[[#This Row],[BER_ 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 TOT) AJD]]-TABL12[[#This Row],[SER_ 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(TABL12[[#This Row],[( S/S+T/B) AJD]]*1000)-((TABL12[[#This Row],[(STORGE DIFF.) AJD]]*1000)+TABL12[[#This Row],[البخر  AJD]]+(TABL12[[#This Row],[(A/B + A/S) AJD]]*1000))</f>
        <v>31681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 TOT) AJD]]-TABL12[[#This Row],[BER_ 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 TOT) AJD]]-TABL12[[#This Row],[SER_ 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(TABL12[[#This Row],[( S/S+T/B) AJD]]*1000)-((TABL12[[#This Row],[(STORGE DIFF.) AJD]]*1000)+TABL12[[#This Row],[البخر  AJD]]+(TABL12[[#This Row],[(A/B + A/S) AJD]]*1000))</f>
        <v>22043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 TOT) AJD]]-TABL12[[#This Row],[BER_ 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 TOT) AJD]]-TABL12[[#This Row],[SER_ 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(TABL12[[#This Row],[( S/S+T/B) AJD]]*1000)-((TABL12[[#This Row],[(STORGE DIFF.) AJD]]*1000)+TABL12[[#This Row],[البخر  AJD]]+(TABL12[[#This Row],[(A/B + A/S) AJD]]*1000))</f>
        <v>27578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 TOT) AJD]]-TABL12[[#This Row],[BER_ 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 TOT) AJD]]-TABL12[[#This Row],[SER_ 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(TABL12[[#This Row],[( S/S+T/B) AJD]]*1000)-((TABL12[[#This Row],[(STORGE DIFF.) AJD]]*1000)+TABL12[[#This Row],[البخر  AJD]]+(TABL12[[#This Row],[(A/B + A/S) AJD]]*1000))</f>
        <v>50656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 TOT) AJD]]-TABL12[[#This Row],[BER_ 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 TOT) AJD]]-TABL12[[#This Row],[SER_ 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(TABL12[[#This Row],[( S/S+T/B) AJD]]*1000)-((TABL12[[#This Row],[(STORGE DIFF.) AJD]]*1000)+TABL12[[#This Row],[البخر  AJD]]+(TABL12[[#This Row],[(A/B + A/S) AJD]]*1000))</f>
        <v>36312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 TOT) AJD]]-TABL12[[#This Row],[BER_ 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 TOT) AJD]]-TABL12[[#This Row],[SER_ 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(TABL12[[#This Row],[( S/S+T/B) AJD]]*1000)-((TABL12[[#This Row],[(STORGE DIFF.) AJD]]*1000)+TABL12[[#This Row],[البخر  AJD]]+(TABL12[[#This Row],[(A/B + A/S) AJD]]*1000))</f>
        <v>17313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 TOT) AJD]]-TABL12[[#This Row],[BER_ 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 TOT) AJD]]-TABL12[[#This Row],[SER_ IN]]</f>
        <v>218</v>
      </c>
    </row>
    <row r="367" spans="1:42" x14ac:dyDescent="0.25">
      <c r="A367" s="52"/>
      <c r="B367" s="53"/>
      <c r="C367" s="54"/>
      <c r="D367" s="54"/>
      <c r="E367" s="54"/>
      <c r="F367" s="54"/>
      <c r="G367" s="54"/>
      <c r="H367" s="54"/>
      <c r="I367" s="51"/>
      <c r="J367" s="54"/>
      <c r="K367" s="51"/>
      <c r="L367" s="54"/>
      <c r="M367" s="55"/>
      <c r="N367" s="56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59"/>
      <c r="AD367" s="60"/>
      <c r="AE367" s="57"/>
      <c r="AF367" s="20"/>
      <c r="AG367" s="19"/>
      <c r="AH367" s="19"/>
      <c r="AI367" s="19"/>
      <c r="AJ367" s="19">
        <f>SUBTOTAL(109,TABL12[] TABL12[ إستهلاك AJD(A/B) - BER.IN] )</f>
        <v>171504</v>
      </c>
      <c r="AK367" s="21"/>
      <c r="AL367" s="61"/>
      <c r="AM367" s="19"/>
      <c r="AN367" s="19"/>
      <c r="AO367" s="60"/>
      <c r="AP367" s="6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opLeftCell="A2" zoomScale="85" zoomScaleNormal="85" workbookViewId="0">
      <selection activeCell="A2" sqref="A2:AP366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5.7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Row],[خط (T/B  TOT) SAR]]+TABL123[[#This Row],[خط (S/S  TOT) SAR2]]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Row],[خط (S/S  TOT) SAR2]]-TABL123[[#This Row],[(S/S TOT) AJD]]</f>
        <v>30</v>
      </c>
      <c r="Q2" s="39">
        <v>432</v>
      </c>
      <c r="R2" s="3">
        <f>TABL123[[#This Row],[خط (T/B  TOT) SAR]]-TABL123[[#This Row],[(T/B TOT) AJD]]</f>
        <v>51</v>
      </c>
      <c r="S2" s="3">
        <f>TABL123[[#This Row],[الفرق بين بداية ونهاية خط  T/B]]+TABL123[[#This Row],[الفرق بين بداية ونهاية خط  S/S]]</f>
        <v>81</v>
      </c>
      <c r="T2" s="3">
        <f>TABL123[[#This Row],[(S/S TOT) AJD]]+TABL123[[#This Row],[(T/B TOT) AJD]]</f>
        <v>866</v>
      </c>
      <c r="U2" s="41">
        <v>586</v>
      </c>
      <c r="V2" s="41">
        <v>240</v>
      </c>
      <c r="W2" s="3">
        <f>TABL123[[#This Row],[(A/B TOT) AJD]]+TABL123[[#This Row],[(A/S TOT)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92">
        <f>TABL123[[#This Row],[( S/S+T/B) AJD]]-(TABL123[[#This Row],[(A/B + A/S) AJD]]+(TABL123[[#This Row],[(STORGE DIFF.) AJD]]*1000)+TABL123[[#This Row],[البخر  AJD]])</f>
        <v>4213</v>
      </c>
      <c r="AE2" s="89">
        <v>143</v>
      </c>
      <c r="AF2" s="89">
        <v>57.936999999999998</v>
      </c>
      <c r="AG2" s="89">
        <v>926425</v>
      </c>
      <c r="AH2" s="43">
        <v>755</v>
      </c>
      <c r="AI2" s="43">
        <v>755</v>
      </c>
      <c r="AJ2" s="87">
        <f>TABL123[[#This Row],[(A/B TOT) AJD]]-TABL123[[#This Row],[BER_ IN]]</f>
        <v>443</v>
      </c>
      <c r="AK2" s="89">
        <v>22</v>
      </c>
      <c r="AL2" s="97">
        <v>42.743899999999996</v>
      </c>
      <c r="AM2" s="97">
        <v>2969930</v>
      </c>
      <c r="AN2" s="97">
        <f>TABL123[[#This Row],[ (RESV. STORGE) SER]]/10</f>
        <v>296993</v>
      </c>
      <c r="AO2" s="43">
        <v>1720</v>
      </c>
      <c r="AP2" s="32">
        <f>TABL123[[#This Row],[(A/S TOT) AJD]]-TABL123[[#This Row],[SER_ 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Row],[خط (T/B  TOT) SAR]]+TABL123[[#This Row],[خط (S/S  TOT) SAR2]]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Row],[خط (S/S  TOT) SAR2]]-TABL123[[#This Row],[(S/S TOT) AJD]]</f>
        <v>25</v>
      </c>
      <c r="Q3" s="40">
        <v>437</v>
      </c>
      <c r="R3" s="3">
        <f>TABL123[[#This Row],[خط (T/B  TOT) SAR]]-TABL123[[#This Row],[(T/B TOT) AJD]]</f>
        <v>43</v>
      </c>
      <c r="S3" s="3">
        <f>TABL123[[#This Row],[الفرق بين بداية ونهاية خط  T/B]]+TABL123[[#This Row],[الفرق بين بداية ونهاية خط  S/S]]</f>
        <v>68</v>
      </c>
      <c r="T3" s="3">
        <f>TABL123[[#This Row],[(S/S TOT) AJD]]+TABL123[[#This Row],[(T/B TOT) AJD]]</f>
        <v>875</v>
      </c>
      <c r="U3" s="44">
        <v>587</v>
      </c>
      <c r="V3" s="44">
        <v>262</v>
      </c>
      <c r="W3" s="3">
        <f>TABL123[[#This Row],[(A/B TOT) AJD]]+TABL123[[#This Row],[(A/S TOT)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91">
        <f>TABL123[[#This Row],[( S/S+T/B) AJD]]-(TABL123[[#This Row],[(A/B + A/S) AJD]]+(TABL123[[#This Row],[(STORGE DIFF.) AJD]]*1000)+TABL123[[#This Row],[البخر  AJD]])</f>
        <v>-11888</v>
      </c>
      <c r="AE3" s="75">
        <v>150</v>
      </c>
      <c r="AF3" s="75">
        <v>57.997</v>
      </c>
      <c r="AG3" s="75">
        <v>965803</v>
      </c>
      <c r="AH3" s="45">
        <v>1581</v>
      </c>
      <c r="AI3" s="45">
        <v>1581</v>
      </c>
      <c r="AJ3" s="86">
        <f>TABL123[[#This Row],[(A/B TOT) AJD]]-TABL123[[#This Row],[BER_ IN]]</f>
        <v>437</v>
      </c>
      <c r="AK3" s="75">
        <v>23</v>
      </c>
      <c r="AL3" s="96">
        <v>42.754899999999999</v>
      </c>
      <c r="AM3" s="96">
        <v>2975860</v>
      </c>
      <c r="AN3" s="96">
        <f>TABL123[[#This Row],[ (RESV. STORGE) SER]]/10</f>
        <v>297586</v>
      </c>
      <c r="AO3" s="45">
        <v>1680</v>
      </c>
      <c r="AP3" s="32">
        <f>TABL123[[#This Row],[(A/S TOT) AJD]]-TABL123[[#This Row],[SER_ 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Row],[خط (T/B  TOT) SAR]]+TABL123[[#This Row],[خط (S/S  TOT) SAR2]]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Row],[خط (S/S  TOT) SAR2]]-TABL123[[#This Row],[(S/S TOT) AJD]]</f>
        <v>24</v>
      </c>
      <c r="Q4" s="39">
        <v>438</v>
      </c>
      <c r="R4" s="3">
        <f>TABL123[[#This Row],[خط (T/B  TOT) SAR]]-TABL123[[#This Row],[(T/B TOT) AJD]]</f>
        <v>44</v>
      </c>
      <c r="S4" s="3">
        <f>TABL123[[#This Row],[الفرق بين بداية ونهاية خط  T/B]]+TABL123[[#This Row],[الفرق بين بداية ونهاية خط  S/S]]</f>
        <v>68</v>
      </c>
      <c r="T4" s="3">
        <f>TABL123[[#This Row],[(S/S TOT) AJD]]+TABL123[[#This Row],[(T/B TOT) AJD]]</f>
        <v>876</v>
      </c>
      <c r="U4" s="41">
        <v>589</v>
      </c>
      <c r="V4" s="41">
        <v>279</v>
      </c>
      <c r="W4" s="3">
        <f>TABL123[[#This Row],[(A/B TOT) AJD]]+TABL123[[#This Row],[(A/S TOT)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91">
        <f>TABL123[[#This Row],[( S/S+T/B) AJD]]-(TABL123[[#This Row],[(A/B + A/S) AJD]]+(TABL123[[#This Row],[(STORGE DIFF.) AJD]]*1000)+TABL123[[#This Row],[البخر  AJD]])</f>
        <v>15830</v>
      </c>
      <c r="AE4" s="75">
        <v>166</v>
      </c>
      <c r="AF4" s="75">
        <v>58.06</v>
      </c>
      <c r="AG4" s="75">
        <v>1006870</v>
      </c>
      <c r="AH4" s="43">
        <v>1731</v>
      </c>
      <c r="AI4" s="43">
        <v>1731</v>
      </c>
      <c r="AJ4" s="86">
        <f>TABL123[[#This Row],[(A/B TOT) AJD]]-TABL123[[#This Row],[BER_ IN]]</f>
        <v>423</v>
      </c>
      <c r="AK4" s="75">
        <v>22</v>
      </c>
      <c r="AL4" s="96">
        <v>42.766500000000001</v>
      </c>
      <c r="AM4" s="96">
        <v>2982330</v>
      </c>
      <c r="AN4" s="96">
        <f>TABL123[[#This Row],[ (RESV. STORGE) SER]]/10</f>
        <v>298233</v>
      </c>
      <c r="AO4" s="43">
        <v>1520</v>
      </c>
      <c r="AP4" s="32">
        <f>TABL123[[#This Row],[(A/S TOT) AJD]]-TABL123[[#This Row],[SER_ 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Row],[خط (T/B  TOT) SAR]]+TABL123[[#This Row],[خط (S/S  TOT) SAR2]]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Row],[خط (S/S  TOT) SAR2]]-TABL123[[#This Row],[(S/S TOT) AJD]]</f>
        <v>25</v>
      </c>
      <c r="Q5" s="40">
        <v>437</v>
      </c>
      <c r="R5" s="3">
        <f>TABL123[[#This Row],[خط (T/B  TOT) SAR]]-TABL123[[#This Row],[(T/B TOT) AJD]]</f>
        <v>45</v>
      </c>
      <c r="S5" s="3">
        <f>TABL123[[#This Row],[الفرق بين بداية ونهاية خط  T/B]]+TABL123[[#This Row],[الفرق بين بداية ونهاية خط  S/S]]</f>
        <v>70</v>
      </c>
      <c r="T5" s="3">
        <f>TABL123[[#This Row],[(S/S TOT) AJD]]+TABL123[[#This Row],[(T/B TOT) AJD]]</f>
        <v>874</v>
      </c>
      <c r="U5" s="44">
        <v>592</v>
      </c>
      <c r="V5" s="44">
        <v>239</v>
      </c>
      <c r="W5" s="3">
        <f>TABL123[[#This Row],[(A/B TOT) AJD]]+TABL123[[#This Row],[(A/S TOT)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91">
        <f>TABL123[[#This Row],[( S/S+T/B) AJD]]-(TABL123[[#This Row],[(A/B + A/S) AJD]]+(TABL123[[#This Row],[(STORGE DIFF.) AJD]]*1000)+TABL123[[#This Row],[البخر  AJD]])</f>
        <v>-17364</v>
      </c>
      <c r="AE5" s="75">
        <v>167</v>
      </c>
      <c r="AF5" s="75">
        <v>58.116999999999997</v>
      </c>
      <c r="AG5" s="75">
        <v>1044053</v>
      </c>
      <c r="AH5" s="45">
        <v>1450</v>
      </c>
      <c r="AI5" s="45">
        <v>1450</v>
      </c>
      <c r="AJ5" s="86">
        <f>TABL123[[#This Row],[(A/B TOT) AJD]]-TABL123[[#This Row],[BER_ IN]]</f>
        <v>425</v>
      </c>
      <c r="AK5" s="75">
        <v>23</v>
      </c>
      <c r="AL5" s="96">
        <v>42.758200000000002</v>
      </c>
      <c r="AM5" s="96">
        <v>2977470</v>
      </c>
      <c r="AN5" s="96">
        <f>TABL123[[#This Row],[ (RESV. STORGE) SER]]/10</f>
        <v>297747</v>
      </c>
      <c r="AO5" s="45">
        <v>1600</v>
      </c>
      <c r="AP5" s="32">
        <f>TABL123[[#This Row],[(A/S TOT) AJD]]-TABL123[[#This Row],[SER_ 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Row],[خط (T/B  TOT) SAR]]+TABL123[[#This Row],[خط (S/S  TOT) SAR2]]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Row],[خط (S/S  TOT) SAR2]]-TABL123[[#This Row],[(S/S TOT) AJD]]</f>
        <v>24</v>
      </c>
      <c r="Q6" s="39">
        <v>437</v>
      </c>
      <c r="R6" s="3">
        <f>TABL123[[#This Row],[خط (T/B  TOT) SAR]]-TABL123[[#This Row],[(T/B TOT) AJD]]</f>
        <v>45</v>
      </c>
      <c r="S6" s="3">
        <f>TABL123[[#This Row],[الفرق بين بداية ونهاية خط  T/B]]+TABL123[[#This Row],[الفرق بين بداية ونهاية خط  S/S]]</f>
        <v>69</v>
      </c>
      <c r="T6" s="3">
        <f>TABL123[[#This Row],[(S/S TOT) AJD]]+TABL123[[#This Row],[(T/B TOT) AJD]]</f>
        <v>875</v>
      </c>
      <c r="U6" s="41">
        <v>592</v>
      </c>
      <c r="V6" s="41">
        <v>239</v>
      </c>
      <c r="W6" s="3">
        <f>TABL123[[#This Row],[(A/B TOT) AJD]]+TABL123[[#This Row],[(A/S TOT)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91">
        <f>TABL123[[#This Row],[( S/S+T/B) AJD]]-(TABL123[[#This Row],[(A/B + A/S) AJD]]+(TABL123[[#This Row],[(STORGE DIFF.) AJD]]*1000)+TABL123[[#This Row],[البخر  AJD]])</f>
        <v>-18178</v>
      </c>
      <c r="AE6" s="75">
        <v>166</v>
      </c>
      <c r="AF6" s="75">
        <v>58.207999999999998</v>
      </c>
      <c r="AG6" s="75">
        <v>1103474</v>
      </c>
      <c r="AH6" s="43">
        <v>1548</v>
      </c>
      <c r="AI6" s="43">
        <v>1548</v>
      </c>
      <c r="AJ6" s="86">
        <f>TABL123[[#This Row],[(A/B TOT) AJD]]-TABL123[[#This Row],[BER_ IN]]</f>
        <v>426</v>
      </c>
      <c r="AK6" s="75">
        <v>23</v>
      </c>
      <c r="AL6" s="96">
        <v>42.7746</v>
      </c>
      <c r="AM6" s="96">
        <v>2989940</v>
      </c>
      <c r="AN6" s="96">
        <f>TABL123[[#This Row],[ (RESV. STORGE) SER]]/10</f>
        <v>298994</v>
      </c>
      <c r="AO6" s="43">
        <v>1580</v>
      </c>
      <c r="AP6" s="32">
        <f>TABL123[[#This Row],[(A/S TOT) AJD]]-TABL123[[#This Row],[SER_ 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Row],[خط (T/B  TOT) SAR]]+TABL123[[#This Row],[خط (S/S  TOT) SAR2]]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Row],[خط (S/S  TOT) SAR2]]-TABL123[[#This Row],[(S/S TOT) AJD]]</f>
        <v>-99</v>
      </c>
      <c r="Q7" s="40">
        <v>428</v>
      </c>
      <c r="R7" s="3">
        <f>TABL123[[#This Row],[خط (T/B  TOT) SAR]]-TABL123[[#This Row],[(T/B TOT) AJD]]</f>
        <v>-85</v>
      </c>
      <c r="S7" s="3">
        <f>TABL123[[#This Row],[الفرق بين بداية ونهاية خط  T/B]]+TABL123[[#This Row],[الفرق بين بداية ونهاية خط  S/S]]</f>
        <v>-184</v>
      </c>
      <c r="T7" s="3">
        <f>TABL123[[#This Row],[(S/S TOT) AJD]]+TABL123[[#This Row],[(T/B TOT) AJD]]</f>
        <v>857</v>
      </c>
      <c r="U7" s="44">
        <v>225</v>
      </c>
      <c r="V7" s="44">
        <v>317</v>
      </c>
      <c r="W7" s="3">
        <f>TABL123[[#This Row],[(A/B TOT) AJD]]+TABL123[[#This Row],[(A/S TOT) AJD]]</f>
        <v>542</v>
      </c>
      <c r="X7" s="3">
        <f>TABL123[[#This Row],[( S/S+T/B) AJD]]-TABL123[[#This Row],[(A/B + A/S) AJD]]</f>
        <v>315</v>
      </c>
      <c r="Y7" s="74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91">
        <f>TABL123[[#This Row],[( S/S+T/B) AJD]]-(TABL123[[#This Row],[(A/B + A/S) AJD]]+(TABL123[[#This Row],[(STORGE DIFF.) AJD]]*1000)+TABL123[[#This Row],[البخر  AJD]])</f>
        <v>-283567</v>
      </c>
      <c r="AE7" s="75">
        <v>20</v>
      </c>
      <c r="AF7" s="75">
        <v>58.234999999999999</v>
      </c>
      <c r="AG7" s="75">
        <v>1121119</v>
      </c>
      <c r="AH7" s="45">
        <v>2355</v>
      </c>
      <c r="AI7" s="45">
        <v>2355</v>
      </c>
      <c r="AJ7" s="86">
        <f>TABL123[[#This Row],[(A/B TOT) AJD]]-TABL123[[#This Row],[BER_ IN]]</f>
        <v>205</v>
      </c>
      <c r="AK7" s="75">
        <v>78</v>
      </c>
      <c r="AL7" s="96">
        <v>42.881599999999999</v>
      </c>
      <c r="AM7" s="96">
        <v>3044400</v>
      </c>
      <c r="AN7" s="96">
        <f>TABL123[[#This Row],[ (RESV. STORGE) SER]]/10</f>
        <v>304440</v>
      </c>
      <c r="AO7" s="45">
        <v>1630</v>
      </c>
      <c r="AP7" s="32">
        <f>TABL123[[#This Row],[(A/S TOT) AJD]]-TABL123[[#This Row],[SER_ 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Row],[خط (T/B  TOT) SAR]]+TABL123[[#This Row],[خط (S/S  TOT) SAR2]]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Row],[خط (S/S  TOT) SAR2]]-TABL123[[#This Row],[(S/S TOT) AJD]]</f>
        <v>2</v>
      </c>
      <c r="Q8" s="39">
        <v>331</v>
      </c>
      <c r="R8" s="3">
        <f>TABL123[[#This Row],[خط (T/B  TOT) SAR]]-TABL123[[#This Row],[(T/B TOT) AJD]]</f>
        <v>12</v>
      </c>
      <c r="S8" s="3">
        <f>TABL123[[#This Row],[الفرق بين بداية ونهاية خط  T/B]]+TABL123[[#This Row],[الفرق بين بداية ونهاية خط  S/S]]</f>
        <v>14</v>
      </c>
      <c r="T8" s="3">
        <f>TABL123[[#This Row],[(S/S TOT) AJD]]+TABL123[[#This Row],[(T/B TOT) AJD]]</f>
        <v>659</v>
      </c>
      <c r="U8" s="41">
        <v>150</v>
      </c>
      <c r="V8" s="41">
        <v>386</v>
      </c>
      <c r="W8" s="3">
        <f>TABL123[[#This Row],[(A/B TOT) AJD]]+TABL123[[#This Row],[(A/S TOT)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91">
        <f>TABL123[[#This Row],[( S/S+T/B) AJD]]-(TABL123[[#This Row],[(A/B + A/S) AJD]]+(TABL123[[#This Row],[(STORGE DIFF.) AJD]]*1000)+TABL123[[#This Row],[البخر  AJD]])</f>
        <v>-49778</v>
      </c>
      <c r="AE8" s="75">
        <v>0</v>
      </c>
      <c r="AF8" s="75">
        <v>58.231999999999999</v>
      </c>
      <c r="AG8" s="75">
        <v>1119158</v>
      </c>
      <c r="AH8" s="43">
        <v>1960</v>
      </c>
      <c r="AI8" s="43">
        <v>1960</v>
      </c>
      <c r="AJ8" s="86">
        <f>TABL123[[#This Row],[(A/B TOT) AJD]]-TABL123[[#This Row],[BER_ IN]]</f>
        <v>150</v>
      </c>
      <c r="AK8" s="75">
        <v>111</v>
      </c>
      <c r="AL8" s="96">
        <v>43.009500000000003</v>
      </c>
      <c r="AM8" s="96">
        <v>3113090</v>
      </c>
      <c r="AN8" s="96">
        <f>TABL123[[#This Row],[ (RESV. STORGE) SER]]/10</f>
        <v>311309</v>
      </c>
      <c r="AO8" s="43">
        <v>1645</v>
      </c>
      <c r="AP8" s="32">
        <f>TABL123[[#This Row],[(A/S TOT) AJD]]-TABL123[[#This Row],[SER_ 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Row],[خط (T/B  TOT) SAR]]+TABL123[[#This Row],[خط (S/S  TOT) SAR2]]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Row],[خط (S/S  TOT) SAR2]]-TABL123[[#This Row],[(S/S TOT) AJD]]</f>
        <v>20</v>
      </c>
      <c r="Q9" s="40">
        <v>307</v>
      </c>
      <c r="R9" s="3">
        <f>TABL123[[#This Row],[خط (T/B  TOT) SAR]]-TABL123[[#This Row],[(T/B TOT) AJD]]</f>
        <v>34</v>
      </c>
      <c r="S9" s="3">
        <f>TABL123[[#This Row],[الفرق بين بداية ونهاية خط  T/B]]+TABL123[[#This Row],[الفرق بين بداية ونهاية خط  S/S]]</f>
        <v>54</v>
      </c>
      <c r="T9" s="3">
        <f>TABL123[[#This Row],[(S/S TOT) AJD]]+TABL123[[#This Row],[(T/B TOT) AJD]]</f>
        <v>616</v>
      </c>
      <c r="U9" s="44">
        <v>149</v>
      </c>
      <c r="V9" s="44">
        <v>397</v>
      </c>
      <c r="W9" s="3">
        <f>TABL123[[#This Row],[(A/B TOT) AJD]]+TABL123[[#This Row],[(A/S TOT)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91">
        <f>TABL123[[#This Row],[( S/S+T/B) AJD]]-(TABL123[[#This Row],[(A/B + A/S) AJD]]+(TABL123[[#This Row],[(STORGE DIFF.) AJD]]*1000)+TABL123[[#This Row],[البخر  AJD]])</f>
        <v>-44046</v>
      </c>
      <c r="AE9" s="75">
        <v>0</v>
      </c>
      <c r="AF9" s="75">
        <v>58.23</v>
      </c>
      <c r="AG9" s="75">
        <v>1117851</v>
      </c>
      <c r="AH9" s="45">
        <v>1307</v>
      </c>
      <c r="AI9" s="45">
        <v>1307</v>
      </c>
      <c r="AJ9" s="86">
        <f>TABL123[[#This Row],[(A/B TOT) AJD]]-TABL123[[#This Row],[BER_ IN]]</f>
        <v>149</v>
      </c>
      <c r="AK9" s="75">
        <v>111</v>
      </c>
      <c r="AL9" s="96">
        <v>43.088099999999997</v>
      </c>
      <c r="AM9" s="96">
        <v>3155860</v>
      </c>
      <c r="AN9" s="96">
        <f>TABL123[[#This Row],[ (RESV. STORGE) SER]]/10</f>
        <v>315586</v>
      </c>
      <c r="AO9" s="45">
        <v>1665</v>
      </c>
      <c r="AP9" s="32">
        <f>TABL123[[#This Row],[(A/S TOT) AJD]]-TABL123[[#This Row],[SER_ 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Row],[خط (T/B  TOT) SAR]]+TABL123[[#This Row],[خط (S/S  TOT) SAR2]]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Row],[خط (S/S  TOT) SAR2]]-TABL123[[#This Row],[(S/S TOT) AJD]]</f>
        <v>1</v>
      </c>
      <c r="Q10" s="39">
        <v>304</v>
      </c>
      <c r="R10" s="3">
        <f>TABL123[[#This Row],[خط (T/B  TOT) SAR]]-TABL123[[#This Row],[(T/B TOT) AJD]]</f>
        <v>13</v>
      </c>
      <c r="S10" s="3">
        <f>TABL123[[#This Row],[الفرق بين بداية ونهاية خط  T/B]]+TABL123[[#This Row],[الفرق بين بداية ونهاية خط  S/S]]</f>
        <v>14</v>
      </c>
      <c r="T10" s="3">
        <f>TABL123[[#This Row],[(S/S TOT) AJD]]+TABL123[[#This Row],[(T/B TOT) AJD]]</f>
        <v>610</v>
      </c>
      <c r="U10" s="41">
        <v>149</v>
      </c>
      <c r="V10" s="41">
        <v>422</v>
      </c>
      <c r="W10" s="3">
        <f>TABL123[[#This Row],[(A/B TOT) AJD]]+TABL123[[#This Row],[(A/S TOT)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91">
        <f>TABL123[[#This Row],[( S/S+T/B) AJD]]-(TABL123[[#This Row],[(A/B + A/S) AJD]]+(TABL123[[#This Row],[(STORGE DIFF.) AJD]]*1000)+TABL123[[#This Row],[البخر  AJD]])</f>
        <v>3413</v>
      </c>
      <c r="AE10" s="75">
        <v>0</v>
      </c>
      <c r="AF10" s="75">
        <v>58.228000000000002</v>
      </c>
      <c r="AG10" s="75">
        <v>1116544</v>
      </c>
      <c r="AH10" s="43">
        <v>1307</v>
      </c>
      <c r="AI10" s="43">
        <v>1307</v>
      </c>
      <c r="AJ10" s="86">
        <f>TABL123[[#This Row],[(A/B TOT) AJD]]-TABL123[[#This Row],[BER_ IN]]</f>
        <v>149</v>
      </c>
      <c r="AK10" s="75">
        <v>109</v>
      </c>
      <c r="AL10" s="96">
        <v>43.087800000000001</v>
      </c>
      <c r="AM10" s="96">
        <v>3156470</v>
      </c>
      <c r="AN10" s="96">
        <f>TABL123[[#This Row],[ (RESV. STORGE) SER]]/10</f>
        <v>315647</v>
      </c>
      <c r="AO10" s="43">
        <v>1630</v>
      </c>
      <c r="AP10" s="32">
        <f>TABL123[[#This Row],[(A/S TOT) AJD]]-TABL123[[#This Row],[SER_ 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Row],[خط (T/B  TOT) SAR]]+TABL123[[#This Row],[خط (S/S  TOT) SAR2]]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Row],[خط (S/S  TOT) SAR2]]-TABL123[[#This Row],[(S/S TOT) AJD]]</f>
        <v>14</v>
      </c>
      <c r="Q11" s="40">
        <v>289</v>
      </c>
      <c r="R11" s="3">
        <f>TABL123[[#This Row],[خط (T/B  TOT) SAR]]-TABL123[[#This Row],[(T/B TOT) AJD]]</f>
        <v>26</v>
      </c>
      <c r="S11" s="3">
        <f>TABL123[[#This Row],[الفرق بين بداية ونهاية خط  T/B]]+TABL123[[#This Row],[الفرق بين بداية ونهاية خط  S/S]]</f>
        <v>40</v>
      </c>
      <c r="T11" s="3">
        <f>TABL123[[#This Row],[(S/S TOT) AJD]]+TABL123[[#This Row],[(T/B TOT) AJD]]</f>
        <v>581</v>
      </c>
      <c r="U11" s="44">
        <v>148</v>
      </c>
      <c r="V11" s="44">
        <v>409</v>
      </c>
      <c r="W11" s="3">
        <f>TABL123[[#This Row],[(A/B TOT) AJD]]+TABL123[[#This Row],[(A/S TOT)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91">
        <f>TABL123[[#This Row],[( S/S+T/B) AJD]]-(TABL123[[#This Row],[(A/B + A/S) AJD]]+(TABL123[[#This Row],[(STORGE DIFF.) AJD]]*1000)+TABL123[[#This Row],[البخر  AJD]])</f>
        <v>5190</v>
      </c>
      <c r="AE11" s="75">
        <v>0</v>
      </c>
      <c r="AF11" s="75">
        <v>58.225000000000001</v>
      </c>
      <c r="AG11" s="75">
        <v>1114583</v>
      </c>
      <c r="AH11" s="45">
        <v>1960</v>
      </c>
      <c r="AI11" s="45">
        <v>1960</v>
      </c>
      <c r="AJ11" s="86">
        <f>TABL123[[#This Row],[(A/B TOT) AJD]]-TABL123[[#This Row],[BER_ IN]]</f>
        <v>148</v>
      </c>
      <c r="AK11" s="75">
        <v>110</v>
      </c>
      <c r="AL11" s="96">
        <v>43.119100000000003</v>
      </c>
      <c r="AM11" s="96">
        <v>3172270</v>
      </c>
      <c r="AN11" s="96">
        <f>TABL123[[#This Row],[ (RESV. STORGE) SER]]/10</f>
        <v>317227</v>
      </c>
      <c r="AO11" s="45">
        <v>1420</v>
      </c>
      <c r="AP11" s="32">
        <f>TABL123[[#This Row],[(A/S TOT) AJD]]-TABL123[[#This Row],[SER_ 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Row],[خط (T/B  TOT) SAR]]+TABL123[[#This Row],[خط (S/S  TOT) SAR2]]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Row],[خط (S/S  TOT) SAR2]]-TABL123[[#This Row],[(S/S TOT) AJD]]</f>
        <v>7</v>
      </c>
      <c r="Q12" s="39">
        <v>280</v>
      </c>
      <c r="R12" s="3">
        <f>TABL123[[#This Row],[خط (T/B  TOT) SAR]]-TABL123[[#This Row],[(T/B TOT) AJD]]</f>
        <v>26</v>
      </c>
      <c r="S12" s="3">
        <f>TABL123[[#This Row],[الفرق بين بداية ونهاية خط  T/B]]+TABL123[[#This Row],[الفرق بين بداية ونهاية خط  S/S]]</f>
        <v>33</v>
      </c>
      <c r="T12" s="3">
        <f>TABL123[[#This Row],[(S/S TOT) AJD]]+TABL123[[#This Row],[(T/B TOT) AJD]]</f>
        <v>563</v>
      </c>
      <c r="U12" s="41">
        <v>148</v>
      </c>
      <c r="V12" s="41">
        <v>371</v>
      </c>
      <c r="W12" s="3">
        <f>TABL123[[#This Row],[(A/B TOT) AJD]]+TABL123[[#This Row],[(A/S TOT)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91">
        <f>TABL123[[#This Row],[( S/S+T/B) AJD]]-(TABL123[[#This Row],[(A/B + A/S) AJD]]+(TABL123[[#This Row],[(STORGE DIFF.) AJD]]*1000)+TABL123[[#This Row],[البخر  AJD]])</f>
        <v>-2960</v>
      </c>
      <c r="AE12" s="75">
        <v>0</v>
      </c>
      <c r="AF12" s="75">
        <v>58.222999999999999</v>
      </c>
      <c r="AG12" s="75">
        <v>1113276</v>
      </c>
      <c r="AH12" s="75">
        <v>1307</v>
      </c>
      <c r="AI12" s="75">
        <v>1307</v>
      </c>
      <c r="AJ12" s="86">
        <f>TABL123[[#This Row],[(A/B TOT) AJD]]-TABL123[[#This Row],[BER_ IN]]</f>
        <v>148</v>
      </c>
      <c r="AK12" s="75">
        <v>112</v>
      </c>
      <c r="AL12" s="96">
        <v>43.129600000000003</v>
      </c>
      <c r="AM12" s="96">
        <v>3178100</v>
      </c>
      <c r="AN12" s="96">
        <f>TABL123[[#This Row],[ (RESV. STORGE) SER]]/10</f>
        <v>317810</v>
      </c>
      <c r="AO12" s="43">
        <v>1453</v>
      </c>
      <c r="AP12" s="32">
        <f>TABL123[[#This Row],[(A/S TOT) AJD]]-TABL123[[#This Row],[SER_ 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Row],[خط (T/B  TOT) SAR]]+TABL123[[#This Row],[خط (S/S  TOT) SAR2]]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Row],[خط (S/S  TOT) SAR2]]-TABL123[[#This Row],[(S/S TOT) AJD]]</f>
        <v>9</v>
      </c>
      <c r="Q13" s="40">
        <v>269</v>
      </c>
      <c r="R13" s="3">
        <f>TABL123[[#This Row],[خط (T/B  TOT) SAR]]-TABL123[[#This Row],[(T/B TOT) AJD]]</f>
        <v>31</v>
      </c>
      <c r="S13" s="3">
        <f>TABL123[[#This Row],[الفرق بين بداية ونهاية خط  T/B]]+TABL123[[#This Row],[الفرق بين بداية ونهاية خط  S/S]]</f>
        <v>40</v>
      </c>
      <c r="T13" s="3">
        <f>TABL123[[#This Row],[(S/S TOT) AJD]]+TABL123[[#This Row],[(T/B TOT) AJD]]</f>
        <v>543</v>
      </c>
      <c r="U13" s="44">
        <v>147</v>
      </c>
      <c r="V13" s="44">
        <v>370</v>
      </c>
      <c r="W13" s="3">
        <f>TABL123[[#This Row],[(A/B TOT) AJD]]+TABL123[[#This Row],[(A/S TOT)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91">
        <f>TABL123[[#This Row],[( S/S+T/B) AJD]]-(TABL123[[#This Row],[(A/B + A/S) AJD]]+(TABL123[[#This Row],[(STORGE DIFF.) AJD]]*1000)+TABL123[[#This Row],[البخر  AJD]])</f>
        <v>11046</v>
      </c>
      <c r="AE13" s="75">
        <v>0</v>
      </c>
      <c r="AF13" s="75">
        <v>58.201000000000001</v>
      </c>
      <c r="AG13" s="75">
        <v>1098901</v>
      </c>
      <c r="AH13" s="45">
        <v>1306</v>
      </c>
      <c r="AI13" s="45">
        <v>1306</v>
      </c>
      <c r="AJ13" s="86">
        <f>TABL123[[#This Row],[(A/B TOT) AJD]]-TABL123[[#This Row],[BER_ IN]]</f>
        <v>147</v>
      </c>
      <c r="AK13" s="75">
        <v>119</v>
      </c>
      <c r="AL13" s="96">
        <v>43.183799999999998</v>
      </c>
      <c r="AM13" s="96">
        <v>3207490</v>
      </c>
      <c r="AN13" s="96">
        <f>TABL123[[#This Row],[ (RESV. STORGE) SER]]/10</f>
        <v>320749</v>
      </c>
      <c r="AO13" s="45">
        <v>1447</v>
      </c>
      <c r="AP13" s="32">
        <f>TABL123[[#This Row],[(A/S TOT) AJD]]-TABL123[[#This Row],[SER_ 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Row],[خط (T/B  TOT) SAR]]+TABL123[[#This Row],[خط (S/S  TOT) SAR2]]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Row],[خط (S/S  TOT) SAR2]]-TABL123[[#This Row],[(S/S TOT) AJD]]</f>
        <v>28</v>
      </c>
      <c r="Q14" s="39">
        <v>261</v>
      </c>
      <c r="R14" s="3">
        <f>TABL123[[#This Row],[خط (T/B  TOT) SAR]]-TABL123[[#This Row],[(T/B TOT) AJD]]</f>
        <v>16</v>
      </c>
      <c r="S14" s="3">
        <f>TABL123[[#This Row],[الفرق بين بداية ونهاية خط  T/B]]+TABL123[[#This Row],[الفرق بين بداية ونهاية خط  S/S]]</f>
        <v>44</v>
      </c>
      <c r="T14" s="3">
        <f>TABL123[[#This Row],[(S/S TOT) AJD]]+TABL123[[#This Row],[(T/B TOT) AJD]]</f>
        <v>547</v>
      </c>
      <c r="U14" s="41">
        <v>147</v>
      </c>
      <c r="V14" s="41">
        <v>380</v>
      </c>
      <c r="W14" s="3">
        <f>TABL123[[#This Row],[(A/B TOT) AJD]]+TABL123[[#This Row],[(A/S TOT)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91">
        <f>TABL123[[#This Row],[( S/S+T/B) AJD]]-(TABL123[[#This Row],[(A/B + A/S) AJD]]+(TABL123[[#This Row],[(STORGE DIFF.) AJD]]*1000)+TABL123[[#This Row],[البخر  AJD]])</f>
        <v>47875</v>
      </c>
      <c r="AE14" s="75">
        <v>0</v>
      </c>
      <c r="AF14" s="75">
        <v>58.198999999999998</v>
      </c>
      <c r="AG14" s="75">
        <v>1097594</v>
      </c>
      <c r="AH14" s="43">
        <v>1306</v>
      </c>
      <c r="AI14" s="43">
        <v>1306</v>
      </c>
      <c r="AJ14" s="86">
        <f>TABL123[[#This Row],[(A/B TOT) AJD]]-TABL123[[#This Row],[BER_ IN]]</f>
        <v>147</v>
      </c>
      <c r="AK14" s="75">
        <v>121</v>
      </c>
      <c r="AL14" s="96">
        <v>43.333199999999998</v>
      </c>
      <c r="AM14" s="96">
        <v>3288850</v>
      </c>
      <c r="AN14" s="96">
        <f>TABL123[[#This Row],[ (RESV. STORGE) SER]]/10</f>
        <v>328885</v>
      </c>
      <c r="AO14" s="43">
        <v>1460</v>
      </c>
      <c r="AP14" s="32">
        <f>TABL123[[#This Row],[(A/S TOT) AJD]]-TABL123[[#This Row],[SER_ 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Row],[خط (T/B  TOT) SAR]]+TABL123[[#This Row],[خط (S/S  TOT) SAR2]]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Row],[خط (S/S  TOT) SAR2]]-TABL123[[#This Row],[(S/S TOT) AJD]]</f>
        <v>25</v>
      </c>
      <c r="Q15" s="40">
        <v>246</v>
      </c>
      <c r="R15" s="3">
        <f>TABL123[[#This Row],[خط (T/B  TOT) SAR]]-TABL123[[#This Row],[(T/B TOT) AJD]]</f>
        <v>29</v>
      </c>
      <c r="S15" s="3">
        <f>TABL123[[#This Row],[الفرق بين بداية ونهاية خط  T/B]]+TABL123[[#This Row],[الفرق بين بداية ونهاية خط  S/S]]</f>
        <v>54</v>
      </c>
      <c r="T15" s="3">
        <f>TABL123[[#This Row],[(S/S TOT) AJD]]+TABL123[[#This Row],[(T/B TOT) AJD]]</f>
        <v>534</v>
      </c>
      <c r="U15" s="44">
        <v>148</v>
      </c>
      <c r="V15" s="44">
        <v>378</v>
      </c>
      <c r="W15" s="3">
        <f>TABL123[[#This Row],[(A/B TOT) AJD]]+TABL123[[#This Row],[(A/S TOT)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91">
        <f>TABL123[[#This Row],[( S/S+T/B) AJD]]-(TABL123[[#This Row],[(A/B + A/S) AJD]]+(TABL123[[#This Row],[(STORGE DIFF.) AJD]]*1000)+TABL123[[#This Row],[البخر  AJD]])</f>
        <v>42588</v>
      </c>
      <c r="AE15" s="75">
        <v>0</v>
      </c>
      <c r="AF15" s="75">
        <v>58.198</v>
      </c>
      <c r="AG15" s="75">
        <v>1096941</v>
      </c>
      <c r="AH15" s="45">
        <v>653</v>
      </c>
      <c r="AI15" s="45">
        <v>653</v>
      </c>
      <c r="AJ15" s="86">
        <f>TABL123[[#This Row],[(A/B TOT) AJD]]-TABL123[[#This Row],[BER_ IN]]</f>
        <v>148</v>
      </c>
      <c r="AK15" s="75">
        <v>119</v>
      </c>
      <c r="AL15" s="96">
        <v>43.494</v>
      </c>
      <c r="AM15" s="96">
        <v>3376500</v>
      </c>
      <c r="AN15" s="96">
        <f>TABL123[[#This Row],[ (RESV. STORGE) SER]]/10</f>
        <v>337650</v>
      </c>
      <c r="AO15" s="45">
        <v>1470</v>
      </c>
      <c r="AP15" s="32">
        <f>TABL123[[#This Row],[(A/S TOT) AJD]]-TABL123[[#This Row],[SER_ 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Row],[خط (T/B  TOT) SAR]]+TABL123[[#This Row],[خط (S/S  TOT) SAR2]]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Row],[خط (S/S  TOT) SAR2]]-TABL123[[#This Row],[(S/S TOT) AJD]]</f>
        <v>25</v>
      </c>
      <c r="Q16" s="39">
        <v>237</v>
      </c>
      <c r="R16" s="3">
        <f>TABL123[[#This Row],[خط (T/B  TOT) SAR]]-TABL123[[#This Row],[(T/B TOT) AJD]]</f>
        <v>40</v>
      </c>
      <c r="S16" s="3">
        <f>TABL123[[#This Row],[الفرق بين بداية ونهاية خط  T/B]]+TABL123[[#This Row],[الفرق بين بداية ونهاية خط  S/S]]</f>
        <v>65</v>
      </c>
      <c r="T16" s="3">
        <f>TABL123[[#This Row],[(S/S TOT) AJD]]+TABL123[[#This Row],[(T/B TOT) AJD]]</f>
        <v>525</v>
      </c>
      <c r="U16" s="41">
        <v>149</v>
      </c>
      <c r="V16" s="41">
        <v>378</v>
      </c>
      <c r="W16" s="3">
        <f>TABL123[[#This Row],[(A/B TOT) AJD]]+TABL123[[#This Row],[(A/S TOT)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91">
        <f>TABL123[[#This Row],[( S/S+T/B) AJD]]-(TABL123[[#This Row],[(A/B + A/S) AJD]]+(TABL123[[#This Row],[(STORGE DIFF.) AJD]]*1000)+TABL123[[#This Row],[البخر  AJD]])</f>
        <v>36546</v>
      </c>
      <c r="AE16" s="75">
        <v>0</v>
      </c>
      <c r="AF16" s="75">
        <v>58.197000000000003</v>
      </c>
      <c r="AG16" s="75">
        <v>1096288</v>
      </c>
      <c r="AH16" s="43">
        <v>653</v>
      </c>
      <c r="AI16" s="43">
        <v>653</v>
      </c>
      <c r="AJ16" s="86">
        <f>TABL123[[#This Row],[(A/B TOT) AJD]]-TABL123[[#This Row],[BER_ IN]]</f>
        <v>149</v>
      </c>
      <c r="AK16" s="75">
        <v>119</v>
      </c>
      <c r="AL16" s="96">
        <v>43.677399999999999</v>
      </c>
      <c r="AM16" s="96">
        <v>3476370</v>
      </c>
      <c r="AN16" s="96">
        <f>TABL123[[#This Row],[ (RESV. STORGE) SER]]/10</f>
        <v>347637</v>
      </c>
      <c r="AO16" s="43">
        <v>1483</v>
      </c>
      <c r="AP16" s="32">
        <f>TABL123[[#This Row],[(A/S TOT) AJD]]-TABL123[[#This Row],[SER_ 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Row],[خط (T/B  TOT) SAR]]+TABL123[[#This Row],[خط (S/S  TOT) SAR2]]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Row],[خط (S/S  TOT) SAR2]]-TABL123[[#This Row],[(S/S TOT) AJD]]</f>
        <v>2</v>
      </c>
      <c r="Q17" s="40">
        <v>240</v>
      </c>
      <c r="R17" s="3">
        <f>TABL123[[#This Row],[خط (T/B  TOT) SAR]]-TABL123[[#This Row],[(T/B TOT) AJD]]</f>
        <v>62</v>
      </c>
      <c r="S17" s="3">
        <f>TABL123[[#This Row],[الفرق بين بداية ونهاية خط  T/B]]+TABL123[[#This Row],[الفرق بين بداية ونهاية خط  S/S]]</f>
        <v>64</v>
      </c>
      <c r="T17" s="3">
        <f>TABL123[[#This Row],[(S/S TOT) AJD]]+TABL123[[#This Row],[(T/B TOT) AJD]]</f>
        <v>527</v>
      </c>
      <c r="U17" s="44">
        <v>151</v>
      </c>
      <c r="V17" s="44">
        <v>395</v>
      </c>
      <c r="W17" s="3">
        <f>TABL123[[#This Row],[(A/B TOT) AJD]]+TABL123[[#This Row],[(A/S TOT)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91">
        <f>TABL123[[#This Row],[( S/S+T/B) AJD]]-(TABL123[[#This Row],[(A/B + A/S) AJD]]+(TABL123[[#This Row],[(STORGE DIFF.) AJD]]*1000)+TABL123[[#This Row],[البخر  AJD]])</f>
        <v>50887</v>
      </c>
      <c r="AE17" s="75">
        <v>0</v>
      </c>
      <c r="AF17" s="75">
        <v>58.195</v>
      </c>
      <c r="AG17" s="75">
        <v>1094981</v>
      </c>
      <c r="AH17" s="45">
        <v>1306</v>
      </c>
      <c r="AI17" s="45">
        <v>1306</v>
      </c>
      <c r="AJ17" s="86">
        <f>TABL123[[#This Row],[(A/B TOT) AJD]]-TABL123[[#This Row],[BER_ IN]]</f>
        <v>151</v>
      </c>
      <c r="AK17" s="75">
        <v>118</v>
      </c>
      <c r="AL17" s="96">
        <v>43.8536</v>
      </c>
      <c r="AM17" s="96">
        <v>3573210</v>
      </c>
      <c r="AN17" s="96">
        <f>TABL123[[#This Row],[ (RESV. STORGE) SER]]/10</f>
        <v>357321</v>
      </c>
      <c r="AO17" s="45">
        <v>1860</v>
      </c>
      <c r="AP17" s="32">
        <f>TABL123[[#This Row],[(A/S TOT) AJD]]-TABL123[[#This Row],[SER_ 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Row],[خط (T/B  TOT) SAR]]+TABL123[[#This Row],[خط (S/S  TOT) SAR2]]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Row],[خط (S/S  TOT) SAR2]]-TABL123[[#This Row],[(S/S TOT) AJD]]</f>
        <v>125</v>
      </c>
      <c r="Q18" s="39">
        <v>281</v>
      </c>
      <c r="R18" s="3">
        <f>TABL123[[#This Row],[خط (T/B  TOT) SAR]]-TABL123[[#This Row],[(T/B TOT) AJD]]</f>
        <v>113</v>
      </c>
      <c r="S18" s="3">
        <f>TABL123[[#This Row],[الفرق بين بداية ونهاية خط  T/B]]+TABL123[[#This Row],[الفرق بين بداية ونهاية خط  S/S]]</f>
        <v>238</v>
      </c>
      <c r="T18" s="3">
        <f>TABL123[[#This Row],[(S/S TOT) AJD]]+TABL123[[#This Row],[(T/B TOT) AJD]]</f>
        <v>545</v>
      </c>
      <c r="U18" s="41">
        <v>248</v>
      </c>
      <c r="V18" s="41">
        <v>393</v>
      </c>
      <c r="W18" s="3">
        <f>TABL123[[#This Row],[(A/B TOT) AJD]]+TABL123[[#This Row],[(A/S TOT)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91">
        <f>TABL123[[#This Row],[( S/S+T/B) AJD]]-(TABL123[[#This Row],[(A/B + A/S) AJD]]+(TABL123[[#This Row],[(STORGE DIFF.) AJD]]*1000)+TABL123[[#This Row],[البخر  AJD]])</f>
        <v>92753</v>
      </c>
      <c r="AE18" s="75">
        <v>0</v>
      </c>
      <c r="AF18" s="75">
        <v>58.194000000000003</v>
      </c>
      <c r="AG18" s="75">
        <v>1094328</v>
      </c>
      <c r="AH18" s="43">
        <v>653</v>
      </c>
      <c r="AI18" s="43">
        <v>653</v>
      </c>
      <c r="AJ18" s="86">
        <f>TABL123[[#This Row],[(A/B TOT) AJD]]-TABL123[[#This Row],[BER_ IN]]</f>
        <v>248</v>
      </c>
      <c r="AK18" s="75">
        <v>117</v>
      </c>
      <c r="AL18" s="96">
        <v>44.005499999999998</v>
      </c>
      <c r="AM18" s="96">
        <v>3656590</v>
      </c>
      <c r="AN18" s="96">
        <f>TABL123[[#This Row],[ (RESV. STORGE) SER]]/10</f>
        <v>365659</v>
      </c>
      <c r="AO18" s="43">
        <v>1820</v>
      </c>
      <c r="AP18" s="32">
        <f>TABL123[[#This Row],[(A/S TOT) AJD]]-TABL123[[#This Row],[SER_ 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Row],[خط (T/B  TOT) SAR]]+TABL123[[#This Row],[خط (S/S  TOT) SAR2]]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Row],[خط (S/S  TOT) SAR2]]-TABL123[[#This Row],[(S/S TOT) AJD]]</f>
        <v>62</v>
      </c>
      <c r="Q19" s="40">
        <v>255</v>
      </c>
      <c r="R19" s="3">
        <f>TABL123[[#This Row],[خط (T/B  TOT) SAR]]-TABL123[[#This Row],[(T/B TOT) AJD]]</f>
        <v>191</v>
      </c>
      <c r="S19" s="3">
        <f>TABL123[[#This Row],[الفرق بين بداية ونهاية خط  T/B]]+TABL123[[#This Row],[الفرق بين بداية ونهاية خط  S/S]]</f>
        <v>253</v>
      </c>
      <c r="T19" s="3">
        <f>TABL123[[#This Row],[(S/S TOT) AJD]]+TABL123[[#This Row],[(T/B TOT) AJD]]</f>
        <v>625</v>
      </c>
      <c r="U19" s="44">
        <v>246</v>
      </c>
      <c r="V19" s="44">
        <v>375</v>
      </c>
      <c r="W19" s="3">
        <f>TABL123[[#This Row],[(A/B TOT) AJD]]+TABL123[[#This Row],[(A/S TOT)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91">
        <f>TABL123[[#This Row],[( S/S+T/B) AJD]]-(TABL123[[#This Row],[(A/B + A/S) AJD]]+(TABL123[[#This Row],[(STORGE DIFF.) AJD]]*1000)+TABL123[[#This Row],[البخر  AJD]])</f>
        <v>-36268</v>
      </c>
      <c r="AE19" s="75">
        <v>15</v>
      </c>
      <c r="AF19" s="75">
        <v>58.215000000000003</v>
      </c>
      <c r="AG19" s="75">
        <v>1108048</v>
      </c>
      <c r="AH19" s="45">
        <v>1279</v>
      </c>
      <c r="AI19" s="45">
        <v>1279</v>
      </c>
      <c r="AJ19" s="86">
        <f>TABL123[[#This Row],[(A/B TOT) AJD]]-TABL123[[#This Row],[BER_ IN]]</f>
        <v>231</v>
      </c>
      <c r="AK19" s="75">
        <v>119</v>
      </c>
      <c r="AL19" s="96">
        <v>44.167200000000001</v>
      </c>
      <c r="AM19" s="96">
        <v>3745080</v>
      </c>
      <c r="AN19" s="96">
        <f>TABL123[[#This Row],[ (RESV. STORGE) SER]]/10</f>
        <v>374508</v>
      </c>
      <c r="AO19" s="45">
        <v>1810</v>
      </c>
      <c r="AP19" s="32">
        <f>TABL123[[#This Row],[(A/S TOT) AJD]]-TABL123[[#This Row],[SER_ 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Row],[خط (T/B  TOT) SAR]]+TABL123[[#This Row],[خط (S/S  TOT) SAR2]]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Row],[خط (S/S  TOT) SAR2]]-TABL123[[#This Row],[(S/S TOT) AJD]]</f>
        <v>47</v>
      </c>
      <c r="Q20" s="39">
        <v>416</v>
      </c>
      <c r="R20" s="3">
        <f>TABL123[[#This Row],[خط (T/B  TOT) SAR]]-TABL123[[#This Row],[(T/B TOT) AJD]]</f>
        <v>32</v>
      </c>
      <c r="S20" s="3">
        <f>TABL123[[#This Row],[الفرق بين بداية ونهاية خط  T/B]]+TABL123[[#This Row],[الفرق بين بداية ونهاية خط  S/S]]</f>
        <v>79</v>
      </c>
      <c r="T20" s="3">
        <f>TABL123[[#This Row],[(S/S TOT) AJD]]+TABL123[[#This Row],[(T/B TOT) AJD]]</f>
        <v>801</v>
      </c>
      <c r="U20" s="41">
        <v>461</v>
      </c>
      <c r="V20" s="41">
        <v>395</v>
      </c>
      <c r="W20" s="3">
        <f>TABL123[[#This Row],[(A/B TOT) AJD]]+TABL123[[#This Row],[(A/S TOT)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91">
        <f>TABL123[[#This Row],[( S/S+T/B) AJD]]-(TABL123[[#This Row],[(A/B + A/S) AJD]]+(TABL123[[#This Row],[(STORGE DIFF.) AJD]]*1000)+TABL123[[#This Row],[البخر  AJD]])</f>
        <v>81778</v>
      </c>
      <c r="AE20" s="75">
        <v>100</v>
      </c>
      <c r="AF20" s="75">
        <v>58.265000000000001</v>
      </c>
      <c r="AG20" s="75">
        <v>1140731</v>
      </c>
      <c r="AH20" s="43">
        <v>1317</v>
      </c>
      <c r="AI20" s="43">
        <v>1317</v>
      </c>
      <c r="AJ20" s="86">
        <f>TABL123[[#This Row],[(A/B TOT) AJD]]-TABL123[[#This Row],[BER_ IN]]</f>
        <v>361</v>
      </c>
      <c r="AK20" s="75">
        <v>119</v>
      </c>
      <c r="AL20" s="96">
        <v>44.317599999999999</v>
      </c>
      <c r="AM20" s="96">
        <v>3827490</v>
      </c>
      <c r="AN20" s="96">
        <f>TABL123[[#This Row],[ (RESV. STORGE) SER]]/10</f>
        <v>382749</v>
      </c>
      <c r="AO20" s="43">
        <v>1890</v>
      </c>
      <c r="AP20" s="32">
        <f>TABL123[[#This Row],[(A/S TOT) AJD]]-TABL123[[#This Row],[SER_ 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Row],[خط (T/B  TOT) SAR]]+TABL123[[#This Row],[خط (S/S  TOT) SAR2]]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Row],[خط (S/S  TOT) SAR2]]-TABL123[[#This Row],[(S/S TOT) AJD]]</f>
        <v>69</v>
      </c>
      <c r="Q21" s="40">
        <v>426</v>
      </c>
      <c r="R21" s="3">
        <f>TABL123[[#This Row],[خط (T/B  TOT) SAR]]-TABL123[[#This Row],[(T/B TOT) AJD]]</f>
        <v>53</v>
      </c>
      <c r="S21" s="3">
        <f>TABL123[[#This Row],[الفرق بين بداية ونهاية خط  T/B]]+TABL123[[#This Row],[الفرق بين بداية ونهاية خط  S/S]]</f>
        <v>122</v>
      </c>
      <c r="T21" s="3">
        <f>TABL123[[#This Row],[(S/S TOT) AJD]]+TABL123[[#This Row],[(T/B TOT) AJD]]</f>
        <v>818</v>
      </c>
      <c r="U21" s="44">
        <v>533</v>
      </c>
      <c r="V21" s="44">
        <v>384</v>
      </c>
      <c r="W21" s="3">
        <f>TABL123[[#This Row],[(A/B TOT) AJD]]+TABL123[[#This Row],[(A/S TOT)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91">
        <f>TABL123[[#This Row],[( S/S+T/B) AJD]]-(TABL123[[#This Row],[(A/B + A/S) AJD]]+(TABL123[[#This Row],[(STORGE DIFF.) AJD]]*1000)+TABL123[[#This Row],[البخر  AJD]])</f>
        <v>121213</v>
      </c>
      <c r="AE21" s="75">
        <v>85</v>
      </c>
      <c r="AF21" s="75">
        <v>58.325000000000003</v>
      </c>
      <c r="AG21" s="75">
        <v>1179978</v>
      </c>
      <c r="AH21" s="45">
        <v>2000</v>
      </c>
      <c r="AI21" s="45">
        <v>2000</v>
      </c>
      <c r="AJ21" s="86">
        <f>TABL123[[#This Row],[(A/B TOT) AJD]]-TABL123[[#This Row],[BER_ IN]]</f>
        <v>448</v>
      </c>
      <c r="AK21" s="75">
        <v>119</v>
      </c>
      <c r="AL21" s="96">
        <v>44.510800000000003</v>
      </c>
      <c r="AM21" s="96">
        <v>3934870</v>
      </c>
      <c r="AN21" s="96">
        <f>TABL123[[#This Row],[ (RESV. STORGE) SER]]/10</f>
        <v>393487</v>
      </c>
      <c r="AO21" s="45">
        <v>1820</v>
      </c>
      <c r="AP21" s="32">
        <f>TABL123[[#This Row],[(A/S TOT) AJD]]-TABL123[[#This Row],[SER_ 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Row],[خط (T/B  TOT) SAR]]+TABL123[[#This Row],[خط (S/S  TOT) SAR2]]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Row],[خط (S/S  TOT) SAR2]]-TABL123[[#This Row],[(S/S TOT) AJD]]</f>
        <v>43</v>
      </c>
      <c r="Q22" s="39">
        <v>447</v>
      </c>
      <c r="R22" s="3">
        <f>TABL123[[#This Row],[خط (T/B  TOT) SAR]]-TABL123[[#This Row],[(T/B TOT) AJD]]</f>
        <v>30</v>
      </c>
      <c r="S22" s="3">
        <f>TABL123[[#This Row],[الفرق بين بداية ونهاية خط  T/B]]+TABL123[[#This Row],[الفرق بين بداية ونهاية خط  S/S]]</f>
        <v>73</v>
      </c>
      <c r="T22" s="3">
        <f>TABL123[[#This Row],[(S/S TOT) AJD]]+TABL123[[#This Row],[(T/B TOT) AJD]]</f>
        <v>863</v>
      </c>
      <c r="U22" s="41">
        <v>526</v>
      </c>
      <c r="V22" s="41">
        <v>338</v>
      </c>
      <c r="W22" s="3">
        <f>TABL123[[#This Row],[(A/B TOT) AJD]]+TABL123[[#This Row],[(A/S TOT)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91">
        <f>TABL123[[#This Row],[( S/S+T/B) AJD]]-(TABL123[[#This Row],[(A/B + A/S) AJD]]+(TABL123[[#This Row],[(STORGE DIFF.) AJD]]*1000)+TABL123[[#This Row],[البخر  AJD]])</f>
        <v>41289</v>
      </c>
      <c r="AE22" s="75">
        <v>87</v>
      </c>
      <c r="AF22" s="75">
        <v>58.375</v>
      </c>
      <c r="AG22" s="75">
        <v>1212708</v>
      </c>
      <c r="AH22" s="43">
        <v>1858</v>
      </c>
      <c r="AI22" s="43">
        <v>1858</v>
      </c>
      <c r="AJ22" s="86">
        <f>TABL123[[#This Row],[(A/B TOT) AJD]]-TABL123[[#This Row],[BER_ IN]]</f>
        <v>439</v>
      </c>
      <c r="AK22" s="75">
        <v>87</v>
      </c>
      <c r="AL22" s="96">
        <v>44.626600000000003</v>
      </c>
      <c r="AM22" s="96">
        <v>3998520</v>
      </c>
      <c r="AN22" s="96">
        <f>TABL123[[#This Row],[ (RESV. STORGE) SER]]/10</f>
        <v>399852</v>
      </c>
      <c r="AO22" s="43">
        <v>1850</v>
      </c>
      <c r="AP22" s="32">
        <f>TABL123[[#This Row],[(A/S TOT) AJD]]-TABL123[[#This Row],[SER_ 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Row],[خط (T/B  TOT) SAR]]+TABL123[[#This Row],[خط (S/S  TOT) SAR2]]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Row],[خط (S/S  TOT) SAR2]]-TABL123[[#This Row],[(S/S TOT) AJD]]</f>
        <v>43</v>
      </c>
      <c r="Q23" s="40">
        <v>449</v>
      </c>
      <c r="R23" s="3">
        <f>TABL123[[#This Row],[خط (T/B  TOT) SAR]]-TABL123[[#This Row],[(T/B TOT) AJD]]</f>
        <v>28</v>
      </c>
      <c r="S23" s="3">
        <f>TABL123[[#This Row],[الفرق بين بداية ونهاية خط  T/B]]+TABL123[[#This Row],[الفرق بين بداية ونهاية خط  S/S]]</f>
        <v>71</v>
      </c>
      <c r="T23" s="3">
        <f>TABL123[[#This Row],[(S/S TOT) AJD]]+TABL123[[#This Row],[(T/B TOT) AJD]]</f>
        <v>864</v>
      </c>
      <c r="U23" s="44">
        <v>527</v>
      </c>
      <c r="V23" s="44">
        <v>288</v>
      </c>
      <c r="W23" s="3">
        <f>TABL123[[#This Row],[(A/B TOT) AJD]]+TABL123[[#This Row],[(A/S TOT)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91">
        <f>TABL123[[#This Row],[( S/S+T/B) AJD]]-(TABL123[[#This Row],[(A/B + A/S) AJD]]+(TABL123[[#This Row],[(STORGE DIFF.) AJD]]*1000)+TABL123[[#This Row],[البخر  AJD]])</f>
        <v>-42696</v>
      </c>
      <c r="AE23" s="75">
        <v>85</v>
      </c>
      <c r="AF23" s="75">
        <v>58.433</v>
      </c>
      <c r="AG23" s="75">
        <v>1250702</v>
      </c>
      <c r="AH23" s="45">
        <v>1769</v>
      </c>
      <c r="AI23" s="45">
        <v>1769</v>
      </c>
      <c r="AJ23" s="86">
        <f>TABL123[[#This Row],[(A/B TOT) AJD]]-TABL123[[#This Row],[BER_ IN]]</f>
        <v>442</v>
      </c>
      <c r="AK23" s="75">
        <v>75</v>
      </c>
      <c r="AL23" s="96">
        <v>44.7303</v>
      </c>
      <c r="AM23" s="96">
        <v>4055970</v>
      </c>
      <c r="AN23" s="96">
        <f>TABL123[[#This Row],[ (RESV. STORGE) SER]]/10</f>
        <v>405597</v>
      </c>
      <c r="AO23" s="45">
        <v>1850</v>
      </c>
      <c r="AP23" s="32">
        <f>TABL123[[#This Row],[(A/S TOT) AJD]]-TABL123[[#This Row],[SER_ 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Row],[خط (T/B  TOT) SAR]]+TABL123[[#This Row],[خط (S/S  TOT) SAR2]]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Row],[خط (S/S  TOT) SAR2]]-TABL123[[#This Row],[(S/S TOT) AJD]]</f>
        <v>42</v>
      </c>
      <c r="Q24" s="39">
        <v>449</v>
      </c>
      <c r="R24" s="3">
        <f>TABL123[[#This Row],[خط (T/B  TOT) SAR]]-TABL123[[#This Row],[(T/B TOT) AJD]]</f>
        <v>28</v>
      </c>
      <c r="S24" s="3">
        <f>TABL123[[#This Row],[الفرق بين بداية ونهاية خط  T/B]]+TABL123[[#This Row],[الفرق بين بداية ونهاية خط  S/S]]</f>
        <v>70</v>
      </c>
      <c r="T24" s="3">
        <f>TABL123[[#This Row],[(S/S TOT) AJD]]+TABL123[[#This Row],[(T/B TOT) AJD]]</f>
        <v>866</v>
      </c>
      <c r="U24" s="41">
        <v>550</v>
      </c>
      <c r="V24" s="41">
        <v>308</v>
      </c>
      <c r="W24" s="3">
        <f>TABL123[[#This Row],[(A/B TOT) AJD]]+TABL123[[#This Row],[(A/S TOT)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91">
        <f>TABL123[[#This Row],[( S/S+T/B) AJD]]-(TABL123[[#This Row],[(A/B + A/S) AJD]]+(TABL123[[#This Row],[(STORGE DIFF.) AJD]]*1000)+TABL123[[#This Row],[البخر  AJD]])</f>
        <v>-3780</v>
      </c>
      <c r="AE24" s="75">
        <v>98</v>
      </c>
      <c r="AF24" s="75">
        <v>58.487000000000002</v>
      </c>
      <c r="AG24" s="75">
        <v>1286101</v>
      </c>
      <c r="AH24" s="43">
        <v>1660</v>
      </c>
      <c r="AI24" s="43">
        <v>1660</v>
      </c>
      <c r="AJ24" s="86">
        <f>TABL123[[#This Row],[(A/B TOT) AJD]]-TABL123[[#This Row],[BER_ IN]]</f>
        <v>452</v>
      </c>
      <c r="AK24" s="75">
        <v>76</v>
      </c>
      <c r="AL24" s="96">
        <v>44.839199999999998</v>
      </c>
      <c r="AM24" s="96">
        <v>4116700</v>
      </c>
      <c r="AN24" s="96">
        <f>TABL123[[#This Row],[ (RESV. STORGE) SER]]/10</f>
        <v>411670</v>
      </c>
      <c r="AO24" s="43">
        <v>1870</v>
      </c>
      <c r="AP24" s="32">
        <f>TABL123[[#This Row],[(A/S TOT) AJD]]-TABL123[[#This Row],[SER_ 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Row],[خط (T/B  TOT) SAR]]+TABL123[[#This Row],[خط (S/S  TOT) SAR2]]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Row],[خط (S/S  TOT) SAR2]]-TABL123[[#This Row],[(S/S TOT) AJD]]</f>
        <v>61</v>
      </c>
      <c r="Q25" s="40">
        <v>449</v>
      </c>
      <c r="R25" s="3">
        <f>TABL123[[#This Row],[خط (T/B  TOT) SAR]]-TABL123[[#This Row],[(T/B TOT) AJD]]</f>
        <v>10</v>
      </c>
      <c r="S25" s="3">
        <f>TABL123[[#This Row],[الفرق بين بداية ونهاية خط  T/B]]+TABL123[[#This Row],[الفرق بين بداية ونهاية خط  S/S]]</f>
        <v>71</v>
      </c>
      <c r="T25" s="3">
        <f>TABL123[[#This Row],[(S/S TOT) AJD]]+TABL123[[#This Row],[(T/B TOT) AJD]]</f>
        <v>865</v>
      </c>
      <c r="U25" s="44">
        <v>538</v>
      </c>
      <c r="V25" s="44">
        <v>314</v>
      </c>
      <c r="W25" s="3">
        <f>TABL123[[#This Row],[(A/B TOT) AJD]]+TABL123[[#This Row],[(A/S TOT)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91">
        <f>TABL123[[#This Row],[( S/S+T/B) AJD]]-(TABL123[[#This Row],[(A/B + A/S) AJD]]+(TABL123[[#This Row],[(STORGE DIFF.) AJD]]*1000)+TABL123[[#This Row],[البخر  AJD]])</f>
        <v>15118</v>
      </c>
      <c r="AE25" s="75">
        <v>85</v>
      </c>
      <c r="AF25" s="75">
        <v>58.533999999999999</v>
      </c>
      <c r="AG25" s="75">
        <v>1316932</v>
      </c>
      <c r="AH25" s="45">
        <v>1780</v>
      </c>
      <c r="AI25" s="45">
        <v>1780</v>
      </c>
      <c r="AJ25" s="86">
        <f>TABL123[[#This Row],[(A/B TOT) AJD]]-TABL123[[#This Row],[BER_ IN]]</f>
        <v>453</v>
      </c>
      <c r="AK25" s="75">
        <v>76</v>
      </c>
      <c r="AL25" s="96">
        <v>44.946199999999997</v>
      </c>
      <c r="AM25" s="96">
        <v>4176200</v>
      </c>
      <c r="AN25" s="96">
        <f>TABL123[[#This Row],[ (RESV. STORGE) SER]]/10</f>
        <v>417620</v>
      </c>
      <c r="AO25" s="45">
        <v>1870</v>
      </c>
      <c r="AP25" s="32">
        <f>TABL123[[#This Row],[(A/S TOT) AJD]]-TABL123[[#This Row],[SER_ 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Row],[خط (T/B  TOT) SAR]]+TABL123[[#This Row],[خط (S/S  TOT) SAR2]]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Row],[خط (S/S  TOT) SAR2]]-TABL123[[#This Row],[(S/S TOT) AJD]]</f>
        <v>38</v>
      </c>
      <c r="Q26" s="39">
        <v>448</v>
      </c>
      <c r="R26" s="3">
        <f>TABL123[[#This Row],[خط (T/B  TOT) SAR]]-TABL123[[#This Row],[(T/B TOT) AJD]]</f>
        <v>23</v>
      </c>
      <c r="S26" s="3">
        <f>TABL123[[#This Row],[الفرق بين بداية ونهاية خط  T/B]]+TABL123[[#This Row],[الفرق بين بداية ونهاية خط  S/S]]</f>
        <v>61</v>
      </c>
      <c r="T26" s="3">
        <f>TABL123[[#This Row],[(S/S TOT) AJD]]+TABL123[[#This Row],[(T/B TOT) AJD]]</f>
        <v>863</v>
      </c>
      <c r="U26" s="41">
        <v>534</v>
      </c>
      <c r="V26" s="41">
        <v>283</v>
      </c>
      <c r="W26" s="3">
        <f>TABL123[[#This Row],[(A/B TOT) AJD]]+TABL123[[#This Row],[(A/S TOT)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91">
        <f>TABL123[[#This Row],[( S/S+T/B) AJD]]-(TABL123[[#This Row],[(A/B + A/S) AJD]]+(TABL123[[#This Row],[(STORGE DIFF.) AJD]]*1000)+TABL123[[#This Row],[البخر  AJD]])</f>
        <v>-24911</v>
      </c>
      <c r="AE26" s="75">
        <v>71</v>
      </c>
      <c r="AF26" s="75">
        <v>58.530999999999999</v>
      </c>
      <c r="AG26" s="75">
        <v>1314964</v>
      </c>
      <c r="AH26" s="43">
        <v>1666</v>
      </c>
      <c r="AI26" s="43">
        <v>1666</v>
      </c>
      <c r="AJ26" s="86">
        <f>TABL123[[#This Row],[(A/B TOT) AJD]]-TABL123[[#This Row],[BER_ IN]]</f>
        <v>463</v>
      </c>
      <c r="AK26" s="75">
        <v>59</v>
      </c>
      <c r="AL26" s="96">
        <v>45.009799999999998</v>
      </c>
      <c r="AM26" s="96">
        <v>4211830</v>
      </c>
      <c r="AN26" s="96">
        <f>TABL123[[#This Row],[ (RESV. STORGE) SER]]/10</f>
        <v>421183</v>
      </c>
      <c r="AO26" s="43">
        <v>1870</v>
      </c>
      <c r="AP26" s="32">
        <f>TABL123[[#This Row],[(A/S TOT) AJD]]-TABL123[[#This Row],[SER_ 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Row],[خط (T/B  TOT) SAR]]+TABL123[[#This Row],[خط (S/S  TOT) SAR2]]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Row],[خط (S/S  TOT) SAR2]]-TABL123[[#This Row],[(S/S TOT) AJD]]</f>
        <v>40</v>
      </c>
      <c r="Q27" s="40">
        <v>444</v>
      </c>
      <c r="R27" s="3">
        <f>TABL123[[#This Row],[خط (T/B  TOT) SAR]]-TABL123[[#This Row],[(T/B TOT) AJD]]</f>
        <v>27</v>
      </c>
      <c r="S27" s="3">
        <f>TABL123[[#This Row],[الفرق بين بداية ونهاية خط  T/B]]+TABL123[[#This Row],[الفرق بين بداية ونهاية خط  S/S]]</f>
        <v>67</v>
      </c>
      <c r="T27" s="3">
        <f>TABL123[[#This Row],[(S/S TOT) AJD]]+TABL123[[#This Row],[(T/B TOT) AJD]]</f>
        <v>856</v>
      </c>
      <c r="U27" s="44">
        <v>527</v>
      </c>
      <c r="V27" s="44">
        <v>316</v>
      </c>
      <c r="W27" s="3">
        <f>TABL123[[#This Row],[(A/B TOT) AJD]]+TABL123[[#This Row],[(A/S TOT)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91">
        <f>TABL123[[#This Row],[( S/S+T/B) AJD]]-(TABL123[[#This Row],[(A/B + A/S) AJD]]+(TABL123[[#This Row],[(STORGE DIFF.) AJD]]*1000)+TABL123[[#This Row],[البخر  AJD]])</f>
        <v>26566</v>
      </c>
      <c r="AE27" s="75">
        <v>82</v>
      </c>
      <c r="AF27" s="75">
        <v>58.57</v>
      </c>
      <c r="AG27" s="75">
        <v>1340560</v>
      </c>
      <c r="AH27" s="45">
        <v>0</v>
      </c>
      <c r="AI27" s="45">
        <v>0</v>
      </c>
      <c r="AJ27" s="86">
        <f>TABL123[[#This Row],[(A/B TOT) AJD]]-TABL123[[#This Row],[BER_ IN]]</f>
        <v>445</v>
      </c>
      <c r="AK27" s="75">
        <v>53</v>
      </c>
      <c r="AL27" s="96">
        <v>45.033900000000003</v>
      </c>
      <c r="AM27" s="96">
        <v>4225760</v>
      </c>
      <c r="AN27" s="96">
        <f>TABL123[[#This Row],[ (RESV. STORGE) SER]]/10</f>
        <v>422576</v>
      </c>
      <c r="AO27" s="45">
        <v>1870</v>
      </c>
      <c r="AP27" s="32">
        <f>TABL123[[#This Row],[(A/S TOT) AJD]]-TABL123[[#This Row],[SER_ 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Row],[خط (T/B  TOT) SAR]]+TABL123[[#This Row],[خط (S/S  TOT) SAR2]]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Row],[خط (S/S  TOT) SAR2]]-TABL123[[#This Row],[(S/S TOT) AJD]]</f>
        <v>37</v>
      </c>
      <c r="Q28" s="39">
        <v>442</v>
      </c>
      <c r="R28" s="3">
        <f>TABL123[[#This Row],[خط (T/B  TOT) SAR]]-TABL123[[#This Row],[(T/B TOT) AJD]]</f>
        <v>28</v>
      </c>
      <c r="S28" s="3">
        <f>TABL123[[#This Row],[الفرق بين بداية ونهاية خط  T/B]]+TABL123[[#This Row],[الفرق بين بداية ونهاية خط  S/S]]</f>
        <v>65</v>
      </c>
      <c r="T28" s="3">
        <f>TABL123[[#This Row],[(S/S TOT) AJD]]+TABL123[[#This Row],[(T/B TOT) AJD]]</f>
        <v>858</v>
      </c>
      <c r="U28" s="41">
        <v>534</v>
      </c>
      <c r="V28" s="41">
        <v>323</v>
      </c>
      <c r="W28" s="3">
        <f>TABL123[[#This Row],[(A/B TOT) AJD]]+TABL123[[#This Row],[(A/S TOT)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91">
        <f>TABL123[[#This Row],[( S/S+T/B) AJD]]-(TABL123[[#This Row],[(A/B + A/S) AJD]]+(TABL123[[#This Row],[(STORGE DIFF.) AJD]]*1000)+TABL123[[#This Row],[البخر  AJD]])</f>
        <v>29347</v>
      </c>
      <c r="AE28" s="75">
        <v>85</v>
      </c>
      <c r="AF28" s="75">
        <v>58.61</v>
      </c>
      <c r="AG28" s="75">
        <v>1366827</v>
      </c>
      <c r="AH28" s="43">
        <v>0</v>
      </c>
      <c r="AI28" s="43">
        <v>0</v>
      </c>
      <c r="AJ28" s="86">
        <f>TABL123[[#This Row],[(A/B TOT) AJD]]-TABL123[[#This Row],[BER_ IN]]</f>
        <v>449</v>
      </c>
      <c r="AK28" s="75">
        <v>53</v>
      </c>
      <c r="AL28" s="96">
        <v>45.072400000000002</v>
      </c>
      <c r="AM28" s="96">
        <v>4246560</v>
      </c>
      <c r="AN28" s="96">
        <f>TABL123[[#This Row],[ (RESV. STORGE) SER]]/10</f>
        <v>424656</v>
      </c>
      <c r="AO28" s="43">
        <v>1800</v>
      </c>
      <c r="AP28" s="32">
        <f>TABL123[[#This Row],[(A/S TOT) AJD]]-TABL123[[#This Row],[SER_ 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Row],[خط (T/B  TOT) SAR]]+TABL123[[#This Row],[خط (S/S  TOT) SAR2]]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Row],[خط (S/S  TOT) SAR2]]-TABL123[[#This Row],[(S/S TOT) AJD]]</f>
        <v>43</v>
      </c>
      <c r="Q29" s="40">
        <v>441</v>
      </c>
      <c r="R29" s="3">
        <f>TABL123[[#This Row],[خط (T/B  TOT) SAR]]-TABL123[[#This Row],[(T/B TOT) AJD]]</f>
        <v>29</v>
      </c>
      <c r="S29" s="3">
        <f>TABL123[[#This Row],[الفرق بين بداية ونهاية خط  T/B]]+TABL123[[#This Row],[الفرق بين بداية ونهاية خط  S/S]]</f>
        <v>72</v>
      </c>
      <c r="T29" s="3">
        <f>TABL123[[#This Row],[(S/S TOT) AJD]]+TABL123[[#This Row],[(T/B TOT) AJD]]</f>
        <v>850</v>
      </c>
      <c r="U29" s="44">
        <v>526</v>
      </c>
      <c r="V29" s="44">
        <v>315</v>
      </c>
      <c r="W29" s="3">
        <f>TABL123[[#This Row],[(A/B TOT) AJD]]+TABL123[[#This Row],[(A/S TOT)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91">
        <f>TABL123[[#This Row],[( S/S+T/B) AJD]]-(TABL123[[#This Row],[(A/B + A/S) AJD]]+(TABL123[[#This Row],[(STORGE DIFF.) AJD]]*1000)+TABL123[[#This Row],[البخر  AJD]])</f>
        <v>-7122</v>
      </c>
      <c r="AE29" s="75">
        <v>80</v>
      </c>
      <c r="AF29" s="75">
        <v>58.63</v>
      </c>
      <c r="AG29" s="75">
        <v>1379965</v>
      </c>
      <c r="AH29" s="45">
        <v>657</v>
      </c>
      <c r="AI29" s="45">
        <v>657</v>
      </c>
      <c r="AJ29" s="86">
        <f>TABL123[[#This Row],[(A/B TOT) AJD]]-TABL123[[#This Row],[BER_ IN]]</f>
        <v>446</v>
      </c>
      <c r="AK29" s="75">
        <v>53</v>
      </c>
      <c r="AL29" s="96">
        <v>45.121299999999998</v>
      </c>
      <c r="AM29" s="96">
        <v>4273770</v>
      </c>
      <c r="AN29" s="96">
        <f>TABL123[[#This Row],[ (RESV. STORGE) SER]]/10</f>
        <v>427377</v>
      </c>
      <c r="AO29" s="45">
        <v>1790</v>
      </c>
      <c r="AP29" s="32">
        <f>TABL123[[#This Row],[(A/S TOT) AJD]]-TABL123[[#This Row],[SER_ 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Row],[خط (T/B  TOT) SAR]]+TABL123[[#This Row],[خط (S/S  TOT) SAR2]]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Row],[خط (S/S  TOT) SAR2]]-TABL123[[#This Row],[(S/S TOT) AJD]]</f>
        <v>42</v>
      </c>
      <c r="Q30" s="39">
        <v>444</v>
      </c>
      <c r="R30" s="3">
        <f>TABL123[[#This Row],[خط (T/B  TOT) SAR]]-TABL123[[#This Row],[(T/B TOT) AJD]]</f>
        <v>28</v>
      </c>
      <c r="S30" s="3">
        <f>TABL123[[#This Row],[الفرق بين بداية ونهاية خط  T/B]]+TABL123[[#This Row],[الفرق بين بداية ونهاية خط  S/S]]</f>
        <v>70</v>
      </c>
      <c r="T30" s="3">
        <f>TABL123[[#This Row],[(S/S TOT) AJD]]+TABL123[[#This Row],[(T/B TOT) AJD]]</f>
        <v>857</v>
      </c>
      <c r="U30" s="41">
        <v>527</v>
      </c>
      <c r="V30" s="41">
        <v>323</v>
      </c>
      <c r="W30" s="3">
        <f>TABL123[[#This Row],[(A/B TOT) AJD]]+TABL123[[#This Row],[(A/S TOT)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91">
        <f>TABL123[[#This Row],[( S/S+T/B) AJD]]-(TABL123[[#This Row],[(A/B + A/S) AJD]]+(TABL123[[#This Row],[(STORGE DIFF.) AJD]]*1000)+TABL123[[#This Row],[البخر  AJD]])</f>
        <v>36453</v>
      </c>
      <c r="AE30" s="75">
        <v>80</v>
      </c>
      <c r="AF30" s="75">
        <v>58.64</v>
      </c>
      <c r="AG30" s="75">
        <v>1386536</v>
      </c>
      <c r="AH30" s="43">
        <v>724</v>
      </c>
      <c r="AI30" s="43">
        <v>724</v>
      </c>
      <c r="AJ30" s="86">
        <f>TABL123[[#This Row],[(A/B TOT) AJD]]-TABL123[[#This Row],[BER_ IN]]</f>
        <v>447</v>
      </c>
      <c r="AK30" s="75">
        <v>53</v>
      </c>
      <c r="AL30" s="96">
        <v>45.1723</v>
      </c>
      <c r="AM30" s="96">
        <v>4302170</v>
      </c>
      <c r="AN30" s="96">
        <f>TABL123[[#This Row],[ (RESV. STORGE) SER]]/10</f>
        <v>430217</v>
      </c>
      <c r="AO30" s="43">
        <v>1800</v>
      </c>
      <c r="AP30" s="32">
        <f>TABL123[[#This Row],[(A/S TOT) AJD]]-TABL123[[#This Row],[SER_ 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Row],[خط (T/B  TOT) SAR]]+TABL123[[#This Row],[خط (S/S  TOT) SAR2]]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Row],[خط (S/S  TOT) SAR2]]-TABL123[[#This Row],[(S/S TOT) AJD]]</f>
        <v>42</v>
      </c>
      <c r="Q31" s="40">
        <v>445</v>
      </c>
      <c r="R31" s="3">
        <f>TABL123[[#This Row],[خط (T/B  TOT) SAR]]-TABL123[[#This Row],[(T/B TOT) AJD]]</f>
        <v>27</v>
      </c>
      <c r="S31" s="3">
        <f>TABL123[[#This Row],[الفرق بين بداية ونهاية خط  T/B]]+TABL123[[#This Row],[الفرق بين بداية ونهاية خط  S/S]]</f>
        <v>69</v>
      </c>
      <c r="T31" s="3">
        <f>TABL123[[#This Row],[(S/S TOT) AJD]]+TABL123[[#This Row],[(T/B TOT) AJD]]</f>
        <v>857</v>
      </c>
      <c r="U31" s="44">
        <v>531</v>
      </c>
      <c r="V31" s="44">
        <v>279</v>
      </c>
      <c r="W31" s="3">
        <f>TABL123[[#This Row],[(A/B TOT) AJD]]+TABL123[[#This Row],[(A/S TOT)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91">
        <f>TABL123[[#This Row],[( S/S+T/B) AJD]]-(TABL123[[#This Row],[(A/B + A/S) AJD]]+(TABL123[[#This Row],[(STORGE DIFF.) AJD]]*1000)+TABL123[[#This Row],[البخر  AJD]])</f>
        <v>-24336</v>
      </c>
      <c r="AE31" s="75">
        <v>80</v>
      </c>
      <c r="AF31" s="75">
        <v>58.66</v>
      </c>
      <c r="AG31" s="75">
        <v>1399679</v>
      </c>
      <c r="AH31" s="45">
        <v>1376</v>
      </c>
      <c r="AI31" s="45">
        <v>1376</v>
      </c>
      <c r="AJ31" s="86">
        <f>TABL123[[#This Row],[(A/B TOT) AJD]]-TABL123[[#This Row],[BER_ IN]]</f>
        <v>451</v>
      </c>
      <c r="AK31" s="75">
        <v>32</v>
      </c>
      <c r="AL31" s="96">
        <v>45.191600000000001</v>
      </c>
      <c r="AM31" s="96">
        <v>4313340</v>
      </c>
      <c r="AN31" s="96">
        <f>TABL123[[#This Row],[ (RESV. STORGE) SER]]/10</f>
        <v>431334</v>
      </c>
      <c r="AO31" s="45">
        <v>1830</v>
      </c>
      <c r="AP31" s="32">
        <f>TABL123[[#This Row],[(A/S TOT) AJD]]-TABL123[[#This Row],[SER_ 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Row],[خط (T/B  TOT) SAR]]+TABL123[[#This Row],[خط (S/S  TOT) SAR2]]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Row],[خط (S/S  TOT) SAR2]]-TABL123[[#This Row],[(S/S TOT) AJD]]</f>
        <v>41</v>
      </c>
      <c r="Q32" s="39">
        <v>444</v>
      </c>
      <c r="R32" s="3">
        <f>TABL123[[#This Row],[خط (T/B  TOT) SAR]]-TABL123[[#This Row],[(T/B TOT) AJD]]</f>
        <v>27</v>
      </c>
      <c r="S32" s="3">
        <f>TABL123[[#This Row],[الفرق بين بداية ونهاية خط  T/B]]+TABL123[[#This Row],[الفرق بين بداية ونهاية خط  S/S]]</f>
        <v>68</v>
      </c>
      <c r="T32" s="3">
        <f>TABL123[[#This Row],[(S/S TOT) AJD]]+TABL123[[#This Row],[(T/B TOT) AJD]]</f>
        <v>856</v>
      </c>
      <c r="U32" s="41">
        <v>536</v>
      </c>
      <c r="V32" s="41">
        <v>286</v>
      </c>
      <c r="W32" s="3">
        <f>TABL123[[#This Row],[(A/B TOT) AJD]]+TABL123[[#This Row],[(A/S TOT)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91">
        <f>TABL123[[#This Row],[( S/S+T/B) AJD]]-(TABL123[[#This Row],[(A/B + A/S) AJD]]+(TABL123[[#This Row],[(STORGE DIFF.) AJD]]*1000)+TABL123[[#This Row],[البخر  AJD]])</f>
        <v>-8663</v>
      </c>
      <c r="AE32" s="75">
        <v>85</v>
      </c>
      <c r="AF32" s="75">
        <v>58.68</v>
      </c>
      <c r="AG32" s="75">
        <v>1412827</v>
      </c>
      <c r="AH32" s="43">
        <v>1103</v>
      </c>
      <c r="AI32" s="43">
        <v>1103</v>
      </c>
      <c r="AJ32" s="86">
        <f>TABL123[[#This Row],[(A/B TOT) AJD]]-TABL123[[#This Row],[BER_ IN]]</f>
        <v>451</v>
      </c>
      <c r="AK32" s="75">
        <v>21</v>
      </c>
      <c r="AL32" s="96">
        <v>45.199800000000003</v>
      </c>
      <c r="AM32" s="96">
        <v>4317820</v>
      </c>
      <c r="AN32" s="96">
        <f>TABL123[[#This Row],[ (RESV. STORGE) SER]]/10</f>
        <v>431782</v>
      </c>
      <c r="AO32" s="43">
        <v>1820</v>
      </c>
      <c r="AP32" s="32">
        <f>TABL123[[#This Row],[(A/S TOT) AJD]]-TABL123[[#This Row],[SER_ 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Row],[خط (T/B  TOT) SAR]]+TABL123[[#This Row],[خط (S/S  TOT) SAR2]]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Row],[خط (S/S  TOT) SAR2]]-TABL123[[#This Row],[(S/S TOT) AJD]]</f>
        <v>41</v>
      </c>
      <c r="Q33" s="39">
        <v>443</v>
      </c>
      <c r="R33" s="3">
        <f>TABL123[[#This Row],[خط (T/B  TOT) SAR]]-TABL123[[#This Row],[(T/B TOT) AJD]]</f>
        <v>25</v>
      </c>
      <c r="S33" s="3">
        <f>TABL123[[#This Row],[الفرق بين بداية ونهاية خط  T/B]]+TABL123[[#This Row],[الفرق بين بداية ونهاية خط  S/S]]</f>
        <v>66</v>
      </c>
      <c r="T33" s="3">
        <f>TABL123[[#This Row],[(S/S TOT) AJD]]+TABL123[[#This Row],[(T/B TOT) AJD]]</f>
        <v>853</v>
      </c>
      <c r="U33" s="41">
        <v>528</v>
      </c>
      <c r="V33" s="41">
        <v>294</v>
      </c>
      <c r="W33" s="3">
        <f>TABL123[[#This Row],[(A/B TOT) AJD]]+TABL123[[#This Row],[(A/S TOT)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91">
        <f>TABL123[[#This Row],[( S/S+T/B) AJD]]-(TABL123[[#This Row],[(A/B + A/S) AJD]]+(TABL123[[#This Row],[(STORGE DIFF.) AJD]]*1000)+TABL123[[#This Row],[البخر  AJD]])</f>
        <v>-4175</v>
      </c>
      <c r="AE33" s="75">
        <v>79</v>
      </c>
      <c r="AF33" s="75">
        <v>58.64</v>
      </c>
      <c r="AG33" s="75">
        <v>1386536</v>
      </c>
      <c r="AH33" s="43">
        <v>1832</v>
      </c>
      <c r="AI33" s="43">
        <v>1832</v>
      </c>
      <c r="AJ33" s="86">
        <f>TABL123[[#This Row],[(A/B TOT) AJD]]-TABL123[[#This Row],[BER_ IN]]</f>
        <v>449</v>
      </c>
      <c r="AK33" s="75">
        <v>22</v>
      </c>
      <c r="AL33" s="96">
        <v>45.198700000000002</v>
      </c>
      <c r="AM33" s="96">
        <v>4317230</v>
      </c>
      <c r="AN33" s="96">
        <f>TABL123[[#This Row],[ (RESV. STORGE) SER]]/10</f>
        <v>431723</v>
      </c>
      <c r="AO33" s="43">
        <v>1800</v>
      </c>
      <c r="AP33" s="32">
        <f>TABL123[[#This Row],[(A/S TOT) AJD]]-TABL123[[#This Row],[SER_ 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Row],[خط (T/B  TOT) SAR]]+TABL123[[#This Row],[خط (S/S  TOT) SAR2]]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Row],[خط (S/S  TOT) SAR2]]-TABL123[[#This Row],[(S/S TOT) AJD]]</f>
        <v>32</v>
      </c>
      <c r="Q34" s="40">
        <v>440</v>
      </c>
      <c r="R34" s="3">
        <f>TABL123[[#This Row],[خط (T/B  TOT) SAR]]-TABL123[[#This Row],[(T/B TOT) AJD]]</f>
        <v>15</v>
      </c>
      <c r="S34" s="3">
        <f>TABL123[[#This Row],[الفرق بين بداية ونهاية خط  T/B]]+TABL123[[#This Row],[الفرق بين بداية ونهاية خط  S/S]]</f>
        <v>47</v>
      </c>
      <c r="T34" s="3">
        <f>TABL123[[#This Row],[(S/S TOT) AJD]]+TABL123[[#This Row],[(T/B TOT) AJD]]</f>
        <v>848</v>
      </c>
      <c r="U34" s="44">
        <v>529</v>
      </c>
      <c r="V34" s="44">
        <v>263</v>
      </c>
      <c r="W34" s="3">
        <f>TABL123[[#This Row],[(A/B TOT) AJD]]+TABL123[[#This Row],[(A/S TOT)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91">
        <f>TABL123[[#This Row],[( S/S+T/B) AJD]]-(TABL123[[#This Row],[(A/B + A/S) AJD]]+(TABL123[[#This Row],[(STORGE DIFF.) AJD]]*1000)+TABL123[[#This Row],[البخر  AJD]])</f>
        <v>-38585</v>
      </c>
      <c r="AE34" s="75">
        <v>90</v>
      </c>
      <c r="AF34" s="75">
        <v>58.55</v>
      </c>
      <c r="AG34" s="75">
        <v>1327432</v>
      </c>
      <c r="AH34" s="45">
        <v>0</v>
      </c>
      <c r="AI34" s="45">
        <v>0</v>
      </c>
      <c r="AJ34" s="86">
        <f>TABL123[[#This Row],[(A/B TOT) AJD]]-TABL123[[#This Row],[BER_ IN]]</f>
        <v>439</v>
      </c>
      <c r="AK34" s="75">
        <v>22</v>
      </c>
      <c r="AL34" s="96">
        <v>45.229399999999998</v>
      </c>
      <c r="AM34" s="96">
        <v>4334000</v>
      </c>
      <c r="AN34" s="96">
        <f>TABL123[[#This Row],[ (RESV. STORGE) SER]]/10</f>
        <v>433400</v>
      </c>
      <c r="AO34" s="45">
        <v>1630</v>
      </c>
      <c r="AP34" s="32">
        <f>TABL123[[#This Row],[(A/S TOT) AJD]]-TABL123[[#This Row],[SER_ 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Row],[خط (T/B  TOT) SAR]]+TABL123[[#This Row],[خط (S/S  TOT) SAR2]]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Row],[خط (S/S  TOT) SAR2]]-TABL123[[#This Row],[(S/S TOT) AJD]]</f>
        <v>28</v>
      </c>
      <c r="Q35" s="39">
        <v>432</v>
      </c>
      <c r="R35" s="3">
        <f>TABL123[[#This Row],[خط (T/B  TOT) SAR]]-TABL123[[#This Row],[(T/B TOT) AJD]]</f>
        <v>13</v>
      </c>
      <c r="S35" s="3">
        <f>TABL123[[#This Row],[الفرق بين بداية ونهاية خط  T/B]]+TABL123[[#This Row],[الفرق بين بداية ونهاية خط  S/S]]</f>
        <v>41</v>
      </c>
      <c r="T35" s="3">
        <f>TABL123[[#This Row],[(S/S TOT) AJD]]+TABL123[[#This Row],[(T/B TOT) AJD]]</f>
        <v>834</v>
      </c>
      <c r="U35" s="41">
        <v>553</v>
      </c>
      <c r="V35" s="41">
        <v>270</v>
      </c>
      <c r="W35" s="3">
        <f>TABL123[[#This Row],[(A/B TOT) AJD]]+TABL123[[#This Row],[(A/S TOT)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91">
        <f>TABL123[[#This Row],[( S/S+T/B) AJD]]-(TABL123[[#This Row],[(A/B + A/S) AJD]]+(TABL123[[#This Row],[(STORGE DIFF.) AJD]]*1000)+TABL123[[#This Row],[البخر  AJD]])</f>
        <v>5501</v>
      </c>
      <c r="AE35" s="75">
        <v>90</v>
      </c>
      <c r="AF35" s="75">
        <v>58.5</v>
      </c>
      <c r="AG35" s="75">
        <v>1294627</v>
      </c>
      <c r="AH35" s="43">
        <v>1361</v>
      </c>
      <c r="AI35" s="43">
        <v>1361</v>
      </c>
      <c r="AJ35" s="86">
        <f>TABL123[[#This Row],[(A/B TOT) AJD]]-TABL123[[#This Row],[BER_ IN]]</f>
        <v>463</v>
      </c>
      <c r="AK35" s="75">
        <v>22</v>
      </c>
      <c r="AL35" s="96">
        <v>45.2483</v>
      </c>
      <c r="AM35" s="96">
        <v>4345090</v>
      </c>
      <c r="AN35" s="96">
        <f>TABL123[[#This Row],[ (RESV. STORGE) SER]]/10</f>
        <v>434509</v>
      </c>
      <c r="AO35" s="43">
        <v>1620</v>
      </c>
      <c r="AP35" s="32">
        <f>TABL123[[#This Row],[(A/S TOT) AJD]]-TABL123[[#This Row],[SER_ 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Row],[خط (T/B  TOT) SAR]]+TABL123[[#This Row],[خط (S/S  TOT) SAR2]]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Row],[خط (S/S  TOT) SAR2]]-TABL123[[#This Row],[(S/S TOT) AJD]]</f>
        <v>34</v>
      </c>
      <c r="Q36" s="40">
        <v>420</v>
      </c>
      <c r="R36" s="3">
        <f>TABL123[[#This Row],[خط (T/B  TOT) SAR]]-TABL123[[#This Row],[(T/B TOT) AJD]]</f>
        <v>20</v>
      </c>
      <c r="S36" s="3">
        <f>TABL123[[#This Row],[الفرق بين بداية ونهاية خط  T/B]]+TABL123[[#This Row],[الفرق بين بداية ونهاية خط  S/S]]</f>
        <v>54</v>
      </c>
      <c r="T36" s="3">
        <f>TABL123[[#This Row],[(S/S TOT) AJD]]+TABL123[[#This Row],[(T/B TOT) AJD]]</f>
        <v>810</v>
      </c>
      <c r="U36" s="44">
        <v>549</v>
      </c>
      <c r="V36" s="44">
        <v>266</v>
      </c>
      <c r="W36" s="3">
        <f>TABL123[[#This Row],[(A/B TOT) AJD]]+TABL123[[#This Row],[(A/S TOT)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91">
        <f>TABL123[[#This Row],[( S/S+T/B) AJD]]-(TABL123[[#This Row],[(A/B + A/S) AJD]]+(TABL123[[#This Row],[(STORGE DIFF.) AJD]]*1000)+TABL123[[#This Row],[البخر  AJD]])</f>
        <v>30919.999999999996</v>
      </c>
      <c r="AE36" s="75">
        <v>87</v>
      </c>
      <c r="AF36" s="75">
        <v>58.52</v>
      </c>
      <c r="AG36" s="75">
        <v>1307747</v>
      </c>
      <c r="AH36" s="45">
        <v>1137</v>
      </c>
      <c r="AI36" s="45">
        <v>1137</v>
      </c>
      <c r="AJ36" s="86">
        <f>TABL123[[#This Row],[(A/B TOT) AJD]]-TABL123[[#This Row],[BER_ IN]]</f>
        <v>462</v>
      </c>
      <c r="AK36" s="75">
        <v>21</v>
      </c>
      <c r="AL36" s="96">
        <v>45.238700000000001</v>
      </c>
      <c r="AM36" s="96">
        <v>4339740</v>
      </c>
      <c r="AN36" s="96">
        <f>TABL123[[#This Row],[ (RESV. STORGE) SER]]/10</f>
        <v>433974</v>
      </c>
      <c r="AO36" s="45">
        <v>1595</v>
      </c>
      <c r="AP36" s="32">
        <f>TABL123[[#This Row],[(A/S TOT) AJD]]-TABL123[[#This Row],[SER_ 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Row],[خط (T/B  TOT) SAR]]+TABL123[[#This Row],[خط (S/S  TOT) SAR2]]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Row],[خط (S/S  TOT) SAR2]]-TABL123[[#This Row],[(S/S TOT) AJD]]</f>
        <v>45</v>
      </c>
      <c r="Q37" s="39">
        <v>414</v>
      </c>
      <c r="R37" s="3">
        <f>TABL123[[#This Row],[خط (T/B  TOT) SAR]]-TABL123[[#This Row],[(T/B TOT) AJD]]</f>
        <v>11</v>
      </c>
      <c r="S37" s="3">
        <f>TABL123[[#This Row],[الفرق بين بداية ونهاية خط  T/B]]+TABL123[[#This Row],[الفرق بين بداية ونهاية خط  S/S]]</f>
        <v>56</v>
      </c>
      <c r="T37" s="3">
        <f>TABL123[[#This Row],[(S/S TOT) AJD]]+TABL123[[#This Row],[(T/B TOT) AJD]]</f>
        <v>797</v>
      </c>
      <c r="U37" s="41">
        <v>545</v>
      </c>
      <c r="V37" s="41">
        <v>271</v>
      </c>
      <c r="W37" s="3">
        <f>TABL123[[#This Row],[(A/B TOT) AJD]]+TABL123[[#This Row],[(A/S TOT)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91">
        <f>TABL123[[#This Row],[( S/S+T/B) AJD]]-(TABL123[[#This Row],[(A/B + A/S) AJD]]+(TABL123[[#This Row],[(STORGE DIFF.) AJD]]*1000)+TABL123[[#This Row],[البخر  AJD]])</f>
        <v>52150</v>
      </c>
      <c r="AE37" s="75">
        <v>86</v>
      </c>
      <c r="AF37" s="75">
        <v>58.55</v>
      </c>
      <c r="AG37" s="75">
        <v>1327432</v>
      </c>
      <c r="AH37" s="43">
        <v>871</v>
      </c>
      <c r="AI37" s="43">
        <v>871</v>
      </c>
      <c r="AJ37" s="86">
        <f>TABL123[[#This Row],[(A/B TOT) AJD]]-TABL123[[#This Row],[BER_ IN]]</f>
        <v>459</v>
      </c>
      <c r="AK37" s="75">
        <v>21</v>
      </c>
      <c r="AL37" s="96">
        <v>45.245199999999997</v>
      </c>
      <c r="AM37" s="96">
        <v>4342940</v>
      </c>
      <c r="AN37" s="96">
        <f>TABL123[[#This Row],[ (RESV. STORGE) SER]]/10</f>
        <v>434294</v>
      </c>
      <c r="AO37" s="43">
        <v>1580</v>
      </c>
      <c r="AP37" s="32">
        <f>TABL123[[#This Row],[(A/S TOT) AJD]]-TABL123[[#This Row],[SER_ 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Row],[خط (T/B  TOT) SAR]]+TABL123[[#This Row],[خط (S/S  TOT) SAR2]]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Row],[خط (S/S  TOT) SAR2]]-TABL123[[#This Row],[(S/S TOT) AJD]]</f>
        <v>40</v>
      </c>
      <c r="Q38" s="40">
        <v>419</v>
      </c>
      <c r="R38" s="3">
        <f>TABL123[[#This Row],[خط (T/B  TOT) SAR]]-TABL123[[#This Row],[(T/B TOT) AJD]]</f>
        <v>21</v>
      </c>
      <c r="S38" s="3">
        <f>TABL123[[#This Row],[الفرق بين بداية ونهاية خط  T/B]]+TABL123[[#This Row],[الفرق بين بداية ونهاية خط  S/S]]</f>
        <v>61</v>
      </c>
      <c r="T38" s="3">
        <f>TABL123[[#This Row],[(S/S TOT) AJD]]+TABL123[[#This Row],[(T/B TOT) AJD]]</f>
        <v>807</v>
      </c>
      <c r="U38" s="44">
        <v>557</v>
      </c>
      <c r="V38" s="44">
        <v>267</v>
      </c>
      <c r="W38" s="3">
        <f>TABL123[[#This Row],[(A/B TOT) AJD]]+TABL123[[#This Row],[(A/S TOT)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91">
        <f>TABL123[[#This Row],[( S/S+T/B) AJD]]-(TABL123[[#This Row],[(A/B + A/S) AJD]]+(TABL123[[#This Row],[(STORGE DIFF.) AJD]]*1000)+TABL123[[#This Row],[البخر  AJD]])</f>
        <v>39183</v>
      </c>
      <c r="AE38" s="75">
        <v>86</v>
      </c>
      <c r="AF38" s="75">
        <v>58.58</v>
      </c>
      <c r="AG38" s="75">
        <v>1347126</v>
      </c>
      <c r="AH38" s="45">
        <v>1510</v>
      </c>
      <c r="AI38" s="45">
        <v>1510</v>
      </c>
      <c r="AJ38" s="86">
        <f>TABL123[[#This Row],[(A/B TOT) AJD]]-TABL123[[#This Row],[BER_ IN]]</f>
        <v>471</v>
      </c>
      <c r="AK38" s="75">
        <v>7</v>
      </c>
      <c r="AL38" s="96">
        <v>45.238</v>
      </c>
      <c r="AM38" s="96">
        <v>4339036</v>
      </c>
      <c r="AN38" s="96">
        <f>TABL123[[#This Row],[ (RESV. STORGE) SER]]/10</f>
        <v>433903.6</v>
      </c>
      <c r="AO38" s="45">
        <v>1600</v>
      </c>
      <c r="AP38" s="32">
        <f>TABL123[[#This Row],[(A/S TOT) AJD]]-TABL123[[#This Row],[SER_ 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Row],[خط (T/B  TOT) SAR]]+TABL123[[#This Row],[خط (S/S  TOT) SAR2]]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Row],[خط (S/S  TOT) SAR2]]-TABL123[[#This Row],[(S/S TOT) AJD]]</f>
        <v>47</v>
      </c>
      <c r="Q39" s="39">
        <v>414</v>
      </c>
      <c r="R39" s="3">
        <f>TABL123[[#This Row],[خط (T/B  TOT) SAR]]-TABL123[[#This Row],[(T/B TOT) AJD]]</f>
        <v>28</v>
      </c>
      <c r="S39" s="3">
        <f>TABL123[[#This Row],[الفرق بين بداية ونهاية خط  T/B]]+TABL123[[#This Row],[الفرق بين بداية ونهاية خط  S/S]]</f>
        <v>75</v>
      </c>
      <c r="T39" s="3">
        <f>TABL123[[#This Row],[(S/S TOT) AJD]]+TABL123[[#This Row],[(T/B TOT) AJD]]</f>
        <v>797</v>
      </c>
      <c r="U39" s="41">
        <v>476</v>
      </c>
      <c r="V39" s="41">
        <v>258</v>
      </c>
      <c r="W39" s="3">
        <f>TABL123[[#This Row],[(A/B TOT) AJD]]+TABL123[[#This Row],[(A/S TOT)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91">
        <f>TABL123[[#This Row],[( S/S+T/B) AJD]]-(TABL123[[#This Row],[(A/B + A/S) AJD]]+(TABL123[[#This Row],[(STORGE DIFF.) AJD]]*1000)+TABL123[[#This Row],[البخر  AJD]])</f>
        <v>-32684</v>
      </c>
      <c r="AE39" s="75">
        <v>88</v>
      </c>
      <c r="AF39" s="75">
        <v>58.62</v>
      </c>
      <c r="AG39" s="75">
        <v>1373396</v>
      </c>
      <c r="AH39" s="43">
        <v>1679</v>
      </c>
      <c r="AI39" s="43">
        <v>1679</v>
      </c>
      <c r="AJ39" s="86">
        <f>TABL123[[#This Row],[(A/B TOT) AJD]]-TABL123[[#This Row],[BER_ IN]]</f>
        <v>388</v>
      </c>
      <c r="AK39" s="75">
        <v>0</v>
      </c>
      <c r="AL39" s="96">
        <v>45.232100000000003</v>
      </c>
      <c r="AM39" s="96">
        <v>4335680</v>
      </c>
      <c r="AN39" s="96">
        <f>TABL123[[#This Row],[ (RESV. STORGE) SER]]/10</f>
        <v>433568</v>
      </c>
      <c r="AO39" s="43">
        <v>1620</v>
      </c>
      <c r="AP39" s="32">
        <f>TABL123[[#This Row],[(A/S TOT) AJD]]-TABL123[[#This Row],[SER_ 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Row],[خط (T/B  TOT) SAR]]+TABL123[[#This Row],[خط (S/S  TOT) SAR2]]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Row],[خط (S/S  TOT) SAR2]]-TABL123[[#This Row],[(S/S TOT) AJD]]</f>
        <v>42</v>
      </c>
      <c r="Q40" s="40">
        <v>419</v>
      </c>
      <c r="R40" s="3">
        <f>TABL123[[#This Row],[خط (T/B  TOT) SAR]]-TABL123[[#This Row],[(T/B TOT) AJD]]</f>
        <v>23</v>
      </c>
      <c r="S40" s="3">
        <f>TABL123[[#This Row],[الفرق بين بداية ونهاية خط  T/B]]+TABL123[[#This Row],[الفرق بين بداية ونهاية خط  S/S]]</f>
        <v>65</v>
      </c>
      <c r="T40" s="3">
        <f>TABL123[[#This Row],[(S/S TOT) AJD]]+TABL123[[#This Row],[(T/B TOT) AJD]]</f>
        <v>807</v>
      </c>
      <c r="U40" s="44">
        <v>553</v>
      </c>
      <c r="V40" s="44">
        <v>257</v>
      </c>
      <c r="W40" s="3">
        <f>TABL123[[#This Row],[(A/B TOT) AJD]]+TABL123[[#This Row],[(A/S TOT)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91">
        <f>TABL123[[#This Row],[( S/S+T/B) AJD]]-(TABL123[[#This Row],[(A/B + A/S) AJD]]+(TABL123[[#This Row],[(STORGE DIFF.) AJD]]*1000)+TABL123[[#This Row],[البخر  AJD]])</f>
        <v>30199</v>
      </c>
      <c r="AE40" s="75">
        <v>90</v>
      </c>
      <c r="AF40" s="75">
        <v>58.58</v>
      </c>
      <c r="AG40" s="75">
        <v>1347126</v>
      </c>
      <c r="AH40" s="45">
        <v>1447</v>
      </c>
      <c r="AI40" s="45">
        <v>1447</v>
      </c>
      <c r="AJ40" s="86">
        <f>TABL123[[#This Row],[(A/B TOT) AJD]]-TABL123[[#This Row],[BER_ IN]]</f>
        <v>463</v>
      </c>
      <c r="AK40" s="75">
        <v>0</v>
      </c>
      <c r="AL40" s="96">
        <v>45.185600000000001</v>
      </c>
      <c r="AM40" s="96">
        <v>4309440</v>
      </c>
      <c r="AN40" s="96">
        <f>TABL123[[#This Row],[ (RESV. STORGE) SER]]/10</f>
        <v>430944</v>
      </c>
      <c r="AO40" s="45">
        <v>1630</v>
      </c>
      <c r="AP40" s="32">
        <f>TABL123[[#This Row],[(A/S TOT) AJD]]-TABL123[[#This Row],[SER_ 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Row],[خط (T/B  TOT) SAR]]+TABL123[[#This Row],[خط (S/S  TOT) SAR2]]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Row],[خط (S/S  TOT) SAR2]]-TABL123[[#This Row],[(S/S TOT) AJD]]</f>
        <v>51</v>
      </c>
      <c r="Q41" s="39">
        <v>421</v>
      </c>
      <c r="R41" s="3">
        <f>TABL123[[#This Row],[خط (T/B  TOT) SAR]]-TABL123[[#This Row],[(T/B TOT) AJD]]</f>
        <v>21</v>
      </c>
      <c r="S41" s="3">
        <f>TABL123[[#This Row],[الفرق بين بداية ونهاية خط  T/B]]+TABL123[[#This Row],[الفرق بين بداية ونهاية خط  S/S]]</f>
        <v>72</v>
      </c>
      <c r="T41" s="3">
        <f>TABL123[[#This Row],[(S/S TOT) AJD]]+TABL123[[#This Row],[(T/B TOT) AJD]]</f>
        <v>800</v>
      </c>
      <c r="U41" s="41">
        <v>554</v>
      </c>
      <c r="V41" s="41">
        <v>250</v>
      </c>
      <c r="W41" s="3">
        <f>TABL123[[#This Row],[(A/B TOT) AJD]]+TABL123[[#This Row],[(A/S TOT)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91">
        <f>TABL123[[#This Row],[( S/S+T/B) AJD]]-(TABL123[[#This Row],[(A/B + A/S) AJD]]+(TABL123[[#This Row],[(STORGE DIFF.) AJD]]*1000)+TABL123[[#This Row],[البخر  AJD]])</f>
        <v>16544</v>
      </c>
      <c r="AE41" s="75">
        <v>90</v>
      </c>
      <c r="AF41" s="75">
        <v>58.5</v>
      </c>
      <c r="AG41" s="75">
        <v>1294627</v>
      </c>
      <c r="AH41" s="43">
        <v>1498</v>
      </c>
      <c r="AI41" s="43">
        <v>1498</v>
      </c>
      <c r="AJ41" s="86">
        <f>TABL123[[#This Row],[(A/B TOT) AJD]]-TABL123[[#This Row],[BER_ IN]]</f>
        <v>464</v>
      </c>
      <c r="AK41" s="75">
        <v>0</v>
      </c>
      <c r="AL41" s="96">
        <v>45.168900000000001</v>
      </c>
      <c r="AM41" s="96">
        <v>4300490</v>
      </c>
      <c r="AN41" s="96">
        <f>TABL123[[#This Row],[ (RESV. STORGE) SER]]/10</f>
        <v>430049</v>
      </c>
      <c r="AO41" s="43">
        <v>1498</v>
      </c>
      <c r="AP41" s="32">
        <f>TABL123[[#This Row],[(A/S TOT) AJD]]-TABL123[[#This Row],[SER_ 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Row],[خط (T/B  TOT) SAR]]+TABL123[[#This Row],[خط (S/S  TOT) SAR2]]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Row],[خط (S/S  TOT) SAR2]]-TABL123[[#This Row],[(S/S TOT) AJD]]</f>
        <v>41</v>
      </c>
      <c r="Q42" s="40">
        <v>418</v>
      </c>
      <c r="R42" s="3">
        <f>TABL123[[#This Row],[خط (T/B  TOT) SAR]]-TABL123[[#This Row],[(T/B TOT) AJD]]</f>
        <v>26</v>
      </c>
      <c r="S42" s="3">
        <f>TABL123[[#This Row],[الفرق بين بداية ونهاية خط  T/B]]+TABL123[[#This Row],[الفرق بين بداية ونهاية خط  S/S]]</f>
        <v>67</v>
      </c>
      <c r="T42" s="3">
        <f>TABL123[[#This Row],[(S/S TOT) AJD]]+TABL123[[#This Row],[(T/B TOT) AJD]]</f>
        <v>807</v>
      </c>
      <c r="U42" s="44">
        <v>562</v>
      </c>
      <c r="V42" s="44">
        <v>246</v>
      </c>
      <c r="W42" s="3">
        <f>TABL123[[#This Row],[(A/B TOT) AJD]]+TABL123[[#This Row],[(A/S TOT)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91">
        <f>TABL123[[#This Row],[( S/S+T/B) AJD]]-(TABL123[[#This Row],[(A/B + A/S) AJD]]+(TABL123[[#This Row],[(STORGE DIFF.) AJD]]*1000)+TABL123[[#This Row],[البخر  AJD]])</f>
        <v>7112</v>
      </c>
      <c r="AE42" s="75">
        <v>89</v>
      </c>
      <c r="AF42" s="75">
        <v>58.43</v>
      </c>
      <c r="AG42" s="75">
        <v>1248736</v>
      </c>
      <c r="AH42" s="45">
        <v>1891</v>
      </c>
      <c r="AI42" s="45">
        <v>1891</v>
      </c>
      <c r="AJ42" s="86">
        <f>TABL123[[#This Row],[(A/B TOT) AJD]]-TABL123[[#This Row],[BER_ IN]]</f>
        <v>473</v>
      </c>
      <c r="AK42" s="75">
        <v>0</v>
      </c>
      <c r="AL42" s="96">
        <v>45.115200000000002</v>
      </c>
      <c r="AM42" s="96">
        <v>4270360</v>
      </c>
      <c r="AN42" s="96">
        <f>TABL123[[#This Row],[ (RESV. STORGE) SER]]/10</f>
        <v>427036</v>
      </c>
      <c r="AO42" s="45">
        <v>1545</v>
      </c>
      <c r="AP42" s="32">
        <f>TABL123[[#This Row],[(A/S TOT) AJD]]-TABL123[[#This Row],[SER_ 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Row],[خط (T/B  TOT) SAR]]+TABL123[[#This Row],[خط (S/S  TOT) SAR2]]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Row],[خط (S/S  TOT) SAR2]]-TABL123[[#This Row],[(S/S TOT) AJD]]</f>
        <v>41</v>
      </c>
      <c r="Q43" s="39">
        <v>421</v>
      </c>
      <c r="R43" s="3">
        <f>TABL123[[#This Row],[خط (T/B  TOT) SAR]]-TABL123[[#This Row],[(T/B TOT) AJD]]</f>
        <v>28</v>
      </c>
      <c r="S43" s="3">
        <f>TABL123[[#This Row],[الفرق بين بداية ونهاية خط  T/B]]+TABL123[[#This Row],[الفرق بين بداية ونهاية خط  S/S]]</f>
        <v>69</v>
      </c>
      <c r="T43" s="3">
        <f>TABL123[[#This Row],[(S/S TOT) AJD]]+TABL123[[#This Row],[(T/B TOT) AJD]]</f>
        <v>811</v>
      </c>
      <c r="U43" s="41">
        <v>556</v>
      </c>
      <c r="V43" s="41">
        <v>275</v>
      </c>
      <c r="W43" s="3">
        <f>TABL123[[#This Row],[(A/B TOT) AJD]]+TABL123[[#This Row],[(A/S TOT)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91">
        <f>TABL123[[#This Row],[( S/S+T/B) AJD]]-(TABL123[[#This Row],[(A/B + A/S) AJD]]+(TABL123[[#This Row],[(STORGE DIFF.) AJD]]*1000)+TABL123[[#This Row],[البخر  AJD]])</f>
        <v>31378</v>
      </c>
      <c r="AE43" s="75">
        <v>89</v>
      </c>
      <c r="AF43" s="75">
        <v>58.42</v>
      </c>
      <c r="AG43" s="75">
        <v>1242183</v>
      </c>
      <c r="AH43" s="43">
        <v>1552</v>
      </c>
      <c r="AI43" s="43">
        <v>1552</v>
      </c>
      <c r="AJ43" s="86">
        <f>TABL123[[#This Row],[(A/B TOT) AJD]]-TABL123[[#This Row],[BER_ IN]]</f>
        <v>467</v>
      </c>
      <c r="AK43" s="75">
        <v>0</v>
      </c>
      <c r="AL43" s="96">
        <v>45.024799999999999</v>
      </c>
      <c r="AM43" s="96">
        <v>4219780</v>
      </c>
      <c r="AN43" s="96">
        <f>TABL123[[#This Row],[ (RESV. STORGE) SER]]/10</f>
        <v>421978</v>
      </c>
      <c r="AO43" s="43">
        <v>1533</v>
      </c>
      <c r="AP43" s="32">
        <f>TABL123[[#This Row],[(A/S TOT) AJD]]-TABL123[[#This Row],[SER_ 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Row],[خط (T/B  TOT) SAR]]+TABL123[[#This Row],[خط (S/S  TOT) SAR2]]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Row],[خط (S/S  TOT) SAR2]]-TABL123[[#This Row],[(S/S TOT) AJD]]</f>
        <v>45</v>
      </c>
      <c r="Q44" s="40">
        <v>418</v>
      </c>
      <c r="R44" s="3">
        <f>TABL123[[#This Row],[خط (T/B  TOT) SAR]]-TABL123[[#This Row],[(T/B TOT) AJD]]</f>
        <v>29</v>
      </c>
      <c r="S44" s="3">
        <f>TABL123[[#This Row],[الفرق بين بداية ونهاية خط  T/B]]+TABL123[[#This Row],[الفرق بين بداية ونهاية خط  S/S]]</f>
        <v>74</v>
      </c>
      <c r="T44" s="3">
        <f>TABL123[[#This Row],[(S/S TOT) AJD]]+TABL123[[#This Row],[(T/B TOT) AJD]]</f>
        <v>806</v>
      </c>
      <c r="U44" s="44">
        <v>538</v>
      </c>
      <c r="V44" s="44">
        <v>264</v>
      </c>
      <c r="W44" s="3">
        <f>TABL123[[#This Row],[(A/B TOT) AJD]]+TABL123[[#This Row],[(A/S TOT)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91">
        <f>TABL123[[#This Row],[( S/S+T/B) AJD]]-(TABL123[[#This Row],[(A/B + A/S) AJD]]+(TABL123[[#This Row],[(STORGE DIFF.) AJD]]*1000)+TABL123[[#This Row],[البخر  AJD]])</f>
        <v>33746</v>
      </c>
      <c r="AE44" s="75">
        <v>69</v>
      </c>
      <c r="AF44" s="75">
        <v>58.43</v>
      </c>
      <c r="AG44" s="75">
        <v>1248736</v>
      </c>
      <c r="AH44" s="45">
        <v>1927</v>
      </c>
      <c r="AI44" s="45">
        <v>1927</v>
      </c>
      <c r="AJ44" s="86">
        <f>TABL123[[#This Row],[(A/B TOT) AJD]]-TABL123[[#This Row],[BER_ IN]]</f>
        <v>469</v>
      </c>
      <c r="AK44" s="75">
        <v>0</v>
      </c>
      <c r="AL44" s="96">
        <v>44.954599999999999</v>
      </c>
      <c r="AM44" s="96">
        <v>4181210</v>
      </c>
      <c r="AN44" s="96">
        <f>TABL123[[#This Row],[ (RESV. STORGE) SER]]/10</f>
        <v>418121</v>
      </c>
      <c r="AO44" s="45">
        <v>1565</v>
      </c>
      <c r="AP44" s="32">
        <f>TABL123[[#This Row],[(A/S TOT) AJD]]-TABL123[[#This Row],[SER_ 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Row],[خط (T/B  TOT) SAR]]+TABL123[[#This Row],[خط (S/S  TOT) SAR2]]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Row],[خط (S/S  TOT) SAR2]]-TABL123[[#This Row],[(S/S TOT) AJD]]</f>
        <v>23</v>
      </c>
      <c r="Q45" s="39">
        <v>420</v>
      </c>
      <c r="R45" s="3">
        <f>TABL123[[#This Row],[خط (T/B  TOT) SAR]]-TABL123[[#This Row],[(T/B TOT) AJD]]</f>
        <v>7</v>
      </c>
      <c r="S45" s="3">
        <f>TABL123[[#This Row],[الفرق بين بداية ونهاية خط  T/B]]+TABL123[[#This Row],[الفرق بين بداية ونهاية خط  S/S]]</f>
        <v>30</v>
      </c>
      <c r="T45" s="3">
        <f>TABL123[[#This Row],[(S/S TOT) AJD]]+TABL123[[#This Row],[(T/B TOT) AJD]]</f>
        <v>809</v>
      </c>
      <c r="U45" s="41">
        <v>519</v>
      </c>
      <c r="V45" s="41">
        <v>267</v>
      </c>
      <c r="W45" s="3">
        <f>TABL123[[#This Row],[(A/B TOT) AJD]]+TABL123[[#This Row],[(A/S TOT)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91">
        <f>TABL123[[#This Row],[( S/S+T/B) AJD]]-(TABL123[[#This Row],[(A/B + A/S) AJD]]+(TABL123[[#This Row],[(STORGE DIFF.) AJD]]*1000)+TABL123[[#This Row],[البخر  AJD]])</f>
        <v>-4123</v>
      </c>
      <c r="AE45" s="75">
        <v>61</v>
      </c>
      <c r="AF45" s="75">
        <v>58.44</v>
      </c>
      <c r="AG45" s="75">
        <v>1255289</v>
      </c>
      <c r="AH45" s="43">
        <v>1266</v>
      </c>
      <c r="AI45" s="43">
        <v>1266</v>
      </c>
      <c r="AJ45" s="86">
        <f>TABL123[[#This Row],[(A/B TOT) AJD]]-TABL123[[#This Row],[BER_ IN]]</f>
        <v>458</v>
      </c>
      <c r="AK45" s="75">
        <v>0</v>
      </c>
      <c r="AL45" s="96">
        <v>44.924199999999999</v>
      </c>
      <c r="AM45" s="96">
        <v>4163967</v>
      </c>
      <c r="AN45" s="96">
        <f>TABL123[[#This Row],[ (RESV. STORGE) SER]]/10</f>
        <v>416396.7</v>
      </c>
      <c r="AO45" s="43">
        <v>1544</v>
      </c>
      <c r="AP45" s="32">
        <f>TABL123[[#This Row],[(A/S TOT) AJD]]-TABL123[[#This Row],[SER_ 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Row],[خط (T/B  TOT) SAR]]+TABL123[[#This Row],[خط (S/S  TOT) SAR2]]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Row],[خط (S/S  TOT) SAR2]]-TABL123[[#This Row],[(S/S TOT) AJD]]</f>
        <v>22</v>
      </c>
      <c r="Q46" s="40">
        <v>422</v>
      </c>
      <c r="R46" s="3">
        <f>TABL123[[#This Row],[خط (T/B  TOT) SAR]]-TABL123[[#This Row],[(T/B TOT) AJD]]</f>
        <v>5</v>
      </c>
      <c r="S46" s="3">
        <f>TABL123[[#This Row],[الفرق بين بداية ونهاية خط  T/B]]+TABL123[[#This Row],[الفرق بين بداية ونهاية خط  S/S]]</f>
        <v>27</v>
      </c>
      <c r="T46" s="3">
        <f>TABL123[[#This Row],[(S/S TOT) AJD]]+TABL123[[#This Row],[(T/B TOT) AJD]]</f>
        <v>812</v>
      </c>
      <c r="U46" s="44">
        <v>521</v>
      </c>
      <c r="V46" s="44">
        <v>244</v>
      </c>
      <c r="W46" s="3">
        <f>TABL123[[#This Row],[(A/B TOT) AJD]]+TABL123[[#This Row],[(A/S TOT)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91">
        <f>TABL123[[#This Row],[( S/S+T/B) AJD]]-(TABL123[[#This Row],[(A/B + A/S) AJD]]+(TABL123[[#This Row],[(STORGE DIFF.) AJD]]*1000)+TABL123[[#This Row],[البخر  AJD]])</f>
        <v>-44357</v>
      </c>
      <c r="AE46" s="75">
        <v>60</v>
      </c>
      <c r="AF46" s="75">
        <v>58.45</v>
      </c>
      <c r="AG46" s="75">
        <v>1261843</v>
      </c>
      <c r="AH46" s="45">
        <v>1150</v>
      </c>
      <c r="AI46" s="45">
        <v>1150</v>
      </c>
      <c r="AJ46" s="86">
        <f>TABL123[[#This Row],[(A/B TOT) AJD]]-TABL123[[#This Row],[BER_ IN]]</f>
        <v>461</v>
      </c>
      <c r="AK46" s="75">
        <v>0</v>
      </c>
      <c r="AL46" s="96">
        <v>44.877699999999997</v>
      </c>
      <c r="AM46" s="96">
        <v>4137560</v>
      </c>
      <c r="AN46" s="96">
        <f>TABL123[[#This Row],[ (RESV. STORGE) SER]]/10</f>
        <v>413756</v>
      </c>
      <c r="AO46" s="45">
        <v>1565</v>
      </c>
      <c r="AP46" s="32">
        <f>TABL123[[#This Row],[(A/S TOT) AJD]]-TABL123[[#This Row],[SER_ 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Row],[خط (T/B  TOT) SAR]]+TABL123[[#This Row],[خط (S/S  TOT) SAR2]]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Row],[خط (S/S  TOT) SAR2]]-TABL123[[#This Row],[(S/S TOT) AJD]]</f>
        <v>41</v>
      </c>
      <c r="Q47" s="39">
        <v>422</v>
      </c>
      <c r="R47" s="3">
        <f>TABL123[[#This Row],[خط (T/B  TOT) SAR]]-TABL123[[#This Row],[(T/B TOT) AJD]]</f>
        <v>17</v>
      </c>
      <c r="S47" s="3">
        <f>TABL123[[#This Row],[الفرق بين بداية ونهاية خط  T/B]]+TABL123[[#This Row],[الفرق بين بداية ونهاية خط  S/S]]</f>
        <v>58</v>
      </c>
      <c r="T47" s="3">
        <f>TABL123[[#This Row],[(S/S TOT) AJD]]+TABL123[[#This Row],[(T/B TOT) AJD]]</f>
        <v>812</v>
      </c>
      <c r="U47" s="41">
        <v>446</v>
      </c>
      <c r="V47" s="41">
        <v>250</v>
      </c>
      <c r="W47" s="3">
        <f>TABL123[[#This Row],[(A/B TOT) AJD]]+TABL123[[#This Row],[(A/S TOT)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91">
        <f>TABL123[[#This Row],[( S/S+T/B) AJD]]-(TABL123[[#This Row],[(A/B + A/S) AJD]]+(TABL123[[#This Row],[(STORGE DIFF.) AJD]]*1000)+TABL123[[#This Row],[البخر  AJD]])</f>
        <v>-66876</v>
      </c>
      <c r="AE47" s="75">
        <v>60</v>
      </c>
      <c r="AF47" s="75">
        <v>58.4</v>
      </c>
      <c r="AG47" s="75">
        <v>1229081</v>
      </c>
      <c r="AH47" s="43">
        <v>1557</v>
      </c>
      <c r="AI47" s="43">
        <v>1557</v>
      </c>
      <c r="AJ47" s="86">
        <f>TABL123[[#This Row],[(A/B TOT) AJD]]-TABL123[[#This Row],[BER_ IN]]</f>
        <v>386</v>
      </c>
      <c r="AK47" s="75">
        <v>0</v>
      </c>
      <c r="AL47" s="96">
        <v>44.819800000000001</v>
      </c>
      <c r="AM47" s="96">
        <v>4106090</v>
      </c>
      <c r="AN47" s="96">
        <f>TABL123[[#This Row],[ (RESV. STORGE) SER]]/10</f>
        <v>410609</v>
      </c>
      <c r="AO47" s="43">
        <v>1573</v>
      </c>
      <c r="AP47" s="32">
        <f>TABL123[[#This Row],[(A/S TOT) AJD]]-TABL123[[#This Row],[SER_ 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Row],[خط (T/B  TOT) SAR]]+TABL123[[#This Row],[خط (S/S  TOT) SAR2]]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Row],[خط (S/S  TOT) SAR2]]-TABL123[[#This Row],[(S/S TOT) AJD]]</f>
        <v>41</v>
      </c>
      <c r="Q48" s="40">
        <v>422</v>
      </c>
      <c r="R48" s="3">
        <f>TABL123[[#This Row],[خط (T/B  TOT) SAR]]-TABL123[[#This Row],[(T/B TOT) AJD]]</f>
        <v>23</v>
      </c>
      <c r="S48" s="3">
        <f>TABL123[[#This Row],[الفرق بين بداية ونهاية خط  T/B]]+TABL123[[#This Row],[الفرق بين بداية ونهاية خط  S/S]]</f>
        <v>64</v>
      </c>
      <c r="T48" s="3">
        <f>TABL123[[#This Row],[(S/S TOT) AJD]]+TABL123[[#This Row],[(T/B TOT) AJD]]</f>
        <v>813</v>
      </c>
      <c r="U48" s="44">
        <v>516</v>
      </c>
      <c r="V48" s="44">
        <v>248</v>
      </c>
      <c r="W48" s="3">
        <f>TABL123[[#This Row],[(A/B TOT) AJD]]+TABL123[[#This Row],[(A/S TOT)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91">
        <f>TABL123[[#This Row],[( S/S+T/B) AJD]]-(TABL123[[#This Row],[(A/B + A/S) AJD]]+(TABL123[[#This Row],[(STORGE DIFF.) AJD]]*1000)+TABL123[[#This Row],[البخر  AJD]])</f>
        <v>-32599</v>
      </c>
      <c r="AE48" s="75">
        <v>60</v>
      </c>
      <c r="AF48" s="75">
        <v>58.47</v>
      </c>
      <c r="AG48" s="75">
        <v>1274954</v>
      </c>
      <c r="AH48" s="45">
        <v>1815</v>
      </c>
      <c r="AI48" s="45">
        <v>1815</v>
      </c>
      <c r="AJ48" s="86">
        <f>TABL123[[#This Row],[(A/B TOT) AJD]]-TABL123[[#This Row],[BER_ IN]]</f>
        <v>456</v>
      </c>
      <c r="AK48" s="75">
        <v>0</v>
      </c>
      <c r="AL48" s="96">
        <v>44.786200000000001</v>
      </c>
      <c r="AM48" s="96">
        <v>4067260</v>
      </c>
      <c r="AN48" s="96">
        <f>TABL123[[#This Row],[ (RESV. STORGE) SER]]/10</f>
        <v>406726</v>
      </c>
      <c r="AO48" s="45">
        <v>1830</v>
      </c>
      <c r="AP48" s="32">
        <f>TABL123[[#This Row],[(A/S TOT) AJD]]-TABL123[[#This Row],[SER_ 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Row],[خط (T/B  TOT) SAR]]+TABL123[[#This Row],[خط (S/S  TOT) SAR2]]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Row],[خط (S/S  TOT) SAR2]]-TABL123[[#This Row],[(S/S TOT) AJD]]</f>
        <v>42</v>
      </c>
      <c r="Q49" s="39">
        <v>422</v>
      </c>
      <c r="R49" s="3">
        <f>TABL123[[#This Row],[خط (T/B  TOT) SAR]]-TABL123[[#This Row],[(T/B TOT) AJD]]</f>
        <v>28</v>
      </c>
      <c r="S49" s="3">
        <f>TABL123[[#This Row],[الفرق بين بداية ونهاية خط  T/B]]+TABL123[[#This Row],[الفرق بين بداية ونهاية خط  S/S]]</f>
        <v>70</v>
      </c>
      <c r="T49" s="3">
        <f>TABL123[[#This Row],[(S/S TOT) AJD]]+TABL123[[#This Row],[(T/B TOT) AJD]]</f>
        <v>813</v>
      </c>
      <c r="U49" s="41">
        <v>521</v>
      </c>
      <c r="V49" s="41">
        <v>249</v>
      </c>
      <c r="W49" s="3">
        <f>TABL123[[#This Row],[(A/B TOT) AJD]]+TABL123[[#This Row],[(A/S TOT)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91">
        <f>TABL123[[#This Row],[( S/S+T/B) AJD]]-(TABL123[[#This Row],[(A/B + A/S) AJD]]+(TABL123[[#This Row],[(STORGE DIFF.) AJD]]*1000)+TABL123[[#This Row],[البخر  AJD]])</f>
        <v>1826</v>
      </c>
      <c r="AE49" s="75">
        <v>60</v>
      </c>
      <c r="AF49" s="75">
        <v>58.48</v>
      </c>
      <c r="AG49" s="75">
        <v>1281511</v>
      </c>
      <c r="AH49" s="43">
        <v>1481</v>
      </c>
      <c r="AI49" s="43">
        <v>1481</v>
      </c>
      <c r="AJ49" s="86">
        <f>TABL123[[#This Row],[(A/B TOT) AJD]]-TABL123[[#This Row],[BER_ IN]]</f>
        <v>461</v>
      </c>
      <c r="AK49" s="75">
        <v>0</v>
      </c>
      <c r="AL49" s="96">
        <v>44.742899999999999</v>
      </c>
      <c r="AM49" s="96">
        <v>4063390</v>
      </c>
      <c r="AN49" s="96">
        <f>TABL123[[#This Row],[ (RESV. STORGE) SER]]/10</f>
        <v>406339</v>
      </c>
      <c r="AO49" s="43">
        <v>1870</v>
      </c>
      <c r="AP49" s="32">
        <f>TABL123[[#This Row],[(A/S TOT) AJD]]-TABL123[[#This Row],[SER_ 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Row],[خط (T/B  TOT) SAR]]+TABL123[[#This Row],[خط (S/S  TOT) SAR2]]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Row],[خط (S/S  TOT) SAR2]]-TABL123[[#This Row],[(S/S TOT) AJD]]</f>
        <v>49</v>
      </c>
      <c r="Q50" s="40">
        <v>422</v>
      </c>
      <c r="R50" s="3">
        <f>TABL123[[#This Row],[خط (T/B  TOT) SAR]]-TABL123[[#This Row],[(T/B TOT) AJD]]</f>
        <v>38</v>
      </c>
      <c r="S50" s="3">
        <f>TABL123[[#This Row],[الفرق بين بداية ونهاية خط  T/B]]+TABL123[[#This Row],[الفرق بين بداية ونهاية خط  S/S]]</f>
        <v>87</v>
      </c>
      <c r="T50" s="3">
        <f>TABL123[[#This Row],[(S/S TOT) AJD]]+TABL123[[#This Row],[(T/B TOT) AJD]]</f>
        <v>813</v>
      </c>
      <c r="U50" s="44">
        <v>516</v>
      </c>
      <c r="V50" s="44">
        <v>248</v>
      </c>
      <c r="W50" s="3">
        <f>TABL123[[#This Row],[(A/B TOT) AJD]]+TABL123[[#This Row],[(A/S TOT)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91">
        <f>TABL123[[#This Row],[( S/S+T/B) AJD]]-(TABL123[[#This Row],[(A/B + A/S) AJD]]+(TABL123[[#This Row],[(STORGE DIFF.) AJD]]*1000)+TABL123[[#This Row],[البخر  AJD]])</f>
        <v>-1734</v>
      </c>
      <c r="AE50" s="75">
        <v>60</v>
      </c>
      <c r="AF50" s="75">
        <v>58.49</v>
      </c>
      <c r="AG50" s="75">
        <v>1288069</v>
      </c>
      <c r="AH50" s="45">
        <v>1801</v>
      </c>
      <c r="AI50" s="45">
        <v>1801</v>
      </c>
      <c r="AJ50" s="86">
        <f>TABL123[[#This Row],[(A/B TOT) AJD]]-TABL123[[#This Row],[BER_ IN]]</f>
        <v>456</v>
      </c>
      <c r="AK50" s="75">
        <v>0</v>
      </c>
      <c r="AL50" s="96">
        <v>44.725099999999998</v>
      </c>
      <c r="AM50" s="96">
        <v>4053400</v>
      </c>
      <c r="AN50" s="96">
        <f>TABL123[[#This Row],[ (RESV. STORGE) SER]]/10</f>
        <v>405340</v>
      </c>
      <c r="AO50" s="45">
        <v>1790</v>
      </c>
      <c r="AP50" s="32">
        <f>TABL123[[#This Row],[(A/S TOT) AJD]]-TABL123[[#This Row],[SER_ 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Row],[خط (T/B  TOT) SAR]]+TABL123[[#This Row],[خط (S/S  TOT) SAR2]]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Row],[خط (S/S  TOT) SAR2]]-TABL123[[#This Row],[(S/S TOT) AJD]]</f>
        <v>51</v>
      </c>
      <c r="Q51" s="39">
        <v>429</v>
      </c>
      <c r="R51" s="3">
        <f>TABL123[[#This Row],[خط (T/B  TOT) SAR]]-TABL123[[#This Row],[(T/B TOT) AJD]]</f>
        <v>33</v>
      </c>
      <c r="S51" s="3">
        <f>TABL123[[#This Row],[الفرق بين بداية ونهاية خط  T/B]]+TABL123[[#This Row],[الفرق بين بداية ونهاية خط  S/S]]</f>
        <v>84</v>
      </c>
      <c r="T51" s="3">
        <f>TABL123[[#This Row],[(S/S TOT) AJD]]+TABL123[[#This Row],[(T/B TOT) AJD]]</f>
        <v>826</v>
      </c>
      <c r="U51" s="41">
        <v>515</v>
      </c>
      <c r="V51" s="41">
        <v>250</v>
      </c>
      <c r="W51" s="3">
        <f>TABL123[[#This Row],[(A/B TOT) AJD]]+TABL123[[#This Row],[(A/S TOT)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91">
        <f>TABL123[[#This Row],[( S/S+T/B) AJD]]-(TABL123[[#This Row],[(A/B + A/S) AJD]]+(TABL123[[#This Row],[(STORGE DIFF.) AJD]]*1000)+TABL123[[#This Row],[البخر  AJD]])</f>
        <v>-30825</v>
      </c>
      <c r="AE51" s="75">
        <v>60</v>
      </c>
      <c r="AF51" s="75">
        <v>58.49</v>
      </c>
      <c r="AG51" s="75">
        <v>1288069</v>
      </c>
      <c r="AH51" s="43">
        <v>1794</v>
      </c>
      <c r="AI51" s="43">
        <v>1794</v>
      </c>
      <c r="AJ51" s="86">
        <f>TABL123[[#This Row],[(A/B TOT) AJD]]-TABL123[[#This Row],[BER_ IN]]</f>
        <v>455</v>
      </c>
      <c r="AK51" s="75">
        <v>0</v>
      </c>
      <c r="AL51" s="96">
        <v>44.648400000000002</v>
      </c>
      <c r="AM51" s="96">
        <v>4011220</v>
      </c>
      <c r="AN51" s="96">
        <f>TABL123[[#This Row],[ (RESV. STORGE) SER]]/10</f>
        <v>401122</v>
      </c>
      <c r="AO51" s="43">
        <v>1780</v>
      </c>
      <c r="AP51" s="32">
        <f>TABL123[[#This Row],[(A/S TOT) AJD]]-TABL123[[#This Row],[SER_ 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Row],[خط (T/B  TOT) SAR]]+TABL123[[#This Row],[خط (S/S  TOT) SAR2]]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Row],[خط (S/S  TOT) SAR2]]-TABL123[[#This Row],[(S/S TOT) AJD]]</f>
        <v>41</v>
      </c>
      <c r="Q52" s="40">
        <v>435</v>
      </c>
      <c r="R52" s="3">
        <f>TABL123[[#This Row],[خط (T/B  TOT) SAR]]-TABL123[[#This Row],[(T/B TOT) AJD]]</f>
        <v>24</v>
      </c>
      <c r="S52" s="3">
        <f>TABL123[[#This Row],[الفرق بين بداية ونهاية خط  T/B]]+TABL123[[#This Row],[الفرق بين بداية ونهاية خط  S/S]]</f>
        <v>65</v>
      </c>
      <c r="T52" s="3">
        <f>TABL123[[#This Row],[(S/S TOT) AJD]]+TABL123[[#This Row],[(T/B TOT) AJD]]</f>
        <v>836</v>
      </c>
      <c r="U52" s="44">
        <v>531</v>
      </c>
      <c r="V52" s="44">
        <v>246</v>
      </c>
      <c r="W52" s="3">
        <f>TABL123[[#This Row],[(A/B TOT) AJD]]+TABL123[[#This Row],[(A/S TOT)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91">
        <f>TABL123[[#This Row],[( S/S+T/B) AJD]]-(TABL123[[#This Row],[(A/B + A/S) AJD]]+(TABL123[[#This Row],[(STORGE DIFF.) AJD]]*1000)+TABL123[[#This Row],[البخر  AJD]])</f>
        <v>-50477</v>
      </c>
      <c r="AE52" s="75">
        <v>74</v>
      </c>
      <c r="AF52" s="75">
        <v>58.51</v>
      </c>
      <c r="AG52" s="75">
        <v>1301186</v>
      </c>
      <c r="AH52" s="45">
        <v>1359</v>
      </c>
      <c r="AI52" s="45">
        <v>1359</v>
      </c>
      <c r="AJ52" s="86">
        <f>TABL123[[#This Row],[(A/B TOT) AJD]]-TABL123[[#This Row],[BER_ IN]]</f>
        <v>457</v>
      </c>
      <c r="AK52" s="75">
        <v>0</v>
      </c>
      <c r="AL52" s="96">
        <v>44.472299999999997</v>
      </c>
      <c r="AM52" s="96">
        <v>3913310</v>
      </c>
      <c r="AN52" s="96">
        <f>TABL123[[#This Row],[ (RESV. STORGE) SER]]/10</f>
        <v>391331</v>
      </c>
      <c r="AO52" s="45">
        <v>1810</v>
      </c>
      <c r="AP52" s="32">
        <f>TABL123[[#This Row],[(A/S TOT) AJD]]-TABL123[[#This Row],[SER_ 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Row],[خط (T/B  TOT) SAR]]+TABL123[[#This Row],[خط (S/S  TOT) SAR2]]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Row],[خط (S/S  TOT) SAR2]]-TABL123[[#This Row],[(S/S TOT) AJD]]</f>
        <v>45</v>
      </c>
      <c r="Q53" s="39">
        <v>431</v>
      </c>
      <c r="R53" s="3">
        <f>TABL123[[#This Row],[خط (T/B  TOT) SAR]]-TABL123[[#This Row],[(T/B TOT) AJD]]</f>
        <v>27</v>
      </c>
      <c r="S53" s="3">
        <f>TABL123[[#This Row],[الفرق بين بداية ونهاية خط  T/B]]+TABL123[[#This Row],[الفرق بين بداية ونهاية خط  S/S]]</f>
        <v>72</v>
      </c>
      <c r="T53" s="3">
        <f>TABL123[[#This Row],[(S/S TOT) AJD]]+TABL123[[#This Row],[(T/B TOT) AJD]]</f>
        <v>828</v>
      </c>
      <c r="U53" s="41">
        <v>520</v>
      </c>
      <c r="V53" s="41">
        <v>247</v>
      </c>
      <c r="W53" s="3">
        <f>TABL123[[#This Row],[(A/B TOT) AJD]]+TABL123[[#This Row],[(A/S TOT)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91">
        <f>TABL123[[#This Row],[( S/S+T/B) AJD]]-(TABL123[[#This Row],[(A/B + A/S) AJD]]+(TABL123[[#This Row],[(STORGE DIFF.) AJD]]*1000)+TABL123[[#This Row],[البخر  AJD]])</f>
        <v>-23763</v>
      </c>
      <c r="AE53" s="75">
        <v>80</v>
      </c>
      <c r="AF53" s="75">
        <v>58.52</v>
      </c>
      <c r="AG53" s="75">
        <v>1370747</v>
      </c>
      <c r="AH53" s="43">
        <v>1442</v>
      </c>
      <c r="AI53" s="43">
        <v>1442</v>
      </c>
      <c r="AJ53" s="86">
        <f>TABL123[[#This Row],[(A/B TOT) AJD]]-TABL123[[#This Row],[BER_ IN]]</f>
        <v>440</v>
      </c>
      <c r="AK53" s="75">
        <v>0</v>
      </c>
      <c r="AL53" s="96">
        <v>44.305100000000003</v>
      </c>
      <c r="AM53" s="96">
        <v>3821120</v>
      </c>
      <c r="AN53" s="96">
        <f>TABL123[[#This Row],[ (RESV. STORGE) SER]]/10</f>
        <v>382112</v>
      </c>
      <c r="AO53" s="43">
        <v>1890</v>
      </c>
      <c r="AP53" s="32">
        <f>TABL123[[#This Row],[(A/S TOT) AJD]]-TABL123[[#This Row],[SER_ 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Row],[خط (T/B  TOT) SAR]]+TABL123[[#This Row],[خط (S/S  TOT) SAR2]]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Row],[خط (S/S  TOT) SAR2]]-TABL123[[#This Row],[(S/S TOT) AJD]]</f>
        <v>40</v>
      </c>
      <c r="Q54" s="40">
        <v>433</v>
      </c>
      <c r="R54" s="3">
        <f>TABL123[[#This Row],[خط (T/B  TOT) SAR]]-TABL123[[#This Row],[(T/B TOT) AJD]]</f>
        <v>25</v>
      </c>
      <c r="S54" s="3">
        <f>TABL123[[#This Row],[الفرق بين بداية ونهاية خط  T/B]]+TABL123[[#This Row],[الفرق بين بداية ونهاية خط  S/S]]</f>
        <v>65</v>
      </c>
      <c r="T54" s="3">
        <f>TABL123[[#This Row],[(S/S TOT) AJD]]+TABL123[[#This Row],[(T/B TOT) AJD]]</f>
        <v>835</v>
      </c>
      <c r="U54" s="44">
        <v>540</v>
      </c>
      <c r="V54" s="44">
        <v>279</v>
      </c>
      <c r="W54" s="3">
        <f>TABL123[[#This Row],[(A/B TOT) AJD]]+TABL123[[#This Row],[(A/S TOT)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91">
        <f>TABL123[[#This Row],[( S/S+T/B) AJD]]-(TABL123[[#This Row],[(A/B + A/S) AJD]]+(TABL123[[#This Row],[(STORGE DIFF.) AJD]]*1000)+TABL123[[#This Row],[البخر  AJD]])</f>
        <v>5991</v>
      </c>
      <c r="AE54" s="75">
        <v>80</v>
      </c>
      <c r="AF54" s="75">
        <v>58.771999999999998</v>
      </c>
      <c r="AG54" s="75">
        <v>1327432</v>
      </c>
      <c r="AH54" s="45">
        <v>1542</v>
      </c>
      <c r="AI54" s="45">
        <v>1542</v>
      </c>
      <c r="AJ54" s="86">
        <f>TABL123[[#This Row],[(A/B TOT) AJD]]-TABL123[[#This Row],[BER_ IN]]</f>
        <v>460</v>
      </c>
      <c r="AK54" s="75">
        <v>0</v>
      </c>
      <c r="AL54" s="96">
        <v>44.238199999999999</v>
      </c>
      <c r="AM54" s="96">
        <v>3784200</v>
      </c>
      <c r="AN54" s="96">
        <f>TABL123[[#This Row],[ (RESV. STORGE) SER]]/10</f>
        <v>378420</v>
      </c>
      <c r="AO54" s="45">
        <v>1820</v>
      </c>
      <c r="AP54" s="32">
        <f>TABL123[[#This Row],[(A/S TOT) AJD]]-TABL123[[#This Row],[SER_ 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Row],[خط (T/B  TOT) SAR]]+TABL123[[#This Row],[خط (S/S  TOT) SAR2]]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Row],[خط (S/S  TOT) SAR2]]-TABL123[[#This Row],[(S/S TOT) AJD]]</f>
        <v>44</v>
      </c>
      <c r="Q55" s="39">
        <v>433</v>
      </c>
      <c r="R55" s="3">
        <f>TABL123[[#This Row],[خط (T/B  TOT) SAR]]-TABL123[[#This Row],[(T/B TOT) AJD]]</f>
        <v>27</v>
      </c>
      <c r="S55" s="3">
        <f>TABL123[[#This Row],[الفرق بين بداية ونهاية خط  T/B]]+TABL123[[#This Row],[الفرق بين بداية ونهاية خط  S/S]]</f>
        <v>71</v>
      </c>
      <c r="T55" s="3">
        <f>TABL123[[#This Row],[(S/S TOT) AJD]]+TABL123[[#This Row],[(T/B TOT) AJD]]</f>
        <v>837</v>
      </c>
      <c r="U55" s="41">
        <v>506</v>
      </c>
      <c r="V55" s="41">
        <v>246</v>
      </c>
      <c r="W55" s="3">
        <f>TABL123[[#This Row],[(A/B TOT) AJD]]+TABL123[[#This Row],[(A/S TOT)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91">
        <f>TABL123[[#This Row],[( S/S+T/B) AJD]]-(TABL123[[#This Row],[(A/B + A/S) AJD]]+(TABL123[[#This Row],[(STORGE DIFF.) AJD]]*1000)+TABL123[[#This Row],[البخر  AJD]])</f>
        <v>-76760</v>
      </c>
      <c r="AE55" s="75">
        <v>78</v>
      </c>
      <c r="AF55" s="75">
        <v>58.58</v>
      </c>
      <c r="AG55" s="75">
        <v>1347126</v>
      </c>
      <c r="AH55" s="43">
        <v>1085</v>
      </c>
      <c r="AI55" s="43">
        <v>1085</v>
      </c>
      <c r="AJ55" s="86">
        <f>TABL123[[#This Row],[(A/B TOT) AJD]]-TABL123[[#This Row],[BER_ IN]]</f>
        <v>428</v>
      </c>
      <c r="AK55" s="75">
        <v>0</v>
      </c>
      <c r="AL55" s="96">
        <v>44.206800000000001</v>
      </c>
      <c r="AM55" s="96">
        <v>3767110</v>
      </c>
      <c r="AN55" s="96">
        <f>TABL123[[#This Row],[ (RESV. STORGE) SER]]/10</f>
        <v>376711</v>
      </c>
      <c r="AO55" s="43">
        <v>1890</v>
      </c>
      <c r="AP55" s="32">
        <f>TABL123[[#This Row],[(A/S TOT) AJD]]-TABL123[[#This Row],[SER_ 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Row],[خط (T/B  TOT) SAR]]+TABL123[[#This Row],[خط (S/S  TOT) SAR2]]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Row],[خط (S/S  TOT) SAR2]]-TABL123[[#This Row],[(S/S TOT) AJD]]</f>
        <v>39</v>
      </c>
      <c r="Q56" s="40">
        <v>436</v>
      </c>
      <c r="R56" s="3">
        <f>TABL123[[#This Row],[خط (T/B  TOT) SAR]]-TABL123[[#This Row],[(T/B TOT) AJD]]</f>
        <v>24</v>
      </c>
      <c r="S56" s="3">
        <f>TABL123[[#This Row],[الفرق بين بداية ونهاية خط  T/B]]+TABL123[[#This Row],[الفرق بين بداية ونهاية خط  S/S]]</f>
        <v>63</v>
      </c>
      <c r="T56" s="3">
        <f>TABL123[[#This Row],[(S/S TOT) AJD]]+TABL123[[#This Row],[(T/B TOT) AJD]]</f>
        <v>845</v>
      </c>
      <c r="U56" s="44">
        <v>543</v>
      </c>
      <c r="V56" s="44">
        <v>236</v>
      </c>
      <c r="W56" s="3">
        <f>TABL123[[#This Row],[(A/B TOT) AJD]]+TABL123[[#This Row],[(A/S TOT)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91">
        <f>TABL123[[#This Row],[( S/S+T/B) AJD]]-(TABL123[[#This Row],[(A/B + A/S) AJD]]+(TABL123[[#This Row],[(STORGE DIFF.) AJD]]*1000)+TABL123[[#This Row],[البخر  AJD]])</f>
        <v>-38711</v>
      </c>
      <c r="AE56" s="75">
        <v>77</v>
      </c>
      <c r="AF56" s="75">
        <v>58.61</v>
      </c>
      <c r="AG56" s="75">
        <v>1366827</v>
      </c>
      <c r="AH56" s="45">
        <v>1692</v>
      </c>
      <c r="AI56" s="45">
        <v>1692</v>
      </c>
      <c r="AJ56" s="86">
        <f>TABL123[[#This Row],[(A/B TOT) AJD]]-TABL123[[#This Row],[BER_ IN]]</f>
        <v>466</v>
      </c>
      <c r="AK56" s="75">
        <v>0</v>
      </c>
      <c r="AL56" s="96">
        <v>44.175800000000002</v>
      </c>
      <c r="AM56" s="96">
        <v>3750270</v>
      </c>
      <c r="AN56" s="96">
        <f>TABL123[[#This Row],[ (RESV. STORGE) SER]]/10</f>
        <v>375027</v>
      </c>
      <c r="AO56" s="45">
        <v>1840</v>
      </c>
      <c r="AP56" s="32">
        <f>TABL123[[#This Row],[(A/S TOT) AJD]]-TABL123[[#This Row],[SER_ 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Row],[خط (T/B  TOT) SAR]]+TABL123[[#This Row],[خط (S/S  TOT) SAR2]]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Row],[خط (S/S  TOT) SAR2]]-TABL123[[#This Row],[(S/S TOT) AJD]]</f>
        <v>6</v>
      </c>
      <c r="Q57" s="39">
        <v>407</v>
      </c>
      <c r="R57" s="3">
        <f>TABL123[[#This Row],[خط (T/B  TOT) SAR]]-TABL123[[#This Row],[(T/B TOT) AJD]]</f>
        <v>55</v>
      </c>
      <c r="S57" s="3">
        <f>TABL123[[#This Row],[الفرق بين بداية ونهاية خط  T/B]]+TABL123[[#This Row],[الفرق بين بداية ونهاية خط  S/S]]</f>
        <v>61</v>
      </c>
      <c r="T57" s="3">
        <f>TABL123[[#This Row],[(S/S TOT) AJD]]+TABL123[[#This Row],[(T/B TOT) AJD]]</f>
        <v>843</v>
      </c>
      <c r="U57" s="41">
        <v>565</v>
      </c>
      <c r="V57" s="41">
        <v>223</v>
      </c>
      <c r="W57" s="3">
        <f>TABL123[[#This Row],[(A/B TOT) AJD]]+TABL123[[#This Row],[(A/S TOT)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91">
        <f>TABL123[[#This Row],[( S/S+T/B) AJD]]-(TABL123[[#This Row],[(A/B + A/S) AJD]]+(TABL123[[#This Row],[(STORGE DIFF.) AJD]]*1000)+TABL123[[#This Row],[البخر  AJD]])</f>
        <v>-23812</v>
      </c>
      <c r="AE57" s="75">
        <v>94</v>
      </c>
      <c r="AF57" s="75">
        <v>58.54</v>
      </c>
      <c r="AG57" s="75">
        <v>1320869</v>
      </c>
      <c r="AH57" s="43">
        <v>1785</v>
      </c>
      <c r="AI57" s="43">
        <v>1785</v>
      </c>
      <c r="AJ57" s="86">
        <f>TABL123[[#This Row],[(A/B TOT) AJD]]-TABL123[[#This Row],[BER_ IN]]</f>
        <v>471</v>
      </c>
      <c r="AK57" s="75">
        <v>0</v>
      </c>
      <c r="AL57" s="96">
        <v>44.146299999999997</v>
      </c>
      <c r="AM57" s="96">
        <v>3733560</v>
      </c>
      <c r="AN57" s="96">
        <f>TABL123[[#This Row],[ (RESV. STORGE) SER]]/10</f>
        <v>373356</v>
      </c>
      <c r="AO57" s="43">
        <v>1810</v>
      </c>
      <c r="AP57" s="32">
        <f>TABL123[[#This Row],[(A/S TOT) AJD]]-TABL123[[#This Row],[SER_ 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Row],[خط (T/B  TOT) SAR]]+TABL123[[#This Row],[خط (S/S  TOT) SAR2]]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Row],[خط (S/S  TOT) SAR2]]-TABL123[[#This Row],[(S/S TOT) AJD]]</f>
        <v>8</v>
      </c>
      <c r="Q58" s="40">
        <v>403</v>
      </c>
      <c r="R58" s="3">
        <f>TABL123[[#This Row],[خط (T/B  TOT) SAR]]-TABL123[[#This Row],[(T/B TOT) AJD]]</f>
        <v>59</v>
      </c>
      <c r="S58" s="3">
        <f>TABL123[[#This Row],[الفرق بين بداية ونهاية خط  T/B]]+TABL123[[#This Row],[الفرق بين بداية ونهاية خط  S/S]]</f>
        <v>67</v>
      </c>
      <c r="T58" s="3">
        <f>TABL123[[#This Row],[(S/S TOT) AJD]]+TABL123[[#This Row],[(T/B TOT) AJD]]</f>
        <v>837</v>
      </c>
      <c r="U58" s="44">
        <v>570</v>
      </c>
      <c r="V58" s="44">
        <v>238</v>
      </c>
      <c r="W58" s="3">
        <f>TABL123[[#This Row],[(A/B TOT) AJD]]+TABL123[[#This Row],[(A/S TOT)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91">
        <f>TABL123[[#This Row],[( S/S+T/B) AJD]]-(TABL123[[#This Row],[(A/B + A/S) AJD]]+(TABL123[[#This Row],[(STORGE DIFF.) AJD]]*1000)+TABL123[[#This Row],[البخر  AJD]])</f>
        <v>29</v>
      </c>
      <c r="AE58" s="75">
        <v>102</v>
      </c>
      <c r="AF58" s="75">
        <v>58.48</v>
      </c>
      <c r="AG58" s="75">
        <v>1281511</v>
      </c>
      <c r="AH58" s="45">
        <v>1758</v>
      </c>
      <c r="AI58" s="45">
        <v>1758</v>
      </c>
      <c r="AJ58" s="86">
        <f>TABL123[[#This Row],[(A/B TOT) AJD]]-TABL123[[#This Row],[BER_ IN]]</f>
        <v>468</v>
      </c>
      <c r="AK58" s="75">
        <v>0</v>
      </c>
      <c r="AL58" s="96">
        <v>44.111400000000003</v>
      </c>
      <c r="AM58" s="96">
        <v>3714450</v>
      </c>
      <c r="AN58" s="96">
        <f>TABL123[[#This Row],[ (RESV. STORGE) SER]]/10</f>
        <v>371445</v>
      </c>
      <c r="AO58" s="45">
        <v>1810</v>
      </c>
      <c r="AP58" s="32">
        <f>TABL123[[#This Row],[(A/S TOT) AJD]]-TABL123[[#This Row],[SER_ 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Row],[خط (T/B  TOT) SAR]]+TABL123[[#This Row],[خط (S/S  TOT) SAR2]]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Row],[خط (S/S  TOT) SAR2]]-TABL123[[#This Row],[(S/S TOT) AJD]]</f>
        <v>18</v>
      </c>
      <c r="Q59" s="39">
        <v>392</v>
      </c>
      <c r="R59" s="3">
        <f>TABL123[[#This Row],[خط (T/B  TOT) SAR]]-TABL123[[#This Row],[(T/B TOT) AJD]]</f>
        <v>70</v>
      </c>
      <c r="S59" s="3">
        <f>TABL123[[#This Row],[الفرق بين بداية ونهاية خط  T/B]]+TABL123[[#This Row],[الفرق بين بداية ونهاية خط  S/S]]</f>
        <v>88</v>
      </c>
      <c r="T59" s="3">
        <f>TABL123[[#This Row],[(S/S TOT) AJD]]+TABL123[[#This Row],[(T/B TOT) AJD]]</f>
        <v>816</v>
      </c>
      <c r="U59" s="41">
        <v>556</v>
      </c>
      <c r="V59" s="41">
        <v>251</v>
      </c>
      <c r="W59" s="3">
        <f>TABL123[[#This Row],[(A/B TOT) AJD]]+TABL123[[#This Row],[(A/S TOT)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91">
        <f>TABL123[[#This Row],[( S/S+T/B) AJD]]-(TABL123[[#This Row],[(A/B + A/S) AJD]]+(TABL123[[#This Row],[(STORGE DIFF.) AJD]]*1000)+TABL123[[#This Row],[البخر  AJD]])</f>
        <v>25075</v>
      </c>
      <c r="AE59" s="75">
        <v>104</v>
      </c>
      <c r="AF59" s="75">
        <v>58.41</v>
      </c>
      <c r="AG59" s="75">
        <v>1235632</v>
      </c>
      <c r="AH59" s="43">
        <v>2583</v>
      </c>
      <c r="AI59" s="43">
        <v>2583</v>
      </c>
      <c r="AJ59" s="86">
        <f>TABL123[[#This Row],[(A/B TOT) AJD]]-TABL123[[#This Row],[BER_ IN]]</f>
        <v>452</v>
      </c>
      <c r="AK59" s="75">
        <v>0</v>
      </c>
      <c r="AL59" s="96">
        <v>44.177399999999999</v>
      </c>
      <c r="AM59" s="96">
        <v>3696260</v>
      </c>
      <c r="AN59" s="96">
        <f>TABL123[[#This Row],[ (RESV. STORGE) SER]]/10</f>
        <v>369626</v>
      </c>
      <c r="AO59" s="43">
        <v>1890</v>
      </c>
      <c r="AP59" s="32">
        <f>TABL123[[#This Row],[(A/S TOT) AJD]]-TABL123[[#This Row],[SER_ 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Row],[خط (T/B  TOT) SAR]]+TABL123[[#This Row],[خط (S/S  TOT) SAR2]]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Row],[خط (S/S  TOT) SAR2]]-TABL123[[#This Row],[(S/S TOT) AJD]]</f>
        <v>-2</v>
      </c>
      <c r="Q60" s="40">
        <v>412</v>
      </c>
      <c r="R60" s="3">
        <f>TABL123[[#This Row],[خط (T/B  TOT) SAR]]-TABL123[[#This Row],[(T/B TOT) AJD]]</f>
        <v>48</v>
      </c>
      <c r="S60" s="3">
        <f>TABL123[[#This Row],[الفرق بين بداية ونهاية خط  T/B]]+TABL123[[#This Row],[الفرق بين بداية ونهاية خط  S/S]]</f>
        <v>46</v>
      </c>
      <c r="T60" s="3">
        <f>TABL123[[#This Row],[(S/S TOT) AJD]]+TABL123[[#This Row],[(T/B TOT) AJD]]</f>
        <v>854</v>
      </c>
      <c r="U60" s="44">
        <v>572</v>
      </c>
      <c r="V60" s="44">
        <v>260</v>
      </c>
      <c r="W60" s="3">
        <f>TABL123[[#This Row],[(A/B TOT) AJD]]+TABL123[[#This Row],[(A/S TOT)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91">
        <f>TABL123[[#This Row],[( S/S+T/B) AJD]]-(TABL123[[#This Row],[(A/B + A/S) AJD]]+(TABL123[[#This Row],[(STORGE DIFF.) AJD]]*1000)+TABL123[[#This Row],[البخر  AJD]])</f>
        <v>14941</v>
      </c>
      <c r="AE60" s="75">
        <v>104</v>
      </c>
      <c r="AF60" s="75">
        <v>58.468000000000004</v>
      </c>
      <c r="AG60" s="75">
        <v>1273643</v>
      </c>
      <c r="AH60" s="45">
        <v>2001</v>
      </c>
      <c r="AI60" s="45">
        <v>2001</v>
      </c>
      <c r="AJ60" s="86">
        <f>TABL123[[#This Row],[(A/B TOT) AJD]]-TABL123[[#This Row],[BER_ IN]]</f>
        <v>468</v>
      </c>
      <c r="AK60" s="75">
        <v>0</v>
      </c>
      <c r="AL60" s="96">
        <v>44.0747</v>
      </c>
      <c r="AM60" s="96">
        <v>3694490</v>
      </c>
      <c r="AN60" s="96">
        <f>TABL123[[#This Row],[ (RESV. STORGE) SER]]/10</f>
        <v>369449</v>
      </c>
      <c r="AO60" s="45">
        <v>1770</v>
      </c>
      <c r="AP60" s="32">
        <f>TABL123[[#This Row],[(A/S TOT) AJD]]-TABL123[[#This Row],[SER_ 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Row],[خط (T/B  TOT) SAR]]+TABL123[[#This Row],[خط (S/S  TOT) SAR2]]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Row],[خط (S/S  TOT) SAR2]]-TABL123[[#This Row],[(S/S TOT) AJD]]</f>
        <v>40</v>
      </c>
      <c r="Q61" s="39">
        <v>430</v>
      </c>
      <c r="R61" s="3">
        <f>TABL123[[#This Row],[خط (T/B  TOT) SAR]]-TABL123[[#This Row],[(T/B TOT) AJD]]</f>
        <v>29</v>
      </c>
      <c r="S61" s="3">
        <f>TABL123[[#This Row],[الفرق بين بداية ونهاية خط  T/B]]+TABL123[[#This Row],[الفرق بين بداية ونهاية خط  S/S]]</f>
        <v>69</v>
      </c>
      <c r="T61" s="3">
        <f>TABL123[[#This Row],[(S/S TOT) AJD]]+TABL123[[#This Row],[(T/B TOT) AJD]]</f>
        <v>831</v>
      </c>
      <c r="U61" s="41">
        <v>559</v>
      </c>
      <c r="V61" s="41">
        <v>268</v>
      </c>
      <c r="W61" s="3">
        <f>TABL123[[#This Row],[(A/B TOT) AJD]]+TABL123[[#This Row],[(A/S TOT)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91">
        <f>TABL123[[#This Row],[( S/S+T/B) AJD]]-(TABL123[[#This Row],[(A/B + A/S) AJD]]+(TABL123[[#This Row],[(STORGE DIFF.) AJD]]*1000)+TABL123[[#This Row],[البخر  AJD]])</f>
        <v>37789</v>
      </c>
      <c r="AE61" s="75">
        <v>102</v>
      </c>
      <c r="AF61" s="75">
        <v>58.51</v>
      </c>
      <c r="AG61" s="75">
        <v>1301186</v>
      </c>
      <c r="AH61" s="43">
        <v>1596</v>
      </c>
      <c r="AI61" s="43">
        <v>1596</v>
      </c>
      <c r="AJ61" s="86">
        <f>TABL123[[#This Row],[(A/B TOT) AJD]]-TABL123[[#This Row],[BER_ IN]]</f>
        <v>457</v>
      </c>
      <c r="AK61" s="75">
        <v>0</v>
      </c>
      <c r="AL61" s="96">
        <v>44.062899999999999</v>
      </c>
      <c r="AM61" s="96">
        <v>3686870</v>
      </c>
      <c r="AN61" s="96">
        <f>TABL123[[#This Row],[ (RESV. STORGE) SER]]/10</f>
        <v>368687</v>
      </c>
      <c r="AO61" s="43">
        <v>1730</v>
      </c>
      <c r="AP61" s="32">
        <f>TABL123[[#This Row],[(A/S TOT) AJD]]-TABL123[[#This Row],[SER_ 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Row],[خط (T/B  TOT) SAR]]+TABL123[[#This Row],[خط (S/S  TOT) SAR2]]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Row],[خط (S/S  TOT) SAR2]]-TABL123[[#This Row],[(S/S TOT) AJD]]</f>
        <v>40</v>
      </c>
      <c r="Q62" s="40">
        <v>430</v>
      </c>
      <c r="R62" s="3">
        <f>TABL123[[#This Row],[خط (T/B  TOT) SAR]]-TABL123[[#This Row],[(T/B TOT) AJD]]</f>
        <v>30</v>
      </c>
      <c r="S62" s="3">
        <f>TABL123[[#This Row],[الفرق بين بداية ونهاية خط  T/B]]+TABL123[[#This Row],[الفرق بين بداية ونهاية خط  S/S]]</f>
        <v>70</v>
      </c>
      <c r="T62" s="3">
        <f>TABL123[[#This Row],[(S/S TOT) AJD]]+TABL123[[#This Row],[(T/B TOT) AJD]]</f>
        <v>831</v>
      </c>
      <c r="U62" s="44">
        <v>559</v>
      </c>
      <c r="V62" s="44">
        <v>265</v>
      </c>
      <c r="W62" s="3">
        <f>TABL123[[#This Row],[(A/B TOT) AJD]]+TABL123[[#This Row],[(A/S TOT)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91">
        <f>TABL123[[#This Row],[( S/S+T/B) AJD]]-(TABL123[[#This Row],[(A/B + A/S) AJD]]+(TABL123[[#This Row],[(STORGE DIFF.) AJD]]*1000)+TABL123[[#This Row],[البخر  AJD]])</f>
        <v>11964</v>
      </c>
      <c r="AE62" s="75">
        <v>101</v>
      </c>
      <c r="AF62" s="75">
        <v>58.55</v>
      </c>
      <c r="AG62" s="75">
        <v>1327423</v>
      </c>
      <c r="AH62" s="45">
        <v>1914</v>
      </c>
      <c r="AI62" s="45">
        <v>1914</v>
      </c>
      <c r="AJ62" s="86">
        <f>TABL123[[#This Row],[(A/B TOT) AJD]]-TABL123[[#This Row],[BER_ IN]]</f>
        <v>458</v>
      </c>
      <c r="AK62" s="75">
        <v>0</v>
      </c>
      <c r="AL62" s="96">
        <v>44.028799999999997</v>
      </c>
      <c r="AM62" s="96">
        <v>3669100</v>
      </c>
      <c r="AN62" s="96">
        <f>TABL123[[#This Row],[ (RESV. STORGE) SER]]/10</f>
        <v>366910</v>
      </c>
      <c r="AO62" s="45">
        <v>1745</v>
      </c>
      <c r="AP62" s="32">
        <f>TABL123[[#This Row],[(A/S TOT) AJD]]-TABL123[[#This Row],[SER_ 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Row],[خط (T/B  TOT) SAR]]+TABL123[[#This Row],[خط (S/S  TOT) SAR2]]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Row],[خط (S/S  TOT) SAR2]]-TABL123[[#This Row],[(S/S TOT) AJD]]</f>
        <v>40</v>
      </c>
      <c r="Q63" s="39">
        <v>428</v>
      </c>
      <c r="R63" s="3">
        <f>TABL123[[#This Row],[خط (T/B  TOT) SAR]]-TABL123[[#This Row],[(T/B TOT) AJD]]</f>
        <v>32</v>
      </c>
      <c r="S63" s="3">
        <f>TABL123[[#This Row],[الفرق بين بداية ونهاية خط  T/B]]+TABL123[[#This Row],[الفرق بين بداية ونهاية خط  S/S]]</f>
        <v>72</v>
      </c>
      <c r="T63" s="3">
        <f>TABL123[[#This Row],[(S/S TOT) AJD]]+TABL123[[#This Row],[(T/B TOT) AJD]]</f>
        <v>828</v>
      </c>
      <c r="U63" s="41">
        <v>574</v>
      </c>
      <c r="V63" s="41">
        <v>249</v>
      </c>
      <c r="W63" s="3">
        <f>TABL123[[#This Row],[(A/B TOT) AJD]]+TABL123[[#This Row],[(A/S TOT)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91">
        <f>TABL123[[#This Row],[( S/S+T/B) AJD]]-(TABL123[[#This Row],[(A/B + A/S) AJD]]+(TABL123[[#This Row],[(STORGE DIFF.) AJD]]*1000)+TABL123[[#This Row],[البخر  AJD]])</f>
        <v>22005</v>
      </c>
      <c r="AE63" s="75">
        <v>101</v>
      </c>
      <c r="AF63" s="75">
        <v>58.58</v>
      </c>
      <c r="AG63" s="75">
        <v>1347126</v>
      </c>
      <c r="AH63" s="43">
        <v>1457</v>
      </c>
      <c r="AI63" s="43">
        <v>1457</v>
      </c>
      <c r="AJ63" s="86">
        <f>TABL123[[#This Row],[(A/B TOT) AJD]]-TABL123[[#This Row],[BER_ IN]]</f>
        <v>473</v>
      </c>
      <c r="AK63" s="75">
        <v>0</v>
      </c>
      <c r="AL63" s="96">
        <v>43.975700000000003</v>
      </c>
      <c r="AM63" s="96">
        <v>3639840</v>
      </c>
      <c r="AN63" s="96">
        <f>TABL123[[#This Row],[ (RESV. STORGE) SER]]/10</f>
        <v>363984</v>
      </c>
      <c r="AO63" s="43">
        <v>1726</v>
      </c>
      <c r="AP63" s="32">
        <f>TABL123[[#This Row],[(A/S TOT) AJD]]-TABL123[[#This Row],[SER_ 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Row],[خط (T/B  TOT) SAR]]+TABL123[[#This Row],[خط (S/S  TOT) SAR2]]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Row],[خط (S/S  TOT) SAR2]]-TABL123[[#This Row],[(S/S TOT) AJD]]</f>
        <v>39</v>
      </c>
      <c r="Q64" s="40">
        <v>429</v>
      </c>
      <c r="R64" s="3">
        <f>TABL123[[#This Row],[خط (T/B  TOT) SAR]]-TABL123[[#This Row],[(T/B TOT) AJD]]</f>
        <v>31</v>
      </c>
      <c r="S64" s="3">
        <f>TABL123[[#This Row],[الفرق بين بداية ونهاية خط  T/B]]+TABL123[[#This Row],[الفرق بين بداية ونهاية خط  S/S]]</f>
        <v>70</v>
      </c>
      <c r="T64" s="3">
        <f>TABL123[[#This Row],[(S/S TOT) AJD]]+TABL123[[#This Row],[(T/B TOT) AJD]]</f>
        <v>830</v>
      </c>
      <c r="U64" s="44">
        <v>579</v>
      </c>
      <c r="V64" s="44">
        <v>200</v>
      </c>
      <c r="W64" s="3">
        <f>TABL123[[#This Row],[(A/B TOT) AJD]]+TABL123[[#This Row],[(A/S TOT)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91">
        <f>TABL123[[#This Row],[( S/S+T/B) AJD]]-(TABL123[[#This Row],[(A/B + A/S) AJD]]+(TABL123[[#This Row],[(STORGE DIFF.) AJD]]*1000)+TABL123[[#This Row],[البخر  AJD]])</f>
        <v>-21985</v>
      </c>
      <c r="AE64" s="75">
        <v>100</v>
      </c>
      <c r="AF64" s="75">
        <v>58.62</v>
      </c>
      <c r="AG64" s="75">
        <v>1373396</v>
      </c>
      <c r="AH64" s="45">
        <v>1889</v>
      </c>
      <c r="AI64" s="45">
        <v>1889</v>
      </c>
      <c r="AJ64" s="86">
        <f>TABL123[[#This Row],[(A/B TOT) AJD]]-TABL123[[#This Row],[BER_ IN]]</f>
        <v>479</v>
      </c>
      <c r="AK64" s="75">
        <v>0</v>
      </c>
      <c r="AL64" s="96">
        <v>43.9221</v>
      </c>
      <c r="AM64" s="96">
        <v>3610490</v>
      </c>
      <c r="AN64" s="96">
        <f>TABL123[[#This Row],[ (RESV. STORGE) SER]]/10</f>
        <v>361049</v>
      </c>
      <c r="AO64" s="45">
        <v>1723</v>
      </c>
      <c r="AP64" s="32">
        <f>TABL123[[#This Row],[(A/S TOT) AJD]]-TABL123[[#This Row],[SER_ 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Row],[خط (T/B  TOT) SAR]]+TABL123[[#This Row],[خط (S/S  TOT) SAR2]]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Row],[خط (S/S  TOT) SAR2]]-TABL123[[#This Row],[(S/S TOT) AJD]]</f>
        <v>40</v>
      </c>
      <c r="Q65" s="39">
        <v>428</v>
      </c>
      <c r="R65" s="3">
        <f>TABL123[[#This Row],[خط (T/B  TOT) SAR]]-TABL123[[#This Row],[(T/B TOT) AJD]]</f>
        <v>32</v>
      </c>
      <c r="S65" s="3">
        <f>TABL123[[#This Row],[الفرق بين بداية ونهاية خط  T/B]]+TABL123[[#This Row],[الفرق بين بداية ونهاية خط  S/S]]</f>
        <v>72</v>
      </c>
      <c r="T65" s="3">
        <f>TABL123[[#This Row],[(S/S TOT) AJD]]+TABL123[[#This Row],[(T/B TOT) AJD]]</f>
        <v>828</v>
      </c>
      <c r="U65" s="41">
        <v>577</v>
      </c>
      <c r="V65" s="41">
        <v>211</v>
      </c>
      <c r="W65" s="3">
        <f>TABL123[[#This Row],[(A/B TOT) AJD]]+TABL123[[#This Row],[(A/S TOT)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91">
        <f>TABL123[[#This Row],[( S/S+T/B) AJD]]-(TABL123[[#This Row],[(A/B + A/S) AJD]]+(TABL123[[#This Row],[(STORGE DIFF.) AJD]]*1000)+TABL123[[#This Row],[البخر  AJD]])</f>
        <v>5994</v>
      </c>
      <c r="AE65" s="75">
        <v>98</v>
      </c>
      <c r="AF65" s="75">
        <v>58.66</v>
      </c>
      <c r="AG65" s="75">
        <v>1399679</v>
      </c>
      <c r="AH65" s="43">
        <v>2876</v>
      </c>
      <c r="AI65" s="43">
        <v>2876</v>
      </c>
      <c r="AJ65" s="86">
        <f>TABL123[[#This Row],[(A/B TOT) AJD]]-TABL123[[#This Row],[BER_ IN]]</f>
        <v>479</v>
      </c>
      <c r="AK65" s="75">
        <v>0</v>
      </c>
      <c r="AL65" s="96">
        <v>43.8613</v>
      </c>
      <c r="AM65" s="96">
        <v>3577400</v>
      </c>
      <c r="AN65" s="96">
        <f>TABL123[[#This Row],[ (RESV. STORGE) SER]]/10</f>
        <v>357740</v>
      </c>
      <c r="AO65" s="43">
        <v>1738</v>
      </c>
      <c r="AP65" s="32">
        <f>TABL123[[#This Row],[(A/S TOT) AJD]]-TABL123[[#This Row],[SER_ 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Row],[خط (T/B  TOT) SAR]]+TABL123[[#This Row],[خط (S/S  TOT) SAR2]]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Row],[خط (S/S  TOT) SAR2]]-TABL123[[#This Row],[(S/S TOT) AJD]]</f>
        <v>39</v>
      </c>
      <c r="Q66" s="40">
        <v>427</v>
      </c>
      <c r="R66" s="3">
        <f>TABL123[[#This Row],[خط (T/B  TOT) SAR]]-TABL123[[#This Row],[(T/B TOT) AJD]]</f>
        <v>31</v>
      </c>
      <c r="S66" s="3">
        <f>TABL123[[#This Row],[الفرق بين بداية ونهاية خط  T/B]]+TABL123[[#This Row],[الفرق بين بداية ونهاية خط  S/S]]</f>
        <v>70</v>
      </c>
      <c r="T66" s="3">
        <f>TABL123[[#This Row],[(S/S TOT) AJD]]+TABL123[[#This Row],[(T/B TOT) AJD]]</f>
        <v>826</v>
      </c>
      <c r="U66" s="44">
        <v>569</v>
      </c>
      <c r="V66" s="44">
        <v>254</v>
      </c>
      <c r="W66" s="3">
        <f>TABL123[[#This Row],[(A/B TOT) AJD]]+TABL123[[#This Row],[(A/S TOT)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91">
        <f>TABL123[[#This Row],[( S/S+T/B) AJD]]-(TABL123[[#This Row],[(A/B + A/S) AJD]]+(TABL123[[#This Row],[(STORGE DIFF.) AJD]]*1000)+TABL123[[#This Row],[البخر  AJD]])</f>
        <v>26806</v>
      </c>
      <c r="AE66" s="75">
        <v>101</v>
      </c>
      <c r="AF66" s="75">
        <v>58.65</v>
      </c>
      <c r="AG66" s="75">
        <v>1393107</v>
      </c>
      <c r="AH66" s="45">
        <v>1339</v>
      </c>
      <c r="AI66" s="45">
        <v>1339</v>
      </c>
      <c r="AJ66" s="86">
        <f>TABL123[[#This Row],[(A/B TOT) AJD]]-TABL123[[#This Row],[BER_ IN]]</f>
        <v>468</v>
      </c>
      <c r="AK66" s="75">
        <v>0</v>
      </c>
      <c r="AL66" s="96">
        <v>43.8063</v>
      </c>
      <c r="AM66" s="96">
        <v>3546991</v>
      </c>
      <c r="AN66" s="96">
        <f>TABL123[[#This Row],[ (RESV. STORGE) SER]]/10</f>
        <v>354699.1</v>
      </c>
      <c r="AO66" s="45">
        <v>1680</v>
      </c>
      <c r="AP66" s="32">
        <f>TABL123[[#This Row],[(A/S TOT) AJD]]-TABL123[[#This Row],[SER_ 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Row],[خط (T/B  TOT) SAR]]+TABL123[[#This Row],[خط (S/S  TOT) SAR2]]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Row],[خط (S/S  TOT) SAR2]]-TABL123[[#This Row],[(S/S TOT) AJD]]</f>
        <v>40</v>
      </c>
      <c r="Q67" s="39">
        <v>428</v>
      </c>
      <c r="R67" s="3">
        <f>TABL123[[#This Row],[خط (T/B  TOT) SAR]]-TABL123[[#This Row],[(T/B TOT) AJD]]</f>
        <v>30</v>
      </c>
      <c r="S67" s="3">
        <f>TABL123[[#This Row],[الفرق بين بداية ونهاية خط  T/B]]+TABL123[[#This Row],[الفرق بين بداية ونهاية خط  S/S]]</f>
        <v>70</v>
      </c>
      <c r="T67" s="3">
        <f>TABL123[[#This Row],[(S/S TOT) AJD]]+TABL123[[#This Row],[(T/B TOT) AJD]]</f>
        <v>826</v>
      </c>
      <c r="U67" s="41">
        <v>574</v>
      </c>
      <c r="V67" s="41">
        <v>255</v>
      </c>
      <c r="W67" s="3">
        <f>TABL123[[#This Row],[(A/B TOT) AJD]]+TABL123[[#This Row],[(A/S TOT)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91">
        <f>TABL123[[#This Row],[( S/S+T/B) AJD]]-(TABL123[[#This Row],[(A/B + A/S) AJD]]+(TABL123[[#This Row],[(STORGE DIFF.) AJD]]*1000)+TABL123[[#This Row],[البخر  AJD]])</f>
        <v>25459</v>
      </c>
      <c r="AE67" s="75">
        <v>98</v>
      </c>
      <c r="AF67" s="75">
        <v>58.58</v>
      </c>
      <c r="AG67" s="75">
        <v>1347126</v>
      </c>
      <c r="AH67" s="43">
        <v>1920</v>
      </c>
      <c r="AI67" s="43">
        <v>1920</v>
      </c>
      <c r="AJ67" s="86">
        <f>TABL123[[#This Row],[(A/B TOT) AJD]]-TABL123[[#This Row],[BER_ IN]]</f>
        <v>476</v>
      </c>
      <c r="AK67" s="75">
        <v>0</v>
      </c>
      <c r="AL67" s="96">
        <v>43.775199999999998</v>
      </c>
      <c r="AM67" s="96">
        <v>3530507</v>
      </c>
      <c r="AN67" s="96">
        <f>TABL123[[#This Row],[ (RESV. STORGE) SER]]/10</f>
        <v>353050.7</v>
      </c>
      <c r="AO67" s="43">
        <v>1710</v>
      </c>
      <c r="AP67" s="32">
        <f>TABL123[[#This Row],[(A/S TOT) AJD]]-TABL123[[#This Row],[SER_ 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Row],[خط (T/B  TOT) SAR]]+TABL123[[#This Row],[خط (S/S  TOT) SAR2]]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Row],[خط (S/S  TOT) SAR2]]-TABL123[[#This Row],[(S/S TOT) AJD]]</f>
        <v>42</v>
      </c>
      <c r="Q68" s="40">
        <v>424</v>
      </c>
      <c r="R68" s="3">
        <f>TABL123[[#This Row],[خط (T/B  TOT) SAR]]-TABL123[[#This Row],[(T/B TOT) AJD]]</f>
        <v>34</v>
      </c>
      <c r="S68" s="3">
        <f>TABL123[[#This Row],[الفرق بين بداية ونهاية خط  T/B]]+TABL123[[#This Row],[الفرق بين بداية ونهاية خط  S/S]]</f>
        <v>76</v>
      </c>
      <c r="T68" s="3">
        <f>TABL123[[#This Row],[(S/S TOT) AJD]]+TABL123[[#This Row],[(T/B TOT) AJD]]</f>
        <v>820</v>
      </c>
      <c r="U68" s="44">
        <v>583</v>
      </c>
      <c r="V68" s="44">
        <v>256</v>
      </c>
      <c r="W68" s="3">
        <f>TABL123[[#This Row],[(A/B TOT) AJD]]+TABL123[[#This Row],[(A/S TOT)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91">
        <f>TABL123[[#This Row],[( S/S+T/B) AJD]]-(TABL123[[#This Row],[(A/B + A/S) AJD]]+(TABL123[[#This Row],[(STORGE DIFF.) AJD]]*1000)+TABL123[[#This Row],[البخر  AJD]])</f>
        <v>51872</v>
      </c>
      <c r="AE68" s="75">
        <v>99</v>
      </c>
      <c r="AF68" s="75">
        <v>58.5</v>
      </c>
      <c r="AG68" s="75">
        <v>1294628</v>
      </c>
      <c r="AH68" s="45">
        <v>998</v>
      </c>
      <c r="AI68" s="45">
        <v>998</v>
      </c>
      <c r="AJ68" s="86">
        <f>TABL123[[#This Row],[(A/B TOT) AJD]]-TABL123[[#This Row],[BER_ IN]]</f>
        <v>484</v>
      </c>
      <c r="AK68" s="75">
        <v>0</v>
      </c>
      <c r="AL68" s="96">
        <v>43.753700000000002</v>
      </c>
      <c r="AM68" s="96">
        <v>3518470</v>
      </c>
      <c r="AN68" s="96">
        <f>TABL123[[#This Row],[ (RESV. STORGE) SER]]/10</f>
        <v>351847</v>
      </c>
      <c r="AO68" s="45">
        <v>1727</v>
      </c>
      <c r="AP68" s="32">
        <f>TABL123[[#This Row],[(A/S TOT) AJD]]-TABL123[[#This Row],[SER_ 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Row],[خط (T/B  TOT) SAR]]+TABL123[[#This Row],[خط (S/S  TOT) SAR2]]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Row],[خط (S/S  TOT) SAR2]]-TABL123[[#This Row],[(S/S TOT) AJD]]</f>
        <v>25</v>
      </c>
      <c r="Q69" s="39">
        <v>422</v>
      </c>
      <c r="R69" s="3">
        <f>TABL123[[#This Row],[خط (T/B  TOT) SAR]]-TABL123[[#This Row],[(T/B TOT) AJD]]</f>
        <v>6</v>
      </c>
      <c r="S69" s="3">
        <f>TABL123[[#This Row],[الفرق بين بداية ونهاية خط  T/B]]+TABL123[[#This Row],[الفرق بين بداية ونهاية خط  S/S]]</f>
        <v>31</v>
      </c>
      <c r="T69" s="3">
        <f>TABL123[[#This Row],[(S/S TOT) AJD]]+TABL123[[#This Row],[(T/B TOT) AJD]]</f>
        <v>815</v>
      </c>
      <c r="U69" s="41">
        <v>557</v>
      </c>
      <c r="V69" s="41">
        <v>255</v>
      </c>
      <c r="W69" s="3">
        <f>TABL123[[#This Row],[(A/B TOT) AJD]]+TABL123[[#This Row],[(A/S TOT)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91">
        <f>TABL123[[#This Row],[( S/S+T/B) AJD]]-(TABL123[[#This Row],[(A/B + A/S) AJD]]+(TABL123[[#This Row],[(STORGE DIFF.) AJD]]*1000)+TABL123[[#This Row],[البخر  AJD]])</f>
        <v>22249</v>
      </c>
      <c r="AE69" s="75">
        <v>89</v>
      </c>
      <c r="AF69" s="75">
        <v>58.4</v>
      </c>
      <c r="AG69" s="75">
        <v>1229081</v>
      </c>
      <c r="AH69" s="43">
        <v>1599</v>
      </c>
      <c r="AI69" s="43">
        <v>1599</v>
      </c>
      <c r="AJ69" s="86">
        <f>TABL123[[#This Row],[(A/B TOT) AJD]]-TABL123[[#This Row],[BER_ IN]]</f>
        <v>468</v>
      </c>
      <c r="AK69" s="75">
        <v>0</v>
      </c>
      <c r="AL69" s="96">
        <v>43.729199999999999</v>
      </c>
      <c r="AM69" s="96">
        <v>3504800</v>
      </c>
      <c r="AN69" s="96">
        <f>TABL123[[#This Row],[ (RESV. STORGE) SER]]/10</f>
        <v>350480</v>
      </c>
      <c r="AO69" s="43">
        <v>1690</v>
      </c>
      <c r="AP69" s="32">
        <f>TABL123[[#This Row],[(A/S TOT) AJD]]-TABL123[[#This Row],[SER_ 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Row],[خط (T/B  TOT) SAR]]+TABL123[[#This Row],[خط (S/S  TOT) SAR2]]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Row],[خط (S/S  TOT) SAR2]]-TABL123[[#This Row],[(S/S TOT) AJD]]</f>
        <v>38</v>
      </c>
      <c r="Q70" s="40">
        <v>411</v>
      </c>
      <c r="R70" s="3">
        <f>TABL123[[#This Row],[خط (T/B  TOT) SAR]]-TABL123[[#This Row],[(T/B TOT) AJD]]</f>
        <v>21</v>
      </c>
      <c r="S70" s="3">
        <f>TABL123[[#This Row],[الفرق بين بداية ونهاية خط  T/B]]+TABL123[[#This Row],[الفرق بين بداية ونهاية خط  S/S]]</f>
        <v>59</v>
      </c>
      <c r="T70" s="3">
        <f>TABL123[[#This Row],[(S/S TOT) AJD]]+TABL123[[#This Row],[(T/B TOT) AJD]]</f>
        <v>793</v>
      </c>
      <c r="U70" s="44">
        <v>532</v>
      </c>
      <c r="V70" s="44">
        <v>245</v>
      </c>
      <c r="W70" s="3">
        <f>TABL123[[#This Row],[(A/B TOT) AJD]]+TABL123[[#This Row],[(A/S TOT)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91">
        <f>TABL123[[#This Row],[( S/S+T/B) AJD]]-(TABL123[[#This Row],[(A/B + A/S) AJD]]+(TABL123[[#This Row],[(STORGE DIFF.) AJD]]*1000)+TABL123[[#This Row],[البخر  AJD]])</f>
        <v>7274</v>
      </c>
      <c r="AE70" s="75">
        <v>80</v>
      </c>
      <c r="AF70" s="75">
        <v>58.38</v>
      </c>
      <c r="AG70" s="75">
        <v>1215982</v>
      </c>
      <c r="AH70" s="45">
        <v>1589</v>
      </c>
      <c r="AI70" s="45">
        <v>1589</v>
      </c>
      <c r="AJ70" s="86">
        <f>TABL123[[#This Row],[(A/B TOT) AJD]]-TABL123[[#This Row],[BER_ IN]]</f>
        <v>452</v>
      </c>
      <c r="AK70" s="75">
        <v>0</v>
      </c>
      <c r="AL70" s="96">
        <v>43.681600000000003</v>
      </c>
      <c r="AM70" s="96">
        <v>3475830</v>
      </c>
      <c r="AN70" s="96">
        <f>TABL123[[#This Row],[ (RESV. STORGE) SER]]/10</f>
        <v>347583</v>
      </c>
      <c r="AO70" s="45">
        <v>1685</v>
      </c>
      <c r="AP70" s="32">
        <f>TABL123[[#This Row],[(A/S TOT) AJD]]-TABL123[[#This Row],[SER_ 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Row],[خط (T/B  TOT) SAR]]+TABL123[[#This Row],[خط (S/S  TOT) SAR2]]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Row],[خط (S/S  TOT) SAR2]]-TABL123[[#This Row],[(S/S TOT) AJD]]</f>
        <v>41</v>
      </c>
      <c r="Q71" s="39">
        <v>408</v>
      </c>
      <c r="R71" s="3">
        <f>TABL123[[#This Row],[خط (T/B  TOT) SAR]]-TABL123[[#This Row],[(T/B TOT) AJD]]</f>
        <v>24</v>
      </c>
      <c r="S71" s="3">
        <f>TABL123[[#This Row],[الفرق بين بداية ونهاية خط  T/B]]+TABL123[[#This Row],[الفرق بين بداية ونهاية خط  S/S]]</f>
        <v>65</v>
      </c>
      <c r="T71" s="3">
        <f>TABL123[[#This Row],[(S/S TOT) AJD]]+TABL123[[#This Row],[(T/B TOT) AJD]]</f>
        <v>787</v>
      </c>
      <c r="U71" s="41">
        <v>513</v>
      </c>
      <c r="V71" s="41">
        <v>245</v>
      </c>
      <c r="W71" s="3">
        <f>TABL123[[#This Row],[(A/B TOT) AJD]]+TABL123[[#This Row],[(A/S TOT)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91">
        <f>TABL123[[#This Row],[( S/S+T/B) AJD]]-(TABL123[[#This Row],[(A/B + A/S) AJD]]+(TABL123[[#This Row],[(STORGE DIFF.) AJD]]*1000)+TABL123[[#This Row],[البخر  AJD]])</f>
        <v>-7715</v>
      </c>
      <c r="AE71" s="75">
        <v>80</v>
      </c>
      <c r="AF71" s="75">
        <v>58.4</v>
      </c>
      <c r="AG71" s="75">
        <v>1229081</v>
      </c>
      <c r="AH71" s="75">
        <v>1399</v>
      </c>
      <c r="AI71" s="75">
        <v>1399</v>
      </c>
      <c r="AJ71" s="86">
        <f>TABL123[[#This Row],[(A/B TOT) AJD]]-TABL123[[#This Row],[BER_ IN]]</f>
        <v>433</v>
      </c>
      <c r="AK71" s="75">
        <v>0</v>
      </c>
      <c r="AL71" s="96">
        <v>43.645400000000002</v>
      </c>
      <c r="AM71" s="96">
        <v>3459380</v>
      </c>
      <c r="AN71" s="96">
        <f>TABL123[[#This Row],[ (RESV. STORGE) SER]]/10</f>
        <v>345938</v>
      </c>
      <c r="AO71" s="43">
        <v>1675</v>
      </c>
      <c r="AP71" s="32">
        <f>TABL123[[#This Row],[(A/S TOT) AJD]]-TABL123[[#This Row],[SER_ 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Row],[خط (T/B  TOT) SAR]]+TABL123[[#This Row],[خط (S/S  TOT) SAR2]]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Row],[خط (S/S  TOT) SAR2]]-TABL123[[#This Row],[(S/S TOT) AJD]]</f>
        <v>40</v>
      </c>
      <c r="Q72" s="40">
        <v>407</v>
      </c>
      <c r="R72" s="3">
        <f>TABL123[[#This Row],[خط (T/B  TOT) SAR]]-TABL123[[#This Row],[(T/B TOT) AJD]]</f>
        <v>31</v>
      </c>
      <c r="S72" s="3">
        <f>TABL123[[#This Row],[الفرق بين بداية ونهاية خط  T/B]]+TABL123[[#This Row],[الفرق بين بداية ونهاية خط  S/S]]</f>
        <v>71</v>
      </c>
      <c r="T72" s="3">
        <f>TABL123[[#This Row],[(S/S TOT) AJD]]+TABL123[[#This Row],[(T/B TOT) AJD]]</f>
        <v>787</v>
      </c>
      <c r="U72" s="44">
        <v>546</v>
      </c>
      <c r="V72" s="44">
        <v>281</v>
      </c>
      <c r="W72" s="3">
        <f>TABL123[[#This Row],[(A/B TOT) AJD]]+TABL123[[#This Row],[(A/S TOT)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91">
        <f>TABL123[[#This Row],[( S/S+T/B) AJD]]-(TABL123[[#This Row],[(A/B + A/S) AJD]]+(TABL123[[#This Row],[(STORGE DIFF.) AJD]]*1000)+TABL123[[#This Row],[البخر  AJD]])</f>
        <v>66340</v>
      </c>
      <c r="AE72" s="75">
        <v>80</v>
      </c>
      <c r="AF72" s="75">
        <v>58.4</v>
      </c>
      <c r="AG72" s="75">
        <v>1229081</v>
      </c>
      <c r="AH72" s="45">
        <v>1498</v>
      </c>
      <c r="AI72" s="45">
        <v>1498</v>
      </c>
      <c r="AJ72" s="86">
        <f>TABL123[[#This Row],[(A/B TOT) AJD]]-TABL123[[#This Row],[BER_ IN]]</f>
        <v>466</v>
      </c>
      <c r="AK72" s="75">
        <v>0</v>
      </c>
      <c r="AL72" s="96">
        <v>43.608499999999999</v>
      </c>
      <c r="AM72" s="96">
        <v>3438700</v>
      </c>
      <c r="AN72" s="96">
        <f>TABL123[[#This Row],[ (RESV. STORGE) SER]]/10</f>
        <v>343870</v>
      </c>
      <c r="AO72" s="45">
        <v>1670</v>
      </c>
      <c r="AP72" s="32">
        <f>TABL123[[#This Row],[(A/S TOT) AJD]]-TABL123[[#This Row],[SER_ 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Row],[خط (T/B  TOT) SAR]]+TABL123[[#This Row],[خط (S/S  TOT) SAR2]]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Row],[خط (S/S  TOT) SAR2]]-TABL123[[#This Row],[(S/S TOT) AJD]]</f>
        <v>38</v>
      </c>
      <c r="Q73" s="39">
        <v>409</v>
      </c>
      <c r="R73" s="3">
        <f>TABL123[[#This Row],[خط (T/B  TOT) SAR]]-TABL123[[#This Row],[(T/B TOT) AJD]]</f>
        <v>29</v>
      </c>
      <c r="S73" s="3">
        <f>TABL123[[#This Row],[الفرق بين بداية ونهاية خط  T/B]]+TABL123[[#This Row],[الفرق بين بداية ونهاية خط  S/S]]</f>
        <v>67</v>
      </c>
      <c r="T73" s="3">
        <f>TABL123[[#This Row],[(S/S TOT) AJD]]+TABL123[[#This Row],[(T/B TOT) AJD]]</f>
        <v>791</v>
      </c>
      <c r="U73" s="41">
        <v>557</v>
      </c>
      <c r="V73" s="41">
        <v>254</v>
      </c>
      <c r="W73" s="3">
        <f>TABL123[[#This Row],[(A/B TOT) AJD]]+TABL123[[#This Row],[(A/S TOT)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91">
        <f>TABL123[[#This Row],[( S/S+T/B) AJD]]-(TABL123[[#This Row],[(A/B + A/S) AJD]]+(TABL123[[#This Row],[(STORGE DIFF.) AJD]]*1000)+TABL123[[#This Row],[البخر  AJD]])</f>
        <v>43542</v>
      </c>
      <c r="AE73" s="75">
        <v>80</v>
      </c>
      <c r="AF73" s="75">
        <v>58.41</v>
      </c>
      <c r="AG73" s="75">
        <v>1235632</v>
      </c>
      <c r="AH73" s="43">
        <v>1498</v>
      </c>
      <c r="AI73" s="43">
        <v>1498</v>
      </c>
      <c r="AJ73" s="86">
        <f>TABL123[[#This Row],[(A/B TOT) AJD]]-TABL123[[#This Row],[BER_ IN]]</f>
        <v>477</v>
      </c>
      <c r="AK73" s="75">
        <v>0</v>
      </c>
      <c r="AL73" s="96">
        <v>43.567900000000002</v>
      </c>
      <c r="AM73" s="96">
        <v>3416735</v>
      </c>
      <c r="AN73" s="96">
        <f>TABL123[[#This Row],[ (RESV. STORGE) SER]]/10</f>
        <v>341673.5</v>
      </c>
      <c r="AO73" s="43">
        <v>1730</v>
      </c>
      <c r="AP73" s="32">
        <f>TABL123[[#This Row],[(A/S TOT) AJD]]-TABL123[[#This Row],[SER_ 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Row],[خط (T/B  TOT) SAR]]+TABL123[[#This Row],[خط (S/S  TOT) SAR2]]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Row],[خط (S/S  TOT) SAR2]]-TABL123[[#This Row],[(S/S TOT) AJD]]</f>
        <v>37</v>
      </c>
      <c r="Q74" s="40">
        <v>411</v>
      </c>
      <c r="R74" s="3">
        <f>TABL123[[#This Row],[خط (T/B  TOT) SAR]]-TABL123[[#This Row],[(T/B TOT) AJD]]</f>
        <v>27</v>
      </c>
      <c r="S74" s="3">
        <f>TABL123[[#This Row],[الفرق بين بداية ونهاية خط  T/B]]+TABL123[[#This Row],[الفرق بين بداية ونهاية خط  S/S]]</f>
        <v>64</v>
      </c>
      <c r="T74" s="3">
        <f>TABL123[[#This Row],[(S/S TOT) AJD]]+TABL123[[#This Row],[(T/B TOT) AJD]]</f>
        <v>794</v>
      </c>
      <c r="U74" s="44">
        <v>542</v>
      </c>
      <c r="V74" s="44">
        <v>206</v>
      </c>
      <c r="W74" s="3">
        <f>TABL123[[#This Row],[(A/B TOT) AJD]]+TABL123[[#This Row],[(A/S TOT)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91">
        <f>TABL123[[#This Row],[( S/S+T/B) AJD]]-(TABL123[[#This Row],[(A/B + A/S) AJD]]+(TABL123[[#This Row],[(STORGE DIFF.) AJD]]*1000)+TABL123[[#This Row],[البخر  AJD]])</f>
        <v>-38765</v>
      </c>
      <c r="AE74" s="75">
        <v>80</v>
      </c>
      <c r="AF74" s="75">
        <v>58.4</v>
      </c>
      <c r="AG74" s="75">
        <v>1229081</v>
      </c>
      <c r="AH74" s="45">
        <v>1250</v>
      </c>
      <c r="AI74" s="45">
        <v>1250</v>
      </c>
      <c r="AJ74" s="86">
        <f>TABL123[[#This Row],[(A/B TOT) AJD]]-TABL123[[#This Row],[BER_ IN]]</f>
        <v>462</v>
      </c>
      <c r="AK74" s="75">
        <v>0</v>
      </c>
      <c r="AL74" s="96">
        <v>43.555300000000003</v>
      </c>
      <c r="AM74" s="96">
        <v>3409770</v>
      </c>
      <c r="AN74" s="96">
        <f>TABL123[[#This Row],[ (RESV. STORGE) SER]]/10</f>
        <v>340977</v>
      </c>
      <c r="AO74" s="45">
        <v>1745</v>
      </c>
      <c r="AP74" s="32">
        <f>TABL123[[#This Row],[(A/S TOT) AJD]]-TABL123[[#This Row],[SER_ 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Row],[خط (T/B  TOT) SAR]]+TABL123[[#This Row],[خط (S/S  TOT) SAR2]]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Row],[خط (S/S  TOT) SAR2]]-TABL123[[#This Row],[(S/S TOT) AJD]]</f>
        <v>37</v>
      </c>
      <c r="Q75" s="39">
        <v>411</v>
      </c>
      <c r="R75" s="3">
        <f>TABL123[[#This Row],[خط (T/B  TOT) SAR]]-TABL123[[#This Row],[(T/B TOT) AJD]]</f>
        <v>27</v>
      </c>
      <c r="S75" s="3">
        <f>TABL123[[#This Row],[الفرق بين بداية ونهاية خط  T/B]]+TABL123[[#This Row],[الفرق بين بداية ونهاية خط  S/S]]</f>
        <v>64</v>
      </c>
      <c r="T75" s="3">
        <f>TABL123[[#This Row],[(S/S TOT) AJD]]+TABL123[[#This Row],[(T/B TOT) AJD]]</f>
        <v>794</v>
      </c>
      <c r="U75" s="41">
        <v>559</v>
      </c>
      <c r="V75" s="41">
        <v>190</v>
      </c>
      <c r="W75" s="3">
        <f>TABL123[[#This Row],[(A/B TOT) AJD]]+TABL123[[#This Row],[(A/S TOT)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91">
        <f>TABL123[[#This Row],[( S/S+T/B) AJD]]-(TABL123[[#This Row],[(A/B + A/S) AJD]]+(TABL123[[#This Row],[(STORGE DIFF.) AJD]]*1000)+TABL123[[#This Row],[البخر  AJD]])</f>
        <v>-26638</v>
      </c>
      <c r="AE75" s="75">
        <v>80</v>
      </c>
      <c r="AF75" s="75">
        <v>58.43</v>
      </c>
      <c r="AG75" s="75">
        <v>1248736</v>
      </c>
      <c r="AH75" s="43">
        <v>1367</v>
      </c>
      <c r="AI75" s="43">
        <v>1367</v>
      </c>
      <c r="AJ75" s="86">
        <f>TABL123[[#This Row],[(A/B TOT) AJD]]-TABL123[[#This Row],[BER_ IN]]</f>
        <v>479</v>
      </c>
      <c r="AK75" s="75">
        <v>0</v>
      </c>
      <c r="AL75" s="96">
        <v>43.537999999999997</v>
      </c>
      <c r="AM75" s="96">
        <v>3400140</v>
      </c>
      <c r="AN75" s="96">
        <f>TABL123[[#This Row],[ (RESV. STORGE) SER]]/10</f>
        <v>340014</v>
      </c>
      <c r="AO75" s="43">
        <v>1770</v>
      </c>
      <c r="AP75" s="32">
        <f>TABL123[[#This Row],[(A/S TOT) AJD]]-TABL123[[#This Row],[SER_ 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Row],[خط (T/B  TOT) SAR]]+TABL123[[#This Row],[خط (S/S  TOT) SAR2]]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Row],[خط (S/S  TOT) SAR2]]-TABL123[[#This Row],[(S/S TOT) AJD]]</f>
        <v>39</v>
      </c>
      <c r="Q76" s="40">
        <v>411</v>
      </c>
      <c r="R76" s="3">
        <f>TABL123[[#This Row],[خط (T/B  TOT) SAR]]-TABL123[[#This Row],[(T/B TOT) AJD]]</f>
        <v>29</v>
      </c>
      <c r="S76" s="3">
        <f>TABL123[[#This Row],[الفرق بين بداية ونهاية خط  T/B]]+TABL123[[#This Row],[الفرق بين بداية ونهاية خط  S/S]]</f>
        <v>68</v>
      </c>
      <c r="T76" s="3">
        <f>TABL123[[#This Row],[(S/S TOT) AJD]]+TABL123[[#This Row],[(T/B TOT) AJD]]</f>
        <v>794</v>
      </c>
      <c r="U76" s="44">
        <v>551</v>
      </c>
      <c r="V76" s="44">
        <v>166</v>
      </c>
      <c r="W76" s="3">
        <f>TABL123[[#This Row],[(A/B TOT) AJD]]+TABL123[[#This Row],[(A/S TOT)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91">
        <f>TABL123[[#This Row],[( S/S+T/B) AJD]]-(TABL123[[#This Row],[(A/B + A/S) AJD]]+(TABL123[[#This Row],[(STORGE DIFF.) AJD]]*1000)+TABL123[[#This Row],[البخر  AJD]])</f>
        <v>-45514</v>
      </c>
      <c r="AE76" s="75">
        <v>79</v>
      </c>
      <c r="AF76" s="75">
        <v>58.43</v>
      </c>
      <c r="AG76" s="75">
        <v>1248736</v>
      </c>
      <c r="AH76" s="45">
        <v>1830</v>
      </c>
      <c r="AI76" s="45">
        <v>1830</v>
      </c>
      <c r="AJ76" s="86">
        <f>TABL123[[#This Row],[(A/B TOT) AJD]]-TABL123[[#This Row],[BER_ IN]]</f>
        <v>472</v>
      </c>
      <c r="AK76" s="75">
        <v>0</v>
      </c>
      <c r="AL76" s="96">
        <v>43.463000000000001</v>
      </c>
      <c r="AM76" s="96">
        <v>3359610</v>
      </c>
      <c r="AN76" s="96">
        <f>TABL123[[#This Row],[ (RESV. STORGE) SER]]/10</f>
        <v>335961</v>
      </c>
      <c r="AO76" s="45">
        <v>1830</v>
      </c>
      <c r="AP76" s="32">
        <f>TABL123[[#This Row],[(A/S TOT) AJD]]-TABL123[[#This Row],[SER_ 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Row],[خط (T/B  TOT) SAR]]+TABL123[[#This Row],[خط (S/S  TOT) SAR2]]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Row],[خط (S/S  TOT) SAR2]]-TABL123[[#This Row],[(S/S TOT) AJD]]</f>
        <v>39</v>
      </c>
      <c r="Q77" s="39">
        <v>411</v>
      </c>
      <c r="R77" s="3">
        <f>TABL123[[#This Row],[خط (T/B  TOT) SAR]]-TABL123[[#This Row],[(T/B TOT) AJD]]</f>
        <v>29</v>
      </c>
      <c r="S77" s="3">
        <f>TABL123[[#This Row],[الفرق بين بداية ونهاية خط  T/B]]+TABL123[[#This Row],[الفرق بين بداية ونهاية خط  S/S]]</f>
        <v>68</v>
      </c>
      <c r="T77" s="3">
        <f>TABL123[[#This Row],[(S/S TOT) AJD]]+TABL123[[#This Row],[(T/B TOT) AJD]]</f>
        <v>794</v>
      </c>
      <c r="U77" s="41">
        <v>548</v>
      </c>
      <c r="V77" s="41">
        <v>191</v>
      </c>
      <c r="W77" s="3">
        <f>TABL123[[#This Row],[(A/B TOT) AJD]]+TABL123[[#This Row],[(A/S TOT)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91">
        <f>TABL123[[#This Row],[( S/S+T/B) AJD]]-(TABL123[[#This Row],[(A/B + A/S) AJD]]+(TABL123[[#This Row],[(STORGE DIFF.) AJD]]*1000)+TABL123[[#This Row],[البخر  AJD]])</f>
        <v>-24887</v>
      </c>
      <c r="AE77" s="75">
        <v>80</v>
      </c>
      <c r="AF77" s="75">
        <v>58.34</v>
      </c>
      <c r="AG77" s="75">
        <v>1189795</v>
      </c>
      <c r="AH77" s="43">
        <v>1621</v>
      </c>
      <c r="AI77" s="43">
        <v>1621</v>
      </c>
      <c r="AJ77" s="86">
        <f>TABL123[[#This Row],[(A/B TOT) AJD]]-TABL123[[#This Row],[BER_ IN]]</f>
        <v>468</v>
      </c>
      <c r="AK77" s="75">
        <v>0</v>
      </c>
      <c r="AL77" s="96">
        <v>43.393999999999998</v>
      </c>
      <c r="AM77" s="96">
        <v>3322050</v>
      </c>
      <c r="AN77" s="96">
        <f>TABL123[[#This Row],[ (RESV. STORGE) SER]]/10</f>
        <v>332205</v>
      </c>
      <c r="AO77" s="43">
        <v>1860</v>
      </c>
      <c r="AP77" s="32">
        <f>TABL123[[#This Row],[(A/S TOT) AJD]]-TABL123[[#This Row],[SER_ 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Row],[خط (T/B  TOT) SAR]]+TABL123[[#This Row],[خط (S/S  TOT) SAR2]]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Row],[خط (S/S  TOT) SAR2]]-TABL123[[#This Row],[(S/S TOT) AJD]]</f>
        <v>44</v>
      </c>
      <c r="Q78" s="40">
        <v>413</v>
      </c>
      <c r="R78" s="3">
        <f>TABL123[[#This Row],[خط (T/B  TOT) SAR]]-TABL123[[#This Row],[(T/B TOT) AJD]]</f>
        <v>32</v>
      </c>
      <c r="S78" s="3">
        <f>TABL123[[#This Row],[الفرق بين بداية ونهاية خط  T/B]]+TABL123[[#This Row],[الفرق بين بداية ونهاية خط  S/S]]</f>
        <v>76</v>
      </c>
      <c r="T78" s="3">
        <f>TABL123[[#This Row],[(S/S TOT) AJD]]+TABL123[[#This Row],[(T/B TOT) AJD]]</f>
        <v>799</v>
      </c>
      <c r="U78" s="44">
        <v>546</v>
      </c>
      <c r="V78" s="44">
        <v>215</v>
      </c>
      <c r="W78" s="3">
        <f>TABL123[[#This Row],[(A/B TOT) AJD]]+TABL123[[#This Row],[(A/S TOT)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91">
        <f>TABL123[[#This Row],[( S/S+T/B) AJD]]-(TABL123[[#This Row],[(A/B + A/S) AJD]]+(TABL123[[#This Row],[(STORGE DIFF.) AJD]]*1000)+TABL123[[#This Row],[البخر  AJD]])</f>
        <v>-17798</v>
      </c>
      <c r="AE78" s="75">
        <v>80</v>
      </c>
      <c r="AF78" s="75">
        <v>58.34</v>
      </c>
      <c r="AG78" s="75">
        <v>1189795</v>
      </c>
      <c r="AH78" s="45">
        <v>1308</v>
      </c>
      <c r="AI78" s="45">
        <v>1308</v>
      </c>
      <c r="AJ78" s="86">
        <f>TABL123[[#This Row],[(A/B TOT) AJD]]-TABL123[[#This Row],[BER_ IN]]</f>
        <v>466</v>
      </c>
      <c r="AK78" s="75">
        <v>0</v>
      </c>
      <c r="AL78" s="96">
        <v>43.333199999999998</v>
      </c>
      <c r="AM78" s="96">
        <v>3288850</v>
      </c>
      <c r="AN78" s="96">
        <f>TABL123[[#This Row],[ (RESV. STORGE) SER]]/10</f>
        <v>328885</v>
      </c>
      <c r="AO78" s="45">
        <v>1800</v>
      </c>
      <c r="AP78" s="32">
        <f>TABL123[[#This Row],[(A/S TOT) AJD]]-TABL123[[#This Row],[SER_ 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Row],[خط (T/B  TOT) SAR]]+TABL123[[#This Row],[خط (S/S  TOT) SAR2]]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Row],[خط (S/S  TOT) SAR2]]-TABL123[[#This Row],[(S/S TOT) AJD]]</f>
        <v>41</v>
      </c>
      <c r="Q79" s="39">
        <v>418</v>
      </c>
      <c r="R79" s="3">
        <f>TABL123[[#This Row],[خط (T/B  TOT) SAR]]-TABL123[[#This Row],[(T/B TOT) AJD]]</f>
        <v>27</v>
      </c>
      <c r="S79" s="3">
        <f>TABL123[[#This Row],[الفرق بين بداية ونهاية خط  T/B]]+TABL123[[#This Row],[الفرق بين بداية ونهاية خط  S/S]]</f>
        <v>68</v>
      </c>
      <c r="T79" s="3">
        <f>TABL123[[#This Row],[(S/S TOT) AJD]]+TABL123[[#This Row],[(T/B TOT) AJD]]</f>
        <v>807</v>
      </c>
      <c r="U79" s="41">
        <v>571</v>
      </c>
      <c r="V79" s="41">
        <v>202</v>
      </c>
      <c r="W79" s="3">
        <f>TABL123[[#This Row],[(A/B TOT) AJD]]+TABL123[[#This Row],[(A/S TOT)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91">
        <f>TABL123[[#This Row],[( S/S+T/B) AJD]]-(TABL123[[#This Row],[(A/B + A/S) AJD]]+(TABL123[[#This Row],[(STORGE DIFF.) AJD]]*1000)+TABL123[[#This Row],[البخر  AJD]])</f>
        <v>-53486</v>
      </c>
      <c r="AE79" s="75">
        <v>79</v>
      </c>
      <c r="AF79" s="75">
        <v>58.36</v>
      </c>
      <c r="AG79" s="75">
        <v>1202887</v>
      </c>
      <c r="AH79" s="43">
        <v>1838</v>
      </c>
      <c r="AI79" s="43">
        <v>1838</v>
      </c>
      <c r="AJ79" s="86">
        <f>TABL123[[#This Row],[(A/B TOT) AJD]]-TABL123[[#This Row],[BER_ IN]]</f>
        <v>492</v>
      </c>
      <c r="AK79" s="75">
        <v>0</v>
      </c>
      <c r="AL79" s="96">
        <v>43.305</v>
      </c>
      <c r="AM79" s="96">
        <v>3273470</v>
      </c>
      <c r="AN79" s="96">
        <f>TABL123[[#This Row],[ (RESV. STORGE) SER]]/10</f>
        <v>327347</v>
      </c>
      <c r="AO79" s="43">
        <v>1880</v>
      </c>
      <c r="AP79" s="32">
        <f>TABL123[[#This Row],[(A/S TOT) AJD]]-TABL123[[#This Row],[SER_ 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Row],[خط (T/B  TOT) SAR]]+TABL123[[#This Row],[خط (S/S  TOT) SAR2]]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Row],[خط (S/S  TOT) SAR2]]-TABL123[[#This Row],[(S/S TOT) AJD]]</f>
        <v>39</v>
      </c>
      <c r="Q80" s="40">
        <v>419</v>
      </c>
      <c r="R80" s="3">
        <f>TABL123[[#This Row],[خط (T/B  TOT) SAR]]-TABL123[[#This Row],[(T/B TOT) AJD]]</f>
        <v>26</v>
      </c>
      <c r="S80" s="3">
        <f>TABL123[[#This Row],[الفرق بين بداية ونهاية خط  T/B]]+TABL123[[#This Row],[الفرق بين بداية ونهاية خط  S/S]]</f>
        <v>65</v>
      </c>
      <c r="T80" s="3">
        <f>TABL123[[#This Row],[(S/S TOT) AJD]]+TABL123[[#This Row],[(T/B TOT) AJD]]</f>
        <v>810</v>
      </c>
      <c r="U80" s="44">
        <v>552</v>
      </c>
      <c r="V80" s="44">
        <v>228</v>
      </c>
      <c r="W80" s="3">
        <f>TABL123[[#This Row],[(A/B TOT) AJD]]+TABL123[[#This Row],[(A/S TOT)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91">
        <f>TABL123[[#This Row],[( S/S+T/B) AJD]]-(TABL123[[#This Row],[(A/B + A/S) AJD]]+(TABL123[[#This Row],[(STORGE DIFF.) AJD]]*1000)+TABL123[[#This Row],[البخر  AJD]])</f>
        <v>19068</v>
      </c>
      <c r="AE80" s="75">
        <v>78</v>
      </c>
      <c r="AF80" s="75">
        <v>58.4</v>
      </c>
      <c r="AG80" s="75">
        <v>1229081</v>
      </c>
      <c r="AH80" s="45">
        <v>2000</v>
      </c>
      <c r="AI80" s="45">
        <v>2000</v>
      </c>
      <c r="AJ80" s="86">
        <f>TABL123[[#This Row],[(A/B TOT) AJD]]-TABL123[[#This Row],[BER_ IN]]</f>
        <v>474</v>
      </c>
      <c r="AK80" s="75">
        <v>14</v>
      </c>
      <c r="AL80" s="96">
        <v>43.2271</v>
      </c>
      <c r="AM80" s="96">
        <v>3231260</v>
      </c>
      <c r="AN80" s="96">
        <f>TABL123[[#This Row],[ (RESV. STORGE) SER]]/10</f>
        <v>323126</v>
      </c>
      <c r="AO80" s="45">
        <v>1810</v>
      </c>
      <c r="AP80" s="32">
        <f>TABL123[[#This Row],[(A/S TOT) AJD]]-TABL123[[#This Row],[SER_ 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Row],[خط (T/B  TOT) SAR]]+TABL123[[#This Row],[خط (S/S  TOT) SAR2]]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Row],[خط (S/S  TOT) SAR2]]-TABL123[[#This Row],[(S/S TOT) AJD]]</f>
        <v>40</v>
      </c>
      <c r="Q81" s="39">
        <v>420</v>
      </c>
      <c r="R81" s="3">
        <f>TABL123[[#This Row],[خط (T/B  TOT) SAR]]-TABL123[[#This Row],[(T/B TOT) AJD]]</f>
        <v>25</v>
      </c>
      <c r="S81" s="3">
        <f>TABL123[[#This Row],[الفرق بين بداية ونهاية خط  T/B]]+TABL123[[#This Row],[الفرق بين بداية ونهاية خط  S/S]]</f>
        <v>65</v>
      </c>
      <c r="T81" s="3">
        <f>TABL123[[#This Row],[(S/S TOT) AJD]]+TABL123[[#This Row],[(T/B TOT) AJD]]</f>
        <v>810</v>
      </c>
      <c r="U81" s="41">
        <v>550</v>
      </c>
      <c r="V81" s="41">
        <v>220</v>
      </c>
      <c r="W81" s="3">
        <f>TABL123[[#This Row],[(A/B TOT) AJD]]+TABL123[[#This Row],[(A/S TOT)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91">
        <f>TABL123[[#This Row],[( S/S+T/B) AJD]]-(TABL123[[#This Row],[(A/B + A/S) AJD]]+(TABL123[[#This Row],[(STORGE DIFF.) AJD]]*1000)+TABL123[[#This Row],[البخر  AJD]])</f>
        <v>-44845</v>
      </c>
      <c r="AE81" s="75">
        <v>78</v>
      </c>
      <c r="AF81" s="75">
        <v>58.512</v>
      </c>
      <c r="AG81" s="75">
        <v>1308403</v>
      </c>
      <c r="AH81" s="43">
        <v>656</v>
      </c>
      <c r="AI81" s="43">
        <v>656</v>
      </c>
      <c r="AJ81" s="86">
        <f>TABL123[[#This Row],[(A/B TOT) AJD]]-TABL123[[#This Row],[BER_ IN]]</f>
        <v>472</v>
      </c>
      <c r="AK81" s="75">
        <v>20</v>
      </c>
      <c r="AL81" s="96">
        <v>43.202599999999997</v>
      </c>
      <c r="AM81" s="96">
        <v>3218220</v>
      </c>
      <c r="AN81" s="96">
        <f>TABL123[[#This Row],[ (RESV. STORGE) SER]]/10</f>
        <v>321822</v>
      </c>
      <c r="AO81" s="43">
        <v>1040</v>
      </c>
      <c r="AP81" s="32">
        <f>TABL123[[#This Row],[(A/S TOT) AJD]]-TABL123[[#This Row],[SER_ 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Row],[خط (T/B  TOT) SAR]]+TABL123[[#This Row],[خط (S/S  TOT) SAR2]]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Row],[خط (S/S  TOT) SAR2]]-TABL123[[#This Row],[(S/S TOT) AJD]]</f>
        <v>25</v>
      </c>
      <c r="Q82" s="40">
        <v>434</v>
      </c>
      <c r="R82" s="3">
        <f>TABL123[[#This Row],[خط (T/B  TOT) SAR]]-TABL123[[#This Row],[(T/B TOT) AJD]]</f>
        <v>11</v>
      </c>
      <c r="S82" s="3">
        <f>TABL123[[#This Row],[الفرق بين بداية ونهاية خط  T/B]]+TABL123[[#This Row],[الفرق بين بداية ونهاية خط  S/S]]</f>
        <v>36</v>
      </c>
      <c r="T82" s="3">
        <f>TABL123[[#This Row],[(S/S TOT) AJD]]+TABL123[[#This Row],[(T/B TOT) AJD]]</f>
        <v>839</v>
      </c>
      <c r="U82" s="44">
        <v>570</v>
      </c>
      <c r="V82" s="44">
        <v>226</v>
      </c>
      <c r="W82" s="3">
        <f>TABL123[[#This Row],[(A/B TOT) AJD]]+TABL123[[#This Row],[(A/S TOT)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91">
        <f>TABL123[[#This Row],[( S/S+T/B) AJD]]-(TABL123[[#This Row],[(A/B + A/S) AJD]]+(TABL123[[#This Row],[(STORGE DIFF.) AJD]]*1000)+TABL123[[#This Row],[البخر  AJD]])</f>
        <v>-8021</v>
      </c>
      <c r="AE82" s="75">
        <v>81</v>
      </c>
      <c r="AF82" s="75">
        <v>58.51</v>
      </c>
      <c r="AG82" s="75">
        <v>1301186</v>
      </c>
      <c r="AH82" s="45">
        <v>2216</v>
      </c>
      <c r="AI82" s="45">
        <v>2216</v>
      </c>
      <c r="AJ82" s="86">
        <f>TABL123[[#This Row],[(A/B TOT) AJD]]-TABL123[[#This Row],[BER_ IN]]</f>
        <v>489</v>
      </c>
      <c r="AK82" s="75">
        <v>19</v>
      </c>
      <c r="AL82" s="96">
        <v>43.217399999999998</v>
      </c>
      <c r="AM82" s="96">
        <v>3226370</v>
      </c>
      <c r="AN82" s="96">
        <f>TABL123[[#This Row],[ (RESV. STORGE) SER]]/10</f>
        <v>322637</v>
      </c>
      <c r="AO82" s="45">
        <v>1850</v>
      </c>
      <c r="AP82" s="32">
        <f>TABL123[[#This Row],[(A/S TOT) AJD]]-TABL123[[#This Row],[SER_ 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Row],[خط (T/B  TOT) SAR]]+TABL123[[#This Row],[خط (S/S  TOT) SAR2]]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Row],[خط (S/S  TOT) SAR2]]-TABL123[[#This Row],[(S/S TOT) AJD]]</f>
        <v>56</v>
      </c>
      <c r="Q83" s="39">
        <v>403</v>
      </c>
      <c r="R83" s="3">
        <f>TABL123[[#This Row],[خط (T/B  TOT) SAR]]-TABL123[[#This Row],[(T/B TOT) AJD]]</f>
        <v>42</v>
      </c>
      <c r="S83" s="3">
        <f>TABL123[[#This Row],[الفرق بين بداية ونهاية خط  T/B]]+TABL123[[#This Row],[الفرق بين بداية ونهاية خط  S/S]]</f>
        <v>98</v>
      </c>
      <c r="T83" s="3">
        <f>TABL123[[#This Row],[(S/S TOT) AJD]]+TABL123[[#This Row],[(T/B TOT) AJD]]</f>
        <v>777</v>
      </c>
      <c r="U83" s="41">
        <v>527</v>
      </c>
      <c r="V83" s="41">
        <v>208</v>
      </c>
      <c r="W83" s="3">
        <f>TABL123[[#This Row],[(A/B TOT) AJD]]+TABL123[[#This Row],[(A/S TOT)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91">
        <f>TABL123[[#This Row],[( S/S+T/B) AJD]]-(TABL123[[#This Row],[(A/B + A/S) AJD]]+(TABL123[[#This Row],[(STORGE DIFF.) AJD]]*1000)+TABL123[[#This Row],[البخر  AJD]])</f>
        <v>1959</v>
      </c>
      <c r="AE83" s="75">
        <v>82</v>
      </c>
      <c r="AF83" s="75">
        <v>58.53</v>
      </c>
      <c r="AG83" s="75">
        <v>1314308</v>
      </c>
      <c r="AH83" s="43">
        <v>1695</v>
      </c>
      <c r="AI83" s="43">
        <v>1695</v>
      </c>
      <c r="AJ83" s="86">
        <f>TABL123[[#This Row],[(A/B TOT) AJD]]-TABL123[[#This Row],[BER_ IN]]</f>
        <v>445</v>
      </c>
      <c r="AK83" s="75">
        <v>20</v>
      </c>
      <c r="AL83" s="96">
        <v>43.218600000000002</v>
      </c>
      <c r="AM83" s="96">
        <v>3226790</v>
      </c>
      <c r="AN83" s="96">
        <f>TABL123[[#This Row],[ (RESV. STORGE) SER]]/10</f>
        <v>322679</v>
      </c>
      <c r="AO83" s="43">
        <v>1880</v>
      </c>
      <c r="AP83" s="32">
        <f>TABL123[[#This Row],[(A/S TOT) AJD]]-TABL123[[#This Row],[SER_ 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Row],[خط (T/B  TOT) SAR]]+TABL123[[#This Row],[خط (S/S  TOT) SAR2]]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Row],[خط (S/S  TOT) SAR2]]-TABL123[[#This Row],[(S/S TOT) AJD]]</f>
        <v>44</v>
      </c>
      <c r="Q84" s="40">
        <v>416</v>
      </c>
      <c r="R84" s="3">
        <f>TABL123[[#This Row],[خط (T/B  TOT) SAR]]-TABL123[[#This Row],[(T/B TOT) AJD]]</f>
        <v>29</v>
      </c>
      <c r="S84" s="3">
        <f>TABL123[[#This Row],[الفرق بين بداية ونهاية خط  T/B]]+TABL123[[#This Row],[الفرق بين بداية ونهاية خط  S/S]]</f>
        <v>73</v>
      </c>
      <c r="T84" s="3">
        <f>TABL123[[#This Row],[(S/S TOT) AJD]]+TABL123[[#This Row],[(T/B TOT) AJD]]</f>
        <v>802</v>
      </c>
      <c r="U84" s="44">
        <v>550</v>
      </c>
      <c r="V84" s="44">
        <v>222</v>
      </c>
      <c r="W84" s="3">
        <f>TABL123[[#This Row],[(A/B TOT) AJD]]+TABL123[[#This Row],[(A/S TOT)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91">
        <f>TABL123[[#This Row],[( S/S+T/B) AJD]]-(TABL123[[#This Row],[(A/B + A/S) AJD]]+(TABL123[[#This Row],[(STORGE DIFF.) AJD]]*1000)+TABL123[[#This Row],[البخر  AJD]])</f>
        <v>-4055</v>
      </c>
      <c r="AE84" s="75">
        <v>81</v>
      </c>
      <c r="AF84" s="75">
        <v>58.55</v>
      </c>
      <c r="AG84" s="75">
        <v>1327432</v>
      </c>
      <c r="AH84" s="45">
        <v>2035</v>
      </c>
      <c r="AI84" s="45">
        <v>2035</v>
      </c>
      <c r="AJ84" s="86">
        <f>TABL123[[#This Row],[(A/B TOT) AJD]]-TABL123[[#This Row],[BER_ IN]]</f>
        <v>469</v>
      </c>
      <c r="AK84" s="75">
        <v>21</v>
      </c>
      <c r="AL84" s="96">
        <v>43.223999999999997</v>
      </c>
      <c r="AM84" s="96">
        <v>3230690</v>
      </c>
      <c r="AN84" s="96">
        <f>TABL123[[#This Row],[ (RESV. STORGE) SER]]/10</f>
        <v>323069</v>
      </c>
      <c r="AO84" s="45">
        <v>1800</v>
      </c>
      <c r="AP84" s="32">
        <f>TABL123[[#This Row],[(A/S TOT) AJD]]-TABL123[[#This Row],[SER_ 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Row],[خط (T/B  TOT) SAR]]+TABL123[[#This Row],[خط (S/S  TOT) SAR2]]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Row],[خط (S/S  TOT) SAR2]]-TABL123[[#This Row],[(S/S TOT) AJD]]</f>
        <v>41</v>
      </c>
      <c r="Q85" s="39">
        <v>418</v>
      </c>
      <c r="R85" s="3">
        <f>TABL123[[#This Row],[خط (T/B  TOT) SAR]]-TABL123[[#This Row],[(T/B TOT) AJD]]</f>
        <v>27</v>
      </c>
      <c r="S85" s="3">
        <f>TABL123[[#This Row],[الفرق بين بداية ونهاية خط  T/B]]+TABL123[[#This Row],[الفرق بين بداية ونهاية خط  S/S]]</f>
        <v>68</v>
      </c>
      <c r="T85" s="3">
        <f>TABL123[[#This Row],[(S/S TOT) AJD]]+TABL123[[#This Row],[(T/B TOT) AJD]]</f>
        <v>807</v>
      </c>
      <c r="U85" s="41">
        <v>546</v>
      </c>
      <c r="V85" s="41">
        <v>211</v>
      </c>
      <c r="W85" s="3">
        <f>TABL123[[#This Row],[(A/B TOT) AJD]]+TABL123[[#This Row],[(A/S TOT)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91">
        <f>TABL123[[#This Row],[( S/S+T/B) AJD]]-(TABL123[[#This Row],[(A/B + A/S) AJD]]+(TABL123[[#This Row],[(STORGE DIFF.) AJD]]*1000)+TABL123[[#This Row],[البخر  AJD]])</f>
        <v>-41660</v>
      </c>
      <c r="AE85" s="75">
        <v>78</v>
      </c>
      <c r="AF85" s="75">
        <v>58.57</v>
      </c>
      <c r="AG85" s="75">
        <v>1340560</v>
      </c>
      <c r="AH85" s="43">
        <v>923</v>
      </c>
      <c r="AI85" s="43">
        <v>923</v>
      </c>
      <c r="AJ85" s="86">
        <f>TABL123[[#This Row],[(A/B TOT) AJD]]-TABL123[[#This Row],[BER_ IN]]</f>
        <v>468</v>
      </c>
      <c r="AK85" s="75">
        <v>21</v>
      </c>
      <c r="AL85" s="96">
        <v>43.227699999999999</v>
      </c>
      <c r="AM85" s="96">
        <v>3231810</v>
      </c>
      <c r="AN85" s="96">
        <f>TABL123[[#This Row],[ (RESV. STORGE) SER]]/10</f>
        <v>323181</v>
      </c>
      <c r="AO85" s="43">
        <v>0</v>
      </c>
      <c r="AP85" s="32">
        <f>TABL123[[#This Row],[(A/S TOT) AJD]]-TABL123[[#This Row],[SER_ 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Row],[خط (T/B  TOT) SAR]]+TABL123[[#This Row],[خط (S/S  TOT) SAR2]]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Row],[خط (S/S  TOT) SAR2]]-TABL123[[#This Row],[(S/S TOT) AJD]]</f>
        <v>41</v>
      </c>
      <c r="Q86" s="40">
        <v>416</v>
      </c>
      <c r="R86" s="3">
        <f>TABL123[[#This Row],[خط (T/B  TOT) SAR]]-TABL123[[#This Row],[(T/B TOT) AJD]]</f>
        <v>29</v>
      </c>
      <c r="S86" s="3">
        <f>TABL123[[#This Row],[الفرق بين بداية ونهاية خط  T/B]]+TABL123[[#This Row],[الفرق بين بداية ونهاية خط  S/S]]</f>
        <v>70</v>
      </c>
      <c r="T86" s="3">
        <f>TABL123[[#This Row],[(S/S TOT) AJD]]+TABL123[[#This Row],[(T/B TOT) AJD]]</f>
        <v>805</v>
      </c>
      <c r="U86" s="44">
        <v>541</v>
      </c>
      <c r="V86" s="44">
        <v>206</v>
      </c>
      <c r="W86" s="3">
        <f>TABL123[[#This Row],[(A/B TOT) AJD]]+TABL123[[#This Row],[(A/S TOT)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91">
        <f>TABL123[[#This Row],[( S/S+T/B) AJD]]-(TABL123[[#This Row],[(A/B + A/S) AJD]]+(TABL123[[#This Row],[(STORGE DIFF.) AJD]]*1000)+TABL123[[#This Row],[البخر  AJD]])</f>
        <v>-8885</v>
      </c>
      <c r="AE86" s="75">
        <v>80</v>
      </c>
      <c r="AF86" s="75">
        <v>58.59</v>
      </c>
      <c r="AG86" s="75">
        <v>1353692</v>
      </c>
      <c r="AH86" s="45">
        <v>844</v>
      </c>
      <c r="AI86" s="45">
        <v>844</v>
      </c>
      <c r="AJ86" s="86">
        <f>TABL123[[#This Row],[(A/B TOT) AJD]]-TABL123[[#This Row],[BER_ IN]]</f>
        <v>461</v>
      </c>
      <c r="AK86" s="75">
        <v>22</v>
      </c>
      <c r="AL86" s="96">
        <v>43.2607</v>
      </c>
      <c r="AM86" s="96">
        <v>3249200</v>
      </c>
      <c r="AN86" s="96">
        <f>TABL123[[#This Row],[ (RESV. STORGE) SER]]/10</f>
        <v>324920</v>
      </c>
      <c r="AO86" s="45">
        <v>1800</v>
      </c>
      <c r="AP86" s="32">
        <f>TABL123[[#This Row],[(A/S TOT) AJD]]-TABL123[[#This Row],[SER_ 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Row],[خط (T/B  TOT) SAR]]+TABL123[[#This Row],[خط (S/S  TOT) SAR2]]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Row],[خط (S/S  TOT) SAR2]]-TABL123[[#This Row],[(S/S TOT) AJD]]</f>
        <v>42</v>
      </c>
      <c r="Q87" s="39">
        <v>416</v>
      </c>
      <c r="R87" s="3">
        <f>TABL123[[#This Row],[خط (T/B  TOT) SAR]]-TABL123[[#This Row],[(T/B TOT) AJD]]</f>
        <v>29</v>
      </c>
      <c r="S87" s="3">
        <f>TABL123[[#This Row],[الفرق بين بداية ونهاية خط  T/B]]+TABL123[[#This Row],[الفرق بين بداية ونهاية خط  S/S]]</f>
        <v>71</v>
      </c>
      <c r="T87" s="3">
        <f>TABL123[[#This Row],[(S/S TOT) AJD]]+TABL123[[#This Row],[(T/B TOT) AJD]]</f>
        <v>804</v>
      </c>
      <c r="U87" s="41">
        <v>549</v>
      </c>
      <c r="V87" s="41">
        <v>227</v>
      </c>
      <c r="W87" s="3">
        <f>TABL123[[#This Row],[(A/B TOT) AJD]]+TABL123[[#This Row],[(A/S TOT)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91">
        <f>TABL123[[#This Row],[( S/S+T/B) AJD]]-(TABL123[[#This Row],[(A/B + A/S) AJD]]+(TABL123[[#This Row],[(STORGE DIFF.) AJD]]*1000)+TABL123[[#This Row],[البخر  AJD]])</f>
        <v>-9225</v>
      </c>
      <c r="AE87" s="75">
        <v>81</v>
      </c>
      <c r="AF87" s="75">
        <v>58.61</v>
      </c>
      <c r="AG87" s="75">
        <v>1366827</v>
      </c>
      <c r="AH87" s="43">
        <v>1744</v>
      </c>
      <c r="AI87" s="43">
        <v>1744</v>
      </c>
      <c r="AJ87" s="86">
        <f>TABL123[[#This Row],[(A/B TOT) AJD]]-TABL123[[#This Row],[BER_ IN]]</f>
        <v>468</v>
      </c>
      <c r="AK87" s="75">
        <v>22</v>
      </c>
      <c r="AL87" s="96">
        <v>43.262799999999999</v>
      </c>
      <c r="AM87" s="96">
        <v>3250800</v>
      </c>
      <c r="AN87" s="96">
        <f>TABL123[[#This Row],[ (RESV. STORGE) SER]]/10</f>
        <v>325080</v>
      </c>
      <c r="AO87" s="43">
        <v>1800</v>
      </c>
      <c r="AP87" s="32">
        <f>TABL123[[#This Row],[(A/S TOT) AJD]]-TABL123[[#This Row],[SER_ 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Row],[خط (T/B  TOT) SAR]]+TABL123[[#This Row],[خط (S/S  TOT) SAR2]]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Row],[خط (S/S  TOT) SAR2]]-TABL123[[#This Row],[(S/S TOT) AJD]]</f>
        <v>42</v>
      </c>
      <c r="Q88" s="40">
        <v>417</v>
      </c>
      <c r="R88" s="3">
        <f>TABL123[[#This Row],[خط (T/B  TOT) SAR]]-TABL123[[#This Row],[(T/B TOT) AJD]]</f>
        <v>28</v>
      </c>
      <c r="S88" s="3">
        <f>TABL123[[#This Row],[الفرق بين بداية ونهاية خط  T/B]]+TABL123[[#This Row],[الفرق بين بداية ونهاية خط  S/S]]</f>
        <v>70</v>
      </c>
      <c r="T88" s="3">
        <f>TABL123[[#This Row],[(S/S TOT) AJD]]+TABL123[[#This Row],[(T/B TOT) AJD]]</f>
        <v>805</v>
      </c>
      <c r="U88" s="44">
        <v>553</v>
      </c>
      <c r="V88" s="44">
        <v>214</v>
      </c>
      <c r="W88" s="3">
        <f>TABL123[[#This Row],[(A/B TOT) AJD]]+TABL123[[#This Row],[(A/S TOT)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91">
        <f>TABL123[[#This Row],[( S/S+T/B) AJD]]-(TABL123[[#This Row],[(A/B + A/S) AJD]]+(TABL123[[#This Row],[(STORGE DIFF.) AJD]]*1000)+TABL123[[#This Row],[البخر  AJD]])</f>
        <v>1230</v>
      </c>
      <c r="AE88" s="75">
        <v>81</v>
      </c>
      <c r="AF88" s="75">
        <v>58.63</v>
      </c>
      <c r="AG88" s="75">
        <v>1379965</v>
      </c>
      <c r="AH88" s="45">
        <v>0</v>
      </c>
      <c r="AI88" s="45">
        <v>0</v>
      </c>
      <c r="AJ88" s="86">
        <f>TABL123[[#This Row],[(A/B TOT) AJD]]-TABL123[[#This Row],[BER_ IN]]</f>
        <v>472</v>
      </c>
      <c r="AK88" s="75">
        <v>22</v>
      </c>
      <c r="AL88" s="96">
        <v>43.286299999999997</v>
      </c>
      <c r="AM88" s="96">
        <v>3263300</v>
      </c>
      <c r="AN88" s="96">
        <f>TABL123[[#This Row],[ (RESV. STORGE) SER]]/10</f>
        <v>326330</v>
      </c>
      <c r="AO88" s="45">
        <v>0</v>
      </c>
      <c r="AP88" s="32">
        <f>TABL123[[#This Row],[(A/S TOT) AJD]]-TABL123[[#This Row],[SER_ 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Row],[خط (T/B  TOT) SAR]]+TABL123[[#This Row],[خط (S/S  TOT) SAR2]]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Row],[خط (S/S  TOT) SAR2]]-TABL123[[#This Row],[(S/S TOT) AJD]]</f>
        <v>41</v>
      </c>
      <c r="Q89" s="39">
        <v>418</v>
      </c>
      <c r="R89" s="3">
        <f>TABL123[[#This Row],[خط (T/B  TOT) SAR]]-TABL123[[#This Row],[(T/B TOT) AJD]]</f>
        <v>27</v>
      </c>
      <c r="S89" s="3">
        <f>TABL123[[#This Row],[الفرق بين بداية ونهاية خط  T/B]]+TABL123[[#This Row],[الفرق بين بداية ونهاية خط  S/S]]</f>
        <v>68</v>
      </c>
      <c r="T89" s="3">
        <f>TABL123[[#This Row],[(S/S TOT) AJD]]+TABL123[[#This Row],[(T/B TOT) AJD]]</f>
        <v>807</v>
      </c>
      <c r="U89" s="41">
        <v>543</v>
      </c>
      <c r="V89" s="41">
        <v>212</v>
      </c>
      <c r="W89" s="3">
        <f>TABL123[[#This Row],[(A/B TOT) AJD]]+TABL123[[#This Row],[(A/S TOT)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91">
        <f>TABL123[[#This Row],[( S/S+T/B) AJD]]-(TABL123[[#This Row],[(A/B + A/S) AJD]]+(TABL123[[#This Row],[(STORGE DIFF.) AJD]]*1000)+TABL123[[#This Row],[البخر  AJD]])</f>
        <v>-37076</v>
      </c>
      <c r="AE89" s="75">
        <v>80</v>
      </c>
      <c r="AF89" s="75">
        <v>58.65</v>
      </c>
      <c r="AG89" s="75">
        <v>1393107</v>
      </c>
      <c r="AH89" s="43">
        <v>723</v>
      </c>
      <c r="AI89" s="43">
        <v>723</v>
      </c>
      <c r="AJ89" s="86">
        <f>TABL123[[#This Row],[(A/B TOT) AJD]]-TABL123[[#This Row],[BER_ IN]]</f>
        <v>463</v>
      </c>
      <c r="AK89" s="75">
        <v>21</v>
      </c>
      <c r="AL89" s="96">
        <v>43.294499999999999</v>
      </c>
      <c r="AM89" s="96">
        <v>3267770</v>
      </c>
      <c r="AN89" s="96">
        <f>TABL123[[#This Row],[ (RESV. STORGE) SER]]/10</f>
        <v>326777</v>
      </c>
      <c r="AO89" s="43">
        <v>1830</v>
      </c>
      <c r="AP89" s="32">
        <f>TABL123[[#This Row],[(A/S TOT) AJD]]-TABL123[[#This Row],[SER_ 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Row],[خط (T/B  TOT) SAR]]+TABL123[[#This Row],[خط (S/S  TOT) SAR2]]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Row],[خط (S/S  TOT) SAR2]]-TABL123[[#This Row],[(S/S TOT) AJD]]</f>
        <v>42</v>
      </c>
      <c r="Q90" s="40">
        <v>416</v>
      </c>
      <c r="R90" s="3">
        <f>TABL123[[#This Row],[خط (T/B  TOT) SAR]]-TABL123[[#This Row],[(T/B TOT) AJD]]</f>
        <v>29</v>
      </c>
      <c r="S90" s="3">
        <f>TABL123[[#This Row],[الفرق بين بداية ونهاية خط  T/B]]+TABL123[[#This Row],[الفرق بين بداية ونهاية خط  S/S]]</f>
        <v>71</v>
      </c>
      <c r="T90" s="3">
        <f>TABL123[[#This Row],[(S/S TOT) AJD]]+TABL123[[#This Row],[(T/B TOT) AJD]]</f>
        <v>804</v>
      </c>
      <c r="U90" s="44">
        <v>567</v>
      </c>
      <c r="V90" s="44">
        <v>265</v>
      </c>
      <c r="W90" s="3">
        <f>TABL123[[#This Row],[(A/B TOT) AJD]]+TABL123[[#This Row],[(A/S TOT)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91">
        <f>TABL123[[#This Row],[( S/S+T/B) AJD]]-(TABL123[[#This Row],[(A/B + A/S) AJD]]+(TABL123[[#This Row],[(STORGE DIFF.) AJD]]*1000)+TABL123[[#This Row],[البخر  AJD]])</f>
        <v>61411</v>
      </c>
      <c r="AE90" s="75">
        <v>86</v>
      </c>
      <c r="AF90" s="75">
        <v>58.68</v>
      </c>
      <c r="AG90" s="75">
        <v>1412827</v>
      </c>
      <c r="AH90" s="45">
        <v>1451</v>
      </c>
      <c r="AI90" s="45">
        <v>1451</v>
      </c>
      <c r="AJ90" s="86">
        <f>TABL123[[#This Row],[(A/B TOT) AJD]]-TABL123[[#This Row],[BER_ IN]]</f>
        <v>481</v>
      </c>
      <c r="AK90" s="75">
        <v>27</v>
      </c>
      <c r="AL90" s="96">
        <v>43.271799999999999</v>
      </c>
      <c r="AM90" s="96">
        <v>3255690</v>
      </c>
      <c r="AN90" s="96">
        <f>TABL123[[#This Row],[ (RESV. STORGE) SER]]/10</f>
        <v>325569</v>
      </c>
      <c r="AO90" s="45">
        <v>1880</v>
      </c>
      <c r="AP90" s="32">
        <f>TABL123[[#This Row],[(A/S TOT) AJD]]-TABL123[[#This Row],[SER_ 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Row],[خط (T/B  TOT) SAR]]+TABL123[[#This Row],[خط (S/S  TOT) SAR2]]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Row],[خط (S/S  TOT) SAR2]]-TABL123[[#This Row],[(S/S TOT) AJD]]</f>
        <v>43</v>
      </c>
      <c r="Q91" s="39">
        <v>417</v>
      </c>
      <c r="R91" s="3">
        <f>TABL123[[#This Row],[خط (T/B  TOT) SAR]]-TABL123[[#This Row],[(T/B TOT) AJD]]</f>
        <v>28</v>
      </c>
      <c r="S91" s="3">
        <f>TABL123[[#This Row],[الفرق بين بداية ونهاية خط  T/B]]+TABL123[[#This Row],[الفرق بين بداية ونهاية خط  S/S]]</f>
        <v>71</v>
      </c>
      <c r="T91" s="3">
        <f>TABL123[[#This Row],[(S/S TOT) AJD]]+TABL123[[#This Row],[(T/B TOT) AJD]]</f>
        <v>804</v>
      </c>
      <c r="U91" s="41">
        <v>576</v>
      </c>
      <c r="V91" s="41">
        <v>220</v>
      </c>
      <c r="W91" s="3">
        <f>TABL123[[#This Row],[(A/B TOT) AJD]]+TABL123[[#This Row],[(A/S TOT)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91">
        <f>TABL123[[#This Row],[( S/S+T/B) AJD]]-(TABL123[[#This Row],[(A/B + A/S) AJD]]+(TABL123[[#This Row],[(STORGE DIFF.) AJD]]*1000)+TABL123[[#This Row],[البخر  AJD]])</f>
        <v>33878</v>
      </c>
      <c r="AE91" s="75">
        <v>90</v>
      </c>
      <c r="AF91" s="75">
        <v>58.71</v>
      </c>
      <c r="AG91" s="75">
        <v>1432554</v>
      </c>
      <c r="AH91" s="43">
        <v>2143</v>
      </c>
      <c r="AI91" s="43">
        <v>2143</v>
      </c>
      <c r="AJ91" s="86">
        <f>TABL123[[#This Row],[(A/B TOT) AJD]]-TABL123[[#This Row],[BER_ IN]]</f>
        <v>486</v>
      </c>
      <c r="AK91" s="75">
        <v>32</v>
      </c>
      <c r="AL91" s="96">
        <v>43.225900000000003</v>
      </c>
      <c r="AM91" s="96">
        <v>3230710</v>
      </c>
      <c r="AN91" s="96">
        <f>TABL123[[#This Row],[ (RESV. STORGE) SER]]/10</f>
        <v>323071</v>
      </c>
      <c r="AO91" s="43">
        <v>1880</v>
      </c>
      <c r="AP91" s="32">
        <f>TABL123[[#This Row],[(A/S TOT) AJD]]-TABL123[[#This Row],[SER_ 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Row],[خط (T/B  TOT) SAR]]+TABL123[[#This Row],[خط (S/S  TOT) SAR2]]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Row],[خط (S/S  TOT) SAR2]]-TABL123[[#This Row],[(S/S TOT) AJD]]</f>
        <v>45</v>
      </c>
      <c r="Q92" s="39">
        <v>416</v>
      </c>
      <c r="R92" s="3">
        <f>TABL123[[#This Row],[خط (T/B  TOT) SAR]]-TABL123[[#This Row],[(T/B TOT) AJD]]</f>
        <v>29</v>
      </c>
      <c r="S92" s="3">
        <f>TABL123[[#This Row],[الفرق بين بداية ونهاية خط  T/B]]+TABL123[[#This Row],[الفرق بين بداية ونهاية خط  S/S]]</f>
        <v>74</v>
      </c>
      <c r="T92" s="3">
        <f>TABL123[[#This Row],[(S/S TOT) AJD]]+TABL123[[#This Row],[(T/B TOT) AJD]]</f>
        <v>801</v>
      </c>
      <c r="U92" s="41">
        <v>565</v>
      </c>
      <c r="V92" s="41">
        <v>220</v>
      </c>
      <c r="W92" s="3">
        <f>TABL123[[#This Row],[(A/B TOT) AJD]]+TABL123[[#This Row],[(A/S TOT)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91">
        <f>TABL123[[#This Row],[( S/S+T/B) AJD]]-(TABL123[[#This Row],[(A/B + A/S) AJD]]+(TABL123[[#This Row],[(STORGE DIFF.) AJD]]*1000)+TABL123[[#This Row],[البخر  AJD]])</f>
        <v>11928</v>
      </c>
      <c r="AE92" s="75">
        <v>90</v>
      </c>
      <c r="AF92" s="75">
        <v>58.75</v>
      </c>
      <c r="AG92" s="75">
        <v>1428868</v>
      </c>
      <c r="AH92" s="43">
        <v>1522</v>
      </c>
      <c r="AI92" s="43">
        <v>1522</v>
      </c>
      <c r="AJ92" s="86">
        <f>TABL123[[#This Row],[(A/B TOT) AJD]]-TABL123[[#This Row],[BER_ IN]]</f>
        <v>475</v>
      </c>
      <c r="AK92" s="75">
        <v>28</v>
      </c>
      <c r="AL92" s="96">
        <v>43.1235</v>
      </c>
      <c r="AM92" s="96">
        <v>3175240</v>
      </c>
      <c r="AN92" s="96">
        <f>TABL123[[#This Row],[ (RESV. STORGE) SER]]/10</f>
        <v>317524</v>
      </c>
      <c r="AO92" s="43">
        <v>1670</v>
      </c>
      <c r="AP92" s="32">
        <f>TABL123[[#This Row],[(A/S TOT) AJD]]-TABL123[[#This Row],[SER_ 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Row],[خط (T/B  TOT) SAR]]+TABL123[[#This Row],[خط (S/S  TOT) SAR2]]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Row],[خط (S/S  TOT) SAR2]]-TABL123[[#This Row],[(S/S TOT) AJD]]</f>
        <v>-15</v>
      </c>
      <c r="Q93" s="40">
        <v>392</v>
      </c>
      <c r="R93" s="3">
        <f>TABL123[[#This Row],[خط (T/B  TOT) SAR]]-TABL123[[#This Row],[(T/B TOT) AJD]]</f>
        <v>-13</v>
      </c>
      <c r="S93" s="3">
        <f>TABL123[[#This Row],[الفرق بين بداية ونهاية خط  T/B]]+TABL123[[#This Row],[الفرق بين بداية ونهاية خط  S/S]]</f>
        <v>-28</v>
      </c>
      <c r="T93" s="3">
        <f>TABL123[[#This Row],[(S/S TOT) AJD]]+TABL123[[#This Row],[(T/B TOT) AJD]]</f>
        <v>750</v>
      </c>
      <c r="U93" s="44">
        <v>564</v>
      </c>
      <c r="V93" s="44">
        <v>217</v>
      </c>
      <c r="W93" s="3">
        <f>TABL123[[#This Row],[(A/B TOT) AJD]]+TABL123[[#This Row],[(A/S TOT)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91">
        <f>TABL123[[#This Row],[( S/S+T/B) AJD]]-(TABL123[[#This Row],[(A/B + A/S) AJD]]+(TABL123[[#This Row],[(STORGE DIFF.) AJD]]*1000)+TABL123[[#This Row],[البخر  AJD]])</f>
        <v>38649</v>
      </c>
      <c r="AE93" s="75">
        <v>90</v>
      </c>
      <c r="AF93" s="75">
        <v>58.79</v>
      </c>
      <c r="AG93" s="75">
        <v>1485197</v>
      </c>
      <c r="AH93" s="45">
        <v>1053</v>
      </c>
      <c r="AI93" s="45">
        <v>1053</v>
      </c>
      <c r="AJ93" s="86">
        <f>TABL123[[#This Row],[(A/B TOT) AJD]]-TABL123[[#This Row],[BER_ IN]]</f>
        <v>474</v>
      </c>
      <c r="AK93" s="75">
        <v>29</v>
      </c>
      <c r="AL93" s="96">
        <v>42.998899999999999</v>
      </c>
      <c r="AM93" s="96">
        <v>3107000</v>
      </c>
      <c r="AN93" s="96">
        <f>TABL123[[#This Row],[ (RESV. STORGE) SER]]/10</f>
        <v>310700</v>
      </c>
      <c r="AO93" s="45">
        <v>1655</v>
      </c>
      <c r="AP93" s="32">
        <f>TABL123[[#This Row],[(A/S TOT) AJD]]-TABL123[[#This Row],[SER_ 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Row],[خط (T/B  TOT) SAR]]+TABL123[[#This Row],[خط (S/S  TOT) SAR2]]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Row],[خط (S/S  TOT) SAR2]]-TABL123[[#This Row],[(S/S TOT) AJD]]</f>
        <v>81</v>
      </c>
      <c r="Q94" s="39">
        <v>371</v>
      </c>
      <c r="R94" s="3">
        <f>TABL123[[#This Row],[خط (T/B  TOT) SAR]]-TABL123[[#This Row],[(T/B TOT) AJD]]</f>
        <v>74</v>
      </c>
      <c r="S94" s="3">
        <f>TABL123[[#This Row],[الفرق بين بداية ونهاية خط  T/B]]+TABL123[[#This Row],[الفرق بين بداية ونهاية خط  S/S]]</f>
        <v>155</v>
      </c>
      <c r="T94" s="3">
        <f>TABL123[[#This Row],[(S/S TOT) AJD]]+TABL123[[#This Row],[(T/B TOT) AJD]]</f>
        <v>715</v>
      </c>
      <c r="U94" s="41">
        <v>561</v>
      </c>
      <c r="V94" s="41">
        <v>220</v>
      </c>
      <c r="W94" s="3">
        <f>TABL123[[#This Row],[(A/B TOT) AJD]]+TABL123[[#This Row],[(A/S TOT)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91">
        <f>TABL123[[#This Row],[( S/S+T/B) AJD]]-(TABL123[[#This Row],[(A/B + A/S) AJD]]+(TABL123[[#This Row],[(STORGE DIFF.) AJD]]*1000)+TABL123[[#This Row],[البخر  AJD]])</f>
        <v>100939</v>
      </c>
      <c r="AE94" s="75">
        <v>90</v>
      </c>
      <c r="AF94" s="75">
        <v>58.811999999999998</v>
      </c>
      <c r="AG94" s="75">
        <v>1499684</v>
      </c>
      <c r="AH94" s="43">
        <v>1732</v>
      </c>
      <c r="AI94" s="43">
        <v>1732</v>
      </c>
      <c r="AJ94" s="86">
        <f>TABL123[[#This Row],[(A/B TOT) AJD]]-TABL123[[#This Row],[BER_ IN]]</f>
        <v>471</v>
      </c>
      <c r="AK94" s="75">
        <v>27</v>
      </c>
      <c r="AL94" s="96">
        <v>42.860700000000001</v>
      </c>
      <c r="AM94" s="96">
        <v>3033000</v>
      </c>
      <c r="AN94" s="96">
        <f>TABL123[[#This Row],[ (RESV. STORGE) SER]]/10</f>
        <v>303300</v>
      </c>
      <c r="AO94" s="43">
        <v>1780</v>
      </c>
      <c r="AP94" s="32">
        <f>TABL123[[#This Row],[(A/S TOT) AJD]]-TABL123[[#This Row],[SER_ 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Row],[خط (T/B  TOT) SAR]]+TABL123[[#This Row],[خط (S/S  TOT) SAR2]]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Row],[خط (S/S  TOT) SAR2]]-TABL123[[#This Row],[(S/S TOT) AJD]]</f>
        <v>48</v>
      </c>
      <c r="Q95" s="40">
        <v>413</v>
      </c>
      <c r="R95" s="3">
        <f>TABL123[[#This Row],[خط (T/B  TOT) SAR]]-TABL123[[#This Row],[(T/B TOT) AJD]]</f>
        <v>37</v>
      </c>
      <c r="S95" s="3">
        <f>TABL123[[#This Row],[الفرق بين بداية ونهاية خط  T/B]]+TABL123[[#This Row],[الفرق بين بداية ونهاية خط  S/S]]</f>
        <v>85</v>
      </c>
      <c r="T95" s="3">
        <f>TABL123[[#This Row],[(S/S TOT) AJD]]+TABL123[[#This Row],[(T/B TOT) AJD]]</f>
        <v>797</v>
      </c>
      <c r="U95" s="44">
        <v>571</v>
      </c>
      <c r="V95" s="44">
        <v>215</v>
      </c>
      <c r="W95" s="3">
        <f>TABL123[[#This Row],[(A/B TOT) AJD]]+TABL123[[#This Row],[(A/S TOT)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91">
        <f>TABL123[[#This Row],[( S/S+T/B) AJD]]-(TABL123[[#This Row],[(A/B + A/S) AJD]]+(TABL123[[#This Row],[(STORGE DIFF.) AJD]]*1000)+TABL123[[#This Row],[البخر  AJD]])</f>
        <v>40205</v>
      </c>
      <c r="AE95" s="75">
        <v>90</v>
      </c>
      <c r="AF95" s="75">
        <v>58.86</v>
      </c>
      <c r="AG95" s="75">
        <v>1531306</v>
      </c>
      <c r="AH95" s="45">
        <v>1401</v>
      </c>
      <c r="AI95" s="45">
        <v>1401</v>
      </c>
      <c r="AJ95" s="86">
        <f>TABL123[[#This Row],[(A/B TOT) AJD]]-TABL123[[#This Row],[BER_ IN]]</f>
        <v>481</v>
      </c>
      <c r="AK95" s="75">
        <v>26</v>
      </c>
      <c r="AL95" s="96">
        <v>42.805900000000001</v>
      </c>
      <c r="AM95" s="96">
        <v>3003083</v>
      </c>
      <c r="AN95" s="96">
        <f>TABL123[[#This Row],[ (RESV. STORGE) SER]]/10</f>
        <v>300308.3</v>
      </c>
      <c r="AO95" s="45">
        <v>1800</v>
      </c>
      <c r="AP95" s="32">
        <f>TABL123[[#This Row],[(A/S TOT) AJD]]-TABL123[[#This Row],[SER_ 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Row],[خط (T/B  TOT) SAR]]+TABL123[[#This Row],[خط (S/S  TOT) SAR2]]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Row],[خط (S/S  TOT) SAR2]]-TABL123[[#This Row],[(S/S TOT) AJD]]</f>
        <v>42</v>
      </c>
      <c r="Q96" s="39">
        <v>417</v>
      </c>
      <c r="R96" s="3">
        <f>TABL123[[#This Row],[خط (T/B  TOT) SAR]]-TABL123[[#This Row],[(T/B TOT) AJD]]</f>
        <v>28</v>
      </c>
      <c r="S96" s="3">
        <f>TABL123[[#This Row],[الفرق بين بداية ونهاية خط  T/B]]+TABL123[[#This Row],[الفرق بين بداية ونهاية خط  S/S]]</f>
        <v>70</v>
      </c>
      <c r="T96" s="3">
        <f>TABL123[[#This Row],[(S/S TOT) AJD]]+TABL123[[#This Row],[(T/B TOT) AJD]]</f>
        <v>805</v>
      </c>
      <c r="U96" s="41">
        <v>575</v>
      </c>
      <c r="V96" s="41">
        <v>221</v>
      </c>
      <c r="W96" s="3">
        <f>TABL123[[#This Row],[(A/B TOT) AJD]]+TABL123[[#This Row],[(A/S TOT)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91">
        <f>TABL123[[#This Row],[( S/S+T/B) AJD]]-(TABL123[[#This Row],[(A/B + A/S) AJD]]+(TABL123[[#This Row],[(STORGE DIFF.) AJD]]*1000)+TABL123[[#This Row],[البخر  AJD]])</f>
        <v>-15891</v>
      </c>
      <c r="AE96" s="75">
        <v>89</v>
      </c>
      <c r="AF96" s="75">
        <v>58.9</v>
      </c>
      <c r="AG96" s="75">
        <v>1557672</v>
      </c>
      <c r="AH96" s="43">
        <v>2793</v>
      </c>
      <c r="AI96" s="43">
        <v>2793</v>
      </c>
      <c r="AJ96" s="86">
        <f>TABL123[[#This Row],[(A/B TOT) AJD]]-TABL123[[#This Row],[BER_ IN]]</f>
        <v>486</v>
      </c>
      <c r="AK96" s="75">
        <v>25</v>
      </c>
      <c r="AL96" s="96">
        <v>42.827800000000003</v>
      </c>
      <c r="AM96" s="96">
        <v>3014710</v>
      </c>
      <c r="AN96" s="96">
        <f>TABL123[[#This Row],[ (RESV. STORGE) SER]]/10</f>
        <v>301471</v>
      </c>
      <c r="AO96" s="43">
        <v>1820</v>
      </c>
      <c r="AP96" s="32">
        <f>TABL123[[#This Row],[(A/S TOT) AJD]]-TABL123[[#This Row],[SER_ 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Row],[خط (T/B  TOT) SAR]]+TABL123[[#This Row],[خط (S/S  TOT) SAR2]]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Row],[خط (S/S  TOT) SAR2]]-TABL123[[#This Row],[(S/S TOT) AJD]]</f>
        <v>64</v>
      </c>
      <c r="Q97" s="40">
        <v>420</v>
      </c>
      <c r="R97" s="3">
        <f>TABL123[[#This Row],[خط (T/B  TOT) SAR]]-TABL123[[#This Row],[(T/B TOT) AJD]]</f>
        <v>17</v>
      </c>
      <c r="S97" s="3">
        <f>TABL123[[#This Row],[الفرق بين بداية ونهاية خط  T/B]]+TABL123[[#This Row],[الفرق بين بداية ونهاية خط  S/S]]</f>
        <v>81</v>
      </c>
      <c r="T97" s="3">
        <f>TABL123[[#This Row],[(S/S TOT) AJD]]+TABL123[[#This Row],[(T/B TOT) AJD]]</f>
        <v>811</v>
      </c>
      <c r="U97" s="44">
        <v>581</v>
      </c>
      <c r="V97" s="44">
        <v>203</v>
      </c>
      <c r="W97" s="3">
        <f>TABL123[[#This Row],[(A/B TOT) AJD]]+TABL123[[#This Row],[(A/S TOT)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91">
        <f>TABL123[[#This Row],[( S/S+T/B) AJD]]-(TABL123[[#This Row],[(A/B + A/S) AJD]]+(TABL123[[#This Row],[(STORGE DIFF.) AJD]]*1000)+TABL123[[#This Row],[البخر  AJD]])</f>
        <v>17816</v>
      </c>
      <c r="AE97" s="75">
        <v>90</v>
      </c>
      <c r="AF97" s="75">
        <v>58.85</v>
      </c>
      <c r="AG97" s="75">
        <v>1524716</v>
      </c>
      <c r="AH97" s="45">
        <v>2286</v>
      </c>
      <c r="AI97" s="45">
        <v>2286</v>
      </c>
      <c r="AJ97" s="86">
        <f>TABL123[[#This Row],[(A/B TOT) AJD]]-TABL123[[#This Row],[BER_ IN]]</f>
        <v>491</v>
      </c>
      <c r="AK97" s="75">
        <v>25</v>
      </c>
      <c r="AL97" s="96">
        <v>42.835099999999997</v>
      </c>
      <c r="AM97" s="96">
        <v>3019020</v>
      </c>
      <c r="AN97" s="96">
        <f>TABL123[[#This Row],[ (RESV. STORGE) SER]]/10</f>
        <v>301902</v>
      </c>
      <c r="AO97" s="45">
        <v>1720</v>
      </c>
      <c r="AP97" s="32">
        <f>TABL123[[#This Row],[(A/S TOT) AJD]]-TABL123[[#This Row],[SER_ 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Row],[خط (T/B  TOT) SAR]]+TABL123[[#This Row],[خط (S/S  TOT) SAR2]]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Row],[خط (S/S  TOT) SAR2]]-TABL123[[#This Row],[(S/S TOT) AJD]]</f>
        <v>44</v>
      </c>
      <c r="Q98" s="39">
        <v>410</v>
      </c>
      <c r="R98" s="3">
        <f>TABL123[[#This Row],[خط (T/B  TOT) SAR]]-TABL123[[#This Row],[(T/B TOT) AJD]]</f>
        <v>39</v>
      </c>
      <c r="S98" s="3">
        <f>TABL123[[#This Row],[الفرق بين بداية ونهاية خط  T/B]]+TABL123[[#This Row],[الفرق بين بداية ونهاية خط  S/S]]</f>
        <v>83</v>
      </c>
      <c r="T98" s="3">
        <f>TABL123[[#This Row],[(S/S TOT) AJD]]+TABL123[[#This Row],[(T/B TOT) AJD]]</f>
        <v>799</v>
      </c>
      <c r="U98" s="41">
        <v>579</v>
      </c>
      <c r="V98" s="41">
        <v>198</v>
      </c>
      <c r="W98" s="3">
        <f>TABL123[[#This Row],[(A/B TOT) AJD]]+TABL123[[#This Row],[(A/S TOT)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91">
        <f>TABL123[[#This Row],[( S/S+T/B) AJD]]-(TABL123[[#This Row],[(A/B + A/S) AJD]]+(TABL123[[#This Row],[(STORGE DIFF.) AJD]]*1000)+TABL123[[#This Row],[البخر  AJD]])</f>
        <v>-13036</v>
      </c>
      <c r="AE98" s="75">
        <v>90</v>
      </c>
      <c r="AF98" s="75">
        <v>58.78</v>
      </c>
      <c r="AG98" s="75">
        <v>1478610</v>
      </c>
      <c r="AH98" s="43">
        <v>2223</v>
      </c>
      <c r="AI98" s="43">
        <v>657660</v>
      </c>
      <c r="AJ98" s="86">
        <f>TABL123[[#This Row],[(A/B TOT) AJD]]-TABL123[[#This Row],[BER_ IN]]</f>
        <v>489</v>
      </c>
      <c r="AK98" s="75">
        <v>24</v>
      </c>
      <c r="AL98" s="96">
        <v>42.854700000000001</v>
      </c>
      <c r="AM98" s="96">
        <v>3029840</v>
      </c>
      <c r="AN98" s="96">
        <f>TABL123[[#This Row],[ (RESV. STORGE) SER]]/10</f>
        <v>302984</v>
      </c>
      <c r="AO98" s="43">
        <v>1735</v>
      </c>
      <c r="AP98" s="32">
        <f>TABL123[[#This Row],[(A/S TOT) AJD]]-TABL123[[#This Row],[SER_ 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Row],[خط (T/B  TOT) SAR]]+TABL123[[#This Row],[خط (S/S  TOT) SAR2]]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Row],[خط (S/S  TOT) SAR2]]-TABL123[[#This Row],[(S/S TOT) AJD]]</f>
        <v>41</v>
      </c>
      <c r="Q99" s="40">
        <v>432</v>
      </c>
      <c r="R99" s="3">
        <f>TABL123[[#This Row],[خط (T/B  TOT) SAR]]-TABL123[[#This Row],[(T/B TOT) AJD]]</f>
        <v>17</v>
      </c>
      <c r="S99" s="3">
        <f>TABL123[[#This Row],[الفرق بين بداية ونهاية خط  T/B]]+TABL123[[#This Row],[الفرق بين بداية ونهاية خط  S/S]]</f>
        <v>58</v>
      </c>
      <c r="T99" s="3">
        <f>TABL123[[#This Row],[(S/S TOT) AJD]]+TABL123[[#This Row],[(T/B TOT) AJD]]</f>
        <v>823</v>
      </c>
      <c r="U99" s="44">
        <v>574</v>
      </c>
      <c r="V99" s="44">
        <v>199</v>
      </c>
      <c r="W99" s="3">
        <f>TABL123[[#This Row],[(A/B TOT) AJD]]+TABL123[[#This Row],[(A/S TOT)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91">
        <f>TABL123[[#This Row],[( S/S+T/B) AJD]]-(TABL123[[#This Row],[(A/B + A/S) AJD]]+(TABL123[[#This Row],[(STORGE DIFF.) AJD]]*1000)+TABL123[[#This Row],[البخر  AJD]])</f>
        <v>-19248</v>
      </c>
      <c r="AE99" s="75">
        <v>92</v>
      </c>
      <c r="AF99" s="75">
        <v>58.71</v>
      </c>
      <c r="AG99" s="75">
        <v>1432554</v>
      </c>
      <c r="AH99" s="45">
        <v>2060</v>
      </c>
      <c r="AI99" s="45">
        <v>2060</v>
      </c>
      <c r="AJ99" s="86">
        <f>TABL123[[#This Row],[(A/B TOT) AJD]]-TABL123[[#This Row],[BER_ IN]]</f>
        <v>482</v>
      </c>
      <c r="AK99" s="75">
        <v>25</v>
      </c>
      <c r="AL99" s="96">
        <v>42.863300000000002</v>
      </c>
      <c r="AM99" s="96">
        <v>3033860</v>
      </c>
      <c r="AN99" s="96">
        <f>TABL123[[#This Row],[ (RESV. STORGE) SER]]/10</f>
        <v>303386</v>
      </c>
      <c r="AO99" s="45">
        <v>1765</v>
      </c>
      <c r="AP99" s="32">
        <f>TABL123[[#This Row],[(A/S TOT) AJD]]-TABL123[[#This Row],[SER_ 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Row],[خط (T/B  TOT) SAR]]+TABL123[[#This Row],[خط (S/S  TOT) SAR2]]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Row],[خط (S/S  TOT) SAR2]]-TABL123[[#This Row],[(S/S TOT) AJD]]</f>
        <v>44</v>
      </c>
      <c r="Q100" s="39">
        <v>421</v>
      </c>
      <c r="R100" s="3">
        <f>TABL123[[#This Row],[خط (T/B  TOT) SAR]]-TABL123[[#This Row],[(T/B TOT) AJD]]</f>
        <v>30</v>
      </c>
      <c r="S100" s="3">
        <f>TABL123[[#This Row],[الفرق بين بداية ونهاية خط  T/B]]+TABL123[[#This Row],[الفرق بين بداية ونهاية خط  S/S]]</f>
        <v>74</v>
      </c>
      <c r="T100" s="3">
        <f>TABL123[[#This Row],[(S/S TOT) AJD]]+TABL123[[#This Row],[(T/B TOT) AJD]]</f>
        <v>813</v>
      </c>
      <c r="U100" s="41">
        <v>575</v>
      </c>
      <c r="V100" s="41">
        <v>216</v>
      </c>
      <c r="W100" s="3">
        <f>TABL123[[#This Row],[(A/B TOT) AJD]]+TABL123[[#This Row],[(A/S TOT)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91">
        <f>TABL123[[#This Row],[( S/S+T/B) AJD]]-(TABL123[[#This Row],[(A/B + A/S) AJD]]+(TABL123[[#This Row],[(STORGE DIFF.) AJD]]*1000)+TABL123[[#This Row],[البخر  AJD]])</f>
        <v>3491</v>
      </c>
      <c r="AE100" s="75">
        <v>90</v>
      </c>
      <c r="AF100" s="75">
        <v>58.64</v>
      </c>
      <c r="AG100" s="75">
        <v>1386536</v>
      </c>
      <c r="AH100" s="43">
        <v>1674</v>
      </c>
      <c r="AI100" s="43">
        <v>1674</v>
      </c>
      <c r="AJ100" s="86">
        <f>TABL123[[#This Row],[(A/B TOT) AJD]]-TABL123[[#This Row],[BER_ IN]]</f>
        <v>485</v>
      </c>
      <c r="AK100" s="75">
        <v>21</v>
      </c>
      <c r="AL100" s="96">
        <v>42.850900000000003</v>
      </c>
      <c r="AM100" s="96">
        <v>3027660</v>
      </c>
      <c r="AN100" s="96">
        <f>TABL123[[#This Row],[ (RESV. STORGE) SER]]/10</f>
        <v>302766</v>
      </c>
      <c r="AO100" s="43">
        <v>1775</v>
      </c>
      <c r="AP100" s="32">
        <f>TABL123[[#This Row],[(A/S TOT) AJD]]-TABL123[[#This Row],[SER_ 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Row],[خط (T/B  TOT) SAR]]+TABL123[[#This Row],[خط (S/S  TOT) SAR2]]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Row],[خط (S/S  TOT) SAR2]]-TABL123[[#This Row],[(S/S TOT) AJD]]</f>
        <v>42</v>
      </c>
      <c r="Q101" s="40">
        <v>424</v>
      </c>
      <c r="R101" s="3">
        <f>TABL123[[#This Row],[خط (T/B  TOT) SAR]]-TABL123[[#This Row],[(T/B TOT) AJD]]</f>
        <v>31</v>
      </c>
      <c r="S101" s="3">
        <f>TABL123[[#This Row],[الفرق بين بداية ونهاية خط  T/B]]+TABL123[[#This Row],[الفرق بين بداية ونهاية خط  S/S]]</f>
        <v>73</v>
      </c>
      <c r="T101" s="3">
        <f>TABL123[[#This Row],[(S/S TOT) AJD]]+TABL123[[#This Row],[(T/B TOT) AJD]]</f>
        <v>819</v>
      </c>
      <c r="U101" s="44">
        <v>575</v>
      </c>
      <c r="V101" s="44">
        <v>236</v>
      </c>
      <c r="W101" s="3">
        <f>TABL123[[#This Row],[(A/B TOT) AJD]]+TABL123[[#This Row],[(A/S TOT)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91">
        <f>TABL123[[#This Row],[( S/S+T/B) AJD]]-(TABL123[[#This Row],[(A/B + A/S) AJD]]+(TABL123[[#This Row],[(STORGE DIFF.) AJD]]*1000)+TABL123[[#This Row],[البخر  AJD]])</f>
        <v>18986</v>
      </c>
      <c r="AE101" s="75">
        <v>90</v>
      </c>
      <c r="AF101" s="75">
        <v>58.56</v>
      </c>
      <c r="AG101" s="75">
        <v>1333996</v>
      </c>
      <c r="AH101" s="45">
        <v>1612</v>
      </c>
      <c r="AI101" s="45">
        <v>1612</v>
      </c>
      <c r="AJ101" s="86">
        <f>TABL123[[#This Row],[(A/B TOT) AJD]]-TABL123[[#This Row],[BER_ IN]]</f>
        <v>485</v>
      </c>
      <c r="AK101" s="75">
        <v>21</v>
      </c>
      <c r="AL101" s="96">
        <v>42.835099999999997</v>
      </c>
      <c r="AM101" s="96">
        <v>3019020</v>
      </c>
      <c r="AN101" s="96">
        <f>TABL123[[#This Row],[ (RESV. STORGE) SER]]/10</f>
        <v>301902</v>
      </c>
      <c r="AO101" s="45">
        <v>1785</v>
      </c>
      <c r="AP101" s="32">
        <f>TABL123[[#This Row],[(A/S TOT) AJD]]-TABL123[[#This Row],[SER_ 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Row],[خط (T/B  TOT) SAR]]+TABL123[[#This Row],[خط (S/S  TOT) SAR2]]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Row],[خط (S/S  TOT) SAR2]]-TABL123[[#This Row],[(S/S TOT) AJD]]</f>
        <v>37</v>
      </c>
      <c r="Q102" s="39">
        <v>428</v>
      </c>
      <c r="R102" s="3">
        <f>TABL123[[#This Row],[خط (T/B  TOT) SAR]]-TABL123[[#This Row],[(T/B TOT) AJD]]</f>
        <v>23</v>
      </c>
      <c r="S102" s="3">
        <f>TABL123[[#This Row],[الفرق بين بداية ونهاية خط  T/B]]+TABL123[[#This Row],[الفرق بين بداية ونهاية خط  S/S]]</f>
        <v>60</v>
      </c>
      <c r="T102" s="3">
        <f>TABL123[[#This Row],[(S/S TOT) AJD]]+TABL123[[#This Row],[(T/B TOT) AJD]]</f>
        <v>825</v>
      </c>
      <c r="U102" s="41">
        <v>579</v>
      </c>
      <c r="V102" s="41">
        <v>254</v>
      </c>
      <c r="W102" s="3">
        <f>TABL123[[#This Row],[(A/B TOT) AJD]]+TABL123[[#This Row],[(A/S TOT)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91">
        <f>TABL123[[#This Row],[( S/S+T/B) AJD]]-(TABL123[[#This Row],[(A/B + A/S) AJD]]+(TABL123[[#This Row],[(STORGE DIFF.) AJD]]*1000)+TABL123[[#This Row],[البخر  AJD]])</f>
        <v>35552</v>
      </c>
      <c r="AE102" s="75">
        <v>90</v>
      </c>
      <c r="AF102" s="75">
        <v>58.49</v>
      </c>
      <c r="AG102" s="75">
        <v>1288069</v>
      </c>
      <c r="AH102" s="43">
        <v>2327</v>
      </c>
      <c r="AI102" s="43">
        <v>2327</v>
      </c>
      <c r="AJ102" s="86">
        <f>TABL123[[#This Row],[(A/B TOT) AJD]]-TABL123[[#This Row],[BER_ IN]]</f>
        <v>489</v>
      </c>
      <c r="AK102" s="75">
        <v>22</v>
      </c>
      <c r="AL102" s="96">
        <v>42.835099999999997</v>
      </c>
      <c r="AM102" s="96">
        <v>3019020</v>
      </c>
      <c r="AN102" s="96">
        <f>TABL123[[#This Row],[ (RESV. STORGE) SER]]/10</f>
        <v>301902</v>
      </c>
      <c r="AO102" s="43">
        <v>1820</v>
      </c>
      <c r="AP102" s="32">
        <f>TABL123[[#This Row],[(A/S TOT) AJD]]-TABL123[[#This Row],[SER_ 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Row],[خط (T/B  TOT) SAR]]+TABL123[[#This Row],[خط (S/S  TOT) SAR2]]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Row],[خط (S/S  TOT) SAR2]]-TABL123[[#This Row],[(S/S TOT) AJD]]</f>
        <v>34</v>
      </c>
      <c r="Q103" s="40">
        <v>424</v>
      </c>
      <c r="R103" s="3">
        <f>TABL123[[#This Row],[خط (T/B  TOT) SAR]]-TABL123[[#This Row],[(T/B TOT) AJD]]</f>
        <v>20</v>
      </c>
      <c r="S103" s="3">
        <f>TABL123[[#This Row],[الفرق بين بداية ونهاية خط  T/B]]+TABL123[[#This Row],[الفرق بين بداية ونهاية خط  S/S]]</f>
        <v>54</v>
      </c>
      <c r="T103" s="3">
        <f>TABL123[[#This Row],[(S/S TOT) AJD]]+TABL123[[#This Row],[(T/B TOT) AJD]]</f>
        <v>819</v>
      </c>
      <c r="U103" s="44">
        <v>581</v>
      </c>
      <c r="V103" s="44">
        <v>251</v>
      </c>
      <c r="W103" s="3">
        <f>TABL123[[#This Row],[(A/B TOT) AJD]]+TABL123[[#This Row],[(A/S TOT)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91">
        <f>TABL123[[#This Row],[( S/S+T/B) AJD]]-(TABL123[[#This Row],[(A/B + A/S) AJD]]+(TABL123[[#This Row],[(STORGE DIFF.) AJD]]*1000)+TABL123[[#This Row],[البخر  AJD]])</f>
        <v>35547</v>
      </c>
      <c r="AE103" s="75">
        <v>92</v>
      </c>
      <c r="AF103" s="75">
        <v>58.51</v>
      </c>
      <c r="AG103" s="75">
        <v>1301186</v>
      </c>
      <c r="AH103" s="45">
        <v>2234</v>
      </c>
      <c r="AI103" s="45">
        <v>2234</v>
      </c>
      <c r="AJ103" s="86">
        <f>TABL123[[#This Row],[(A/B TOT) AJD]]-TABL123[[#This Row],[BER_ IN]]</f>
        <v>489</v>
      </c>
      <c r="AK103" s="75">
        <v>22</v>
      </c>
      <c r="AL103" s="96">
        <v>42.830800000000004</v>
      </c>
      <c r="AM103" s="96">
        <v>3016870</v>
      </c>
      <c r="AN103" s="96">
        <f>TABL123[[#This Row],[ (RESV. STORGE) SER]]/10</f>
        <v>301687</v>
      </c>
      <c r="AO103" s="45">
        <v>1850</v>
      </c>
      <c r="AP103" s="32">
        <f>TABL123[[#This Row],[(A/S TOT) AJD]]-TABL123[[#This Row],[SER_ 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Row],[خط (T/B  TOT) SAR]]+TABL123[[#This Row],[خط (S/S  TOT) SAR2]]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Row],[خط (S/S  TOT) SAR2]]-TABL123[[#This Row],[(S/S TOT) AJD]]</f>
        <v>41</v>
      </c>
      <c r="Q104" s="39">
        <v>420</v>
      </c>
      <c r="R104" s="3">
        <f>TABL123[[#This Row],[خط (T/B  TOT) SAR]]-TABL123[[#This Row],[(T/B TOT) AJD]]</f>
        <v>27</v>
      </c>
      <c r="S104" s="3">
        <f>TABL123[[#This Row],[الفرق بين بداية ونهاية خط  T/B]]+TABL123[[#This Row],[الفرق بين بداية ونهاية خط  S/S]]</f>
        <v>68</v>
      </c>
      <c r="T104" s="3">
        <f>TABL123[[#This Row],[(S/S TOT) AJD]]+TABL123[[#This Row],[(T/B TOT) AJD]]</f>
        <v>810</v>
      </c>
      <c r="U104" s="41">
        <v>562</v>
      </c>
      <c r="V104" s="41">
        <v>222</v>
      </c>
      <c r="W104" s="3">
        <f>TABL123[[#This Row],[(A/B TOT) AJD]]+TABL123[[#This Row],[(A/S TOT)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91">
        <f>TABL123[[#This Row],[( S/S+T/B) AJD]]-(TABL123[[#This Row],[(A/B + A/S) AJD]]+(TABL123[[#This Row],[(STORGE DIFF.) AJD]]*1000)+TABL123[[#This Row],[البخر  AJD]])</f>
        <v>4336</v>
      </c>
      <c r="AE104" s="75">
        <v>72</v>
      </c>
      <c r="AF104" s="75">
        <v>58.53</v>
      </c>
      <c r="AG104" s="75">
        <v>1314308</v>
      </c>
      <c r="AH104" s="43">
        <v>1762</v>
      </c>
      <c r="AI104" s="43">
        <v>1762</v>
      </c>
      <c r="AJ104" s="86">
        <f>TABL123[[#This Row],[(A/B TOT) AJD]]-TABL123[[#This Row],[BER_ IN]]</f>
        <v>490</v>
      </c>
      <c r="AK104" s="75">
        <v>23</v>
      </c>
      <c r="AL104" s="96">
        <v>42.813099999999999</v>
      </c>
      <c r="AM104" s="96">
        <v>3007150</v>
      </c>
      <c r="AN104" s="96">
        <f>TABL123[[#This Row],[ (RESV. STORGE) SER]]/10</f>
        <v>300715</v>
      </c>
      <c r="AO104" s="43">
        <v>2125</v>
      </c>
      <c r="AP104" s="32">
        <f>TABL123[[#This Row],[(A/S TOT) AJD]]-TABL123[[#This Row],[SER_ 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Row],[خط (T/B  TOT) SAR]]+TABL123[[#This Row],[خط (S/S  TOT) SAR2]]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Row],[خط (S/S  TOT) SAR2]]-TABL123[[#This Row],[(S/S TOT) AJD]]</f>
        <v>36</v>
      </c>
      <c r="Q105" s="40">
        <v>420</v>
      </c>
      <c r="R105" s="3">
        <f>TABL123[[#This Row],[خط (T/B  TOT) SAR]]-TABL123[[#This Row],[(T/B TOT) AJD]]</f>
        <v>21</v>
      </c>
      <c r="S105" s="3">
        <f>TABL123[[#This Row],[الفرق بين بداية ونهاية خط  T/B]]+TABL123[[#This Row],[الفرق بين بداية ونهاية خط  S/S]]</f>
        <v>57</v>
      </c>
      <c r="T105" s="3">
        <f>TABL123[[#This Row],[(S/S TOT) AJD]]+TABL123[[#This Row],[(T/B TOT) AJD]]</f>
        <v>809</v>
      </c>
      <c r="U105" s="44">
        <v>564</v>
      </c>
      <c r="V105" s="44">
        <v>232</v>
      </c>
      <c r="W105" s="3">
        <f>TABL123[[#This Row],[(A/B TOT) AJD]]+TABL123[[#This Row],[(A/S TOT)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91">
        <f>TABL123[[#This Row],[( S/S+T/B) AJD]]-(TABL123[[#This Row],[(A/B + A/S) AJD]]+(TABL123[[#This Row],[(STORGE DIFF.) AJD]]*1000)+TABL123[[#This Row],[البخر  AJD]])</f>
        <v>9154</v>
      </c>
      <c r="AE105" s="75">
        <v>61</v>
      </c>
      <c r="AF105" s="75">
        <v>58.55</v>
      </c>
      <c r="AG105" s="75">
        <v>1327432</v>
      </c>
      <c r="AH105" s="45">
        <v>2035</v>
      </c>
      <c r="AI105" s="45">
        <v>2035</v>
      </c>
      <c r="AJ105" s="86">
        <f>TABL123[[#This Row],[(A/B TOT) AJD]]-TABL123[[#This Row],[BER_ IN]]</f>
        <v>503</v>
      </c>
      <c r="AK105" s="75">
        <v>24</v>
      </c>
      <c r="AL105" s="96">
        <v>42.790100000000002</v>
      </c>
      <c r="AM105" s="96">
        <v>2995030</v>
      </c>
      <c r="AN105" s="96">
        <f>TABL123[[#This Row],[ (RESV. STORGE) SER]]/10</f>
        <v>299503</v>
      </c>
      <c r="AO105" s="45">
        <v>2135</v>
      </c>
      <c r="AP105" s="32">
        <f>TABL123[[#This Row],[(A/S TOT) AJD]]-TABL123[[#This Row],[SER_ 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Row],[خط (T/B  TOT) SAR]]+TABL123[[#This Row],[خط (S/S  TOT) SAR2]]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Row],[خط (S/S  TOT) SAR2]]-TABL123[[#This Row],[(S/S TOT) AJD]]</f>
        <v>42</v>
      </c>
      <c r="Q106" s="39">
        <v>419</v>
      </c>
      <c r="R106" s="3">
        <f>TABL123[[#This Row],[خط (T/B  TOT) SAR]]-TABL123[[#This Row],[(T/B TOT) AJD]]</f>
        <v>26</v>
      </c>
      <c r="S106" s="3">
        <f>TABL123[[#This Row],[الفرق بين بداية ونهاية خط  T/B]]+TABL123[[#This Row],[الفرق بين بداية ونهاية خط  S/S]]</f>
        <v>68</v>
      </c>
      <c r="T106" s="3">
        <f>TABL123[[#This Row],[(S/S TOT) AJD]]+TABL123[[#This Row],[(T/B TOT) AJD]]</f>
        <v>806</v>
      </c>
      <c r="U106" s="41">
        <v>554</v>
      </c>
      <c r="V106" s="41">
        <v>234</v>
      </c>
      <c r="W106" s="3">
        <f>TABL123[[#This Row],[(A/B TOT) AJD]]+TABL123[[#This Row],[(A/S TOT)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91">
        <f>TABL123[[#This Row],[( S/S+T/B) AJD]]-(TABL123[[#This Row],[(A/B + A/S) AJD]]+(TABL123[[#This Row],[(STORGE DIFF.) AJD]]*1000)+TABL123[[#This Row],[البخر  AJD]])</f>
        <v>5703</v>
      </c>
      <c r="AE106" s="75">
        <v>61</v>
      </c>
      <c r="AF106" s="75">
        <v>58.54</v>
      </c>
      <c r="AG106" s="75">
        <v>1320869</v>
      </c>
      <c r="AH106" s="43">
        <v>2840</v>
      </c>
      <c r="AI106" s="43">
        <v>2840</v>
      </c>
      <c r="AJ106" s="86">
        <f>TABL123[[#This Row],[(A/B TOT) AJD]]-TABL123[[#This Row],[BER_ IN]]</f>
        <v>493</v>
      </c>
      <c r="AK106" s="75">
        <v>23</v>
      </c>
      <c r="AL106" s="96">
        <v>42.783000000000001</v>
      </c>
      <c r="AM106" s="96">
        <v>2990960</v>
      </c>
      <c r="AN106" s="96">
        <f>TABL123[[#This Row],[ (RESV. STORGE) SER]]/10</f>
        <v>299096</v>
      </c>
      <c r="AO106" s="43">
        <v>1995</v>
      </c>
      <c r="AP106" s="32">
        <f>TABL123[[#This Row],[(A/S TOT) AJD]]-TABL123[[#This Row],[SER_ 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Row],[خط (T/B  TOT) SAR]]+TABL123[[#This Row],[خط (S/S  TOT) SAR2]]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Row],[خط (S/S  TOT) SAR2]]-TABL123[[#This Row],[(S/S TOT) AJD]]</f>
        <v>41</v>
      </c>
      <c r="Q107" s="40">
        <v>418</v>
      </c>
      <c r="R107" s="3">
        <f>TABL123[[#This Row],[خط (T/B  TOT) SAR]]-TABL123[[#This Row],[(T/B TOT) AJD]]</f>
        <v>28</v>
      </c>
      <c r="S107" s="3">
        <f>TABL123[[#This Row],[الفرق بين بداية ونهاية خط  T/B]]+TABL123[[#This Row],[الفرق بين بداية ونهاية خط  S/S]]</f>
        <v>69</v>
      </c>
      <c r="T107" s="3">
        <f>TABL123[[#This Row],[(S/S TOT) AJD]]+TABL123[[#This Row],[(T/B TOT) AJD]]</f>
        <v>807</v>
      </c>
      <c r="U107" s="44">
        <v>553</v>
      </c>
      <c r="V107" s="44">
        <v>231</v>
      </c>
      <c r="W107" s="3">
        <f>TABL123[[#This Row],[(A/B TOT) AJD]]+TABL123[[#This Row],[(A/S TOT)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91">
        <f>TABL123[[#This Row],[( S/S+T/B) AJD]]-(TABL123[[#This Row],[(A/B + A/S) AJD]]+(TABL123[[#This Row],[(STORGE DIFF.) AJD]]*1000)+TABL123[[#This Row],[البخر  AJD]])</f>
        <v>-7345</v>
      </c>
      <c r="AE107" s="75">
        <v>62</v>
      </c>
      <c r="AF107" s="75">
        <v>58.56</v>
      </c>
      <c r="AG107" s="75">
        <v>1333996</v>
      </c>
      <c r="AH107" s="45">
        <v>1745</v>
      </c>
      <c r="AI107" s="45">
        <v>1745</v>
      </c>
      <c r="AJ107" s="86">
        <f>TABL123[[#This Row],[(A/B TOT) AJD]]-TABL123[[#This Row],[BER_ IN]]</f>
        <v>491</v>
      </c>
      <c r="AK107" s="75">
        <v>6</v>
      </c>
      <c r="AL107" s="96">
        <v>42.745600000000003</v>
      </c>
      <c r="AM107" s="96">
        <v>2971220</v>
      </c>
      <c r="AN107" s="96">
        <f>TABL123[[#This Row],[ (RESV. STORGE) SER]]/10</f>
        <v>297122</v>
      </c>
      <c r="AO107" s="45">
        <v>1740</v>
      </c>
      <c r="AP107" s="32">
        <f>TABL123[[#This Row],[(A/S TOT) AJD]]-TABL123[[#This Row],[SER_ 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Row],[خط (T/B  TOT) SAR]]+TABL123[[#This Row],[خط (S/S  TOT) SAR2]]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Row],[خط (S/S  TOT) SAR2]]-TABL123[[#This Row],[(S/S TOT) AJD]]</f>
        <v>43</v>
      </c>
      <c r="Q108" s="39">
        <v>419</v>
      </c>
      <c r="R108" s="3">
        <f>TABL123[[#This Row],[خط (T/B  TOT) SAR]]-TABL123[[#This Row],[(T/B TOT) AJD]]</f>
        <v>29</v>
      </c>
      <c r="S108" s="3">
        <f>TABL123[[#This Row],[الفرق بين بداية ونهاية خط  T/B]]+TABL123[[#This Row],[الفرق بين بداية ونهاية خط  S/S]]</f>
        <v>72</v>
      </c>
      <c r="T108" s="3">
        <f>TABL123[[#This Row],[(S/S TOT) AJD]]+TABL123[[#This Row],[(T/B TOT) AJD]]</f>
        <v>807</v>
      </c>
      <c r="U108" s="41">
        <v>553</v>
      </c>
      <c r="V108" s="41">
        <v>227</v>
      </c>
      <c r="W108" s="3">
        <f>TABL123[[#This Row],[(A/B TOT) AJD]]+TABL123[[#This Row],[(A/S TOT)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91">
        <f>TABL123[[#This Row],[( S/S+T/B) AJD]]-(TABL123[[#This Row],[(A/B + A/S) AJD]]+(TABL123[[#This Row],[(STORGE DIFF.) AJD]]*1000)+TABL123[[#This Row],[البخر  AJD]])</f>
        <v>-14977</v>
      </c>
      <c r="AE108" s="75">
        <v>60</v>
      </c>
      <c r="AF108" s="75">
        <v>58.58</v>
      </c>
      <c r="AG108" s="75">
        <v>1347126</v>
      </c>
      <c r="AH108" s="43">
        <v>2275</v>
      </c>
      <c r="AI108" s="43">
        <v>2275</v>
      </c>
      <c r="AJ108" s="86">
        <f>TABL123[[#This Row],[(A/B TOT) AJD]]-TABL123[[#This Row],[BER_ IN]]</f>
        <v>493</v>
      </c>
      <c r="AK108" s="75">
        <v>0</v>
      </c>
      <c r="AL108" s="96">
        <v>42.700600000000001</v>
      </c>
      <c r="AM108" s="96">
        <v>2946760</v>
      </c>
      <c r="AN108" s="96">
        <f>TABL123[[#This Row],[ (RESV. STORGE) SER]]/10</f>
        <v>294676</v>
      </c>
      <c r="AO108" s="43">
        <v>1860</v>
      </c>
      <c r="AP108" s="32">
        <f>TABL123[[#This Row],[(A/S TOT) AJD]]-TABL123[[#This Row],[SER_ 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Row],[خط (T/B  TOT) SAR]]+TABL123[[#This Row],[خط (S/S  TOT) SAR2]]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Row],[خط (S/S  TOT) SAR2]]-TABL123[[#This Row],[(S/S TOT) AJD]]</f>
        <v>49</v>
      </c>
      <c r="Q109" s="40">
        <v>422</v>
      </c>
      <c r="R109" s="3">
        <f>TABL123[[#This Row],[خط (T/B  TOT) SAR]]-TABL123[[#This Row],[(T/B TOT) AJD]]</f>
        <v>33</v>
      </c>
      <c r="S109" s="3">
        <f>TABL123[[#This Row],[الفرق بين بداية ونهاية خط  T/B]]+TABL123[[#This Row],[الفرق بين بداية ونهاية خط  S/S]]</f>
        <v>82</v>
      </c>
      <c r="T109" s="3">
        <f>TABL123[[#This Row],[(S/S TOT) AJD]]+TABL123[[#This Row],[(T/B TOT) AJD]]</f>
        <v>812</v>
      </c>
      <c r="U109" s="44">
        <v>553</v>
      </c>
      <c r="V109" s="44">
        <v>243</v>
      </c>
      <c r="W109" s="3">
        <f>TABL123[[#This Row],[(A/B TOT) AJD]]+TABL123[[#This Row],[(A/S TOT)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91">
        <f>TABL123[[#This Row],[( S/S+T/B) AJD]]-(TABL123[[#This Row],[(A/B + A/S) AJD]]+(TABL123[[#This Row],[(STORGE DIFF.) AJD]]*1000)+TABL123[[#This Row],[البخر  AJD]])</f>
        <v>8092</v>
      </c>
      <c r="AE109" s="75">
        <v>60</v>
      </c>
      <c r="AF109" s="75">
        <v>58.6</v>
      </c>
      <c r="AG109" s="75">
        <v>1360259</v>
      </c>
      <c r="AH109" s="45">
        <v>2309</v>
      </c>
      <c r="AI109" s="45">
        <v>2309</v>
      </c>
      <c r="AJ109" s="86">
        <f>TABL123[[#This Row],[(A/B TOT) AJD]]-TABL123[[#This Row],[BER_ IN]]</f>
        <v>493</v>
      </c>
      <c r="AK109" s="75">
        <v>0</v>
      </c>
      <c r="AL109" s="96">
        <v>42.674399999999999</v>
      </c>
      <c r="AM109" s="96">
        <v>2932700</v>
      </c>
      <c r="AN109" s="96">
        <f>TABL123[[#This Row],[ (RESV. STORGE) SER]]/10</f>
        <v>293270</v>
      </c>
      <c r="AO109" s="45">
        <v>1860</v>
      </c>
      <c r="AP109" s="32">
        <f>TABL123[[#This Row],[(A/S TOT) AJD]]-TABL123[[#This Row],[SER_ 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Row],[خط (T/B  TOT) SAR]]+TABL123[[#This Row],[خط (S/S  TOT) SAR2]]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Row],[خط (S/S  TOT) SAR2]]-TABL123[[#This Row],[(S/S TOT) AJD]]</f>
        <v>50</v>
      </c>
      <c r="Q110" s="39">
        <v>428</v>
      </c>
      <c r="R110" s="3">
        <f>TABL123[[#This Row],[خط (T/B  TOT) SAR]]-TABL123[[#This Row],[(T/B TOT) AJD]]</f>
        <v>35</v>
      </c>
      <c r="S110" s="3">
        <f>TABL123[[#This Row],[الفرق بين بداية ونهاية خط  T/B]]+TABL123[[#This Row],[الفرق بين بداية ونهاية خط  S/S]]</f>
        <v>85</v>
      </c>
      <c r="T110" s="3">
        <f>TABL123[[#This Row],[(S/S TOT) AJD]]+TABL123[[#This Row],[(T/B TOT) AJD]]</f>
        <v>824</v>
      </c>
      <c r="U110" s="41">
        <v>552</v>
      </c>
      <c r="V110" s="41">
        <v>198</v>
      </c>
      <c r="W110" s="3">
        <f>TABL123[[#This Row],[(A/B TOT) AJD]]+TABL123[[#This Row],[(A/S TOT)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91">
        <f>TABL123[[#This Row],[( S/S+T/B) AJD]]-(TABL123[[#This Row],[(A/B + A/S) AJD]]+(TABL123[[#This Row],[(STORGE DIFF.) AJD]]*1000)+TABL123[[#This Row],[البخر  AJD]])</f>
        <v>-49072</v>
      </c>
      <c r="AE110" s="75">
        <v>60</v>
      </c>
      <c r="AF110" s="75">
        <v>58.62</v>
      </c>
      <c r="AG110" s="75">
        <v>1373396</v>
      </c>
      <c r="AH110" s="43">
        <v>2424</v>
      </c>
      <c r="AI110" s="43">
        <v>2424</v>
      </c>
      <c r="AJ110" s="86">
        <f>TABL123[[#This Row],[(A/B TOT) AJD]]-TABL123[[#This Row],[BER_ IN]]</f>
        <v>492</v>
      </c>
      <c r="AK110" s="75">
        <v>0</v>
      </c>
      <c r="AL110" s="96">
        <v>42.6447</v>
      </c>
      <c r="AM110" s="96">
        <v>2916590</v>
      </c>
      <c r="AN110" s="96">
        <f>TABL123[[#This Row],[ (RESV. STORGE) SER]]/10</f>
        <v>291659</v>
      </c>
      <c r="AO110" s="43">
        <v>1810</v>
      </c>
      <c r="AP110" s="32">
        <f>TABL123[[#This Row],[(A/S TOT) AJD]]-TABL123[[#This Row],[SER_ 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Row],[خط (T/B  TOT) SAR]]+TABL123[[#This Row],[خط (S/S  TOT) SAR2]]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Row],[خط (S/S  TOT) SAR2]]-TABL123[[#This Row],[(S/S TOT) AJD]]</f>
        <v>43</v>
      </c>
      <c r="Q111" s="40">
        <v>435</v>
      </c>
      <c r="R111" s="3">
        <f>TABL123[[#This Row],[خط (T/B  TOT) SAR]]-TABL123[[#This Row],[(T/B TOT) AJD]]</f>
        <v>28</v>
      </c>
      <c r="S111" s="3">
        <f>TABL123[[#This Row],[الفرق بين بداية ونهاية خط  T/B]]+TABL123[[#This Row],[الفرق بين بداية ونهاية خط  S/S]]</f>
        <v>71</v>
      </c>
      <c r="T111" s="3">
        <f>TABL123[[#This Row],[(S/S TOT) AJD]]+TABL123[[#This Row],[(T/B TOT) AJD]]</f>
        <v>838</v>
      </c>
      <c r="U111" s="44">
        <v>559</v>
      </c>
      <c r="V111" s="44">
        <v>207</v>
      </c>
      <c r="W111" s="3">
        <f>TABL123[[#This Row],[(A/B TOT) AJD]]+TABL123[[#This Row],[(A/S TOT)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91">
        <f>TABL123[[#This Row],[( S/S+T/B) AJD]]-(TABL123[[#This Row],[(A/B + A/S) AJD]]+(TABL123[[#This Row],[(STORGE DIFF.) AJD]]*1000)+TABL123[[#This Row],[البخر  AJD]])</f>
        <v>-46651</v>
      </c>
      <c r="AE111" s="75">
        <v>69</v>
      </c>
      <c r="AF111" s="75">
        <v>58.55</v>
      </c>
      <c r="AG111" s="75">
        <v>1327432</v>
      </c>
      <c r="AH111" s="45">
        <v>2063</v>
      </c>
      <c r="AI111" s="45">
        <v>2063</v>
      </c>
      <c r="AJ111" s="86">
        <f>TABL123[[#This Row],[(A/B TOT) AJD]]-TABL123[[#This Row],[BER_ IN]]</f>
        <v>490</v>
      </c>
      <c r="AK111" s="75">
        <v>0</v>
      </c>
      <c r="AL111" s="96">
        <v>42.598100000000002</v>
      </c>
      <c r="AM111" s="96">
        <v>2891290</v>
      </c>
      <c r="AN111" s="96">
        <f>TABL123[[#This Row],[ (RESV. STORGE) SER]]/10</f>
        <v>289129</v>
      </c>
      <c r="AO111" s="45">
        <v>1800</v>
      </c>
      <c r="AP111" s="32">
        <f>TABL123[[#This Row],[(A/S TOT) AJD]]-TABL123[[#This Row],[SER_ 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Row],[خط (T/B  TOT) SAR]]+TABL123[[#This Row],[خط (S/S  TOT) SAR2]]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Row],[خط (S/S  TOT) SAR2]]-TABL123[[#This Row],[(S/S TOT) AJD]]</f>
        <v>40</v>
      </c>
      <c r="Q112" s="39">
        <v>435</v>
      </c>
      <c r="R112" s="3">
        <f>TABL123[[#This Row],[خط (T/B  TOT) SAR]]-TABL123[[#This Row],[(T/B TOT) AJD]]</f>
        <v>25</v>
      </c>
      <c r="S112" s="3">
        <f>TABL123[[#This Row],[الفرق بين بداية ونهاية خط  T/B]]+TABL123[[#This Row],[الفرق بين بداية ونهاية خط  S/S]]</f>
        <v>65</v>
      </c>
      <c r="T112" s="3">
        <f>TABL123[[#This Row],[(S/S TOT) AJD]]+TABL123[[#This Row],[(T/B TOT) AJD]]</f>
        <v>839</v>
      </c>
      <c r="U112" s="41">
        <v>564</v>
      </c>
      <c r="V112" s="41">
        <v>240</v>
      </c>
      <c r="W112" s="3">
        <f>TABL123[[#This Row],[(A/B TOT) AJD]]+TABL123[[#This Row],[(A/S TOT)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91">
        <f>TABL123[[#This Row],[( S/S+T/B) AJD]]-(TABL123[[#This Row],[(A/B + A/S) AJD]]+(TABL123[[#This Row],[(STORGE DIFF.) AJD]]*1000)+TABL123[[#This Row],[البخر  AJD]])</f>
        <v>-18903</v>
      </c>
      <c r="AE112" s="75">
        <v>70</v>
      </c>
      <c r="AF112" s="75">
        <v>58.47</v>
      </c>
      <c r="AG112" s="75">
        <v>1274954</v>
      </c>
      <c r="AH112" s="43">
        <v>2278</v>
      </c>
      <c r="AI112" s="43">
        <v>2278</v>
      </c>
      <c r="AJ112" s="86">
        <f>TABL123[[#This Row],[(A/B TOT) AJD]]-TABL123[[#This Row],[BER_ IN]]</f>
        <v>494</v>
      </c>
      <c r="AK112" s="75">
        <v>0</v>
      </c>
      <c r="AL112" s="96">
        <v>42.552300000000002</v>
      </c>
      <c r="AM112" s="96">
        <v>2866550</v>
      </c>
      <c r="AN112" s="96">
        <f>TABL123[[#This Row],[ (RESV. STORGE) SER]]/10</f>
        <v>286655</v>
      </c>
      <c r="AO112" s="43">
        <v>1840</v>
      </c>
      <c r="AP112" s="32">
        <f>TABL123[[#This Row],[(A/S TOT) AJD]]-TABL123[[#This Row],[SER_ 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Row],[خط (T/B  TOT) SAR]]+TABL123[[#This Row],[خط (S/S  TOT) SAR2]]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Row],[خط (S/S  TOT) SAR2]]-TABL123[[#This Row],[(S/S TOT) AJD]]</f>
        <v>40</v>
      </c>
      <c r="Q113" s="40">
        <v>432</v>
      </c>
      <c r="R113" s="3">
        <f>TABL123[[#This Row],[خط (T/B  TOT) SAR]]-TABL123[[#This Row],[(T/B TOT) AJD]]</f>
        <v>25</v>
      </c>
      <c r="S113" s="3">
        <f>TABL123[[#This Row],[الفرق بين بداية ونهاية خط  T/B]]+TABL123[[#This Row],[الفرق بين بداية ونهاية خط  S/S]]</f>
        <v>65</v>
      </c>
      <c r="T113" s="3">
        <f>TABL123[[#This Row],[(S/S TOT) AJD]]+TABL123[[#This Row],[(T/B TOT) AJD]]</f>
        <v>832</v>
      </c>
      <c r="U113" s="44">
        <v>584</v>
      </c>
      <c r="V113" s="44">
        <v>254</v>
      </c>
      <c r="W113" s="3">
        <f>TABL123[[#This Row],[(A/B TOT) AJD]]+TABL123[[#This Row],[(A/S TOT)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91">
        <f>TABL123[[#This Row],[( S/S+T/B) AJD]]-(TABL123[[#This Row],[(A/B + A/S) AJD]]+(TABL123[[#This Row],[(STORGE DIFF.) AJD]]*1000)+TABL123[[#This Row],[البخر  AJD]])</f>
        <v>40412</v>
      </c>
      <c r="AE113" s="75">
        <v>78</v>
      </c>
      <c r="AF113" s="75">
        <v>58.41</v>
      </c>
      <c r="AG113" s="75">
        <v>1235632</v>
      </c>
      <c r="AH113" s="45">
        <v>2396</v>
      </c>
      <c r="AI113" s="45">
        <v>2396</v>
      </c>
      <c r="AJ113" s="86">
        <f>TABL123[[#This Row],[(A/B TOT) AJD]]-TABL123[[#This Row],[BER_ IN]]</f>
        <v>506</v>
      </c>
      <c r="AK113" s="75">
        <v>0</v>
      </c>
      <c r="AL113" s="96">
        <v>42.513199999999998</v>
      </c>
      <c r="AM113" s="96">
        <v>2845590</v>
      </c>
      <c r="AN113" s="96">
        <f>TABL123[[#This Row],[ (RESV. STORGE) SER]]/10</f>
        <v>284559</v>
      </c>
      <c r="AO113" s="45">
        <v>1860</v>
      </c>
      <c r="AP113" s="32">
        <f>TABL123[[#This Row],[(A/S TOT) AJD]]-TABL123[[#This Row],[SER_ 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Row],[خط (T/B  TOT) SAR]]+TABL123[[#This Row],[خط (S/S  TOT) SAR2]]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Row],[خط (S/S  TOT) SAR2]]-TABL123[[#This Row],[(S/S TOT) AJD]]</f>
        <v>46</v>
      </c>
      <c r="Q114" s="39">
        <v>430</v>
      </c>
      <c r="R114" s="3">
        <f>TABL123[[#This Row],[خط (T/B  TOT) SAR]]-TABL123[[#This Row],[(T/B TOT) AJD]]</f>
        <v>29</v>
      </c>
      <c r="S114" s="3">
        <f>TABL123[[#This Row],[الفرق بين بداية ونهاية خط  T/B]]+TABL123[[#This Row],[الفرق بين بداية ونهاية خط  S/S]]</f>
        <v>75</v>
      </c>
      <c r="T114" s="3">
        <f>TABL123[[#This Row],[(S/S TOT) AJD]]+TABL123[[#This Row],[(T/B TOT) AJD]]</f>
        <v>828</v>
      </c>
      <c r="U114" s="41">
        <v>597</v>
      </c>
      <c r="V114" s="41">
        <v>261</v>
      </c>
      <c r="W114" s="3">
        <f>TABL123[[#This Row],[(A/B TOT) AJD]]+TABL123[[#This Row],[(A/S TOT)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91">
        <f>TABL123[[#This Row],[( S/S+T/B) AJD]]-(TABL123[[#This Row],[(A/B + A/S) AJD]]+(TABL123[[#This Row],[(STORGE DIFF.) AJD]]*1000)+TABL123[[#This Row],[البخر  AJD]])</f>
        <v>62183</v>
      </c>
      <c r="AE114" s="75">
        <v>80</v>
      </c>
      <c r="AF114" s="75">
        <v>58.35</v>
      </c>
      <c r="AG114" s="75">
        <v>1196341</v>
      </c>
      <c r="AH114" s="43">
        <v>2308</v>
      </c>
      <c r="AI114" s="43">
        <v>2308</v>
      </c>
      <c r="AJ114" s="86">
        <f>TABL123[[#This Row],[(A/B TOT) AJD]]-TABL123[[#This Row],[BER_ IN]]</f>
        <v>517</v>
      </c>
      <c r="AK114" s="75">
        <v>0</v>
      </c>
      <c r="AL114" s="96">
        <v>42.4604</v>
      </c>
      <c r="AM114" s="96">
        <v>2817120</v>
      </c>
      <c r="AN114" s="96">
        <f>TABL123[[#This Row],[ (RESV. STORGE) SER]]/10</f>
        <v>281712</v>
      </c>
      <c r="AO114" s="43">
        <v>1870</v>
      </c>
      <c r="AP114" s="32">
        <f>TABL123[[#This Row],[(A/S TOT) AJD]]-TABL123[[#This Row],[SER_ 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Row],[خط (T/B  TOT) SAR]]+TABL123[[#This Row],[خط (S/S  TOT) SAR2]]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Row],[خط (S/S  TOT) SAR2]]-TABL123[[#This Row],[(S/S TOT) AJD]]</f>
        <v>43</v>
      </c>
      <c r="Q115" s="40">
        <v>431</v>
      </c>
      <c r="R115" s="3">
        <f>TABL123[[#This Row],[خط (T/B  TOT) SAR]]-TABL123[[#This Row],[(T/B TOT) AJD]]</f>
        <v>29</v>
      </c>
      <c r="S115" s="3">
        <f>TABL123[[#This Row],[الفرق بين بداية ونهاية خط  T/B]]+TABL123[[#This Row],[الفرق بين بداية ونهاية خط  S/S]]</f>
        <v>72</v>
      </c>
      <c r="T115" s="3">
        <f>TABL123[[#This Row],[(S/S TOT) AJD]]+TABL123[[#This Row],[(T/B TOT) AJD]]</f>
        <v>831</v>
      </c>
      <c r="U115" s="44">
        <v>588</v>
      </c>
      <c r="V115" s="44">
        <v>213</v>
      </c>
      <c r="W115" s="3">
        <f>TABL123[[#This Row],[(A/B TOT) AJD]]+TABL123[[#This Row],[(A/S TOT)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91">
        <f>TABL123[[#This Row],[( S/S+T/B) AJD]]-(TABL123[[#This Row],[(A/B + A/S) AJD]]+(TABL123[[#This Row],[(STORGE DIFF.) AJD]]*1000)+TABL123[[#This Row],[البخر  AJD]])</f>
        <v>-20688</v>
      </c>
      <c r="AE115" s="75">
        <v>80</v>
      </c>
      <c r="AF115" s="75">
        <v>58.36</v>
      </c>
      <c r="AG115" s="75">
        <v>1202887</v>
      </c>
      <c r="AH115" s="45">
        <v>2472</v>
      </c>
      <c r="AI115" s="45">
        <v>2472</v>
      </c>
      <c r="AJ115" s="86">
        <f>TABL123[[#This Row],[(A/B TOT) AJD]]-TABL123[[#This Row],[BER_ IN]]</f>
        <v>508</v>
      </c>
      <c r="AK115" s="75">
        <v>0</v>
      </c>
      <c r="AL115" s="96">
        <v>42.4161</v>
      </c>
      <c r="AM115" s="96">
        <v>2793590</v>
      </c>
      <c r="AN115" s="96">
        <f>TABL123[[#This Row],[ (RESV. STORGE) SER]]/10</f>
        <v>279359</v>
      </c>
      <c r="AO115" s="45">
        <v>1830</v>
      </c>
      <c r="AP115" s="32">
        <f>TABL123[[#This Row],[(A/S TOT) AJD]]-TABL123[[#This Row],[SER_ 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Row],[خط (T/B  TOT) SAR]]+TABL123[[#This Row],[خط (S/S  TOT) SAR2]]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Row],[خط (S/S  TOT) SAR2]]-TABL123[[#This Row],[(S/S TOT) AJD]]</f>
        <v>46</v>
      </c>
      <c r="Q116" s="39">
        <v>434</v>
      </c>
      <c r="R116" s="3">
        <f>TABL123[[#This Row],[خط (T/B  TOT) SAR]]-TABL123[[#This Row],[(T/B TOT) AJD]]</f>
        <v>32</v>
      </c>
      <c r="S116" s="3">
        <f>TABL123[[#This Row],[الفرق بين بداية ونهاية خط  T/B]]+TABL123[[#This Row],[الفرق بين بداية ونهاية خط  S/S]]</f>
        <v>78</v>
      </c>
      <c r="T116" s="3">
        <f>TABL123[[#This Row],[(S/S TOT) AJD]]+TABL123[[#This Row],[(T/B TOT) AJD]]</f>
        <v>836</v>
      </c>
      <c r="U116" s="41">
        <v>587</v>
      </c>
      <c r="V116" s="41">
        <v>207</v>
      </c>
      <c r="W116" s="3">
        <f>TABL123[[#This Row],[(A/B TOT) AJD]]+TABL123[[#This Row],[(A/S TOT)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91">
        <f>TABL123[[#This Row],[( S/S+T/B) AJD]]-(TABL123[[#This Row],[(A/B + A/S) AJD]]+(TABL123[[#This Row],[(STORGE DIFF.) AJD]]*1000)+TABL123[[#This Row],[البخر  AJD]])</f>
        <v>-17294</v>
      </c>
      <c r="AE116" s="75">
        <v>80</v>
      </c>
      <c r="AF116" s="75">
        <v>58.39</v>
      </c>
      <c r="AG116" s="75">
        <v>1222531</v>
      </c>
      <c r="AH116" s="43">
        <v>2012</v>
      </c>
      <c r="AI116" s="43">
        <v>2012</v>
      </c>
      <c r="AJ116" s="86">
        <f>TABL123[[#This Row],[(A/B TOT) AJD]]-TABL123[[#This Row],[BER_ IN]]</f>
        <v>507</v>
      </c>
      <c r="AK116" s="75">
        <v>0</v>
      </c>
      <c r="AL116" s="96">
        <v>42.399000000000001</v>
      </c>
      <c r="AM116" s="96">
        <v>2784380</v>
      </c>
      <c r="AN116" s="96">
        <f>TABL123[[#This Row],[ (RESV. STORGE) SER]]/10</f>
        <v>278438</v>
      </c>
      <c r="AO116" s="43">
        <v>1810</v>
      </c>
      <c r="AP116" s="32">
        <f>TABL123[[#This Row],[(A/S TOT) AJD]]-TABL123[[#This Row],[SER_ IN]]</f>
        <v>207</v>
      </c>
    </row>
    <row r="117" spans="1:42" ht="18.75" x14ac:dyDescent="0.3">
      <c r="A117" s="2">
        <v>46138</v>
      </c>
      <c r="B117" s="44">
        <v>36</v>
      </c>
      <c r="C117" s="74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Row],[خط (T/B  TOT) SAR]]+TABL123[[#This Row],[خط (S/S  TOT) SAR2]]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Row],[خط (S/S  TOT) SAR2]]-TABL123[[#This Row],[(S/S TOT) AJD]]</f>
        <v>43</v>
      </c>
      <c r="Q117" s="40">
        <v>440</v>
      </c>
      <c r="R117" s="3">
        <f>TABL123[[#This Row],[خط (T/B  TOT) SAR]]-TABL123[[#This Row],[(T/B TOT) AJD]]</f>
        <v>29</v>
      </c>
      <c r="S117" s="3">
        <f>TABL123[[#This Row],[الفرق بين بداية ونهاية خط  T/B]]+TABL123[[#This Row],[الفرق بين بداية ونهاية خط  S/S]]</f>
        <v>72</v>
      </c>
      <c r="T117" s="3">
        <f>TABL123[[#This Row],[(S/S TOT) AJD]]+TABL123[[#This Row],[(T/B TOT) AJD]]</f>
        <v>848</v>
      </c>
      <c r="U117" s="44">
        <v>590</v>
      </c>
      <c r="V117" s="44">
        <v>230</v>
      </c>
      <c r="W117" s="3">
        <f>TABL123[[#This Row],[(A/B TOT) AJD]]+TABL123[[#This Row],[(A/S TOT)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91">
        <f>TABL123[[#This Row],[( S/S+T/B) AJD]]-(TABL123[[#This Row],[(A/B + A/S) AJD]]+(TABL123[[#This Row],[(STORGE DIFF.) AJD]]*1000)+TABL123[[#This Row],[البخر  AJD]])</f>
        <v>-15806</v>
      </c>
      <c r="AE117" s="75">
        <v>80</v>
      </c>
      <c r="AF117" s="75">
        <v>58.41</v>
      </c>
      <c r="AG117" s="75">
        <v>1235632</v>
      </c>
      <c r="AH117" s="45">
        <v>2203</v>
      </c>
      <c r="AI117" s="45">
        <v>2203</v>
      </c>
      <c r="AJ117" s="86">
        <f>TABL123[[#This Row],[(A/B TOT) AJD]]-TABL123[[#This Row],[BER_ IN]]</f>
        <v>510</v>
      </c>
      <c r="AK117" s="75">
        <v>0</v>
      </c>
      <c r="AL117" s="96">
        <v>42.362099999999998</v>
      </c>
      <c r="AM117" s="96">
        <v>2764530</v>
      </c>
      <c r="AN117" s="96">
        <f>TABL123[[#This Row],[ (RESV. STORGE) SER]]/10</f>
        <v>276453</v>
      </c>
      <c r="AO117" s="45">
        <v>1850</v>
      </c>
      <c r="AP117" s="32">
        <f>TABL123[[#This Row],[(A/S TOT) AJD]]-TABL123[[#This Row],[SER_ 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Row],[خط (T/B  TOT) SAR]]+TABL123[[#This Row],[خط (S/S  TOT) SAR2]]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Row],[خط (S/S  TOT) SAR2]]-TABL123[[#This Row],[(S/S TOT) AJD]]</f>
        <v>-30</v>
      </c>
      <c r="Q118" s="39">
        <v>440</v>
      </c>
      <c r="R118" s="3">
        <f>TABL123[[#This Row],[خط (T/B  TOT) SAR]]-TABL123[[#This Row],[(T/B TOT) AJD]]</f>
        <v>-51</v>
      </c>
      <c r="S118" s="3">
        <f>TABL123[[#This Row],[الفرق بين بداية ونهاية خط  T/B]]+TABL123[[#This Row],[الفرق بين بداية ونهاية خط  S/S]]</f>
        <v>-81</v>
      </c>
      <c r="T118" s="3">
        <f>TABL123[[#This Row],[(S/S TOT) AJD]]+TABL123[[#This Row],[(T/B TOT) AJD]]</f>
        <v>846</v>
      </c>
      <c r="U118" s="41">
        <v>586</v>
      </c>
      <c r="V118" s="41">
        <v>237</v>
      </c>
      <c r="W118" s="3">
        <f>TABL123[[#This Row],[(A/B TOT) AJD]]+TABL123[[#This Row],[(A/S TOT)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91">
        <f>TABL123[[#This Row],[( S/S+T/B) AJD]]-(TABL123[[#This Row],[(A/B + A/S) AJD]]+(TABL123[[#This Row],[(STORGE DIFF.) AJD]]*1000)+TABL123[[#This Row],[البخر  AJD]])</f>
        <v>7522</v>
      </c>
      <c r="AE118" s="75">
        <v>80</v>
      </c>
      <c r="AF118" s="75">
        <v>58.45</v>
      </c>
      <c r="AG118" s="75">
        <v>1261843</v>
      </c>
      <c r="AH118" s="43">
        <v>2328</v>
      </c>
      <c r="AI118" s="43">
        <v>2328</v>
      </c>
      <c r="AJ118" s="86">
        <f>TABL123[[#This Row],[(A/B TOT) AJD]]-TABL123[[#This Row],[BER_ IN]]</f>
        <v>506</v>
      </c>
      <c r="AK118" s="75">
        <v>0</v>
      </c>
      <c r="AL118" s="96">
        <v>42.308500000000002</v>
      </c>
      <c r="AM118" s="96">
        <v>2735590</v>
      </c>
      <c r="AN118" s="96">
        <f>TABL123[[#This Row],[ (RESV. STORGE) SER]]/10</f>
        <v>273559</v>
      </c>
      <c r="AO118" s="43">
        <v>1840</v>
      </c>
      <c r="AP118" s="32">
        <f>TABL123[[#This Row],[(A/S TOT) AJD]]-TABL123[[#This Row],[SER_ 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Row],[خط (T/B  TOT) SAR]]+TABL123[[#This Row],[خط (S/S  TOT) SAR2]]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Row],[خط (S/S  TOT) SAR2]]-TABL123[[#This Row],[(S/S TOT) AJD]]</f>
        <v>42</v>
      </c>
      <c r="Q119" s="40">
        <v>440</v>
      </c>
      <c r="R119" s="3">
        <f>TABL123[[#This Row],[خط (T/B  TOT) SAR]]-TABL123[[#This Row],[(T/B TOT) AJD]]</f>
        <v>25</v>
      </c>
      <c r="S119" s="3">
        <f>TABL123[[#This Row],[الفرق بين بداية ونهاية خط  T/B]]+TABL123[[#This Row],[الفرق بين بداية ونهاية خط  S/S]]</f>
        <v>67</v>
      </c>
      <c r="T119" s="3">
        <f>TABL123[[#This Row],[(S/S TOT) AJD]]+TABL123[[#This Row],[(T/B TOT) AJD]]</f>
        <v>846</v>
      </c>
      <c r="U119" s="44">
        <v>586</v>
      </c>
      <c r="V119" s="44">
        <v>237</v>
      </c>
      <c r="W119" s="3">
        <f>TABL123[[#This Row],[(A/B TOT) AJD]]+TABL123[[#This Row],[(A/S TOT)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91">
        <f>TABL123[[#This Row],[( S/S+T/B) AJD]]-(TABL123[[#This Row],[(A/B + A/S) AJD]]+(TABL123[[#This Row],[(STORGE DIFF.) AJD]]*1000)+TABL123[[#This Row],[البخر  AJD]])</f>
        <v>-1366</v>
      </c>
      <c r="AE119" s="75">
        <v>58</v>
      </c>
      <c r="AF119" s="75">
        <v>58.43</v>
      </c>
      <c r="AG119" s="75">
        <v>1248736</v>
      </c>
      <c r="AH119" s="45">
        <v>1387</v>
      </c>
      <c r="AI119" s="45">
        <v>1387</v>
      </c>
      <c r="AJ119" s="86">
        <f>TABL123[[#This Row],[(A/B TOT) AJD]]-TABL123[[#This Row],[BER_ IN]]</f>
        <v>528</v>
      </c>
      <c r="AK119" s="75">
        <v>0</v>
      </c>
      <c r="AL119" s="96">
        <v>42.298299999999998</v>
      </c>
      <c r="AM119" s="96">
        <v>2730770</v>
      </c>
      <c r="AN119" s="96">
        <f>TABL123[[#This Row],[ (RESV. STORGE) SER]]/10</f>
        <v>273077</v>
      </c>
      <c r="AO119" s="45">
        <v>1387</v>
      </c>
      <c r="AP119" s="32">
        <f>TABL123[[#This Row],[(A/S TOT) AJD]]-TABL123[[#This Row],[SER_ 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Row],[خط (T/B  TOT) SAR]]+TABL123[[#This Row],[خط (S/S  TOT) SAR2]]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Row],[خط (S/S  TOT) SAR2]]-TABL123[[#This Row],[(S/S TOT) AJD]]</f>
        <v>41</v>
      </c>
      <c r="Q120" s="39">
        <v>428</v>
      </c>
      <c r="R120" s="3">
        <f>TABL123[[#This Row],[خط (T/B  TOT) SAR]]-TABL123[[#This Row],[(T/B TOT) AJD]]</f>
        <v>34</v>
      </c>
      <c r="S120" s="3">
        <f>TABL123[[#This Row],[الفرق بين بداية ونهاية خط  T/B]]+TABL123[[#This Row],[الفرق بين بداية ونهاية خط  S/S]]</f>
        <v>75</v>
      </c>
      <c r="T120" s="3">
        <f>TABL123[[#This Row],[(S/S TOT) AJD]]+TABL123[[#This Row],[(T/B TOT) AJD]]</f>
        <v>832</v>
      </c>
      <c r="U120" s="41">
        <v>508</v>
      </c>
      <c r="V120" s="41">
        <v>224</v>
      </c>
      <c r="W120" s="3">
        <f>TABL123[[#This Row],[(A/B TOT) AJD]]+TABL123[[#This Row],[(A/S TOT)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91">
        <f>TABL123[[#This Row],[( S/S+T/B) AJD]]-(TABL123[[#This Row],[(A/B + A/S) AJD]]+(TABL123[[#This Row],[(STORGE DIFF.) AJD]]*1000)+TABL123[[#This Row],[البخر  AJD]])</f>
        <v>-64556</v>
      </c>
      <c r="AE120" s="75">
        <v>49</v>
      </c>
      <c r="AF120" s="75">
        <v>58.4</v>
      </c>
      <c r="AG120" s="75">
        <v>1229081</v>
      </c>
      <c r="AH120" s="43">
        <v>2254</v>
      </c>
      <c r="AI120" s="43">
        <v>2254</v>
      </c>
      <c r="AJ120" s="86">
        <f>TABL123[[#This Row],[(A/B TOT) AJD]]-TABL123[[#This Row],[BER_ IN]]</f>
        <v>459</v>
      </c>
      <c r="AK120" s="75">
        <v>0</v>
      </c>
      <c r="AL120" s="96">
        <v>42.291600000000003</v>
      </c>
      <c r="AM120" s="96">
        <v>2727870</v>
      </c>
      <c r="AN120" s="96">
        <f>TABL123[[#This Row],[ (RESV. STORGE) SER]]/10</f>
        <v>272787</v>
      </c>
      <c r="AO120" s="43">
        <v>1900</v>
      </c>
      <c r="AP120" s="32">
        <f>TABL123[[#This Row],[(A/S TOT) AJD]]-TABL123[[#This Row],[SER_ 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Row],[خط (T/B  TOT) SAR]]+TABL123[[#This Row],[خط (S/S  TOT) SAR2]]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Row],[خط (S/S  TOT) SAR2]]-TABL123[[#This Row],[(S/S TOT) AJD]]</f>
        <v>45</v>
      </c>
      <c r="Q121" s="40">
        <v>433</v>
      </c>
      <c r="R121" s="3">
        <f>TABL123[[#This Row],[خط (T/B  TOT) SAR]]-TABL123[[#This Row],[(T/B TOT) AJD]]</f>
        <v>30</v>
      </c>
      <c r="S121" s="3">
        <f>TABL123[[#This Row],[الفرق بين بداية ونهاية خط  T/B]]+TABL123[[#This Row],[الفرق بين بداية ونهاية خط  S/S]]</f>
        <v>75</v>
      </c>
      <c r="T121" s="3">
        <f>TABL123[[#This Row],[(S/S TOT) AJD]]+TABL123[[#This Row],[(T/B TOT) AJD]]</f>
        <v>834</v>
      </c>
      <c r="U121" s="44">
        <v>529</v>
      </c>
      <c r="V121" s="44">
        <v>198</v>
      </c>
      <c r="W121" s="3">
        <f>TABL123[[#This Row],[(A/B TOT) AJD]]+TABL123[[#This Row],[(A/S TOT)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91">
        <f>TABL123[[#This Row],[( S/S+T/B) AJD]]-(TABL123[[#This Row],[(A/B + A/S) AJD]]+(TABL123[[#This Row],[(STORGE DIFF.) AJD]]*1000)+TABL123[[#This Row],[البخر  AJD]])</f>
        <v>-76315</v>
      </c>
      <c r="AE121" s="75">
        <v>49</v>
      </c>
      <c r="AF121" s="75">
        <v>58.35</v>
      </c>
      <c r="AG121" s="75">
        <v>1196341</v>
      </c>
      <c r="AH121" s="45">
        <v>2060</v>
      </c>
      <c r="AI121" s="45">
        <v>2060</v>
      </c>
      <c r="AJ121" s="86">
        <f>TABL123[[#This Row],[(A/B TOT) AJD]]-TABL123[[#This Row],[BER_ IN]]</f>
        <v>480</v>
      </c>
      <c r="AK121" s="75">
        <v>0</v>
      </c>
      <c r="AL121" s="96">
        <v>42.284300000000002</v>
      </c>
      <c r="AM121" s="96">
        <v>2722360</v>
      </c>
      <c r="AN121" s="96">
        <f>TABL123[[#This Row],[ (RESV. STORGE) SER]]/10</f>
        <v>272236</v>
      </c>
      <c r="AO121" s="45">
        <v>1810</v>
      </c>
      <c r="AP121" s="32">
        <f>TABL123[[#This Row],[(A/S TOT) AJD]]-TABL123[[#This Row],[SER_ 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Row],[خط (T/B  TOT) SAR]]+TABL123[[#This Row],[خط (S/S  TOT) SAR2]]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Row],[خط (S/S  TOT) SAR2]]-TABL123[[#This Row],[(S/S TOT) AJD]]</f>
        <v>29</v>
      </c>
      <c r="Q122" s="39">
        <v>451</v>
      </c>
      <c r="R122" s="3">
        <f>TABL123[[#This Row],[خط (T/B  TOT) SAR]]-TABL123[[#This Row],[(T/B TOT) AJD]]</f>
        <v>17</v>
      </c>
      <c r="S122" s="3">
        <f>TABL123[[#This Row],[الفرق بين بداية ونهاية خط  T/B]]+TABL123[[#This Row],[الفرق بين بداية ونهاية خط  S/S]]</f>
        <v>46</v>
      </c>
      <c r="T122" s="3">
        <f>TABL123[[#This Row],[(S/S TOT) AJD]]+TABL123[[#This Row],[(T/B TOT) AJD]]</f>
        <v>869</v>
      </c>
      <c r="U122" s="41">
        <v>580</v>
      </c>
      <c r="V122" s="41">
        <v>268</v>
      </c>
      <c r="W122" s="3">
        <f>TABL123[[#This Row],[(A/B TOT) AJD]]+TABL123[[#This Row],[(A/S TOT)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91">
        <f>TABL123[[#This Row],[( S/S+T/B) AJD]]-(TABL123[[#This Row],[(A/B + A/S) AJD]]+(TABL123[[#This Row],[(STORGE DIFF.) AJD]]*1000)+TABL123[[#This Row],[البخر  AJD]])</f>
        <v>7824</v>
      </c>
      <c r="AE122" s="75">
        <v>66</v>
      </c>
      <c r="AF122" s="75">
        <v>58.33</v>
      </c>
      <c r="AG122" s="75">
        <v>1183250</v>
      </c>
      <c r="AH122" s="43">
        <v>2028</v>
      </c>
      <c r="AI122" s="43">
        <v>2028</v>
      </c>
      <c r="AJ122" s="86">
        <f>TABL123[[#This Row],[(A/B TOT) AJD]]-TABL123[[#This Row],[BER_ IN]]</f>
        <v>514</v>
      </c>
      <c r="AK122" s="75">
        <v>15</v>
      </c>
      <c r="AL122" s="96">
        <v>42.27</v>
      </c>
      <c r="AM122" s="96">
        <v>2715240</v>
      </c>
      <c r="AN122" s="96">
        <f>TABL123[[#This Row],[ (RESV. STORGE) SER]]/10</f>
        <v>271524</v>
      </c>
      <c r="AO122" s="43">
        <v>1920</v>
      </c>
      <c r="AP122" s="32">
        <f>TABL123[[#This Row],[(A/S TOT) AJD]]-TABL123[[#This Row],[SER_ 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Row],[خط (T/B  TOT) SAR]]+TABL123[[#This Row],[خط (S/S  TOT) SAR2]]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Row],[خط (S/S  TOT) SAR2]]-TABL123[[#This Row],[(S/S TOT) AJD]]</f>
        <v>59</v>
      </c>
      <c r="Q123" s="40">
        <v>419</v>
      </c>
      <c r="R123" s="3">
        <f>TABL123[[#This Row],[خط (T/B  TOT) SAR]]-TABL123[[#This Row],[(T/B TOT) AJD]]</f>
        <v>41</v>
      </c>
      <c r="S123" s="3">
        <f>TABL123[[#This Row],[الفرق بين بداية ونهاية خط  T/B]]+TABL123[[#This Row],[الفرق بين بداية ونهاية خط  S/S]]</f>
        <v>100</v>
      </c>
      <c r="T123" s="3">
        <f>TABL123[[#This Row],[(S/S TOT) AJD]]+TABL123[[#This Row],[(T/B TOT) AJD]]</f>
        <v>805</v>
      </c>
      <c r="U123" s="44">
        <v>541</v>
      </c>
      <c r="V123" s="44">
        <v>275</v>
      </c>
      <c r="W123" s="3">
        <f>TABL123[[#This Row],[(A/B TOT) AJD]]+TABL123[[#This Row],[(A/S TOT)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91">
        <f>TABL123[[#This Row],[( S/S+T/B) AJD]]-(TABL123[[#This Row],[(A/B + A/S) AJD]]+(TABL123[[#This Row],[(STORGE DIFF.) AJD]]*1000)+TABL123[[#This Row],[البخر  AJD]])</f>
        <v>31075</v>
      </c>
      <c r="AE123" s="75">
        <v>69</v>
      </c>
      <c r="AF123" s="75">
        <v>58.32</v>
      </c>
      <c r="AG123" s="75">
        <v>1176706</v>
      </c>
      <c r="AH123" s="45">
        <v>1999</v>
      </c>
      <c r="AI123" s="45">
        <v>1999</v>
      </c>
      <c r="AJ123" s="86">
        <f>TABL123[[#This Row],[(A/B TOT) AJD]]-TABL123[[#This Row],[BER_ IN]]</f>
        <v>472</v>
      </c>
      <c r="AK123" s="75">
        <v>21</v>
      </c>
      <c r="AL123" s="96">
        <v>42.277000000000001</v>
      </c>
      <c r="AM123" s="96">
        <v>2718490</v>
      </c>
      <c r="AN123" s="96">
        <f>TABL123[[#This Row],[ (RESV. STORGE) SER]]/10</f>
        <v>271849</v>
      </c>
      <c r="AO123" s="45">
        <v>1860</v>
      </c>
      <c r="AP123" s="32">
        <f>TABL123[[#This Row],[(A/S TOT) AJD]]-TABL123[[#This Row],[SER_ 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Row],[خط (T/B  TOT) SAR]]+TABL123[[#This Row],[خط (S/S  TOT) SAR2]]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Row],[خط (S/S  TOT) SAR2]]-TABL123[[#This Row],[(S/S TOT) AJD]]</f>
        <v>51</v>
      </c>
      <c r="Q124" s="39">
        <v>435</v>
      </c>
      <c r="R124" s="3">
        <f>TABL123[[#This Row],[خط (T/B  TOT) SAR]]-TABL123[[#This Row],[(T/B TOT) AJD]]</f>
        <v>15</v>
      </c>
      <c r="S124" s="3">
        <f>TABL123[[#This Row],[الفرق بين بداية ونهاية خط  T/B]]+TABL123[[#This Row],[الفرق بين بداية ونهاية خط  S/S]]</f>
        <v>66</v>
      </c>
      <c r="T124" s="3">
        <f>TABL123[[#This Row],[(S/S TOT) AJD]]+TABL123[[#This Row],[(T/B TOT) AJD]]</f>
        <v>839</v>
      </c>
      <c r="U124" s="41">
        <v>563</v>
      </c>
      <c r="V124" s="41">
        <v>273</v>
      </c>
      <c r="W124" s="3">
        <f>TABL123[[#This Row],[(A/B TOT) AJD]]+TABL123[[#This Row],[(A/S TOT)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91">
        <f>TABL123[[#This Row],[( S/S+T/B) AJD]]-(TABL123[[#This Row],[(A/B + A/S) AJD]]+(TABL123[[#This Row],[(STORGE DIFF.) AJD]]*1000)+TABL123[[#This Row],[البخر  AJD]])</f>
        <v>23747</v>
      </c>
      <c r="AE124" s="75">
        <v>70</v>
      </c>
      <c r="AF124" s="75">
        <v>58.32</v>
      </c>
      <c r="AG124" s="75">
        <v>1176706</v>
      </c>
      <c r="AH124" s="43">
        <v>2387</v>
      </c>
      <c r="AI124" s="43">
        <v>2387</v>
      </c>
      <c r="AJ124" s="86">
        <f>TABL123[[#This Row],[(A/B TOT) AJD]]-TABL123[[#This Row],[BER_ IN]]</f>
        <v>493</v>
      </c>
      <c r="AK124" s="75">
        <v>21</v>
      </c>
      <c r="AL124" s="96">
        <v>42.257100000000001</v>
      </c>
      <c r="AM124" s="96">
        <v>2708940</v>
      </c>
      <c r="AN124" s="96">
        <f>TABL123[[#This Row],[ (RESV. STORGE) SER]]/10</f>
        <v>270894</v>
      </c>
      <c r="AO124" s="43">
        <v>1925</v>
      </c>
      <c r="AP124" s="32">
        <f>TABL123[[#This Row],[(A/S TOT) AJD]]-TABL123[[#This Row],[SER_ 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Row],[خط (T/B  TOT) SAR]]+TABL123[[#This Row],[خط (S/S  TOT) SAR2]]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Row],[خط (S/S  TOT) SAR2]]-TABL123[[#This Row],[(S/S TOT) AJD]]</f>
        <v>48</v>
      </c>
      <c r="Q125" s="40">
        <v>438</v>
      </c>
      <c r="R125" s="3">
        <f>TABL123[[#This Row],[خط (T/B  TOT) SAR]]-TABL123[[#This Row],[(T/B TOT) AJD]]</f>
        <v>33</v>
      </c>
      <c r="S125" s="3">
        <f>TABL123[[#This Row],[الفرق بين بداية ونهاية خط  T/B]]+TABL123[[#This Row],[الفرق بين بداية ونهاية خط  S/S]]</f>
        <v>81</v>
      </c>
      <c r="T125" s="3">
        <f>TABL123[[#This Row],[(S/S TOT) AJD]]+TABL123[[#This Row],[(T/B TOT) AJD]]</f>
        <v>846</v>
      </c>
      <c r="U125" s="44">
        <v>566</v>
      </c>
      <c r="V125" s="44">
        <v>278</v>
      </c>
      <c r="W125" s="3">
        <f>TABL123[[#This Row],[(A/B TOT) AJD]]+TABL123[[#This Row],[(A/S TOT)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91">
        <f>TABL123[[#This Row],[( S/S+T/B) AJD]]-(TABL123[[#This Row],[(A/B + A/S) AJD]]+(TABL123[[#This Row],[(STORGE DIFF.) AJD]]*1000)+TABL123[[#This Row],[البخر  AJD]])</f>
        <v>19685</v>
      </c>
      <c r="AE125" s="75">
        <v>70</v>
      </c>
      <c r="AF125" s="75">
        <v>58.33</v>
      </c>
      <c r="AG125" s="75">
        <v>1183250</v>
      </c>
      <c r="AH125" s="45">
        <v>2000</v>
      </c>
      <c r="AI125" s="45">
        <v>2000</v>
      </c>
      <c r="AJ125" s="86">
        <f>TABL123[[#This Row],[(A/B TOT) AJD]]-TABL123[[#This Row],[BER_ IN]]</f>
        <v>496</v>
      </c>
      <c r="AK125" s="75">
        <v>21</v>
      </c>
      <c r="AL125" s="96">
        <v>42.231499999999997</v>
      </c>
      <c r="AM125" s="96">
        <v>2694890</v>
      </c>
      <c r="AN125" s="96">
        <f>TABL123[[#This Row],[ (RESV. STORGE) SER]]/10</f>
        <v>269489</v>
      </c>
      <c r="AO125" s="45">
        <v>1932</v>
      </c>
      <c r="AP125" s="32">
        <f>TABL123[[#This Row],[(A/S TOT) AJD]]-TABL123[[#This Row],[SER_ 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Row],[خط (T/B  TOT) SAR]]+TABL123[[#This Row],[خط (S/S  TOT) SAR2]]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Row],[خط (S/S  TOT) SAR2]]-TABL123[[#This Row],[(S/S TOT) AJD]]</f>
        <v>40</v>
      </c>
      <c r="Q126" s="39">
        <v>442</v>
      </c>
      <c r="R126" s="3">
        <f>TABL123[[#This Row],[خط (T/B  TOT) SAR]]-TABL123[[#This Row],[(T/B TOT) AJD]]</f>
        <v>25</v>
      </c>
      <c r="S126" s="3">
        <f>TABL123[[#This Row],[الفرق بين بداية ونهاية خط  T/B]]+TABL123[[#This Row],[الفرق بين بداية ونهاية خط  S/S]]</f>
        <v>65</v>
      </c>
      <c r="T126" s="3">
        <f>TABL123[[#This Row],[(S/S TOT) AJD]]+TABL123[[#This Row],[(T/B TOT) AJD]]</f>
        <v>853</v>
      </c>
      <c r="U126" s="41">
        <v>563</v>
      </c>
      <c r="V126" s="41">
        <v>238</v>
      </c>
      <c r="W126" s="3">
        <f>TABL123[[#This Row],[(A/B TOT) AJD]]+TABL123[[#This Row],[(A/S TOT)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91">
        <f>TABL123[[#This Row],[( S/S+T/B) AJD]]-(TABL123[[#This Row],[(A/B + A/S) AJD]]+(TABL123[[#This Row],[(STORGE DIFF.) AJD]]*1000)+TABL123[[#This Row],[البخر  AJD]])</f>
        <v>-20940</v>
      </c>
      <c r="AE126" s="75">
        <v>70</v>
      </c>
      <c r="AF126" s="75">
        <v>58.35</v>
      </c>
      <c r="AG126" s="75">
        <v>1196341</v>
      </c>
      <c r="AH126" s="43">
        <v>2795</v>
      </c>
      <c r="AI126" s="43">
        <v>2795</v>
      </c>
      <c r="AJ126" s="86">
        <f>TABL123[[#This Row],[(A/B TOT) AJD]]-TABL123[[#This Row],[BER_ IN]]</f>
        <v>493</v>
      </c>
      <c r="AK126" s="75">
        <v>22</v>
      </c>
      <c r="AL126" s="96">
        <v>42.214199999999998</v>
      </c>
      <c r="AM126" s="96">
        <v>2685260</v>
      </c>
      <c r="AN126" s="96">
        <f>TABL123[[#This Row],[ (RESV. STORGE) SER]]/10</f>
        <v>268526</v>
      </c>
      <c r="AO126" s="43">
        <v>1945</v>
      </c>
      <c r="AP126" s="32">
        <f>TABL123[[#This Row],[(A/S TOT) AJD]]-TABL123[[#This Row],[SER_ 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Row],[خط (T/B  TOT) SAR]]+TABL123[[#This Row],[خط (S/S  TOT) SAR2]]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Row],[خط (S/S  TOT) SAR2]]-TABL123[[#This Row],[(S/S TOT) AJD]]</f>
        <v>48</v>
      </c>
      <c r="Q127" s="40">
        <v>444</v>
      </c>
      <c r="R127" s="3">
        <f>TABL123[[#This Row],[خط (T/B  TOT) SAR]]-TABL123[[#This Row],[(T/B TOT) AJD]]</f>
        <v>33</v>
      </c>
      <c r="S127" s="3">
        <f>TABL123[[#This Row],[الفرق بين بداية ونهاية خط  T/B]]+TABL123[[#This Row],[الفرق بين بداية ونهاية خط  S/S]]</f>
        <v>81</v>
      </c>
      <c r="T127" s="3">
        <f>TABL123[[#This Row],[(S/S TOT) AJD]]+TABL123[[#This Row],[(T/B TOT) AJD]]</f>
        <v>856</v>
      </c>
      <c r="U127" s="44">
        <v>566</v>
      </c>
      <c r="V127" s="44">
        <v>230</v>
      </c>
      <c r="W127" s="3">
        <f>TABL123[[#This Row],[(A/B TOT) AJD]]+TABL123[[#This Row],[(A/S TOT)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91">
        <f>TABL123[[#This Row],[( S/S+T/B) AJD]]-(TABL123[[#This Row],[(A/B + A/S) AJD]]+(TABL123[[#This Row],[(STORGE DIFF.) AJD]]*1000)+TABL123[[#This Row],[البخر  AJD]])</f>
        <v>-38687</v>
      </c>
      <c r="AE127" s="75">
        <v>70</v>
      </c>
      <c r="AF127" s="75">
        <v>58.37</v>
      </c>
      <c r="AG127" s="75">
        <v>1209434</v>
      </c>
      <c r="AH127" s="45">
        <v>2691</v>
      </c>
      <c r="AI127" s="45">
        <v>2691</v>
      </c>
      <c r="AJ127" s="86">
        <f>TABL123[[#This Row],[(A/B TOT) AJD]]-TABL123[[#This Row],[BER_ IN]]</f>
        <v>496</v>
      </c>
      <c r="AK127" s="75">
        <v>22</v>
      </c>
      <c r="AL127" s="96">
        <v>42.195500000000003</v>
      </c>
      <c r="AM127" s="96">
        <v>2675570</v>
      </c>
      <c r="AN127" s="96">
        <f>TABL123[[#This Row],[ (RESV. STORGE) SER]]/10</f>
        <v>267557</v>
      </c>
      <c r="AO127" s="45">
        <v>2021</v>
      </c>
      <c r="AP127" s="32">
        <f>TABL123[[#This Row],[(A/S TOT) AJD]]-TABL123[[#This Row],[SER_ 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Row],[خط (T/B  TOT) SAR]]+TABL123[[#This Row],[خط (S/S  TOT) SAR2]]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Row],[خط (S/S  TOT) SAR2]]-TABL123[[#This Row],[(S/S TOT) AJD]]</f>
        <v>43</v>
      </c>
      <c r="Q128" s="39">
        <v>448</v>
      </c>
      <c r="R128" s="3">
        <f>TABL123[[#This Row],[خط (T/B  TOT) SAR]]-TABL123[[#This Row],[(T/B TOT) AJD]]</f>
        <v>27</v>
      </c>
      <c r="S128" s="3">
        <f>TABL123[[#This Row],[الفرق بين بداية ونهاية خط  T/B]]+TABL123[[#This Row],[الفرق بين بداية ونهاية خط  S/S]]</f>
        <v>70</v>
      </c>
      <c r="T128" s="3">
        <f>TABL123[[#This Row],[(S/S TOT) AJD]]+TABL123[[#This Row],[(T/B TOT) AJD]]</f>
        <v>864</v>
      </c>
      <c r="U128" s="41">
        <v>561</v>
      </c>
      <c r="V128" s="41">
        <v>223</v>
      </c>
      <c r="W128" s="3">
        <f>TABL123[[#This Row],[(A/B TOT) AJD]]+TABL123[[#This Row],[(A/S TOT)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91">
        <f>TABL123[[#This Row],[( S/S+T/B) AJD]]-(TABL123[[#This Row],[(A/B + A/S) AJD]]+(TABL123[[#This Row],[(STORGE DIFF.) AJD]]*1000)+TABL123[[#This Row],[البخر  AJD]])</f>
        <v>-49734</v>
      </c>
      <c r="AE128" s="75">
        <v>67</v>
      </c>
      <c r="AF128" s="75">
        <v>58.38</v>
      </c>
      <c r="AG128" s="75">
        <v>1215983</v>
      </c>
      <c r="AH128" s="43">
        <v>2509</v>
      </c>
      <c r="AI128" s="43">
        <v>2509</v>
      </c>
      <c r="AJ128" s="86">
        <f>TABL123[[#This Row],[(A/B TOT) AJD]]-TABL123[[#This Row],[BER_ IN]]</f>
        <v>494</v>
      </c>
      <c r="AK128" s="75">
        <v>22</v>
      </c>
      <c r="AL128" s="96">
        <v>42.170099999999998</v>
      </c>
      <c r="AM128" s="96">
        <v>2661730</v>
      </c>
      <c r="AN128" s="96">
        <f>TABL123[[#This Row],[ (RESV. STORGE) SER]]/10</f>
        <v>266173</v>
      </c>
      <c r="AO128" s="43">
        <v>2125</v>
      </c>
      <c r="AP128" s="32">
        <f>TABL123[[#This Row],[(A/S TOT) AJD]]-TABL123[[#This Row],[SER_ 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Row],[خط (T/B  TOT) SAR]]+TABL123[[#This Row],[خط (S/S  TOT) SAR2]]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Row],[خط (S/S  TOT) SAR2]]-TABL123[[#This Row],[(S/S TOT) AJD]]</f>
        <v>45</v>
      </c>
      <c r="Q129" s="40">
        <v>448</v>
      </c>
      <c r="R129" s="3">
        <f>TABL123[[#This Row],[خط (T/B  TOT) SAR]]-TABL123[[#This Row],[(T/B TOT) AJD]]</f>
        <v>27</v>
      </c>
      <c r="S129" s="3">
        <f>TABL123[[#This Row],[الفرق بين بداية ونهاية خط  T/B]]+TABL123[[#This Row],[الفرق بين بداية ونهاية خط  S/S]]</f>
        <v>72</v>
      </c>
      <c r="T129" s="3">
        <f>TABL123[[#This Row],[(S/S TOT) AJD]]+TABL123[[#This Row],[(T/B TOT) AJD]]</f>
        <v>863</v>
      </c>
      <c r="U129" s="44">
        <v>510</v>
      </c>
      <c r="V129" s="44">
        <v>218</v>
      </c>
      <c r="W129" s="3">
        <f>TABL123[[#This Row],[(A/B TOT) AJD]]+TABL123[[#This Row],[(A/S TOT)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91">
        <f>TABL123[[#This Row],[( S/S+T/B) AJD]]-(TABL123[[#This Row],[(A/B + A/S) AJD]]+(TABL123[[#This Row],[(STORGE DIFF.) AJD]]*1000)+TABL123[[#This Row],[البخر  AJD]])</f>
        <v>-103428</v>
      </c>
      <c r="AE129" s="75">
        <v>74</v>
      </c>
      <c r="AF129" s="75">
        <v>58.4</v>
      </c>
      <c r="AG129" s="75">
        <v>1229087</v>
      </c>
      <c r="AH129" s="45">
        <v>3585</v>
      </c>
      <c r="AI129" s="45">
        <v>3585</v>
      </c>
      <c r="AJ129" s="86">
        <f>TABL123[[#This Row],[(A/B TOT) AJD]]-TABL123[[#This Row],[BER_ IN]]</f>
        <v>436</v>
      </c>
      <c r="AK129" s="75">
        <v>21</v>
      </c>
      <c r="AL129" s="96">
        <v>42.133600000000001</v>
      </c>
      <c r="AM129" s="96">
        <v>2642534</v>
      </c>
      <c r="AN129" s="96">
        <f>TABL123[[#This Row],[ (RESV. STORGE) SER]]/10</f>
        <v>264253.40000000002</v>
      </c>
      <c r="AO129" s="45">
        <v>1970</v>
      </c>
      <c r="AP129" s="32">
        <f>TABL123[[#This Row],[(A/S TOT) AJD]]-TABL123[[#This Row],[SER_ 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Row],[خط (T/B  TOT) SAR]]+TABL123[[#This Row],[خط (S/S  TOT) SAR2]]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Row],[خط (S/S  TOT) SAR2]]-TABL123[[#This Row],[(S/S TOT) AJD]]</f>
        <v>45</v>
      </c>
      <c r="Q130" s="39">
        <v>449</v>
      </c>
      <c r="R130" s="3">
        <f>TABL123[[#This Row],[خط (T/B  TOT) SAR]]-TABL123[[#This Row],[(T/B TOT) AJD]]</f>
        <v>26</v>
      </c>
      <c r="S130" s="3">
        <f>TABL123[[#This Row],[الفرق بين بداية ونهاية خط  T/B]]+TABL123[[#This Row],[الفرق بين بداية ونهاية خط  S/S]]</f>
        <v>71</v>
      </c>
      <c r="T130" s="3">
        <f>TABL123[[#This Row],[(S/S TOT) AJD]]+TABL123[[#This Row],[(T/B TOT) AJD]]</f>
        <v>864</v>
      </c>
      <c r="U130" s="41">
        <v>545</v>
      </c>
      <c r="V130" s="41">
        <v>235</v>
      </c>
      <c r="W130" s="3">
        <f>TABL123[[#This Row],[(A/B TOT) AJD]]+TABL123[[#This Row],[(A/S TOT)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91">
        <f>TABL123[[#This Row],[( S/S+T/B) AJD]]-(TABL123[[#This Row],[(A/B + A/S) AJD]]+(TABL123[[#This Row],[(STORGE DIFF.) AJD]]*1000)+TABL123[[#This Row],[البخر  AJD]])</f>
        <v>-49866</v>
      </c>
      <c r="AE130" s="75">
        <v>73</v>
      </c>
      <c r="AF130" s="75">
        <v>58.4</v>
      </c>
      <c r="AG130" s="75">
        <v>1229087</v>
      </c>
      <c r="AH130" s="43">
        <v>2499</v>
      </c>
      <c r="AI130" s="43">
        <v>2499</v>
      </c>
      <c r="AJ130" s="86">
        <f>TABL123[[#This Row],[(A/B TOT) AJD]]-TABL123[[#This Row],[BER_ IN]]</f>
        <v>472</v>
      </c>
      <c r="AK130" s="75">
        <v>20</v>
      </c>
      <c r="AL130" s="96">
        <v>42.0944</v>
      </c>
      <c r="AM130" s="96">
        <v>2620580</v>
      </c>
      <c r="AN130" s="96">
        <f>TABL123[[#This Row],[ (RESV. STORGE) SER]]/10</f>
        <v>262058</v>
      </c>
      <c r="AO130" s="43">
        <v>2070</v>
      </c>
      <c r="AP130" s="32">
        <f>TABL123[[#This Row],[(A/S TOT) AJD]]-TABL123[[#This Row],[SER_ 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Row],[خط (T/B  TOT) SAR]]+TABL123[[#This Row],[خط (S/S  TOT) SAR2]]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Row],[خط (S/S  TOT) SAR2]]-TABL123[[#This Row],[(S/S TOT) AJD]]</f>
        <v>43</v>
      </c>
      <c r="Q131" s="40">
        <v>450</v>
      </c>
      <c r="R131" s="3">
        <f>TABL123[[#This Row],[خط (T/B  TOT) SAR]]-TABL123[[#This Row],[(T/B TOT) AJD]]</f>
        <v>25</v>
      </c>
      <c r="S131" s="3">
        <f>TABL123[[#This Row],[الفرق بين بداية ونهاية خط  T/B]]+TABL123[[#This Row],[الفرق بين بداية ونهاية خط  S/S]]</f>
        <v>68</v>
      </c>
      <c r="T131" s="3">
        <f>TABL123[[#This Row],[(S/S TOT) AJD]]+TABL123[[#This Row],[(T/B TOT) AJD]]</f>
        <v>867</v>
      </c>
      <c r="U131" s="44">
        <v>581</v>
      </c>
      <c r="V131" s="44">
        <v>257</v>
      </c>
      <c r="W131" s="3">
        <f>TABL123[[#This Row],[(A/B TOT) AJD]]+TABL123[[#This Row],[(A/S TOT)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91">
        <f>TABL123[[#This Row],[( S/S+T/B) AJD]]-(TABL123[[#This Row],[(A/B + A/S) AJD]]+(TABL123[[#This Row],[(STORGE DIFF.) AJD]]*1000)+TABL123[[#This Row],[البخر  AJD]])</f>
        <v>7190</v>
      </c>
      <c r="AE131" s="75">
        <v>77</v>
      </c>
      <c r="AF131" s="75">
        <v>58.41</v>
      </c>
      <c r="AG131" s="75">
        <v>1235632</v>
      </c>
      <c r="AH131" s="45">
        <v>2263</v>
      </c>
      <c r="AI131" s="45">
        <v>2263</v>
      </c>
      <c r="AJ131" s="86">
        <f>TABL123[[#This Row],[(A/B TOT) AJD]]-TABL123[[#This Row],[BER_ IN]]</f>
        <v>504</v>
      </c>
      <c r="AK131" s="75">
        <v>21</v>
      </c>
      <c r="AL131" s="96">
        <v>42.033799999999999</v>
      </c>
      <c r="AM131" s="96">
        <v>2589050</v>
      </c>
      <c r="AN131" s="96">
        <f>TABL123[[#This Row],[ (RESV. STORGE) SER]]/10</f>
        <v>258905</v>
      </c>
      <c r="AO131" s="45">
        <v>2120</v>
      </c>
      <c r="AP131" s="32">
        <f>TABL123[[#This Row],[(A/S TOT) AJD]]-TABL123[[#This Row],[SER_ 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Row],[خط (T/B  TOT) SAR]]+TABL123[[#This Row],[خط (S/S  TOT) SAR2]]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Row],[خط (S/S  TOT) SAR2]]-TABL123[[#This Row],[(S/S TOT) AJD]]</f>
        <v>50</v>
      </c>
      <c r="Q132" s="39">
        <v>440</v>
      </c>
      <c r="R132" s="3">
        <f>TABL123[[#This Row],[خط (T/B  TOT) SAR]]-TABL123[[#This Row],[(T/B TOT) AJD]]</f>
        <v>35</v>
      </c>
      <c r="S132" s="3">
        <f>TABL123[[#This Row],[الفرق بين بداية ونهاية خط  T/B]]+TABL123[[#This Row],[الفرق بين بداية ونهاية خط  S/S]]</f>
        <v>85</v>
      </c>
      <c r="T132" s="3">
        <f>TABL123[[#This Row],[(S/S TOT) AJD]]+TABL123[[#This Row],[(T/B TOT) AJD]]</f>
        <v>850</v>
      </c>
      <c r="U132" s="41">
        <v>581</v>
      </c>
      <c r="V132" s="41">
        <v>259</v>
      </c>
      <c r="W132" s="3">
        <f>TABL123[[#This Row],[(A/B TOT) AJD]]+TABL123[[#This Row],[(A/S TOT)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91">
        <f>TABL123[[#This Row],[( S/S+T/B) AJD]]-(TABL123[[#This Row],[(A/B + A/S) AJD]]+(TABL123[[#This Row],[(STORGE DIFF.) AJD]]*1000)+TABL123[[#This Row],[البخر  AJD]])</f>
        <v>26557</v>
      </c>
      <c r="AE132" s="75">
        <v>79</v>
      </c>
      <c r="AF132" s="75">
        <v>58.44</v>
      </c>
      <c r="AG132" s="75">
        <v>1255289</v>
      </c>
      <c r="AH132" s="75">
        <v>2195</v>
      </c>
      <c r="AI132" s="75">
        <v>2195</v>
      </c>
      <c r="AJ132" s="86">
        <f>TABL123[[#This Row],[(A/B TOT) AJD]]-TABL123[[#This Row],[BER_ IN]]</f>
        <v>502</v>
      </c>
      <c r="AK132" s="75">
        <v>23</v>
      </c>
      <c r="AL132" s="96">
        <v>41.994599999999998</v>
      </c>
      <c r="AM132" s="96">
        <v>2568280</v>
      </c>
      <c r="AN132" s="96">
        <f>TABL123[[#This Row],[ (RESV. STORGE) SER]]/10</f>
        <v>256828</v>
      </c>
      <c r="AO132" s="43">
        <v>2400</v>
      </c>
      <c r="AP132" s="32">
        <f>TABL123[[#This Row],[(A/S TOT) AJD]]-TABL123[[#This Row],[SER_ 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Row],[خط (T/B  TOT) SAR]]+TABL123[[#This Row],[خط (S/S  TOT) SAR2]]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Row],[خط (S/S  TOT) SAR2]]-TABL123[[#This Row],[(S/S TOT) AJD]]</f>
        <v>51</v>
      </c>
      <c r="Q133" s="40">
        <v>442</v>
      </c>
      <c r="R133" s="3">
        <f>TABL123[[#This Row],[خط (T/B  TOT) SAR]]-TABL123[[#This Row],[(T/B TOT) AJD]]</f>
        <v>30</v>
      </c>
      <c r="S133" s="3">
        <f>TABL123[[#This Row],[الفرق بين بداية ونهاية خط  T/B]]+TABL123[[#This Row],[الفرق بين بداية ونهاية خط  S/S]]</f>
        <v>81</v>
      </c>
      <c r="T133" s="3">
        <f>TABL123[[#This Row],[(S/S TOT) AJD]]+TABL123[[#This Row],[(T/B TOT) AJD]]</f>
        <v>849</v>
      </c>
      <c r="U133" s="44">
        <v>581</v>
      </c>
      <c r="V133" s="44">
        <v>274</v>
      </c>
      <c r="W133" s="3">
        <f>TABL123[[#This Row],[(A/B TOT) AJD]]+TABL123[[#This Row],[(A/S TOT)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91">
        <f>TABL123[[#This Row],[( S/S+T/B) AJD]]-(TABL123[[#This Row],[(A/B + A/S) AJD]]+(TABL123[[#This Row],[(STORGE DIFF.) AJD]]*1000)+TABL123[[#This Row],[البخر  AJD]])</f>
        <v>30292</v>
      </c>
      <c r="AE133" s="75">
        <v>85</v>
      </c>
      <c r="AF133" s="75">
        <v>58.47</v>
      </c>
      <c r="AG133" s="75">
        <v>1274954</v>
      </c>
      <c r="AH133" s="45">
        <v>2368</v>
      </c>
      <c r="AI133" s="45">
        <v>2368</v>
      </c>
      <c r="AJ133" s="86">
        <f>TABL123[[#This Row],[(A/B TOT) AJD]]-TABL123[[#This Row],[BER_ IN]]</f>
        <v>496</v>
      </c>
      <c r="AK133" s="75">
        <v>23</v>
      </c>
      <c r="AL133" s="96">
        <v>41.935400000000001</v>
      </c>
      <c r="AM133" s="96">
        <v>2536790</v>
      </c>
      <c r="AN133" s="96">
        <f>TABL123[[#This Row],[ (RESV. STORGE) SER]]/10</f>
        <v>253679</v>
      </c>
      <c r="AO133" s="45">
        <v>2380</v>
      </c>
      <c r="AP133" s="32">
        <f>TABL123[[#This Row],[(A/S TOT) AJD]]-TABL123[[#This Row],[SER_ 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Row],[خط (T/B  TOT) SAR]]+TABL123[[#This Row],[خط (S/S  TOT) SAR2]]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Row],[خط (S/S  TOT) SAR2]]-TABL123[[#This Row],[(S/S TOT) AJD]]</f>
        <v>48</v>
      </c>
      <c r="Q134" s="39">
        <v>441</v>
      </c>
      <c r="R134" s="3">
        <f>TABL123[[#This Row],[خط (T/B  TOT) SAR]]-TABL123[[#This Row],[(T/B TOT) AJD]]</f>
        <v>31</v>
      </c>
      <c r="S134" s="3">
        <f>TABL123[[#This Row],[الفرق بين بداية ونهاية خط  T/B]]+TABL123[[#This Row],[الفرق بين بداية ونهاية خط  S/S]]</f>
        <v>79</v>
      </c>
      <c r="T134" s="3">
        <f>TABL123[[#This Row],[(S/S TOT) AJD]]+TABL123[[#This Row],[(T/B TOT) AJD]]</f>
        <v>851</v>
      </c>
      <c r="U134" s="41">
        <v>542</v>
      </c>
      <c r="V134" s="41">
        <v>256</v>
      </c>
      <c r="W134" s="3">
        <f>TABL123[[#This Row],[(A/B TOT) AJD]]+TABL123[[#This Row],[(A/S TOT)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91">
        <f>TABL123[[#This Row],[( S/S+T/B) AJD]]-(TABL123[[#This Row],[(A/B + A/S) AJD]]+(TABL123[[#This Row],[(STORGE DIFF.) AJD]]*1000)+TABL123[[#This Row],[البخر  AJD]])</f>
        <v>-17169</v>
      </c>
      <c r="AE134" s="75">
        <v>83</v>
      </c>
      <c r="AF134" s="75">
        <v>58.53</v>
      </c>
      <c r="AG134" s="75">
        <v>1314308</v>
      </c>
      <c r="AH134" s="43">
        <v>2312</v>
      </c>
      <c r="AI134" s="43">
        <v>2312</v>
      </c>
      <c r="AJ134" s="86">
        <f>TABL123[[#This Row],[(A/B TOT) AJD]]-TABL123[[#This Row],[BER_ IN]]</f>
        <v>459</v>
      </c>
      <c r="AK134" s="75">
        <v>22</v>
      </c>
      <c r="AL134" s="96">
        <v>41.8491</v>
      </c>
      <c r="AM134" s="96">
        <v>2490490</v>
      </c>
      <c r="AN134" s="96">
        <f>TABL123[[#This Row],[ (RESV. STORGE) SER]]/10</f>
        <v>249049</v>
      </c>
      <c r="AO134" s="43">
        <v>2430</v>
      </c>
      <c r="AP134" s="32">
        <f>TABL123[[#This Row],[(A/S TOT) AJD]]-TABL123[[#This Row],[SER_ 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Row],[خط (T/B  TOT) SAR]]+TABL123[[#This Row],[خط (S/S  TOT) SAR2]]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Row],[خط (S/S  TOT) SAR2]]-TABL123[[#This Row],[(S/S TOT) AJD]]</f>
        <v>47</v>
      </c>
      <c r="Q135" s="40">
        <v>440</v>
      </c>
      <c r="R135" s="3">
        <f>TABL123[[#This Row],[خط (T/B  TOT) SAR]]-TABL123[[#This Row],[(T/B TOT) AJD]]</f>
        <v>32</v>
      </c>
      <c r="S135" s="3">
        <f>TABL123[[#This Row],[الفرق بين بداية ونهاية خط  T/B]]+TABL123[[#This Row],[الفرق بين بداية ونهاية خط  S/S]]</f>
        <v>79</v>
      </c>
      <c r="T135" s="3">
        <f>TABL123[[#This Row],[(S/S TOT) AJD]]+TABL123[[#This Row],[(T/B TOT) AJD]]</f>
        <v>851</v>
      </c>
      <c r="U135" s="44">
        <v>596</v>
      </c>
      <c r="V135" s="44">
        <v>264</v>
      </c>
      <c r="W135" s="3">
        <f>TABL123[[#This Row],[(A/B TOT) AJD]]+TABL123[[#This Row],[(A/S TOT)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91">
        <f>TABL123[[#This Row],[( S/S+T/B) AJD]]-(TABL123[[#This Row],[(A/B + A/S) AJD]]+(TABL123[[#This Row],[(STORGE DIFF.) AJD]]*1000)+TABL123[[#This Row],[البخر  AJD]])</f>
        <v>44698</v>
      </c>
      <c r="AE135" s="75">
        <v>84</v>
      </c>
      <c r="AF135" s="75">
        <v>58.6</v>
      </c>
      <c r="AG135" s="75">
        <v>1360259</v>
      </c>
      <c r="AH135" s="45">
        <v>2503</v>
      </c>
      <c r="AI135" s="45">
        <v>2503</v>
      </c>
      <c r="AJ135" s="86">
        <f>TABL123[[#This Row],[(A/B TOT) AJD]]-TABL123[[#This Row],[BER_ IN]]</f>
        <v>512</v>
      </c>
      <c r="AK135" s="75">
        <v>21</v>
      </c>
      <c r="AL135" s="96">
        <v>41.803199999999997</v>
      </c>
      <c r="AM135" s="96">
        <v>2466220</v>
      </c>
      <c r="AN135" s="96">
        <f>TABL123[[#This Row],[ (RESV. STORGE) SER]]/10</f>
        <v>246622</v>
      </c>
      <c r="AO135" s="45">
        <v>2365</v>
      </c>
      <c r="AP135" s="32">
        <f>TABL123[[#This Row],[(A/S TOT) AJD]]-TABL123[[#This Row],[SER_ 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Row],[خط (T/B  TOT) SAR]]+TABL123[[#This Row],[خط (S/S  TOT) SAR2]]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Row],[خط (S/S  TOT) SAR2]]-TABL123[[#This Row],[(S/S TOT) AJD]]</f>
        <v>48</v>
      </c>
      <c r="Q136" s="39">
        <v>441</v>
      </c>
      <c r="R136" s="3">
        <f>TABL123[[#This Row],[خط (T/B  TOT) SAR]]-TABL123[[#This Row],[(T/B TOT) AJD]]</f>
        <v>31</v>
      </c>
      <c r="S136" s="3">
        <f>TABL123[[#This Row],[الفرق بين بداية ونهاية خط  T/B]]+TABL123[[#This Row],[الفرق بين بداية ونهاية خط  S/S]]</f>
        <v>79</v>
      </c>
      <c r="T136" s="3">
        <f>TABL123[[#This Row],[(S/S TOT) AJD]]+TABL123[[#This Row],[(T/B TOT) AJD]]</f>
        <v>851</v>
      </c>
      <c r="U136" s="41">
        <v>600</v>
      </c>
      <c r="V136" s="41">
        <v>295</v>
      </c>
      <c r="W136" s="3">
        <f>TABL123[[#This Row],[(A/B TOT) AJD]]+TABL123[[#This Row],[(A/S TOT)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91">
        <f>TABL123[[#This Row],[( S/S+T/B) AJD]]-(TABL123[[#This Row],[(A/B + A/S) AJD]]+(TABL123[[#This Row],[(STORGE DIFF.) AJD]]*1000)+TABL123[[#This Row],[البخر  AJD]])</f>
        <v>70279</v>
      </c>
      <c r="AE136" s="75">
        <v>83</v>
      </c>
      <c r="AF136" s="75">
        <v>58.71</v>
      </c>
      <c r="AG136" s="75">
        <v>1432554</v>
      </c>
      <c r="AH136" s="43">
        <v>2154</v>
      </c>
      <c r="AI136" s="43">
        <v>2154</v>
      </c>
      <c r="AJ136" s="86">
        <f>TABL123[[#This Row],[(A/B TOT) AJD]]-TABL123[[#This Row],[BER_ IN]]</f>
        <v>517</v>
      </c>
      <c r="AK136" s="75">
        <v>21</v>
      </c>
      <c r="AL136" s="96">
        <v>41.749600000000001</v>
      </c>
      <c r="AM136" s="96">
        <v>2437846</v>
      </c>
      <c r="AN136" s="96">
        <f>TABL123[[#This Row],[ (RESV. STORGE) SER]]/10</f>
        <v>243784.6</v>
      </c>
      <c r="AO136" s="43">
        <v>2175</v>
      </c>
      <c r="AP136" s="32">
        <f>TABL123[[#This Row],[(A/S TOT) AJD]]-TABL123[[#This Row],[SER_ 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Row],[خط (T/B  TOT) SAR]]+TABL123[[#This Row],[خط (S/S  TOT) SAR2]]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Row],[خط (S/S  TOT) SAR2]]-TABL123[[#This Row],[(S/S TOT) AJD]]</f>
        <v>48</v>
      </c>
      <c r="Q137" s="40">
        <v>443</v>
      </c>
      <c r="R137" s="3">
        <f>TABL123[[#This Row],[خط (T/B  TOT) SAR]]-TABL123[[#This Row],[(T/B TOT) AJD]]</f>
        <v>29</v>
      </c>
      <c r="S137" s="3">
        <f>TABL123[[#This Row],[الفرق بين بداية ونهاية خط  T/B]]+TABL123[[#This Row],[الفرق بين بداية ونهاية خط  S/S]]</f>
        <v>77</v>
      </c>
      <c r="T137" s="3">
        <f>TABL123[[#This Row],[(S/S TOT) AJD]]+TABL123[[#This Row],[(T/B TOT) AJD]]</f>
        <v>853</v>
      </c>
      <c r="U137" s="44">
        <v>594</v>
      </c>
      <c r="V137" s="44">
        <v>291</v>
      </c>
      <c r="W137" s="3">
        <f>TABL123[[#This Row],[(A/B TOT) AJD]]+TABL123[[#This Row],[(A/S TOT)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91">
        <f>TABL123[[#This Row],[( S/S+T/B) AJD]]-(TABL123[[#This Row],[(A/B + A/S) AJD]]+(TABL123[[#This Row],[(STORGE DIFF.) AJD]]*1000)+TABL123[[#This Row],[البخر  AJD]])</f>
        <v>68218</v>
      </c>
      <c r="AE137" s="75">
        <v>77</v>
      </c>
      <c r="AF137" s="75">
        <v>58.805999999999997</v>
      </c>
      <c r="AG137" s="75">
        <v>1495732</v>
      </c>
      <c r="AH137" s="45">
        <v>3171</v>
      </c>
      <c r="AI137" s="45">
        <v>3171</v>
      </c>
      <c r="AJ137" s="86">
        <f>TABL123[[#This Row],[(A/B TOT) AJD]]-TABL123[[#This Row],[BER_ IN]]</f>
        <v>517</v>
      </c>
      <c r="AK137" s="75">
        <v>22</v>
      </c>
      <c r="AL137" s="96">
        <v>41.739400000000003</v>
      </c>
      <c r="AM137" s="96">
        <v>2432180</v>
      </c>
      <c r="AN137" s="96">
        <f>TABL123[[#This Row],[ (RESV. STORGE) SER]]/10</f>
        <v>243218</v>
      </c>
      <c r="AO137" s="45">
        <v>1866</v>
      </c>
      <c r="AP137" s="32">
        <f>TABL123[[#This Row],[(A/S TOT) AJD]]-TABL123[[#This Row],[SER_ 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Row],[خط (T/B  TOT) SAR]]+TABL123[[#This Row],[خط (S/S  TOT) SAR2]]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Row],[خط (S/S  TOT) SAR2]]-TABL123[[#This Row],[(S/S TOT) AJD]]</f>
        <v>47</v>
      </c>
      <c r="Q138" s="39">
        <v>445</v>
      </c>
      <c r="R138" s="3">
        <f>TABL123[[#This Row],[خط (T/B  TOT) SAR]]-TABL123[[#This Row],[(T/B TOT) AJD]]</f>
        <v>27</v>
      </c>
      <c r="S138" s="3">
        <f>TABL123[[#This Row],[الفرق بين بداية ونهاية خط  T/B]]+TABL123[[#This Row],[الفرق بين بداية ونهاية خط  S/S]]</f>
        <v>74</v>
      </c>
      <c r="T138" s="3">
        <f>TABL123[[#This Row],[(S/S TOT) AJD]]+TABL123[[#This Row],[(T/B TOT) AJD]]</f>
        <v>856</v>
      </c>
      <c r="U138" s="41">
        <v>600</v>
      </c>
      <c r="V138" s="41">
        <v>247</v>
      </c>
      <c r="W138" s="3">
        <f>TABL123[[#This Row],[(A/B TOT) AJD]]+TABL123[[#This Row],[(A/S TOT)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91">
        <f>TABL123[[#This Row],[( S/S+T/B) AJD]]-(TABL123[[#This Row],[(A/B + A/S) AJD]]+(TABL123[[#This Row],[(STORGE DIFF.) AJD]]*1000)+TABL123[[#This Row],[البخر  AJD]])</f>
        <v>15946</v>
      </c>
      <c r="AE138" s="75">
        <v>67</v>
      </c>
      <c r="AF138" s="75">
        <v>58.89</v>
      </c>
      <c r="AG138" s="75">
        <v>1551079</v>
      </c>
      <c r="AH138" s="43">
        <v>3153</v>
      </c>
      <c r="AI138" s="43">
        <v>3153</v>
      </c>
      <c r="AJ138" s="86">
        <f>TABL123[[#This Row],[(A/B TOT) AJD]]-TABL123[[#This Row],[BER_ IN]]</f>
        <v>533</v>
      </c>
      <c r="AK138" s="75">
        <v>21</v>
      </c>
      <c r="AL138" s="96">
        <v>41.726900000000001</v>
      </c>
      <c r="AM138" s="96">
        <v>2425620</v>
      </c>
      <c r="AN138" s="96">
        <f>TABL123[[#This Row],[ (RESV. STORGE) SER]]/10</f>
        <v>242562</v>
      </c>
      <c r="AO138" s="43">
        <v>1860</v>
      </c>
      <c r="AP138" s="32">
        <f>TABL123[[#This Row],[(A/S TOT) AJD]]-TABL123[[#This Row],[SER_ 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Row],[خط (T/B  TOT) SAR]]+TABL123[[#This Row],[خط (S/S  TOT) SAR2]]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Row],[خط (S/S  TOT) SAR2]]-TABL123[[#This Row],[(S/S TOT) AJD]]</f>
        <v>51</v>
      </c>
      <c r="Q139" s="40">
        <v>436</v>
      </c>
      <c r="R139" s="3">
        <f>TABL123[[#This Row],[خط (T/B  TOT) SAR]]-TABL123[[#This Row],[(T/B TOT) AJD]]</f>
        <v>34</v>
      </c>
      <c r="S139" s="3">
        <f>TABL123[[#This Row],[الفرق بين بداية ونهاية خط  T/B]]+TABL123[[#This Row],[الفرق بين بداية ونهاية خط  S/S]]</f>
        <v>85</v>
      </c>
      <c r="T139" s="3">
        <f>TABL123[[#This Row],[(S/S TOT) AJD]]+TABL123[[#This Row],[(T/B TOT) AJD]]</f>
        <v>840</v>
      </c>
      <c r="U139" s="44">
        <v>608</v>
      </c>
      <c r="V139" s="44">
        <v>224</v>
      </c>
      <c r="W139" s="3">
        <f>TABL123[[#This Row],[(A/B TOT) AJD]]+TABL123[[#This Row],[(A/S TOT)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91">
        <f>TABL123[[#This Row],[( S/S+T/B) AJD]]-(TABL123[[#This Row],[(A/B + A/S) AJD]]+(TABL123[[#This Row],[(STORGE DIFF.) AJD]]*1000)+TABL123[[#This Row],[البخر  AJD]])</f>
        <v>16355</v>
      </c>
      <c r="AE139" s="75">
        <v>55</v>
      </c>
      <c r="AF139" s="75">
        <v>58.9</v>
      </c>
      <c r="AG139" s="75">
        <v>1557672</v>
      </c>
      <c r="AH139" s="45">
        <v>3547</v>
      </c>
      <c r="AI139" s="45">
        <v>3547</v>
      </c>
      <c r="AJ139" s="86">
        <f>TABL123[[#This Row],[(A/B TOT) AJD]]-TABL123[[#This Row],[BER_ IN]]</f>
        <v>553</v>
      </c>
      <c r="AK139" s="75">
        <v>22</v>
      </c>
      <c r="AL139" s="96">
        <v>41.713000000000001</v>
      </c>
      <c r="AM139" s="96">
        <v>2418190</v>
      </c>
      <c r="AN139" s="96">
        <f>TABL123[[#This Row],[ (RESV. STORGE) SER]]/10</f>
        <v>241819</v>
      </c>
      <c r="AO139" s="45">
        <v>1830</v>
      </c>
      <c r="AP139" s="32">
        <f>TABL123[[#This Row],[(A/S TOT) AJD]]-TABL123[[#This Row],[SER_ 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Row],[خط (T/B  TOT) SAR]]+TABL123[[#This Row],[خط (S/S  TOT) SAR2]]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Row],[خط (S/S  TOT) SAR2]]-TABL123[[#This Row],[(S/S TOT) AJD]]</f>
        <v>46</v>
      </c>
      <c r="Q140" s="39">
        <v>438</v>
      </c>
      <c r="R140" s="3">
        <f>TABL123[[#This Row],[خط (T/B  TOT) SAR]]-TABL123[[#This Row],[(T/B TOT) AJD]]</f>
        <v>30</v>
      </c>
      <c r="S140" s="3">
        <f>TABL123[[#This Row],[الفرق بين بداية ونهاية خط  T/B]]+TABL123[[#This Row],[الفرق بين بداية ونهاية خط  S/S]]</f>
        <v>76</v>
      </c>
      <c r="T140" s="3">
        <f>TABL123[[#This Row],[(S/S TOT) AJD]]+TABL123[[#This Row],[(T/B TOT) AJD]]</f>
        <v>844</v>
      </c>
      <c r="U140" s="41">
        <v>600</v>
      </c>
      <c r="V140" s="41">
        <v>231</v>
      </c>
      <c r="W140" s="3">
        <f>TABL123[[#This Row],[(A/B TOT) AJD]]+TABL123[[#This Row],[(A/S TOT)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91">
        <f>TABL123[[#This Row],[( S/S+T/B) AJD]]-(TABL123[[#This Row],[(A/B + A/S) AJD]]+(TABL123[[#This Row],[(STORGE DIFF.) AJD]]*1000)+TABL123[[#This Row],[البخر  AJD]])</f>
        <v>967</v>
      </c>
      <c r="AE140" s="75">
        <v>55</v>
      </c>
      <c r="AF140" s="75">
        <v>58.91</v>
      </c>
      <c r="AG140" s="75">
        <v>1564266</v>
      </c>
      <c r="AH140" s="43">
        <v>3566</v>
      </c>
      <c r="AI140" s="43">
        <v>3566</v>
      </c>
      <c r="AJ140" s="86">
        <f>TABL123[[#This Row],[(A/B TOT) AJD]]-TABL123[[#This Row],[BER_ IN]]</f>
        <v>545</v>
      </c>
      <c r="AK140" s="75">
        <v>21</v>
      </c>
      <c r="AL140" s="96">
        <v>41.699399999999997</v>
      </c>
      <c r="AM140" s="96">
        <v>2410720</v>
      </c>
      <c r="AN140" s="96">
        <f>TABL123[[#This Row],[ (RESV. STORGE) SER]]/10</f>
        <v>241072</v>
      </c>
      <c r="AO140" s="43">
        <v>1870</v>
      </c>
      <c r="AP140" s="32">
        <f>TABL123[[#This Row],[(A/S TOT) AJD]]-TABL123[[#This Row],[SER_ 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Row],[خط (T/B  TOT) SAR]]+TABL123[[#This Row],[خط (S/S  TOT) SAR2]]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Row],[خط (S/S  TOT) SAR2]]-TABL123[[#This Row],[(S/S TOT) AJD]]</f>
        <v>54</v>
      </c>
      <c r="Q141" s="40">
        <v>431</v>
      </c>
      <c r="R141" s="3">
        <f>TABL123[[#This Row],[خط (T/B  TOT) SAR]]-TABL123[[#This Row],[(T/B TOT) AJD]]</f>
        <v>37</v>
      </c>
      <c r="S141" s="3">
        <f>TABL123[[#This Row],[الفرق بين بداية ونهاية خط  T/B]]+TABL123[[#This Row],[الفرق بين بداية ونهاية خط  S/S]]</f>
        <v>91</v>
      </c>
      <c r="T141" s="3">
        <f>TABL123[[#This Row],[(S/S TOT) AJD]]+TABL123[[#This Row],[(T/B TOT) AJD]]</f>
        <v>830</v>
      </c>
      <c r="U141" s="44">
        <v>600</v>
      </c>
      <c r="V141" s="44">
        <v>218</v>
      </c>
      <c r="W141" s="3">
        <f>TABL123[[#This Row],[(A/B TOT) AJD]]+TABL123[[#This Row],[(A/S TOT)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91">
        <f>TABL123[[#This Row],[( S/S+T/B) AJD]]-(TABL123[[#This Row],[(A/B + A/S) AJD]]+(TABL123[[#This Row],[(STORGE DIFF.) AJD]]*1000)+TABL123[[#This Row],[البخر  AJD]])</f>
        <v>15114</v>
      </c>
      <c r="AE141" s="75">
        <v>56</v>
      </c>
      <c r="AF141" s="75">
        <v>58.9</v>
      </c>
      <c r="AG141" s="75">
        <v>1557672</v>
      </c>
      <c r="AH141" s="45">
        <v>2253</v>
      </c>
      <c r="AI141" s="45">
        <v>2253</v>
      </c>
      <c r="AJ141" s="86">
        <f>TABL123[[#This Row],[(A/B TOT) AJD]]-TABL123[[#This Row],[BER_ IN]]</f>
        <v>544</v>
      </c>
      <c r="AK141" s="75">
        <v>21</v>
      </c>
      <c r="AL141" s="96">
        <v>41.711100000000002</v>
      </c>
      <c r="AM141" s="96">
        <v>2417120</v>
      </c>
      <c r="AN141" s="96">
        <f>TABL123[[#This Row],[ (RESV. STORGE) SER]]/10</f>
        <v>241712</v>
      </c>
      <c r="AO141" s="45">
        <v>1800</v>
      </c>
      <c r="AP141" s="32">
        <f>TABL123[[#This Row],[(A/S TOT) AJD]]-TABL123[[#This Row],[SER_ 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Row],[خط (T/B  TOT) SAR]]+TABL123[[#This Row],[خط (S/S  TOT) SAR2]]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Row],[خط (S/S  TOT) SAR2]]-TABL123[[#This Row],[(S/S TOT) AJD]]</f>
        <v>52</v>
      </c>
      <c r="Q142" s="39">
        <v>435</v>
      </c>
      <c r="R142" s="3">
        <f>TABL123[[#This Row],[خط (T/B  TOT) SAR]]-TABL123[[#This Row],[(T/B TOT) AJD]]</f>
        <v>34</v>
      </c>
      <c r="S142" s="3">
        <f>TABL123[[#This Row],[الفرق بين بداية ونهاية خط  T/B]]+TABL123[[#This Row],[الفرق بين بداية ونهاية خط  S/S]]</f>
        <v>86</v>
      </c>
      <c r="T142" s="3">
        <f>TABL123[[#This Row],[(S/S TOT) AJD]]+TABL123[[#This Row],[(T/B TOT) AJD]]</f>
        <v>838</v>
      </c>
      <c r="U142" s="41">
        <v>568</v>
      </c>
      <c r="V142" s="41">
        <v>220</v>
      </c>
      <c r="W142" s="3">
        <f>TABL123[[#This Row],[(A/B TOT) AJD]]+TABL123[[#This Row],[(A/S TOT)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91">
        <f>TABL123[[#This Row],[( S/S+T/B) AJD]]-(TABL123[[#This Row],[(A/B + A/S) AJD]]+(TABL123[[#This Row],[(STORGE DIFF.) AJD]]*1000)+TABL123[[#This Row],[البخر  AJD]])</f>
        <v>-33633</v>
      </c>
      <c r="AE142" s="75">
        <v>60</v>
      </c>
      <c r="AF142" s="75">
        <v>58.89</v>
      </c>
      <c r="AG142" s="75">
        <v>1551079</v>
      </c>
      <c r="AH142" s="43">
        <v>2439</v>
      </c>
      <c r="AI142" s="43">
        <v>2439</v>
      </c>
      <c r="AJ142" s="86">
        <f>TABL123[[#This Row],[(A/B TOT) AJD]]-TABL123[[#This Row],[BER_ IN]]</f>
        <v>508</v>
      </c>
      <c r="AK142" s="75">
        <v>23</v>
      </c>
      <c r="AL142" s="96">
        <v>41.703400000000002</v>
      </c>
      <c r="AM142" s="96">
        <v>2412880</v>
      </c>
      <c r="AN142" s="96">
        <f>TABL123[[#This Row],[ (RESV. STORGE) SER]]/10</f>
        <v>241288</v>
      </c>
      <c r="AO142" s="43">
        <v>1840</v>
      </c>
      <c r="AP142" s="32">
        <f>TABL123[[#This Row],[(A/S TOT) AJD]]-TABL123[[#This Row],[SER_ 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Row],[خط (T/B  TOT) SAR]]+TABL123[[#This Row],[خط (S/S  TOT) SAR2]]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Row],[خط (S/S  TOT) SAR2]]-TABL123[[#This Row],[(S/S TOT) AJD]]</f>
        <v>50</v>
      </c>
      <c r="Q143" s="40">
        <v>437</v>
      </c>
      <c r="R143" s="3">
        <f>TABL123[[#This Row],[خط (T/B  TOT) SAR]]-TABL123[[#This Row],[(T/B TOT) AJD]]</f>
        <v>33</v>
      </c>
      <c r="S143" s="3">
        <f>TABL123[[#This Row],[الفرق بين بداية ونهاية خط  T/B]]+TABL123[[#This Row],[الفرق بين بداية ونهاية خط  S/S]]</f>
        <v>83</v>
      </c>
      <c r="T143" s="3">
        <f>TABL123[[#This Row],[(S/S TOT) AJD]]+TABL123[[#This Row],[(T/B TOT) AJD]]</f>
        <v>843</v>
      </c>
      <c r="U143" s="44">
        <v>557</v>
      </c>
      <c r="V143" s="44">
        <v>249</v>
      </c>
      <c r="W143" s="3">
        <f>TABL123[[#This Row],[(A/B TOT) AJD]]+TABL123[[#This Row],[(A/S TOT)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91">
        <f>TABL123[[#This Row],[( S/S+T/B) AJD]]-(TABL123[[#This Row],[(A/B + A/S) AJD]]+(TABL123[[#This Row],[(STORGE DIFF.) AJD]]*1000)+TABL123[[#This Row],[البخر  AJD]])</f>
        <v>-4213</v>
      </c>
      <c r="AE143" s="75">
        <v>62</v>
      </c>
      <c r="AF143" s="75">
        <v>58.87</v>
      </c>
      <c r="AG143" s="75">
        <v>1537896</v>
      </c>
      <c r="AH143" s="45">
        <v>2427</v>
      </c>
      <c r="AI143" s="45">
        <v>2427</v>
      </c>
      <c r="AJ143" s="86">
        <f>TABL123[[#This Row],[(A/B TOT) AJD]]-TABL123[[#This Row],[BER_ IN]]</f>
        <v>495</v>
      </c>
      <c r="AK143" s="75">
        <v>22</v>
      </c>
      <c r="AL143" s="96">
        <v>41.691400000000002</v>
      </c>
      <c r="AM143" s="96">
        <v>2406300</v>
      </c>
      <c r="AN143" s="96">
        <f>TABL123[[#This Row],[ (RESV. STORGE) SER]]/10</f>
        <v>240630</v>
      </c>
      <c r="AO143" s="45">
        <v>1880</v>
      </c>
      <c r="AP143" s="32">
        <f>TABL123[[#This Row],[(A/S TOT) AJD]]-TABL123[[#This Row],[SER_ 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Row],[خط (T/B  TOT) SAR]]+TABL123[[#This Row],[خط (S/S  TOT) SAR2]]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Row],[خط (S/S  TOT) SAR2]]-TABL123[[#This Row],[(S/S TOT) AJD]]</f>
        <v>15</v>
      </c>
      <c r="Q144" s="39">
        <v>445</v>
      </c>
      <c r="R144" s="3">
        <f>TABL123[[#This Row],[خط (T/B  TOT) SAR]]-TABL123[[#This Row],[(T/B TOT) AJD]]</f>
        <v>26</v>
      </c>
      <c r="S144" s="3">
        <f>TABL123[[#This Row],[الفرق بين بداية ونهاية خط  T/B]]+TABL123[[#This Row],[الفرق بين بداية ونهاية خط  S/S]]</f>
        <v>41</v>
      </c>
      <c r="T144" s="3">
        <f>TABL123[[#This Row],[(S/S TOT) AJD]]+TABL123[[#This Row],[(T/B TOT) AJD]]</f>
        <v>886</v>
      </c>
      <c r="U144" s="41">
        <v>539</v>
      </c>
      <c r="V144" s="41">
        <v>258</v>
      </c>
      <c r="W144" s="3">
        <f>TABL123[[#This Row],[(A/B TOT) AJD]]+TABL123[[#This Row],[(A/S TOT)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91">
        <f>TABL123[[#This Row],[( S/S+T/B) AJD]]-(TABL123[[#This Row],[(A/B + A/S) AJD]]+(TABL123[[#This Row],[(STORGE DIFF.) AJD]]*1000)+TABL123[[#This Row],[البخر  AJD]])</f>
        <v>-36604</v>
      </c>
      <c r="AE144" s="75">
        <v>59</v>
      </c>
      <c r="AF144" s="75">
        <v>58.9</v>
      </c>
      <c r="AG144" s="75">
        <v>1557673</v>
      </c>
      <c r="AH144" s="43">
        <v>1575</v>
      </c>
      <c r="AI144" s="43">
        <v>1575</v>
      </c>
      <c r="AJ144" s="86">
        <f>TABL123[[#This Row],[(A/B TOT) AJD]]-TABL123[[#This Row],[BER_ IN]]</f>
        <v>480</v>
      </c>
      <c r="AK144" s="75">
        <v>22</v>
      </c>
      <c r="AL144" s="96">
        <v>41.697400000000002</v>
      </c>
      <c r="AM144" s="96">
        <v>2409710</v>
      </c>
      <c r="AN144" s="96">
        <f>TABL123[[#This Row],[ (RESV. STORGE) SER]]/10</f>
        <v>240971</v>
      </c>
      <c r="AO144" s="43">
        <v>1890</v>
      </c>
      <c r="AP144" s="32">
        <f>TABL123[[#This Row],[(A/S TOT) AJD]]-TABL123[[#This Row],[SER_ 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Row],[خط (T/B  TOT) SAR]]+TABL123[[#This Row],[خط (S/S  TOT) SAR2]]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Row],[خط (S/S  TOT) SAR2]]-TABL123[[#This Row],[(S/S TOT) AJD]]</f>
        <v>45</v>
      </c>
      <c r="Q145" s="40">
        <v>446</v>
      </c>
      <c r="R145" s="3">
        <f>TABL123[[#This Row],[خط (T/B  TOT) SAR]]-TABL123[[#This Row],[(T/B TOT) AJD]]</f>
        <v>26</v>
      </c>
      <c r="S145" s="3">
        <f>TABL123[[#This Row],[الفرق بين بداية ونهاية خط  T/B]]+TABL123[[#This Row],[الفرق بين بداية ونهاية خط  S/S]]</f>
        <v>71</v>
      </c>
      <c r="T145" s="3">
        <f>TABL123[[#This Row],[(S/S TOT) AJD]]+TABL123[[#This Row],[(T/B TOT) AJD]]</f>
        <v>859</v>
      </c>
      <c r="U145" s="44">
        <v>537</v>
      </c>
      <c r="V145" s="44">
        <v>258</v>
      </c>
      <c r="W145" s="3">
        <f>TABL123[[#This Row],[(A/B TOT) AJD]]+TABL123[[#This Row],[(A/S TOT)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91">
        <f>TABL123[[#This Row],[( S/S+T/B) AJD]]-(TABL123[[#This Row],[(A/B + A/S) AJD]]+(TABL123[[#This Row],[(STORGE DIFF.) AJD]]*1000)+TABL123[[#This Row],[البخر  AJD]])</f>
        <v>-45680</v>
      </c>
      <c r="AE145" s="75">
        <v>54</v>
      </c>
      <c r="AF145" s="75">
        <v>58.87</v>
      </c>
      <c r="AG145" s="75">
        <v>1537896</v>
      </c>
      <c r="AH145" s="45">
        <v>2421</v>
      </c>
      <c r="AI145" s="45">
        <v>2421</v>
      </c>
      <c r="AJ145" s="86">
        <f>TABL123[[#This Row],[(A/B TOT) AJD]]-TABL123[[#This Row],[BER_ IN]]</f>
        <v>483</v>
      </c>
      <c r="AK145" s="75">
        <v>22</v>
      </c>
      <c r="AL145" s="96">
        <v>41.688200000000002</v>
      </c>
      <c r="AM145" s="96">
        <v>2404910</v>
      </c>
      <c r="AN145" s="96">
        <f>TABL123[[#This Row],[ (RESV. STORGE) SER]]/10</f>
        <v>240491</v>
      </c>
      <c r="AO145" s="45">
        <v>1800</v>
      </c>
      <c r="AP145" s="32">
        <f>TABL123[[#This Row],[(A/S TOT) AJD]]-TABL123[[#This Row],[SER_ 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Row],[خط (T/B  TOT) SAR]]+TABL123[[#This Row],[خط (S/S  TOT) SAR2]]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Row],[خط (S/S  TOT) SAR2]]-TABL123[[#This Row],[(S/S TOT) AJD]]</f>
        <v>48</v>
      </c>
      <c r="Q146" s="39">
        <v>446</v>
      </c>
      <c r="R146" s="3">
        <f>TABL123[[#This Row],[خط (T/B  TOT) SAR]]-TABL123[[#This Row],[(T/B TOT) AJD]]</f>
        <v>27</v>
      </c>
      <c r="S146" s="3">
        <f>TABL123[[#This Row],[الفرق بين بداية ونهاية خط  T/B]]+TABL123[[#This Row],[الفرق بين بداية ونهاية خط  S/S]]</f>
        <v>75</v>
      </c>
      <c r="T146" s="3">
        <f>TABL123[[#This Row],[(S/S TOT) AJD]]+TABL123[[#This Row],[(T/B TOT) AJD]]</f>
        <v>858</v>
      </c>
      <c r="U146" s="41">
        <v>530</v>
      </c>
      <c r="V146" s="41">
        <v>259</v>
      </c>
      <c r="W146" s="3">
        <f>TABL123[[#This Row],[(A/B TOT) AJD]]+TABL123[[#This Row],[(A/S TOT)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91">
        <f>TABL123[[#This Row],[( S/S+T/B) AJD]]-(TABL123[[#This Row],[(A/B + A/S) AJD]]+(TABL123[[#This Row],[(STORGE DIFF.) AJD]]*1000)+TABL123[[#This Row],[البخر  AJD]])</f>
        <v>-36717</v>
      </c>
      <c r="AE146" s="75">
        <v>62</v>
      </c>
      <c r="AF146" s="75">
        <v>58.86</v>
      </c>
      <c r="AG146" s="75">
        <v>1531306</v>
      </c>
      <c r="AH146" s="43">
        <v>2190</v>
      </c>
      <c r="AI146" s="43">
        <v>2190</v>
      </c>
      <c r="AJ146" s="86">
        <f>TABL123[[#This Row],[(A/B TOT) AJD]]-TABL123[[#This Row],[BER_ IN]]</f>
        <v>468</v>
      </c>
      <c r="AK146" s="75">
        <v>22</v>
      </c>
      <c r="AL146" s="96">
        <v>41.642600000000002</v>
      </c>
      <c r="AM146" s="96">
        <v>2381030</v>
      </c>
      <c r="AN146" s="96">
        <f>TABL123[[#This Row],[ (RESV. STORGE) SER]]/10</f>
        <v>238103</v>
      </c>
      <c r="AO146" s="43">
        <v>1880</v>
      </c>
      <c r="AP146" s="32">
        <f>TABL123[[#This Row],[(A/S TOT) AJD]]-TABL123[[#This Row],[SER_ 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Row],[خط (T/B  TOT) SAR]]+TABL123[[#This Row],[خط (S/S  TOT) SAR2]]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Row],[خط (S/S  TOT) SAR2]]-TABL123[[#This Row],[(S/S TOT) AJD]]</f>
        <v>46</v>
      </c>
      <c r="Q147" s="40">
        <v>447</v>
      </c>
      <c r="R147" s="3">
        <f>TABL123[[#This Row],[خط (T/B  TOT) SAR]]-TABL123[[#This Row],[(T/B TOT) AJD]]</f>
        <v>26</v>
      </c>
      <c r="S147" s="3">
        <f>TABL123[[#This Row],[الفرق بين بداية ونهاية خط  T/B]]+TABL123[[#This Row],[الفرق بين بداية ونهاية خط  S/S]]</f>
        <v>72</v>
      </c>
      <c r="T147" s="3">
        <f>TABL123[[#This Row],[(S/S TOT) AJD]]+TABL123[[#This Row],[(T/B TOT) AJD]]</f>
        <v>861</v>
      </c>
      <c r="U147" s="44">
        <v>523</v>
      </c>
      <c r="V147" s="44">
        <v>264</v>
      </c>
      <c r="W147" s="3">
        <f>TABL123[[#This Row],[(A/B TOT) AJD]]+TABL123[[#This Row],[(A/S TOT)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91">
        <f>TABL123[[#This Row],[( S/S+T/B) AJD]]-(TABL123[[#This Row],[(A/B + A/S) AJD]]+(TABL123[[#This Row],[(STORGE DIFF.) AJD]]*1000)+TABL123[[#This Row],[البخر  AJD]])</f>
        <v>-39793</v>
      </c>
      <c r="AE147" s="75">
        <v>62</v>
      </c>
      <c r="AF147" s="75">
        <v>58.85</v>
      </c>
      <c r="AG147" s="75">
        <v>1524716</v>
      </c>
      <c r="AH147" s="45">
        <v>2189</v>
      </c>
      <c r="AI147" s="45">
        <v>2189</v>
      </c>
      <c r="AJ147" s="86">
        <f>TABL123[[#This Row],[(A/B TOT) AJD]]-TABL123[[#This Row],[BER_ IN]]</f>
        <v>461</v>
      </c>
      <c r="AK147" s="75">
        <v>22</v>
      </c>
      <c r="AL147" s="96">
        <v>41.604100000000003</v>
      </c>
      <c r="AM147" s="96">
        <v>2360540</v>
      </c>
      <c r="AN147" s="96">
        <f>TABL123[[#This Row],[ (RESV. STORGE) SER]]/10</f>
        <v>236054</v>
      </c>
      <c r="AO147" s="45">
        <v>1890</v>
      </c>
      <c r="AP147" s="32">
        <f>TABL123[[#This Row],[(A/S TOT) AJD]]-TABL123[[#This Row],[SER_ 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Row],[خط (T/B  TOT) SAR]]+TABL123[[#This Row],[خط (S/S  TOT) SAR2]]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Row],[خط (S/S  TOT) SAR2]]-TABL123[[#This Row],[(S/S TOT) AJD]]</f>
        <v>47</v>
      </c>
      <c r="Q148" s="39">
        <v>448</v>
      </c>
      <c r="R148" s="3">
        <f>TABL123[[#This Row],[خط (T/B  TOT) SAR]]-TABL123[[#This Row],[(T/B TOT) AJD]]</f>
        <v>27</v>
      </c>
      <c r="S148" s="3">
        <f>TABL123[[#This Row],[الفرق بين بداية ونهاية خط  T/B]]+TABL123[[#This Row],[الفرق بين بداية ونهاية خط  S/S]]</f>
        <v>74</v>
      </c>
      <c r="T148" s="3">
        <f>TABL123[[#This Row],[(S/S TOT) AJD]]+TABL123[[#This Row],[(T/B TOT) AJD]]</f>
        <v>863</v>
      </c>
      <c r="U148" s="41">
        <v>534</v>
      </c>
      <c r="V148" s="41">
        <v>274</v>
      </c>
      <c r="W148" s="3">
        <f>TABL123[[#This Row],[(A/B TOT) AJD]]+TABL123[[#This Row],[(A/S TOT)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91">
        <f>TABL123[[#This Row],[( S/S+T/B) AJD]]-(TABL123[[#This Row],[(A/B + A/S) AJD]]+(TABL123[[#This Row],[(STORGE DIFF.) AJD]]*1000)+TABL123[[#This Row],[البخر  AJD]])</f>
        <v>-26034</v>
      </c>
      <c r="AE148" s="75">
        <v>59</v>
      </c>
      <c r="AF148" s="75">
        <v>58.936</v>
      </c>
      <c r="AG148" s="75">
        <v>1581414</v>
      </c>
      <c r="AH148" s="43">
        <v>2302</v>
      </c>
      <c r="AI148" s="43">
        <v>2302</v>
      </c>
      <c r="AJ148" s="86">
        <f>TABL123[[#This Row],[(A/B TOT) AJD]]-TABL123[[#This Row],[BER_ IN]]</f>
        <v>475</v>
      </c>
      <c r="AK148" s="75">
        <v>22</v>
      </c>
      <c r="AL148" s="96">
        <v>41.573099999999997</v>
      </c>
      <c r="AM148" s="96">
        <v>2343900</v>
      </c>
      <c r="AN148" s="96">
        <f>TABL123[[#This Row],[ (RESV. STORGE) SER]]/10</f>
        <v>234390</v>
      </c>
      <c r="AO148" s="43">
        <v>1840</v>
      </c>
      <c r="AP148" s="32">
        <f>TABL123[[#This Row],[(A/S TOT) AJD]]-TABL123[[#This Row],[SER_ 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Row],[خط (T/B  TOT) SAR]]+TABL123[[#This Row],[خط (S/S  TOT) SAR2]]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Row],[خط (S/S  TOT) SAR2]]-TABL123[[#This Row],[(S/S TOT) AJD]]</f>
        <v>47</v>
      </c>
      <c r="Q149" s="40">
        <v>449</v>
      </c>
      <c r="R149" s="3">
        <f>TABL123[[#This Row],[خط (T/B  TOT) SAR]]-TABL123[[#This Row],[(T/B TOT) AJD]]</f>
        <v>26</v>
      </c>
      <c r="S149" s="3">
        <f>TABL123[[#This Row],[الفرق بين بداية ونهاية خط  T/B]]+TABL123[[#This Row],[الفرق بين بداية ونهاية خط  S/S]]</f>
        <v>73</v>
      </c>
      <c r="T149" s="3">
        <f>TABL123[[#This Row],[(S/S TOT) AJD]]+TABL123[[#This Row],[(T/B TOT) AJD]]</f>
        <v>864</v>
      </c>
      <c r="U149" s="44">
        <v>531</v>
      </c>
      <c r="V149" s="44">
        <v>272</v>
      </c>
      <c r="W149" s="3">
        <f>TABL123[[#This Row],[(A/B TOT) AJD]]+TABL123[[#This Row],[(A/S TOT)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91">
        <f>TABL123[[#This Row],[( S/S+T/B) AJD]]-(TABL123[[#This Row],[(A/B + A/S) AJD]]+(TABL123[[#This Row],[(STORGE DIFF.) AJD]]*1000)+TABL123[[#This Row],[البخر  AJD]])</f>
        <v>-31990</v>
      </c>
      <c r="AE149" s="75">
        <v>58</v>
      </c>
      <c r="AF149" s="75">
        <v>59.02</v>
      </c>
      <c r="AG149" s="75">
        <v>1636855</v>
      </c>
      <c r="AH149" s="45">
        <v>2558</v>
      </c>
      <c r="AI149" s="45">
        <v>2558</v>
      </c>
      <c r="AJ149" s="86">
        <f>TABL123[[#This Row],[(A/B TOT) AJD]]-TABL123[[#This Row],[BER_ IN]]</f>
        <v>473</v>
      </c>
      <c r="AK149" s="75">
        <v>22</v>
      </c>
      <c r="AL149" s="96">
        <v>41.573099999999997</v>
      </c>
      <c r="AM149" s="96">
        <v>2343900</v>
      </c>
      <c r="AN149" s="96">
        <f>TABL123[[#This Row],[ (RESV. STORGE) SER]]/10</f>
        <v>234390</v>
      </c>
      <c r="AO149" s="45">
        <v>1800</v>
      </c>
      <c r="AP149" s="32">
        <f>TABL123[[#This Row],[(A/S TOT) AJD]]-TABL123[[#This Row],[SER_ 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Row],[خط (T/B  TOT) SAR]]+TABL123[[#This Row],[خط (S/S  TOT) SAR2]]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Row],[خط (S/S  TOT) SAR2]]-TABL123[[#This Row],[(S/S TOT) AJD]]</f>
        <v>46</v>
      </c>
      <c r="Q150" s="39">
        <v>451</v>
      </c>
      <c r="R150" s="3">
        <f>TABL123[[#This Row],[خط (T/B  TOT) SAR]]-TABL123[[#This Row],[(T/B TOT) AJD]]</f>
        <v>26</v>
      </c>
      <c r="S150" s="3">
        <f>TABL123[[#This Row],[الفرق بين بداية ونهاية خط  T/B]]+TABL123[[#This Row],[الفرق بين بداية ونهاية خط  S/S]]</f>
        <v>72</v>
      </c>
      <c r="T150" s="3">
        <f>TABL123[[#This Row],[(S/S TOT) AJD]]+TABL123[[#This Row],[(T/B TOT) AJD]]</f>
        <v>868</v>
      </c>
      <c r="U150" s="41">
        <v>507</v>
      </c>
      <c r="V150" s="41">
        <v>321</v>
      </c>
      <c r="W150" s="3">
        <f>TABL123[[#This Row],[(A/B TOT) AJD]]+TABL123[[#This Row],[(A/S TOT)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91">
        <f>TABL123[[#This Row],[( S/S+T/B) AJD]]-(TABL123[[#This Row],[(A/B + A/S) AJD]]+(TABL123[[#This Row],[(STORGE DIFF.) AJD]]*1000)+TABL123[[#This Row],[البخر  AJD]])</f>
        <v>-12152</v>
      </c>
      <c r="AE150" s="75">
        <v>52</v>
      </c>
      <c r="AF150" s="75">
        <v>58.97</v>
      </c>
      <c r="AG150" s="75">
        <v>1603847</v>
      </c>
      <c r="AH150" s="43">
        <v>2502</v>
      </c>
      <c r="AI150" s="43">
        <v>2502</v>
      </c>
      <c r="AJ150" s="86">
        <f>TABL123[[#This Row],[(A/B TOT) AJD]]-TABL123[[#This Row],[BER_ IN]]</f>
        <v>455</v>
      </c>
      <c r="AK150" s="75">
        <v>21</v>
      </c>
      <c r="AL150" s="96">
        <v>41.557600000000001</v>
      </c>
      <c r="AM150" s="96">
        <v>2335950</v>
      </c>
      <c r="AN150" s="96">
        <f>TABL123[[#This Row],[ (RESV. STORGE) SER]]/10</f>
        <v>233595</v>
      </c>
      <c r="AO150" s="43">
        <v>1850</v>
      </c>
      <c r="AP150" s="32">
        <f>TABL123[[#This Row],[(A/S TOT) AJD]]-TABL123[[#This Row],[SER_ 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Row],[خط (T/B  TOT) SAR]]+TABL123[[#This Row],[خط (S/S  TOT) SAR2]]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Row],[خط (S/S  TOT) SAR2]]-TABL123[[#This Row],[(S/S TOT) AJD]]</f>
        <v>45</v>
      </c>
      <c r="Q151" s="40">
        <v>452</v>
      </c>
      <c r="R151" s="3">
        <f>TABL123[[#This Row],[خط (T/B  TOT) SAR]]-TABL123[[#This Row],[(T/B TOT) AJD]]</f>
        <v>23</v>
      </c>
      <c r="S151" s="3">
        <f>TABL123[[#This Row],[الفرق بين بداية ونهاية خط  T/B]]+TABL123[[#This Row],[الفرق بين بداية ونهاية خط  S/S]]</f>
        <v>68</v>
      </c>
      <c r="T151" s="3">
        <f>TABL123[[#This Row],[(S/S TOT) AJD]]+TABL123[[#This Row],[(T/B TOT) AJD]]</f>
        <v>869</v>
      </c>
      <c r="U151" s="44">
        <v>534</v>
      </c>
      <c r="V151" s="44">
        <v>318</v>
      </c>
      <c r="W151" s="3">
        <f>TABL123[[#This Row],[(A/B TOT) AJD]]+TABL123[[#This Row],[(A/S TOT)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91">
        <f>TABL123[[#This Row],[( S/S+T/B) AJD]]-(TABL123[[#This Row],[(A/B + A/S) AJD]]+(TABL123[[#This Row],[(STORGE DIFF.) AJD]]*1000)+TABL123[[#This Row],[البخر  AJD]])</f>
        <v>12668</v>
      </c>
      <c r="AE151" s="75">
        <v>50</v>
      </c>
      <c r="AF151" s="75">
        <v>58.9</v>
      </c>
      <c r="AG151" s="75">
        <v>1557672</v>
      </c>
      <c r="AH151" s="45">
        <v>2502</v>
      </c>
      <c r="AI151" s="45">
        <v>2502</v>
      </c>
      <c r="AJ151" s="86">
        <f>TABL123[[#This Row],[(A/B TOT) AJD]]-TABL123[[#This Row],[BER_ IN]]</f>
        <v>484</v>
      </c>
      <c r="AK151" s="75">
        <v>22</v>
      </c>
      <c r="AL151" s="96">
        <v>41.566299999999998</v>
      </c>
      <c r="AM151" s="96">
        <v>2340190</v>
      </c>
      <c r="AN151" s="96">
        <f>TABL123[[#This Row],[ (RESV. STORGE) SER]]/10</f>
        <v>234019</v>
      </c>
      <c r="AO151" s="45">
        <v>1860</v>
      </c>
      <c r="AP151" s="32">
        <f>TABL123[[#This Row],[(A/S TOT) AJD]]-TABL123[[#This Row],[SER_ 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Row],[خط (T/B  TOT) SAR]]+TABL123[[#This Row],[خط (S/S  TOT) SAR2]]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Row],[خط (S/S  TOT) SAR2]]-TABL123[[#This Row],[(S/S TOT) AJD]]</f>
        <v>-51</v>
      </c>
      <c r="Q152" s="39">
        <v>429</v>
      </c>
      <c r="R152" s="3">
        <f>TABL123[[#This Row],[خط (T/B  TOT) SAR]]-TABL123[[#This Row],[(T/B TOT) AJD]]</f>
        <v>-79</v>
      </c>
      <c r="S152" s="3">
        <f>TABL123[[#This Row],[الفرق بين بداية ونهاية خط  T/B]]+TABL123[[#This Row],[الفرق بين بداية ونهاية خط  S/S]]</f>
        <v>-130</v>
      </c>
      <c r="T152" s="3">
        <f>TABL123[[#This Row],[(S/S TOT) AJD]]+TABL123[[#This Row],[(T/B TOT) AJD]]</f>
        <v>820</v>
      </c>
      <c r="U152" s="41">
        <v>503</v>
      </c>
      <c r="V152" s="41">
        <v>269</v>
      </c>
      <c r="W152" s="3">
        <f>TABL123[[#This Row],[(A/B TOT) AJD]]+TABL123[[#This Row],[(A/S TOT)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91">
        <f>TABL123[[#This Row],[( S/S+T/B) AJD]]-(TABL123[[#This Row],[(A/B + A/S) AJD]]+(TABL123[[#This Row],[(STORGE DIFF.) AJD]]*1000)+TABL123[[#This Row],[البخر  AJD]])</f>
        <v>-11710</v>
      </c>
      <c r="AE152" s="75">
        <v>55</v>
      </c>
      <c r="AF152" s="75">
        <v>58.85</v>
      </c>
      <c r="AG152" s="75">
        <v>1524716</v>
      </c>
      <c r="AH152" s="43">
        <v>2331</v>
      </c>
      <c r="AI152" s="43">
        <v>2331</v>
      </c>
      <c r="AJ152" s="86">
        <f>TABL123[[#This Row],[(A/B TOT) AJD]]-TABL123[[#This Row],[BER_ IN]]</f>
        <v>448</v>
      </c>
      <c r="AK152" s="75">
        <v>21</v>
      </c>
      <c r="AL152" s="96">
        <v>41.5505</v>
      </c>
      <c r="AM152" s="96">
        <v>2331710</v>
      </c>
      <c r="AN152" s="96">
        <f>TABL123[[#This Row],[ (RESV. STORGE) SER]]/10</f>
        <v>233171</v>
      </c>
      <c r="AO152" s="43">
        <v>1880</v>
      </c>
      <c r="AP152" s="32">
        <f>TABL123[[#This Row],[(A/S TOT) AJD]]-TABL123[[#This Row],[SER_ 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Row],[خط (T/B  TOT) SAR]]+TABL123[[#This Row],[خط (S/S  TOT) SAR2]]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Row],[خط (S/S  TOT) SAR2]]-TABL123[[#This Row],[(S/S TOT) AJD]]</f>
        <v>127</v>
      </c>
      <c r="Q153" s="39">
        <v>366</v>
      </c>
      <c r="R153" s="10">
        <f>TABL123[[#This Row],[خط (T/B  TOT) SAR]]-TABL123[[#This Row],[(T/B TOT) AJD]]</f>
        <v>109</v>
      </c>
      <c r="S153" s="10">
        <f>TABL123[[#This Row],[الفرق بين بداية ونهاية خط  T/B]]+TABL123[[#This Row],[الفرق بين بداية ونهاية خط  S/S]]</f>
        <v>236</v>
      </c>
      <c r="T153" s="10">
        <f>TABL123[[#This Row],[(S/S TOT) AJD]]+TABL123[[#This Row],[(T/B TOT) AJD]]</f>
        <v>701</v>
      </c>
      <c r="U153" s="41">
        <v>570</v>
      </c>
      <c r="V153" s="41">
        <v>226</v>
      </c>
      <c r="W153" s="10">
        <f>TABL123[[#This Row],[(A/B TOT) AJD]]+TABL123[[#This Row],[(A/S TOT)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91">
        <f>TABL123[[#This Row],[( S/S+T/B) AJD]]-(TABL123[[#This Row],[(A/B + A/S) AJD]]+(TABL123[[#This Row],[(STORGE DIFF.) AJD]]*1000)+TABL123[[#This Row],[البخر  AJD]])</f>
        <v>130785</v>
      </c>
      <c r="AE153" s="75">
        <v>55</v>
      </c>
      <c r="AF153" s="75">
        <v>58.78</v>
      </c>
      <c r="AG153" s="75">
        <v>1478614</v>
      </c>
      <c r="AH153" s="43">
        <v>2282</v>
      </c>
      <c r="AI153" s="43">
        <v>2282</v>
      </c>
      <c r="AJ153" s="86">
        <f>TABL123[[#This Row],[(A/B TOT) AJD]]-TABL123[[#This Row],[BER_ IN]]</f>
        <v>515</v>
      </c>
      <c r="AK153" s="75">
        <v>22</v>
      </c>
      <c r="AL153" s="96">
        <v>41.536200000000001</v>
      </c>
      <c r="AM153" s="96">
        <v>2324390</v>
      </c>
      <c r="AN153" s="96">
        <f>TABL123[[#This Row],[ (RESV. STORGE) SER]]/10</f>
        <v>232439</v>
      </c>
      <c r="AO153" s="43">
        <v>1920</v>
      </c>
      <c r="AP153" s="32">
        <f>TABL123[[#This Row],[(A/S TOT) AJD]]-TABL123[[#This Row],[SER_ 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Row],[خط (T/B  TOT) SAR]]+TABL123[[#This Row],[خط (S/S  TOT) SAR2]]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Row],[خط (S/S  TOT) SAR2]]-TABL123[[#This Row],[(S/S TOT) AJD]]</f>
        <v>75</v>
      </c>
      <c r="Q154" s="40">
        <v>418</v>
      </c>
      <c r="R154" s="10">
        <f>TABL123[[#This Row],[خط (T/B  TOT) SAR]]-TABL123[[#This Row],[(T/B TOT) AJD]]</f>
        <v>57</v>
      </c>
      <c r="S154" s="10">
        <f>TABL123[[#This Row],[الفرق بين بداية ونهاية خط  T/B]]+TABL123[[#This Row],[الفرق بين بداية ونهاية خط  S/S]]</f>
        <v>132</v>
      </c>
      <c r="T154" s="10">
        <f>TABL123[[#This Row],[(S/S TOT) AJD]]+TABL123[[#This Row],[(T/B TOT) AJD]]</f>
        <v>805</v>
      </c>
      <c r="U154" s="44">
        <v>571</v>
      </c>
      <c r="V154" s="44">
        <v>227</v>
      </c>
      <c r="W154" s="10">
        <f>TABL123[[#This Row],[(A/B TOT) AJD]]+TABL123[[#This Row],[(A/S TOT)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91">
        <f>TABL123[[#This Row],[( S/S+T/B) AJD]]-(TABL123[[#This Row],[(A/B + A/S) AJD]]+(TABL123[[#This Row],[(STORGE DIFF.) AJD]]*1000)+TABL123[[#This Row],[البخر  AJD]])</f>
        <v>20798</v>
      </c>
      <c r="AE154" s="75">
        <v>57</v>
      </c>
      <c r="AF154" s="75">
        <v>58.75</v>
      </c>
      <c r="AG154" s="75">
        <v>1458868</v>
      </c>
      <c r="AH154" s="45">
        <v>2015</v>
      </c>
      <c r="AI154" s="45">
        <v>2015</v>
      </c>
      <c r="AJ154" s="86">
        <f>TABL123[[#This Row],[(A/B TOT) AJD]]-TABL123[[#This Row],[BER_ IN]]</f>
        <v>514</v>
      </c>
      <c r="AK154" s="75">
        <v>21</v>
      </c>
      <c r="AL154" s="96">
        <v>41.519799999999996</v>
      </c>
      <c r="AM154" s="96">
        <v>2315820</v>
      </c>
      <c r="AN154" s="96">
        <f>TABL123[[#This Row],[ (RESV. STORGE) SER]]/10</f>
        <v>231582</v>
      </c>
      <c r="AO154" s="45">
        <v>1935</v>
      </c>
      <c r="AP154" s="32">
        <f>TABL123[[#This Row],[(A/S TOT) AJD]]-TABL123[[#This Row],[SER_ 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Row],[خط (T/B  TOT) SAR]]+TABL123[[#This Row],[خط (S/S  TOT) SAR2]]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Row],[خط (S/S  TOT) SAR2]]-TABL123[[#This Row],[(S/S TOT) AJD]]</f>
        <v>73</v>
      </c>
      <c r="Q155" s="39">
        <v>422</v>
      </c>
      <c r="R155" s="10">
        <f>TABL123[[#This Row],[خط (T/B  TOT) SAR]]-TABL123[[#This Row],[(T/B TOT) AJD]]</f>
        <v>53</v>
      </c>
      <c r="S155" s="10">
        <f>TABL123[[#This Row],[الفرق بين بداية ونهاية خط  T/B]]+TABL123[[#This Row],[الفرق بين بداية ونهاية خط  S/S]]</f>
        <v>126</v>
      </c>
      <c r="T155" s="10">
        <f>TABL123[[#This Row],[(S/S TOT) AJD]]+TABL123[[#This Row],[(T/B TOT) AJD]]</f>
        <v>811</v>
      </c>
      <c r="U155" s="41">
        <v>550</v>
      </c>
      <c r="V155" s="41">
        <v>238</v>
      </c>
      <c r="W155" s="10">
        <f>TABL123[[#This Row],[(A/B TOT) AJD]]+TABL123[[#This Row],[(A/S TOT)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91">
        <f>TABL123[[#This Row],[( S/S+T/B) AJD]]-(TABL123[[#This Row],[(A/B + A/S) AJD]]+(TABL123[[#This Row],[(STORGE DIFF.) AJD]]*1000)+TABL123[[#This Row],[البخر  AJD]])</f>
        <v>4742</v>
      </c>
      <c r="AE155" s="75">
        <v>65</v>
      </c>
      <c r="AF155" s="75">
        <v>59.59</v>
      </c>
      <c r="AG155" s="75">
        <v>2014674</v>
      </c>
      <c r="AH155" s="43">
        <v>2490</v>
      </c>
      <c r="AI155" s="43">
        <v>2490</v>
      </c>
      <c r="AJ155" s="86">
        <f>TABL123[[#This Row],[(A/B TOT) AJD]]-TABL123[[#This Row],[BER_ IN]]</f>
        <v>485</v>
      </c>
      <c r="AK155" s="75">
        <v>22</v>
      </c>
      <c r="AL155" s="96">
        <v>41.496499999999997</v>
      </c>
      <c r="AM155" s="96">
        <v>2303630</v>
      </c>
      <c r="AN155" s="96">
        <f>TABL123[[#This Row],[ (RESV. STORGE) SER]]/10</f>
        <v>230363</v>
      </c>
      <c r="AO155" s="43">
        <v>1940</v>
      </c>
      <c r="AP155" s="32">
        <f>TABL123[[#This Row],[(A/S TOT) AJD]]-TABL123[[#This Row],[SER_ 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Row],[خط (T/B  TOT) SAR]]+TABL123[[#This Row],[خط (S/S  TOT) SAR2]]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Row],[خط (S/S  TOT) SAR2]]-TABL123[[#This Row],[(S/S TOT) AJD]]</f>
        <v>73</v>
      </c>
      <c r="Q156" s="40">
        <v>422</v>
      </c>
      <c r="R156" s="10">
        <f>TABL123[[#This Row],[خط (T/B  TOT) SAR]]-TABL123[[#This Row],[(T/B TOT) AJD]]</f>
        <v>54</v>
      </c>
      <c r="S156" s="10">
        <f>TABL123[[#This Row],[الفرق بين بداية ونهاية خط  T/B]]+TABL123[[#This Row],[الفرق بين بداية ونهاية خط  S/S]]</f>
        <v>127</v>
      </c>
      <c r="T156" s="10">
        <f>TABL123[[#This Row],[(S/S TOT) AJD]]+TABL123[[#This Row],[(T/B TOT) AJD]]</f>
        <v>812</v>
      </c>
      <c r="U156" s="44">
        <v>543</v>
      </c>
      <c r="V156" s="44">
        <v>259</v>
      </c>
      <c r="W156" s="10">
        <f>TABL123[[#This Row],[(A/B TOT) AJD]]+TABL123[[#This Row],[(A/S TOT)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91">
        <f>TABL123[[#This Row],[( S/S+T/B) AJD]]-(TABL123[[#This Row],[(A/B + A/S) AJD]]+(TABL123[[#This Row],[(STORGE DIFF.) AJD]]*1000)+TABL123[[#This Row],[البخر  AJD]])</f>
        <v>19168</v>
      </c>
      <c r="AE156" s="75">
        <v>55</v>
      </c>
      <c r="AF156" s="75">
        <v>59.54</v>
      </c>
      <c r="AG156" s="75">
        <v>1981420</v>
      </c>
      <c r="AH156" s="45">
        <v>2490</v>
      </c>
      <c r="AI156" s="45">
        <v>2490</v>
      </c>
      <c r="AJ156" s="86">
        <f>TABL123[[#This Row],[(A/B TOT) AJD]]-TABL123[[#This Row],[BER_ IN]]</f>
        <v>488</v>
      </c>
      <c r="AK156" s="75">
        <v>21</v>
      </c>
      <c r="AL156" s="96">
        <v>41.472000000000001</v>
      </c>
      <c r="AM156" s="96">
        <v>2290380</v>
      </c>
      <c r="AN156" s="96">
        <f>TABL123[[#This Row],[ (RESV. STORGE) SER]]/10</f>
        <v>229038</v>
      </c>
      <c r="AO156" s="45">
        <v>1980</v>
      </c>
      <c r="AP156" s="32">
        <f>TABL123[[#This Row],[(A/S TOT) AJD]]-TABL123[[#This Row],[SER_ 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Row],[خط (T/B  TOT) SAR]]+TABL123[[#This Row],[خط (S/S  TOT) SAR2]]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Row],[خط (S/S  TOT) SAR2]]-TABL123[[#This Row],[(S/S TOT) AJD]]</f>
        <v>74</v>
      </c>
      <c r="Q157" s="39">
        <v>420</v>
      </c>
      <c r="R157" s="10">
        <f>TABL123[[#This Row],[خط (T/B  TOT) SAR]]-TABL123[[#This Row],[(T/B TOT) AJD]]</f>
        <v>53</v>
      </c>
      <c r="S157" s="10">
        <f>TABL123[[#This Row],[الفرق بين بداية ونهاية خط  T/B]]+TABL123[[#This Row],[الفرق بين بداية ونهاية خط  S/S]]</f>
        <v>127</v>
      </c>
      <c r="T157" s="10">
        <f>TABL123[[#This Row],[(S/S TOT) AJD]]+TABL123[[#This Row],[(T/B TOT) AJD]]</f>
        <v>808</v>
      </c>
      <c r="U157" s="41">
        <v>531</v>
      </c>
      <c r="V157" s="41">
        <v>270</v>
      </c>
      <c r="W157" s="10">
        <f>TABL123[[#This Row],[(A/B TOT) AJD]]+TABL123[[#This Row],[(A/S TOT)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91">
        <f>TABL123[[#This Row],[( S/S+T/B) AJD]]-(TABL123[[#This Row],[(A/B + A/S) AJD]]+(TABL123[[#This Row],[(STORGE DIFF.) AJD]]*1000)+TABL123[[#This Row],[البخر  AJD]])</f>
        <v>24930</v>
      </c>
      <c r="AE157" s="75">
        <v>53</v>
      </c>
      <c r="AF157" s="75">
        <v>59.5</v>
      </c>
      <c r="AG157" s="75">
        <v>1954832</v>
      </c>
      <c r="AH157" s="43">
        <v>2005</v>
      </c>
      <c r="AI157" s="43">
        <v>2005</v>
      </c>
      <c r="AJ157" s="86">
        <f>TABL123[[#This Row],[(A/B TOT) AJD]]-TABL123[[#This Row],[BER_ IN]]</f>
        <v>478</v>
      </c>
      <c r="AK157" s="75">
        <v>20</v>
      </c>
      <c r="AL157" s="96">
        <v>41.435699999999997</v>
      </c>
      <c r="AM157" s="96">
        <v>2271293</v>
      </c>
      <c r="AN157" s="96">
        <f>TABL123[[#This Row],[ (RESV. STORGE) SER]]/10</f>
        <v>227129.3</v>
      </c>
      <c r="AO157" s="43">
        <v>1965</v>
      </c>
      <c r="AP157" s="32">
        <f>TABL123[[#This Row],[(A/S TOT) AJD]]-TABL123[[#This Row],[SER_ 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Row],[خط (T/B  TOT) SAR]]+TABL123[[#This Row],[خط (S/S  TOT) SAR2]]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Row],[خط (S/S  TOT) SAR2]]-TABL123[[#This Row],[(S/S TOT) AJD]]</f>
        <v>69</v>
      </c>
      <c r="Q158" s="40">
        <v>423</v>
      </c>
      <c r="R158" s="10">
        <f>TABL123[[#This Row],[خط (T/B  TOT) SAR]]-TABL123[[#This Row],[(T/B TOT) AJD]]</f>
        <v>51</v>
      </c>
      <c r="S158" s="10">
        <f>TABL123[[#This Row],[الفرق بين بداية ونهاية خط  T/B]]+TABL123[[#This Row],[الفرق بين بداية ونهاية خط  S/S]]</f>
        <v>120</v>
      </c>
      <c r="T158" s="10">
        <f>TABL123[[#This Row],[(S/S TOT) AJD]]+TABL123[[#This Row],[(T/B TOT) AJD]]</f>
        <v>815</v>
      </c>
      <c r="U158" s="44">
        <v>547</v>
      </c>
      <c r="V158" s="44">
        <v>291</v>
      </c>
      <c r="W158" s="10">
        <f>TABL123[[#This Row],[(A/B TOT) AJD]]+TABL123[[#This Row],[(A/S TOT)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91">
        <f>TABL123[[#This Row],[( S/S+T/B) AJD]]-(TABL123[[#This Row],[(A/B + A/S) AJD]]+(TABL123[[#This Row],[(STORGE DIFF.) AJD]]*1000)+TABL123[[#This Row],[البخر  AJD]])</f>
        <v>46126</v>
      </c>
      <c r="AE158" s="75">
        <v>75</v>
      </c>
      <c r="AF158" s="75">
        <v>59.588999999999999</v>
      </c>
      <c r="AG158" s="75">
        <v>2014009</v>
      </c>
      <c r="AH158" s="45">
        <v>2587</v>
      </c>
      <c r="AI158" s="45">
        <v>2587</v>
      </c>
      <c r="AJ158" s="86">
        <f>TABL123[[#This Row],[(A/B TOT) AJD]]-TABL123[[#This Row],[BER_ IN]]</f>
        <v>472</v>
      </c>
      <c r="AK158" s="75">
        <v>21</v>
      </c>
      <c r="AL158" s="96">
        <v>41.411200000000001</v>
      </c>
      <c r="AM158" s="96">
        <v>2258290</v>
      </c>
      <c r="AN158" s="96">
        <f>TABL123[[#This Row],[ (RESV. STORGE) SER]]/10</f>
        <v>225829</v>
      </c>
      <c r="AO158" s="45">
        <v>2200</v>
      </c>
      <c r="AP158" s="32">
        <f>TABL123[[#This Row],[(A/S TOT) AJD]]-TABL123[[#This Row],[SER_ 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Row],[خط (T/B  TOT) SAR]]+TABL123[[#This Row],[خط (S/S  TOT) SAR2]]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Row],[خط (S/S  TOT) SAR2]]-TABL123[[#This Row],[(S/S TOT) AJD]]</f>
        <v>78</v>
      </c>
      <c r="Q159" s="39">
        <v>414</v>
      </c>
      <c r="R159" s="10">
        <f>TABL123[[#This Row],[خط (T/B  TOT) SAR]]-TABL123[[#This Row],[(T/B TOT) AJD]]</f>
        <v>61</v>
      </c>
      <c r="S159" s="10">
        <f>TABL123[[#This Row],[الفرق بين بداية ونهاية خط  T/B]]+TABL123[[#This Row],[الفرق بين بداية ونهاية خط  S/S]]</f>
        <v>139</v>
      </c>
      <c r="T159" s="10">
        <f>TABL123[[#This Row],[(S/S TOT) AJD]]+TABL123[[#This Row],[(T/B TOT) AJD]]</f>
        <v>796</v>
      </c>
      <c r="U159" s="41">
        <v>533</v>
      </c>
      <c r="V159" s="41">
        <v>290</v>
      </c>
      <c r="W159" s="10">
        <f>TABL123[[#This Row],[(A/B TOT) AJD]]+TABL123[[#This Row],[(A/S TOT)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91">
        <f>TABL123[[#This Row],[( S/S+T/B) AJD]]-(TABL123[[#This Row],[(A/B + A/S) AJD]]+(TABL123[[#This Row],[(STORGE DIFF.) AJD]]*1000)+TABL123[[#This Row],[البخر  AJD]])</f>
        <v>40045</v>
      </c>
      <c r="AE159" s="75">
        <v>50</v>
      </c>
      <c r="AF159" s="75">
        <v>59.47</v>
      </c>
      <c r="AG159" s="75">
        <v>1934900</v>
      </c>
      <c r="AH159" s="43">
        <v>2325</v>
      </c>
      <c r="AI159" s="43">
        <v>2325</v>
      </c>
      <c r="AJ159" s="86">
        <f>TABL123[[#This Row],[(A/B TOT) AJD]]-TABL123[[#This Row],[BER_ IN]]</f>
        <v>483</v>
      </c>
      <c r="AK159" s="75">
        <v>21</v>
      </c>
      <c r="AL159" s="96">
        <v>41.373199999999997</v>
      </c>
      <c r="AM159" s="96">
        <v>2238560</v>
      </c>
      <c r="AN159" s="96">
        <f>TABL123[[#This Row],[ (RESV. STORGE) SER]]/10</f>
        <v>223856</v>
      </c>
      <c r="AO159" s="43">
        <v>2150</v>
      </c>
      <c r="AP159" s="32">
        <f>TABL123[[#This Row],[(A/S TOT) AJD]]-TABL123[[#This Row],[SER_ 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Row],[خط (T/B  TOT) SAR]]+TABL123[[#This Row],[خط (S/S  TOT) SAR2]]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Row],[خط (S/S  TOT) SAR2]]-TABL123[[#This Row],[(S/S TOT) AJD]]</f>
        <v>80</v>
      </c>
      <c r="Q160" s="40">
        <v>417</v>
      </c>
      <c r="R160" s="10">
        <f>TABL123[[#This Row],[خط (T/B  TOT) SAR]]-TABL123[[#This Row],[(T/B TOT) AJD]]</f>
        <v>58</v>
      </c>
      <c r="S160" s="10">
        <f>TABL123[[#This Row],[الفرق بين بداية ونهاية خط  T/B]]+TABL123[[#This Row],[الفرق بين بداية ونهاية خط  S/S]]</f>
        <v>138</v>
      </c>
      <c r="T160" s="10">
        <f>TABL123[[#This Row],[(S/S TOT) AJD]]+TABL123[[#This Row],[(T/B TOT) AJD]]</f>
        <v>802</v>
      </c>
      <c r="U160" s="44">
        <v>539</v>
      </c>
      <c r="V160" s="44">
        <v>262</v>
      </c>
      <c r="W160" s="10">
        <f>TABL123[[#This Row],[(A/B TOT) AJD]]+TABL123[[#This Row],[(A/S TOT)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91">
        <f>TABL123[[#This Row],[( S/S+T/B) AJD]]-(TABL123[[#This Row],[(A/B + A/S) AJD]]+(TABL123[[#This Row],[(STORGE DIFF.) AJD]]*1000)+TABL123[[#This Row],[البخر  AJD]])</f>
        <v>25753</v>
      </c>
      <c r="AE160" s="75">
        <v>52</v>
      </c>
      <c r="AF160" s="75">
        <v>59.37</v>
      </c>
      <c r="AG160" s="75">
        <v>1868516</v>
      </c>
      <c r="AH160" s="45">
        <v>2485</v>
      </c>
      <c r="AI160" s="45">
        <v>2485</v>
      </c>
      <c r="AJ160" s="86">
        <f>TABL123[[#This Row],[(A/B TOT) AJD]]-TABL123[[#This Row],[BER_ IN]]</f>
        <v>487</v>
      </c>
      <c r="AK160" s="75">
        <v>22</v>
      </c>
      <c r="AL160" s="96">
        <v>41.348199999999999</v>
      </c>
      <c r="AM160" s="96">
        <v>2225350</v>
      </c>
      <c r="AN160" s="96">
        <f>TABL123[[#This Row],[ (RESV. STORGE) SER]]/10</f>
        <v>222535</v>
      </c>
      <c r="AO160" s="45">
        <v>2070</v>
      </c>
      <c r="AP160" s="32">
        <f>TABL123[[#This Row],[(A/S TOT) AJD]]-TABL123[[#This Row],[SER_ 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Row],[خط (T/B  TOT) SAR]]+TABL123[[#This Row],[خط (S/S  TOT) SAR2]]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Row],[خط (S/S  TOT) SAR2]]-TABL123[[#This Row],[(S/S TOT) AJD]]</f>
        <v>78</v>
      </c>
      <c r="Q161" s="39">
        <v>423</v>
      </c>
      <c r="R161" s="10">
        <f>TABL123[[#This Row],[خط (T/B  TOT) SAR]]-TABL123[[#This Row],[(T/B TOT) AJD]]</f>
        <v>57</v>
      </c>
      <c r="S161" s="10">
        <f>TABL123[[#This Row],[الفرق بين بداية ونهاية خط  T/B]]+TABL123[[#This Row],[الفرق بين بداية ونهاية خط  S/S]]</f>
        <v>135</v>
      </c>
      <c r="T161" s="10">
        <f>TABL123[[#This Row],[(S/S TOT) AJD]]+TABL123[[#This Row],[(T/B TOT) AJD]]</f>
        <v>815</v>
      </c>
      <c r="U161" s="41">
        <v>521</v>
      </c>
      <c r="V161" s="41">
        <v>252</v>
      </c>
      <c r="W161" s="10">
        <f>TABL123[[#This Row],[(A/B TOT) AJD]]+TABL123[[#This Row],[(A/S TOT)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91">
        <f>TABL123[[#This Row],[( S/S+T/B) AJD]]-(TABL123[[#This Row],[(A/B + A/S) AJD]]+(TABL123[[#This Row],[(STORGE DIFF.) AJD]]*1000)+TABL123[[#This Row],[البخر  AJD]])</f>
        <v>-20702</v>
      </c>
      <c r="AE161" s="75">
        <v>41</v>
      </c>
      <c r="AF161" s="75">
        <v>59.25</v>
      </c>
      <c r="AG161" s="75">
        <v>1788970</v>
      </c>
      <c r="AH161" s="43">
        <v>3009</v>
      </c>
      <c r="AI161" s="43">
        <v>3009</v>
      </c>
      <c r="AJ161" s="86">
        <f>TABL123[[#This Row],[(A/B TOT) AJD]]-TABL123[[#This Row],[BER_ IN]]</f>
        <v>480</v>
      </c>
      <c r="AK161" s="75">
        <v>21</v>
      </c>
      <c r="AL161" s="96">
        <v>41.3352</v>
      </c>
      <c r="AM161" s="96">
        <v>2218180</v>
      </c>
      <c r="AN161" s="96">
        <f>TABL123[[#This Row],[ (RESV. STORGE) SER]]/10</f>
        <v>221818</v>
      </c>
      <c r="AO161" s="43">
        <v>1980</v>
      </c>
      <c r="AP161" s="32">
        <f>TABL123[[#This Row],[(A/S TOT) AJD]]-TABL123[[#This Row],[SER_ 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Row],[خط (T/B  TOT) SAR]]+TABL123[[#This Row],[خط (S/S  TOT) SAR2]]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Row],[خط (S/S  TOT) SAR2]]-TABL123[[#This Row],[(S/S TOT) AJD]]</f>
        <v>72</v>
      </c>
      <c r="Q162" s="40">
        <v>434</v>
      </c>
      <c r="R162" s="10">
        <f>TABL123[[#This Row],[خط (T/B  TOT) SAR]]-TABL123[[#This Row],[(T/B TOT) AJD]]</f>
        <v>51</v>
      </c>
      <c r="S162" s="10">
        <f>TABL123[[#This Row],[الفرق بين بداية ونهاية خط  T/B]]+TABL123[[#This Row],[الفرق بين بداية ونهاية خط  S/S]]</f>
        <v>123</v>
      </c>
      <c r="T162" s="10">
        <f>TABL123[[#This Row],[(S/S TOT) AJD]]+TABL123[[#This Row],[(T/B TOT) AJD]]</f>
        <v>837</v>
      </c>
      <c r="U162" s="44">
        <v>521</v>
      </c>
      <c r="V162" s="44">
        <v>259</v>
      </c>
      <c r="W162" s="10">
        <f>TABL123[[#This Row],[(A/B TOT) AJD]]+TABL123[[#This Row],[(A/S TOT)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91">
        <f>TABL123[[#This Row],[( S/S+T/B) AJD]]-(TABL123[[#This Row],[(A/B + A/S) AJD]]+(TABL123[[#This Row],[(STORGE DIFF.) AJD]]*1000)+TABL123[[#This Row],[البخر  AJD]])</f>
        <v>-36143</v>
      </c>
      <c r="AE162" s="75">
        <v>37</v>
      </c>
      <c r="AF162" s="75">
        <v>59.2</v>
      </c>
      <c r="AG162" s="75">
        <v>1755863</v>
      </c>
      <c r="AH162" s="45">
        <v>2160</v>
      </c>
      <c r="AI162" s="45">
        <v>2160</v>
      </c>
      <c r="AJ162" s="86">
        <f>TABL123[[#This Row],[(A/B TOT) AJD]]-TABL123[[#This Row],[BER_ IN]]</f>
        <v>484</v>
      </c>
      <c r="AK162" s="75">
        <v>21</v>
      </c>
      <c r="AL162" s="96">
        <v>41.328699999999998</v>
      </c>
      <c r="AM162" s="96">
        <v>2214800</v>
      </c>
      <c r="AN162" s="96">
        <f>TABL123[[#This Row],[ (RESV. STORGE) SER]]/10</f>
        <v>221480</v>
      </c>
      <c r="AO162" s="45">
        <v>1965</v>
      </c>
      <c r="AP162" s="32">
        <f>TABL123[[#This Row],[(A/S TOT) AJD]]-TABL123[[#This Row],[SER_ 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Row],[خط (T/B  TOT) SAR]]+TABL123[[#This Row],[خط (S/S  TOT) SAR2]]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Row],[خط (S/S  TOT) SAR2]]-TABL123[[#This Row],[(S/S TOT) AJD]]</f>
        <v>70</v>
      </c>
      <c r="Q163" s="39">
        <v>438</v>
      </c>
      <c r="R163" s="10">
        <f>TABL123[[#This Row],[خط (T/B  TOT) SAR]]-TABL123[[#This Row],[(T/B TOT) AJD]]</f>
        <v>48</v>
      </c>
      <c r="S163" s="10">
        <f>TABL123[[#This Row],[الفرق بين بداية ونهاية خط  T/B]]+TABL123[[#This Row],[الفرق بين بداية ونهاية خط  S/S]]</f>
        <v>118</v>
      </c>
      <c r="T163" s="10">
        <f>TABL123[[#This Row],[(S/S TOT) AJD]]+TABL123[[#This Row],[(T/B TOT) AJD]]</f>
        <v>844</v>
      </c>
      <c r="U163" s="41">
        <v>516</v>
      </c>
      <c r="V163" s="41">
        <v>255</v>
      </c>
      <c r="W163" s="10">
        <f>TABL123[[#This Row],[(A/B TOT) AJD]]+TABL123[[#This Row],[(A/S TOT)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91">
        <f>TABL123[[#This Row],[( S/S+T/B) AJD]]-(TABL123[[#This Row],[(A/B + A/S) AJD]]+(TABL123[[#This Row],[(STORGE DIFF.) AJD]]*1000)+TABL123[[#This Row],[البخر  AJD]])</f>
        <v>-44459</v>
      </c>
      <c r="AE163" s="75">
        <v>35</v>
      </c>
      <c r="AF163" s="75">
        <v>59.14</v>
      </c>
      <c r="AG163" s="75">
        <v>1716162</v>
      </c>
      <c r="AH163" s="43">
        <v>3000</v>
      </c>
      <c r="AI163" s="43">
        <v>3000</v>
      </c>
      <c r="AJ163" s="86">
        <f>TABL123[[#This Row],[(A/B TOT) AJD]]-TABL123[[#This Row],[BER_ IN]]</f>
        <v>481</v>
      </c>
      <c r="AK163" s="75">
        <v>21</v>
      </c>
      <c r="AL163" s="96">
        <v>41.322800000000001</v>
      </c>
      <c r="AM163" s="96">
        <v>2211110</v>
      </c>
      <c r="AN163" s="96">
        <f>TABL123[[#This Row],[ (RESV. STORGE) SER]]/10</f>
        <v>221111</v>
      </c>
      <c r="AO163" s="43">
        <v>1975</v>
      </c>
      <c r="AP163" s="32">
        <f>TABL123[[#This Row],[(A/S TOT) AJD]]-TABL123[[#This Row],[SER_ 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Row],[خط (T/B  TOT) SAR]]+TABL123[[#This Row],[خط (S/S  TOT) SAR2]]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Row],[خط (S/S  TOT) SAR2]]-TABL123[[#This Row],[(S/S TOT) AJD]]</f>
        <v>70</v>
      </c>
      <c r="Q164" s="40">
        <v>439</v>
      </c>
      <c r="R164" s="10">
        <f>TABL123[[#This Row],[خط (T/B  TOT) SAR]]-TABL123[[#This Row],[(T/B TOT) AJD]]</f>
        <v>48</v>
      </c>
      <c r="S164" s="10">
        <f>TABL123[[#This Row],[الفرق بين بداية ونهاية خط  T/B]]+TABL123[[#This Row],[الفرق بين بداية ونهاية خط  S/S]]</f>
        <v>118</v>
      </c>
      <c r="T164" s="10">
        <f>TABL123[[#This Row],[(S/S TOT) AJD]]+TABL123[[#This Row],[(T/B TOT) AJD]]</f>
        <v>845</v>
      </c>
      <c r="U164" s="44">
        <v>530</v>
      </c>
      <c r="V164" s="44">
        <v>246</v>
      </c>
      <c r="W164" s="10">
        <f>TABL123[[#This Row],[(A/B TOT) AJD]]+TABL123[[#This Row],[(A/S TOT)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91">
        <f>TABL123[[#This Row],[( S/S+T/B) AJD]]-(TABL123[[#This Row],[(A/B + A/S) AJD]]+(TABL123[[#This Row],[(STORGE DIFF.) AJD]]*1000)+TABL123[[#This Row],[البخر  AJD]])</f>
        <v>-44911</v>
      </c>
      <c r="AE164" s="75">
        <v>33</v>
      </c>
      <c r="AF164" s="75">
        <v>59.098999999999997</v>
      </c>
      <c r="AG164" s="75">
        <v>1689052</v>
      </c>
      <c r="AH164" s="45">
        <v>2911</v>
      </c>
      <c r="AI164" s="45">
        <v>2911</v>
      </c>
      <c r="AJ164" s="86">
        <f>TABL123[[#This Row],[(A/B TOT) AJD]]-TABL123[[#This Row],[BER_ IN]]</f>
        <v>497</v>
      </c>
      <c r="AK164" s="75">
        <v>21</v>
      </c>
      <c r="AL164" s="96">
        <v>41.313499999999998</v>
      </c>
      <c r="AM164" s="96">
        <v>2206375</v>
      </c>
      <c r="AN164" s="96">
        <f>TABL123[[#This Row],[ (RESV. STORGE) SER]]/10</f>
        <v>220637.5</v>
      </c>
      <c r="AO164" s="45">
        <v>2010</v>
      </c>
      <c r="AP164" s="32">
        <f>TABL123[[#This Row],[(A/S TOT) AJD]]-TABL123[[#This Row],[SER_ 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Row],[خط (T/B  TOT) SAR]]+TABL123[[#This Row],[خط (S/S  TOT) SAR2]]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Row],[خط (S/S  TOT) SAR2]]-TABL123[[#This Row],[(S/S TOT) AJD]]</f>
        <v>69</v>
      </c>
      <c r="Q165" s="39">
        <v>442</v>
      </c>
      <c r="R165" s="10">
        <f>TABL123[[#This Row],[خط (T/B  TOT) SAR]]-TABL123[[#This Row],[(T/B TOT) AJD]]</f>
        <v>47</v>
      </c>
      <c r="S165" s="10">
        <f>TABL123[[#This Row],[الفرق بين بداية ونهاية خط  T/B]]+TABL123[[#This Row],[الفرق بين بداية ونهاية خط  S/S]]</f>
        <v>116</v>
      </c>
      <c r="T165" s="10">
        <f>TABL123[[#This Row],[(S/S TOT) AJD]]+TABL123[[#This Row],[(T/B TOT) AJD]]</f>
        <v>851</v>
      </c>
      <c r="U165" s="41">
        <v>532</v>
      </c>
      <c r="V165" s="41">
        <v>244</v>
      </c>
      <c r="W165" s="10">
        <f>TABL123[[#This Row],[(A/B TOT) AJD]]+TABL123[[#This Row],[(A/S TOT)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91">
        <f>TABL123[[#This Row],[( S/S+T/B) AJD]]-(TABL123[[#This Row],[(A/B + A/S) AJD]]+(TABL123[[#This Row],[(STORGE DIFF.) AJD]]*1000)+TABL123[[#This Row],[البخر  AJD]])</f>
        <v>-55158</v>
      </c>
      <c r="AE165" s="75">
        <v>37</v>
      </c>
      <c r="AF165" s="75">
        <v>59.02</v>
      </c>
      <c r="AG165" s="75">
        <v>1636855</v>
      </c>
      <c r="AH165" s="43">
        <v>2000</v>
      </c>
      <c r="AI165" s="43">
        <v>2000</v>
      </c>
      <c r="AJ165" s="86">
        <f>TABL123[[#This Row],[(A/B TOT) AJD]]-TABL123[[#This Row],[BER_ IN]]</f>
        <v>495</v>
      </c>
      <c r="AK165" s="75">
        <v>21</v>
      </c>
      <c r="AL165" s="96">
        <v>41.305799999999998</v>
      </c>
      <c r="AM165" s="96">
        <v>2202650</v>
      </c>
      <c r="AN165" s="96">
        <f>TABL123[[#This Row],[ (RESV. STORGE) SER]]/10</f>
        <v>220265</v>
      </c>
      <c r="AO165" s="43">
        <v>2023</v>
      </c>
      <c r="AP165" s="32">
        <f>TABL123[[#This Row],[(A/S TOT) AJD]]-TABL123[[#This Row],[SER_ 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Row],[خط (T/B  TOT) SAR]]+TABL123[[#This Row],[خط (S/S  TOT) SAR2]]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Row],[خط (S/S  TOT) SAR2]]-TABL123[[#This Row],[(S/S TOT) AJD]]</f>
        <v>82</v>
      </c>
      <c r="Q166" s="40">
        <v>441</v>
      </c>
      <c r="R166" s="10">
        <f>TABL123[[#This Row],[خط (T/B  TOT) SAR]]-TABL123[[#This Row],[(T/B TOT) AJD]]</f>
        <v>67</v>
      </c>
      <c r="S166" s="10">
        <f>TABL123[[#This Row],[الفرق بين بداية ونهاية خط  T/B]]+TABL123[[#This Row],[الفرق بين بداية ونهاية خط  S/S]]</f>
        <v>149</v>
      </c>
      <c r="T166" s="10">
        <f>TABL123[[#This Row],[(S/S TOT) AJD]]+TABL123[[#This Row],[(T/B TOT) AJD]]</f>
        <v>849</v>
      </c>
      <c r="U166" s="44">
        <v>534</v>
      </c>
      <c r="V166" s="44">
        <v>236</v>
      </c>
      <c r="W166" s="10">
        <f>TABL123[[#This Row],[(A/B TOT) AJD]]+TABL123[[#This Row],[(A/S TOT)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91">
        <f>TABL123[[#This Row],[( S/S+T/B) AJD]]-(TABL123[[#This Row],[(A/B + A/S) AJD]]+(TABL123[[#This Row],[(STORGE DIFF.) AJD]]*1000)+TABL123[[#This Row],[البخر  AJD]])</f>
        <v>-43917</v>
      </c>
      <c r="AE166" s="75">
        <v>45</v>
      </c>
      <c r="AF166" s="75">
        <v>59.04</v>
      </c>
      <c r="AG166" s="75">
        <v>1650054</v>
      </c>
      <c r="AH166" s="45">
        <v>2960</v>
      </c>
      <c r="AI166" s="45">
        <v>2960</v>
      </c>
      <c r="AJ166" s="86">
        <f>TABL123[[#This Row],[(A/B TOT) AJD]]-TABL123[[#This Row],[BER_ IN]]</f>
        <v>489</v>
      </c>
      <c r="AK166" s="75">
        <v>34</v>
      </c>
      <c r="AL166" s="96">
        <v>41.305100000000003</v>
      </c>
      <c r="AM166" s="96">
        <v>2202190</v>
      </c>
      <c r="AN166" s="96">
        <f>TABL123[[#This Row],[ (RESV. STORGE) SER]]/10</f>
        <v>220219</v>
      </c>
      <c r="AO166" s="45">
        <v>2023</v>
      </c>
      <c r="AP166" s="32">
        <f>TABL123[[#This Row],[(A/S TOT) AJD]]-TABL123[[#This Row],[SER_ 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Row],[خط (T/B  TOT) SAR]]+TABL123[[#This Row],[خط (S/S  TOT) SAR2]]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Row],[خط (S/S  TOT) SAR2]]-TABL123[[#This Row],[(S/S TOT) AJD]]</f>
        <v>49</v>
      </c>
      <c r="Q167" s="39">
        <v>410</v>
      </c>
      <c r="R167" s="10">
        <f>TABL123[[#This Row],[خط (T/B  TOT) SAR]]-TABL123[[#This Row],[(T/B TOT) AJD]]</f>
        <v>93</v>
      </c>
      <c r="S167" s="10">
        <f>TABL123[[#This Row],[الفرق بين بداية ونهاية خط  T/B]]+TABL123[[#This Row],[الفرق بين بداية ونهاية خط  S/S]]</f>
        <v>142</v>
      </c>
      <c r="T167" s="10">
        <f>TABL123[[#This Row],[(S/S TOT) AJD]]+TABL123[[#This Row],[(T/B TOT) AJD]]</f>
        <v>852</v>
      </c>
      <c r="U167" s="41">
        <v>549</v>
      </c>
      <c r="V167" s="41">
        <v>241</v>
      </c>
      <c r="W167" s="10">
        <f>TABL123[[#This Row],[(A/B TOT) AJD]]+TABL123[[#This Row],[(A/S TOT)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91">
        <f>TABL123[[#This Row],[( S/S+T/B) AJD]]-(TABL123[[#This Row],[(A/B + A/S) AJD]]+(TABL123[[#This Row],[(STORGE DIFF.) AJD]]*1000)+TABL123[[#This Row],[البخر  AJD]])</f>
        <v>-36058</v>
      </c>
      <c r="AE167" s="75">
        <v>50</v>
      </c>
      <c r="AF167" s="75">
        <v>59.03</v>
      </c>
      <c r="AG167" s="75">
        <v>1643459</v>
      </c>
      <c r="AH167" s="43">
        <v>2965</v>
      </c>
      <c r="AI167" s="43">
        <v>2965</v>
      </c>
      <c r="AJ167" s="86">
        <f>TABL123[[#This Row],[(A/B TOT) AJD]]-TABL123[[#This Row],[BER_ IN]]</f>
        <v>499</v>
      </c>
      <c r="AK167" s="75">
        <v>31</v>
      </c>
      <c r="AL167" s="96">
        <v>41.2988</v>
      </c>
      <c r="AM167" s="96">
        <v>2198960</v>
      </c>
      <c r="AN167" s="96">
        <f>TABL123[[#This Row],[ (RESV. STORGE) SER]]/10</f>
        <v>219896</v>
      </c>
      <c r="AO167" s="43">
        <v>2023</v>
      </c>
      <c r="AP167" s="32">
        <f>TABL123[[#This Row],[(A/S TOT) AJD]]-TABL123[[#This Row],[SER_ 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Row],[خط (T/B  TOT) SAR]]+TABL123[[#This Row],[خط (S/S  TOT) SAR2]]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Row],[خط (S/S  TOT) SAR2]]-TABL123[[#This Row],[(S/S TOT) AJD]]</f>
        <v>78</v>
      </c>
      <c r="Q168" s="40">
        <v>442</v>
      </c>
      <c r="R168" s="10">
        <f>TABL123[[#This Row],[خط (T/B  TOT) SAR]]-TABL123[[#This Row],[(T/B TOT) AJD]]</f>
        <v>59</v>
      </c>
      <c r="S168" s="10">
        <f>TABL123[[#This Row],[الفرق بين بداية ونهاية خط  T/B]]+TABL123[[#This Row],[الفرق بين بداية ونهاية خط  S/S]]</f>
        <v>137</v>
      </c>
      <c r="T168" s="10">
        <f>TABL123[[#This Row],[(S/S TOT) AJD]]+TABL123[[#This Row],[(T/B TOT) AJD]]</f>
        <v>852</v>
      </c>
      <c r="U168" s="44">
        <v>550</v>
      </c>
      <c r="V168" s="44">
        <v>241</v>
      </c>
      <c r="W168" s="10">
        <f>TABL123[[#This Row],[(A/B TOT) AJD]]+TABL123[[#This Row],[(A/S TOT)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91">
        <f>TABL123[[#This Row],[( S/S+T/B) AJD]]-(TABL123[[#This Row],[(A/B + A/S) AJD]]+(TABL123[[#This Row],[(STORGE DIFF.) AJD]]*1000)+TABL123[[#This Row],[البخر  AJD]])</f>
        <v>-2023</v>
      </c>
      <c r="AE168" s="75">
        <v>55</v>
      </c>
      <c r="AF168" s="75">
        <v>59.07</v>
      </c>
      <c r="AG168" s="75">
        <v>1669884</v>
      </c>
      <c r="AH168" s="45">
        <v>1999</v>
      </c>
      <c r="AI168" s="45">
        <v>1999</v>
      </c>
      <c r="AJ168" s="86">
        <f>TABL123[[#This Row],[(A/B TOT) AJD]]-TABL123[[#This Row],[BER_ IN]]</f>
        <v>495</v>
      </c>
      <c r="AK168" s="75">
        <v>27</v>
      </c>
      <c r="AL168" s="96">
        <v>41.288400000000003</v>
      </c>
      <c r="AM168" s="96">
        <v>2193170</v>
      </c>
      <c r="AN168" s="96">
        <f>TABL123[[#This Row],[ (RESV. STORGE) SER]]/10</f>
        <v>219317</v>
      </c>
      <c r="AO168" s="45">
        <v>2868</v>
      </c>
      <c r="AP168" s="32">
        <f>TABL123[[#This Row],[(A/S TOT) AJD]]-TABL123[[#This Row],[SER_ 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Row],[خط (T/B  TOT) SAR]]+TABL123[[#This Row],[خط (S/S  TOT) SAR2]]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Row],[خط (S/S  TOT) SAR2]]-TABL123[[#This Row],[(S/S TOT) AJD]]</f>
        <v>80</v>
      </c>
      <c r="Q169" s="39">
        <v>441</v>
      </c>
      <c r="R169" s="10">
        <f>TABL123[[#This Row],[خط (T/B  TOT) SAR]]-TABL123[[#This Row],[(T/B TOT) AJD]]</f>
        <v>60</v>
      </c>
      <c r="S169" s="10">
        <f>TABL123[[#This Row],[الفرق بين بداية ونهاية خط  T/B]]+TABL123[[#This Row],[الفرق بين بداية ونهاية خط  S/S]]</f>
        <v>140</v>
      </c>
      <c r="T169" s="10">
        <f>TABL123[[#This Row],[(S/S TOT) AJD]]+TABL123[[#This Row],[(T/B TOT) AJD]]</f>
        <v>849</v>
      </c>
      <c r="U169" s="41">
        <v>539</v>
      </c>
      <c r="V169" s="41">
        <v>271</v>
      </c>
      <c r="W169" s="10">
        <f>TABL123[[#This Row],[(A/B TOT) AJD]]+TABL123[[#This Row],[(A/S TOT)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91">
        <f>TABL123[[#This Row],[( S/S+T/B) AJD]]-(TABL123[[#This Row],[(A/B + A/S) AJD]]+(TABL123[[#This Row],[(STORGE DIFF.) AJD]]*1000)+TABL123[[#This Row],[البخر  AJD]])</f>
        <v>-19420</v>
      </c>
      <c r="AE169" s="75">
        <v>59</v>
      </c>
      <c r="AF169" s="75">
        <v>59.08</v>
      </c>
      <c r="AG169" s="75">
        <v>1676493</v>
      </c>
      <c r="AH169" s="43">
        <v>2999</v>
      </c>
      <c r="AI169" s="43">
        <v>2999</v>
      </c>
      <c r="AJ169" s="86">
        <f>TABL123[[#This Row],[(A/B TOT) AJD]]-TABL123[[#This Row],[BER_ IN]]</f>
        <v>480</v>
      </c>
      <c r="AK169" s="75">
        <v>28</v>
      </c>
      <c r="AL169" s="96">
        <v>41.29</v>
      </c>
      <c r="AM169" s="96">
        <v>2194210</v>
      </c>
      <c r="AN169" s="96">
        <f>TABL123[[#This Row],[ (RESV. STORGE) SER]]/10</f>
        <v>219421</v>
      </c>
      <c r="AO169" s="43">
        <v>1890</v>
      </c>
      <c r="AP169" s="32">
        <f>TABL123[[#This Row],[(A/S TOT) AJD]]-TABL123[[#This Row],[SER_ 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Row],[خط (T/B  TOT) SAR]]+TABL123[[#This Row],[خط (S/S  TOT) SAR2]]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Row],[خط (S/S  TOT) SAR2]]-TABL123[[#This Row],[(S/S TOT) AJD]]</f>
        <v>80</v>
      </c>
      <c r="Q170" s="40">
        <v>440</v>
      </c>
      <c r="R170" s="3">
        <f>TABL123[[#This Row],[خط (T/B  TOT) SAR]]-TABL123[[#This Row],[(T/B TOT) AJD]]</f>
        <v>61</v>
      </c>
      <c r="S170" s="3">
        <f>TABL123[[#This Row],[الفرق بين بداية ونهاية خط  T/B]]+TABL123[[#This Row],[الفرق بين بداية ونهاية خط  S/S]]</f>
        <v>141</v>
      </c>
      <c r="T170" s="3">
        <f>TABL123[[#This Row],[(S/S TOT) AJD]]+TABL123[[#This Row],[(T/B TOT) AJD]]</f>
        <v>848</v>
      </c>
      <c r="U170" s="44">
        <v>570</v>
      </c>
      <c r="V170" s="44">
        <v>269</v>
      </c>
      <c r="W170" s="3">
        <f>TABL123[[#This Row],[(A/B TOT) AJD]]+TABL123[[#This Row],[(A/S TOT)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91">
        <f>TABL123[[#This Row],[( S/S+T/B) AJD]]-(TABL123[[#This Row],[(A/B + A/S) AJD]]+(TABL123[[#This Row],[(STORGE DIFF.) AJD]]*1000)+TABL123[[#This Row],[البخر  AJD]])</f>
        <v>20577</v>
      </c>
      <c r="AE170" s="75">
        <v>59</v>
      </c>
      <c r="AF170" s="75">
        <v>59.13</v>
      </c>
      <c r="AG170" s="75">
        <v>1709548</v>
      </c>
      <c r="AH170" s="45">
        <v>2965</v>
      </c>
      <c r="AI170" s="45">
        <v>2965</v>
      </c>
      <c r="AJ170" s="86">
        <f>TABL123[[#This Row],[(A/B TOT) AJD]]-TABL123[[#This Row],[BER_ IN]]</f>
        <v>511</v>
      </c>
      <c r="AK170" s="75">
        <v>30</v>
      </c>
      <c r="AL170" s="96">
        <v>41.296999999999997</v>
      </c>
      <c r="AM170" s="96">
        <v>2197980</v>
      </c>
      <c r="AN170" s="96">
        <f>TABL123[[#This Row],[ (RESV. STORGE) SER]]/10</f>
        <v>219798</v>
      </c>
      <c r="AO170" s="45">
        <v>1830</v>
      </c>
      <c r="AP170" s="32">
        <f>TABL123[[#This Row],[(A/S TOT) AJD]]-TABL123[[#This Row],[SER_ 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Row],[خط (T/B  TOT) SAR]]+TABL123[[#This Row],[خط (S/S  TOT) SAR2]]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Row],[خط (S/S  TOT) SAR2]]-TABL123[[#This Row],[(S/S TOT) AJD]]</f>
        <v>82</v>
      </c>
      <c r="Q171" s="39">
        <v>442</v>
      </c>
      <c r="R171" s="3">
        <f>TABL123[[#This Row],[خط (T/B  TOT) SAR]]-TABL123[[#This Row],[(T/B TOT) AJD]]</f>
        <v>65</v>
      </c>
      <c r="S171" s="3">
        <f>TABL123[[#This Row],[الفرق بين بداية ونهاية خط  T/B]]+TABL123[[#This Row],[الفرق بين بداية ونهاية خط  S/S]]</f>
        <v>147</v>
      </c>
      <c r="T171" s="3">
        <f>TABL123[[#This Row],[(S/S TOT) AJD]]+TABL123[[#This Row],[(T/B TOT) AJD]]</f>
        <v>852</v>
      </c>
      <c r="U171" s="41">
        <v>566</v>
      </c>
      <c r="V171" s="41">
        <v>276</v>
      </c>
      <c r="W171" s="3">
        <f>TABL123[[#This Row],[(A/B TOT) AJD]]+TABL123[[#This Row],[(A/S TOT)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91">
        <f>TABL123[[#This Row],[( S/S+T/B) AJD]]-(TABL123[[#This Row],[(A/B + A/S) AJD]]+(TABL123[[#This Row],[(STORGE DIFF.) AJD]]*1000)+TABL123[[#This Row],[البخر  AJD]])</f>
        <v>12969</v>
      </c>
      <c r="AE171" s="75">
        <v>60</v>
      </c>
      <c r="AF171" s="75">
        <v>59.17</v>
      </c>
      <c r="AG171" s="75">
        <v>1736008</v>
      </c>
      <c r="AH171" s="43">
        <v>1999</v>
      </c>
      <c r="AI171" s="43">
        <v>1999</v>
      </c>
      <c r="AJ171" s="86">
        <f>TABL123[[#This Row],[(A/B TOT) AJD]]-TABL123[[#This Row],[BER_ IN]]</f>
        <v>506</v>
      </c>
      <c r="AK171" s="75">
        <v>30</v>
      </c>
      <c r="AL171" s="96">
        <v>41.245199999999997</v>
      </c>
      <c r="AM171" s="96">
        <v>2170510</v>
      </c>
      <c r="AN171" s="96">
        <f>TABL123[[#This Row],[ (RESV. STORGE) SER]]/10</f>
        <v>217051</v>
      </c>
      <c r="AO171" s="43">
        <v>1870</v>
      </c>
      <c r="AP171" s="32">
        <f>TABL123[[#This Row],[(A/S TOT) AJD]]-TABL123[[#This Row],[SER_ 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Row],[خط (T/B  TOT) SAR]]+TABL123[[#This Row],[خط (S/S  TOT) SAR2]]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Row],[خط (S/S  TOT) SAR2]]-TABL123[[#This Row],[(S/S TOT) AJD]]</f>
        <v>79</v>
      </c>
      <c r="Q172" s="40">
        <v>445</v>
      </c>
      <c r="R172" s="3">
        <f>TABL123[[#This Row],[خط (T/B  TOT) SAR]]-TABL123[[#This Row],[(T/B TOT) AJD]]</f>
        <v>59</v>
      </c>
      <c r="S172" s="3">
        <f>TABL123[[#This Row],[الفرق بين بداية ونهاية خط  T/B]]+TABL123[[#This Row],[الفرق بين بداية ونهاية خط  S/S]]</f>
        <v>138</v>
      </c>
      <c r="T172" s="3">
        <f>TABL123[[#This Row],[(S/S TOT) AJD]]+TABL123[[#This Row],[(T/B TOT) AJD]]</f>
        <v>857</v>
      </c>
      <c r="U172" s="44">
        <v>590</v>
      </c>
      <c r="V172" s="44">
        <v>278</v>
      </c>
      <c r="W172" s="3">
        <f>TABL123[[#This Row],[(A/B TOT) AJD]]+TABL123[[#This Row],[(A/S TOT)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91">
        <f>TABL123[[#This Row],[( S/S+T/B) AJD]]-(TABL123[[#This Row],[(A/B + A/S) AJD]]+(TABL123[[#This Row],[(STORGE DIFF.) AJD]]*1000)+TABL123[[#This Row],[البخر  AJD]])</f>
        <v>24313</v>
      </c>
      <c r="AE172" s="75">
        <v>60</v>
      </c>
      <c r="AF172" s="75">
        <v>59.19</v>
      </c>
      <c r="AG172" s="75">
        <v>1749244</v>
      </c>
      <c r="AH172" s="45">
        <v>2498</v>
      </c>
      <c r="AI172" s="45">
        <v>2498</v>
      </c>
      <c r="AJ172" s="86">
        <f>TABL123[[#This Row],[(A/B TOT) AJD]]-TABL123[[#This Row],[BER_ IN]]</f>
        <v>530</v>
      </c>
      <c r="AK172" s="75">
        <v>30</v>
      </c>
      <c r="AL172" s="96">
        <v>41.244999999999997</v>
      </c>
      <c r="AM172" s="96">
        <v>2170490</v>
      </c>
      <c r="AN172" s="96">
        <f>TABL123[[#This Row],[ (RESV. STORGE) SER]]/10</f>
        <v>217049</v>
      </c>
      <c r="AO172" s="45">
        <v>1820</v>
      </c>
      <c r="AP172" s="32">
        <f>TABL123[[#This Row],[(A/S TOT) AJD]]-TABL123[[#This Row],[SER_ 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Row],[خط (T/B  TOT) SAR]]+TABL123[[#This Row],[خط (S/S  TOT) SAR2]]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Row],[خط (S/S  TOT) SAR2]]-TABL123[[#This Row],[(S/S TOT) AJD]]</f>
        <v>79</v>
      </c>
      <c r="Q173" s="39">
        <v>444</v>
      </c>
      <c r="R173" s="3">
        <f>TABL123[[#This Row],[خط (T/B  TOT) SAR]]-TABL123[[#This Row],[(T/B TOT) AJD]]</f>
        <v>62</v>
      </c>
      <c r="S173" s="3">
        <f>TABL123[[#This Row],[الفرق بين بداية ونهاية خط  T/B]]+TABL123[[#This Row],[الفرق بين بداية ونهاية خط  S/S]]</f>
        <v>141</v>
      </c>
      <c r="T173" s="3">
        <f>TABL123[[#This Row],[(S/S TOT) AJD]]+TABL123[[#This Row],[(T/B TOT) AJD]]</f>
        <v>857</v>
      </c>
      <c r="U173" s="41">
        <v>566</v>
      </c>
      <c r="V173" s="41">
        <v>274</v>
      </c>
      <c r="W173" s="3">
        <f>TABL123[[#This Row],[(A/B TOT) AJD]]+TABL123[[#This Row],[(A/S TOT)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91">
        <f>TABL123[[#This Row],[( S/S+T/B) AJD]]-(TABL123[[#This Row],[(A/B + A/S) AJD]]+(TABL123[[#This Row],[(STORGE DIFF.) AJD]]*1000)+TABL123[[#This Row],[البخر  AJD]])</f>
        <v>5974</v>
      </c>
      <c r="AE173" s="75">
        <v>60</v>
      </c>
      <c r="AF173" s="75">
        <v>59.22</v>
      </c>
      <c r="AG173" s="75">
        <v>1769103</v>
      </c>
      <c r="AH173" s="43">
        <v>2287</v>
      </c>
      <c r="AI173" s="43">
        <v>2287</v>
      </c>
      <c r="AJ173" s="86">
        <f>TABL123[[#This Row],[(A/B TOT) AJD]]-TABL123[[#This Row],[BER_ IN]]</f>
        <v>506</v>
      </c>
      <c r="AK173" s="75">
        <v>30</v>
      </c>
      <c r="AL173" s="96">
        <v>41.2286</v>
      </c>
      <c r="AM173" s="96">
        <v>2162020</v>
      </c>
      <c r="AN173" s="96">
        <f>TABL123[[#This Row],[ (RESV. STORGE) SER]]/10</f>
        <v>216202</v>
      </c>
      <c r="AO173" s="43">
        <v>1870</v>
      </c>
      <c r="AP173" s="32">
        <f>TABL123[[#This Row],[(A/S TOT) AJD]]-TABL123[[#This Row],[SER_ 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Row],[خط (T/B  TOT) SAR]]+TABL123[[#This Row],[خط (S/S  TOT) SAR2]]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Row],[خط (S/S  TOT) SAR2]]-TABL123[[#This Row],[(S/S TOT) AJD]]</f>
        <v>80</v>
      </c>
      <c r="Q174" s="40">
        <v>444</v>
      </c>
      <c r="R174" s="3">
        <f>TABL123[[#This Row],[خط (T/B  TOT) SAR]]-TABL123[[#This Row],[(T/B TOT) AJD]]</f>
        <v>63</v>
      </c>
      <c r="S174" s="3">
        <f>TABL123[[#This Row],[الفرق بين بداية ونهاية خط  T/B]]+TABL123[[#This Row],[الفرق بين بداية ونهاية خط  S/S]]</f>
        <v>143</v>
      </c>
      <c r="T174" s="3">
        <f>TABL123[[#This Row],[(S/S TOT) AJD]]+TABL123[[#This Row],[(T/B TOT) AJD]]</f>
        <v>857</v>
      </c>
      <c r="U174" s="44">
        <v>565</v>
      </c>
      <c r="V174" s="44">
        <v>264</v>
      </c>
      <c r="W174" s="3">
        <f>TABL123[[#This Row],[(A/B TOT) AJD]]+TABL123[[#This Row],[(A/S TOT)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91">
        <f>TABL123[[#This Row],[( S/S+T/B) AJD]]-(TABL123[[#This Row],[(A/B + A/S) AJD]]+(TABL123[[#This Row],[(STORGE DIFF.) AJD]]*1000)+TABL123[[#This Row],[البخر  AJD]])</f>
        <v>1088</v>
      </c>
      <c r="AE174" s="75">
        <v>60</v>
      </c>
      <c r="AF174" s="75">
        <v>59.25</v>
      </c>
      <c r="AG174" s="75">
        <v>1788970</v>
      </c>
      <c r="AH174" s="45">
        <v>2015</v>
      </c>
      <c r="AI174" s="45">
        <v>2015</v>
      </c>
      <c r="AJ174" s="86">
        <f>TABL123[[#This Row],[(A/B TOT) AJD]]-TABL123[[#This Row],[BER_ IN]]</f>
        <v>505</v>
      </c>
      <c r="AK174" s="75">
        <v>30</v>
      </c>
      <c r="AL174" s="96">
        <v>41.183</v>
      </c>
      <c r="AM174" s="96">
        <v>2137770</v>
      </c>
      <c r="AN174" s="96">
        <f>TABL123[[#This Row],[ (RESV. STORGE) SER]]/10</f>
        <v>213777</v>
      </c>
      <c r="AO174" s="45">
        <v>1850</v>
      </c>
      <c r="AP174" s="32">
        <f>TABL123[[#This Row],[(A/S TOT) AJD]]-TABL123[[#This Row],[SER_ 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Row],[خط (T/B  TOT) SAR]]+TABL123[[#This Row],[خط (S/S  TOT) SAR2]]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Row],[خط (S/S  TOT) SAR2]]-TABL123[[#This Row],[(S/S TOT) AJD]]</f>
        <v>79</v>
      </c>
      <c r="Q175" s="39">
        <v>444</v>
      </c>
      <c r="R175" s="3">
        <f>TABL123[[#This Row],[خط (T/B  TOT) SAR]]-TABL123[[#This Row],[(T/B TOT) AJD]]</f>
        <v>63</v>
      </c>
      <c r="S175" s="3">
        <f>TABL123[[#This Row],[الفرق بين بداية ونهاية خط  T/B]]+TABL123[[#This Row],[الفرق بين بداية ونهاية خط  S/S]]</f>
        <v>142</v>
      </c>
      <c r="T175" s="3">
        <f>TABL123[[#This Row],[(S/S TOT) AJD]]+TABL123[[#This Row],[(T/B TOT) AJD]]</f>
        <v>859</v>
      </c>
      <c r="U175" s="41">
        <v>558</v>
      </c>
      <c r="V175" s="41">
        <v>274</v>
      </c>
      <c r="W175" s="3">
        <f>TABL123[[#This Row],[(A/B TOT) AJD]]+TABL123[[#This Row],[(A/S TOT)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91">
        <f>TABL123[[#This Row],[( S/S+T/B) AJD]]-(TABL123[[#This Row],[(A/B + A/S) AJD]]+(TABL123[[#This Row],[(STORGE DIFF.) AJD]]*1000)+TABL123[[#This Row],[البخر  AJD]])</f>
        <v>-3942</v>
      </c>
      <c r="AE175" s="75">
        <v>60</v>
      </c>
      <c r="AF175" s="75">
        <v>59.27</v>
      </c>
      <c r="AG175" s="75">
        <v>1802219</v>
      </c>
      <c r="AH175" s="43">
        <v>2524</v>
      </c>
      <c r="AI175" s="43">
        <v>2524</v>
      </c>
      <c r="AJ175" s="86">
        <f>TABL123[[#This Row],[(A/B TOT) AJD]]-TABL123[[#This Row],[BER_ IN]]</f>
        <v>498</v>
      </c>
      <c r="AK175" s="75">
        <v>30</v>
      </c>
      <c r="AL175" s="96">
        <v>41.145099999999999</v>
      </c>
      <c r="AM175" s="96">
        <v>2117740</v>
      </c>
      <c r="AN175" s="96">
        <f>TABL123[[#This Row],[ (RESV. STORGE) SER]]/10</f>
        <v>211774</v>
      </c>
      <c r="AO175" s="43">
        <v>1830</v>
      </c>
      <c r="AP175" s="32">
        <f>TABL123[[#This Row],[(A/S TOT) AJD]]-TABL123[[#This Row],[SER_ 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Row],[خط (T/B  TOT) SAR]]+TABL123[[#This Row],[خط (S/S  TOT) SAR2]]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Row],[خط (S/S  TOT) SAR2]]-TABL123[[#This Row],[(S/S TOT) AJD]]</f>
        <v>67</v>
      </c>
      <c r="Q176" s="40">
        <v>443</v>
      </c>
      <c r="R176" s="3">
        <f>TABL123[[#This Row],[خط (T/B  TOT) SAR]]-TABL123[[#This Row],[(T/B TOT) AJD]]</f>
        <v>64</v>
      </c>
      <c r="S176" s="3">
        <f>TABL123[[#This Row],[الفرق بين بداية ونهاية خط  T/B]]+TABL123[[#This Row],[الفرق بين بداية ونهاية خط  S/S]]</f>
        <v>131</v>
      </c>
      <c r="T176" s="3">
        <f>TABL123[[#This Row],[(S/S TOT) AJD]]+TABL123[[#This Row],[(T/B TOT) AJD]]</f>
        <v>856</v>
      </c>
      <c r="U176" s="44">
        <v>547</v>
      </c>
      <c r="V176" s="44">
        <v>297</v>
      </c>
      <c r="W176" s="3">
        <f>TABL123[[#This Row],[(A/B TOT) AJD]]+TABL123[[#This Row],[(A/S TOT)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91">
        <f>TABL123[[#This Row],[( S/S+T/B) AJD]]-(TABL123[[#This Row],[(A/B + A/S) AJD]]+(TABL123[[#This Row],[(STORGE DIFF.) AJD]]*1000)+TABL123[[#This Row],[البخر  AJD]])</f>
        <v>14641</v>
      </c>
      <c r="AE176" s="75">
        <v>60</v>
      </c>
      <c r="AF176" s="75">
        <v>59.28</v>
      </c>
      <c r="AG176" s="75">
        <v>1808845</v>
      </c>
      <c r="AH176" s="45">
        <v>2060</v>
      </c>
      <c r="AI176" s="45">
        <v>2060</v>
      </c>
      <c r="AJ176" s="86">
        <f>TABL123[[#This Row],[(A/B TOT) AJD]]-TABL123[[#This Row],[BER_ IN]]</f>
        <v>487</v>
      </c>
      <c r="AK176" s="75">
        <v>30</v>
      </c>
      <c r="AL176" s="96">
        <v>41.128399999999999</v>
      </c>
      <c r="AM176" s="96">
        <v>2109030</v>
      </c>
      <c r="AN176" s="96">
        <f>TABL123[[#This Row],[ (RESV. STORGE) SER]]/10</f>
        <v>210903</v>
      </c>
      <c r="AO176" s="45">
        <v>1810</v>
      </c>
      <c r="AP176" s="32">
        <f>TABL123[[#This Row],[(A/S TOT) AJD]]-TABL123[[#This Row],[SER_ 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Row],[خط (T/B  TOT) SAR]]+TABL123[[#This Row],[خط (S/S  TOT) SAR2]]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Row],[خط (S/S  TOT) SAR2]]-TABL123[[#This Row],[(S/S TOT) AJD]]</f>
        <v>100</v>
      </c>
      <c r="Q177" s="39">
        <v>392</v>
      </c>
      <c r="R177" s="3">
        <f>TABL123[[#This Row],[خط (T/B  TOT) SAR]]-TABL123[[#This Row],[(T/B TOT) AJD]]</f>
        <v>86</v>
      </c>
      <c r="S177" s="3">
        <f>TABL123[[#This Row],[الفرق بين بداية ونهاية خط  T/B]]+TABL123[[#This Row],[الفرق بين بداية ونهاية خط  S/S]]</f>
        <v>186</v>
      </c>
      <c r="T177" s="3">
        <f>TABL123[[#This Row],[(S/S TOT) AJD]]+TABL123[[#This Row],[(T/B TOT) AJD]]</f>
        <v>757</v>
      </c>
      <c r="U177" s="41">
        <v>519</v>
      </c>
      <c r="V177" s="41">
        <v>271</v>
      </c>
      <c r="W177" s="3">
        <f>TABL123[[#This Row],[(A/B TOT) AJD]]+TABL123[[#This Row],[(A/S TOT)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91">
        <f>TABL123[[#This Row],[( S/S+T/B) AJD]]-(TABL123[[#This Row],[(A/B + A/S) AJD]]+(TABL123[[#This Row],[(STORGE DIFF.) AJD]]*1000)+TABL123[[#This Row],[البخر  AJD]])</f>
        <v>58341</v>
      </c>
      <c r="AE177" s="75">
        <v>53</v>
      </c>
      <c r="AF177" s="75">
        <v>59.24</v>
      </c>
      <c r="AG177" s="75">
        <v>1782347</v>
      </c>
      <c r="AH177" s="43">
        <v>2157</v>
      </c>
      <c r="AI177" s="43">
        <v>2157</v>
      </c>
      <c r="AJ177" s="86">
        <f>TABL123[[#This Row],[(A/B TOT) AJD]]-TABL123[[#This Row],[BER_ IN]]</f>
        <v>466</v>
      </c>
      <c r="AK177" s="75">
        <v>16</v>
      </c>
      <c r="AL177" s="96">
        <v>41.130899999999997</v>
      </c>
      <c r="AM177" s="96">
        <v>2110370</v>
      </c>
      <c r="AN177" s="96">
        <f>TABL123[[#This Row],[ (RESV. STORGE) SER]]/10</f>
        <v>211037</v>
      </c>
      <c r="AO177" s="43">
        <v>1860</v>
      </c>
      <c r="AP177" s="32">
        <f>TABL123[[#This Row],[(A/S TOT) AJD]]-TABL123[[#This Row],[SER_ 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Row],[خط (T/B  TOT) SAR]]+TABL123[[#This Row],[خط (S/S  TOT) SAR2]]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Row],[خط (S/S  TOT) SAR2]]-TABL123[[#This Row],[(S/S TOT) AJD]]</f>
        <v>81</v>
      </c>
      <c r="Q178" s="40">
        <v>405</v>
      </c>
      <c r="R178" s="3">
        <f>TABL123[[#This Row],[خط (T/B  TOT) SAR]]-TABL123[[#This Row],[(T/B TOT) AJD]]</f>
        <v>74</v>
      </c>
      <c r="S178" s="3">
        <f>TABL123[[#This Row],[الفرق بين بداية ونهاية خط  T/B]]+TABL123[[#This Row],[الفرق بين بداية ونهاية خط  S/S]]</f>
        <v>155</v>
      </c>
      <c r="T178" s="3">
        <f>TABL123[[#This Row],[(S/S TOT) AJD]]+TABL123[[#This Row],[(T/B TOT) AJD]]</f>
        <v>788</v>
      </c>
      <c r="U178" s="44">
        <v>553</v>
      </c>
      <c r="V178" s="44">
        <v>259</v>
      </c>
      <c r="W178" s="3">
        <f>TABL123[[#This Row],[(A/B TOT) AJD]]+TABL123[[#This Row],[(A/S TOT)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91">
        <f>TABL123[[#This Row],[( S/S+T/B) AJD]]-(TABL123[[#This Row],[(A/B + A/S) AJD]]+(TABL123[[#This Row],[(STORGE DIFF.) AJD]]*1000)+TABL123[[#This Row],[البخر  AJD]])</f>
        <v>45484</v>
      </c>
      <c r="AE178" s="75">
        <v>40</v>
      </c>
      <c r="AF178" s="75">
        <v>59.16</v>
      </c>
      <c r="AG178" s="75">
        <v>1729392</v>
      </c>
      <c r="AH178" s="45">
        <v>2513</v>
      </c>
      <c r="AI178" s="45">
        <v>2513</v>
      </c>
      <c r="AJ178" s="86">
        <f>TABL123[[#This Row],[(A/B TOT) AJD]]-TABL123[[#This Row],[BER_ IN]]</f>
        <v>513</v>
      </c>
      <c r="AK178" s="75">
        <v>13</v>
      </c>
      <c r="AL178" s="96">
        <v>41.135800000000003</v>
      </c>
      <c r="AM178" s="96">
        <v>2113010</v>
      </c>
      <c r="AN178" s="96">
        <f>TABL123[[#This Row],[ (RESV. STORGE) SER]]/10</f>
        <v>211301</v>
      </c>
      <c r="AO178" s="45">
        <v>1860</v>
      </c>
      <c r="AP178" s="32">
        <f>TABL123[[#This Row],[(A/S TOT) AJD]]-TABL123[[#This Row],[SER_ 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Row],[خط (T/B  TOT) SAR]]+TABL123[[#This Row],[خط (S/S  TOT) SAR2]]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Row],[خط (S/S  TOT) SAR2]]-TABL123[[#This Row],[(S/S TOT) AJD]]</f>
        <v>82</v>
      </c>
      <c r="Q179" s="39">
        <v>420</v>
      </c>
      <c r="R179" s="3">
        <f>TABL123[[#This Row],[خط (T/B  TOT) SAR]]-TABL123[[#This Row],[(T/B TOT) AJD]]</f>
        <v>62</v>
      </c>
      <c r="S179" s="3">
        <f>TABL123[[#This Row],[الفرق بين بداية ونهاية خط  T/B]]+TABL123[[#This Row],[الفرق بين بداية ونهاية خط  S/S]]</f>
        <v>144</v>
      </c>
      <c r="T179" s="3">
        <f>TABL123[[#This Row],[(S/S TOT) AJD]]+TABL123[[#This Row],[(T/B TOT) AJD]]</f>
        <v>808</v>
      </c>
      <c r="U179" s="41">
        <v>555</v>
      </c>
      <c r="V179" s="41">
        <v>286</v>
      </c>
      <c r="W179" s="3">
        <f>TABL123[[#This Row],[(A/B TOT) AJD]]+TABL123[[#This Row],[(A/S TOT)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91">
        <f>TABL123[[#This Row],[( S/S+T/B) AJD]]-(TABL123[[#This Row],[(A/B + A/S) AJD]]+(TABL123[[#This Row],[(STORGE DIFF.) AJD]]*1000)+TABL123[[#This Row],[البخر  AJD]])</f>
        <v>58001</v>
      </c>
      <c r="AE179" s="75">
        <v>40</v>
      </c>
      <c r="AF179" s="75">
        <v>59.13</v>
      </c>
      <c r="AG179" s="75">
        <v>1709548</v>
      </c>
      <c r="AH179" s="43">
        <v>2643</v>
      </c>
      <c r="AI179" s="43">
        <v>2643</v>
      </c>
      <c r="AJ179" s="86">
        <f>TABL123[[#This Row],[(A/B TOT) AJD]]-TABL123[[#This Row],[BER_ IN]]</f>
        <v>515</v>
      </c>
      <c r="AK179" s="75">
        <v>13</v>
      </c>
      <c r="AL179" s="96">
        <v>41.137999999999998</v>
      </c>
      <c r="AM179" s="96">
        <v>2114640</v>
      </c>
      <c r="AN179" s="96">
        <f>TABL123[[#This Row],[ (RESV. STORGE) SER]]/10</f>
        <v>211464</v>
      </c>
      <c r="AO179" s="43">
        <v>1870</v>
      </c>
      <c r="AP179" s="32">
        <f>TABL123[[#This Row],[(A/S TOT) AJD]]-TABL123[[#This Row],[SER_ 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Row],[خط (T/B  TOT) SAR]]+TABL123[[#This Row],[خط (S/S  TOT) SAR2]]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Row],[خط (S/S  TOT) SAR2]]-TABL123[[#This Row],[(S/S TOT) AJD]]</f>
        <v>80</v>
      </c>
      <c r="Q180" s="40">
        <v>423</v>
      </c>
      <c r="R180" s="3">
        <f>TABL123[[#This Row],[خط (T/B  TOT) SAR]]-TABL123[[#This Row],[(T/B TOT) AJD]]</f>
        <v>63</v>
      </c>
      <c r="S180" s="3">
        <f>TABL123[[#This Row],[الفرق بين بداية ونهاية خط  T/B]]+TABL123[[#This Row],[الفرق بين بداية ونهاية خط  S/S]]</f>
        <v>143</v>
      </c>
      <c r="T180" s="3">
        <f>TABL123[[#This Row],[(S/S TOT) AJD]]+TABL123[[#This Row],[(T/B TOT) AJD]]</f>
        <v>816</v>
      </c>
      <c r="U180" s="44">
        <v>554</v>
      </c>
      <c r="V180" s="44">
        <v>245</v>
      </c>
      <c r="W180" s="3">
        <f>TABL123[[#This Row],[(A/B TOT) AJD]]+TABL123[[#This Row],[(A/S TOT)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91">
        <f>TABL123[[#This Row],[( S/S+T/B) AJD]]-(TABL123[[#This Row],[(A/B + A/S) AJD]]+(TABL123[[#This Row],[(STORGE DIFF.) AJD]]*1000)+TABL123[[#This Row],[البخر  AJD]])</f>
        <v>3678</v>
      </c>
      <c r="AE180" s="75">
        <v>42</v>
      </c>
      <c r="AF180" s="75">
        <v>59.08</v>
      </c>
      <c r="AG180" s="75">
        <v>1676493</v>
      </c>
      <c r="AH180" s="45">
        <v>2627</v>
      </c>
      <c r="AI180" s="45">
        <v>2627</v>
      </c>
      <c r="AJ180" s="86">
        <f>TABL123[[#This Row],[(A/B TOT) AJD]]-TABL123[[#This Row],[BER_ IN]]</f>
        <v>512</v>
      </c>
      <c r="AK180" s="75">
        <v>14</v>
      </c>
      <c r="AL180" s="96">
        <v>41.145000000000003</v>
      </c>
      <c r="AM180" s="96">
        <v>2114380</v>
      </c>
      <c r="AN180" s="96">
        <f>TABL123[[#This Row],[ (RESV. STORGE) SER]]/10</f>
        <v>211438</v>
      </c>
      <c r="AO180" s="45">
        <v>1860</v>
      </c>
      <c r="AP180" s="32">
        <f>TABL123[[#This Row],[(A/S TOT) AJD]]-TABL123[[#This Row],[SER_ 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Row],[خط (T/B  TOT) SAR]]+TABL123[[#This Row],[خط (S/S  TOT) SAR2]]</f>
        <v>998</v>
      </c>
      <c r="L181" s="41"/>
      <c r="M181" s="42"/>
      <c r="N181" s="42">
        <v>7.8</v>
      </c>
      <c r="O181" s="39">
        <v>400</v>
      </c>
      <c r="P181" s="3">
        <f>TABL123[[#This Row],[خط (S/S  TOT) SAR2]]-TABL123[[#This Row],[(S/S TOT) AJD]]</f>
        <v>92</v>
      </c>
      <c r="Q181" s="39">
        <v>429</v>
      </c>
      <c r="R181" s="3">
        <f>TABL123[[#This Row],[خط (T/B  TOT) SAR]]-TABL123[[#This Row],[(T/B TOT) AJD]]</f>
        <v>77</v>
      </c>
      <c r="S181" s="3">
        <f>TABL123[[#This Row],[الفرق بين بداية ونهاية خط  T/B]]+TABL123[[#This Row],[الفرق بين بداية ونهاية خط  S/S]]</f>
        <v>169</v>
      </c>
      <c r="T181" s="3">
        <f>TABL123[[#This Row],[(S/S TOT) AJD]]+TABL123[[#This Row],[(T/B TOT) AJD]]</f>
        <v>829</v>
      </c>
      <c r="U181" s="41">
        <v>553</v>
      </c>
      <c r="V181" s="41">
        <v>250</v>
      </c>
      <c r="W181" s="3">
        <f>TABL123[[#This Row],[(A/B TOT) AJD]]+TABL123[[#This Row],[(A/S TOT)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91">
        <f>TABL123[[#This Row],[( S/S+T/B) AJD]]-(TABL123[[#This Row],[(A/B + A/S) AJD]]+(TABL123[[#This Row],[(STORGE DIFF.) AJD]]*1000)+TABL123[[#This Row],[البخر  AJD]])</f>
        <v>7878</v>
      </c>
      <c r="AE181" s="75">
        <v>43</v>
      </c>
      <c r="AF181" s="75">
        <v>59.081000000000003</v>
      </c>
      <c r="AG181" s="75">
        <v>1677154</v>
      </c>
      <c r="AH181" s="43">
        <v>2659</v>
      </c>
      <c r="AI181" s="43">
        <v>2659</v>
      </c>
      <c r="AJ181" s="86">
        <f>TABL123[[#This Row],[(A/B TOT) AJD]]-TABL123[[#This Row],[BER_ IN]]</f>
        <v>510</v>
      </c>
      <c r="AK181" s="75">
        <v>13</v>
      </c>
      <c r="AL181" s="96">
        <v>41.118600000000001</v>
      </c>
      <c r="AM181" s="96">
        <v>2103570</v>
      </c>
      <c r="AN181" s="96">
        <f>TABL123[[#This Row],[ (RESV. STORGE) SER]]/10</f>
        <v>210357</v>
      </c>
      <c r="AO181" s="43">
        <v>1810</v>
      </c>
      <c r="AP181" s="32">
        <f>TABL123[[#This Row],[(A/S TOT) AJD]]-TABL123[[#This Row],[SER_ 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Row],[خط (T/B  TOT) SAR]]+TABL123[[#This Row],[خط (S/S  TOT) SAR2]]</f>
        <v>1008</v>
      </c>
      <c r="L182" s="45"/>
      <c r="M182" s="46"/>
      <c r="N182" s="46">
        <v>7.8</v>
      </c>
      <c r="O182" s="40">
        <v>412</v>
      </c>
      <c r="P182" s="3">
        <f>TABL123[[#This Row],[خط (S/S  TOT) SAR2]]-TABL123[[#This Row],[(S/S TOT) AJD]]</f>
        <v>86</v>
      </c>
      <c r="Q182" s="40">
        <v>442</v>
      </c>
      <c r="R182" s="3">
        <f>TABL123[[#This Row],[خط (T/B  TOT) SAR]]-TABL123[[#This Row],[(T/B TOT) AJD]]</f>
        <v>68</v>
      </c>
      <c r="S182" s="3">
        <f>TABL123[[#This Row],[الفرق بين بداية ونهاية خط  T/B]]+TABL123[[#This Row],[الفرق بين بداية ونهاية خط  S/S]]</f>
        <v>154</v>
      </c>
      <c r="T182" s="3">
        <f>TABL123[[#This Row],[(S/S TOT) AJD]]+TABL123[[#This Row],[(T/B TOT) AJD]]</f>
        <v>854</v>
      </c>
      <c r="U182" s="44">
        <v>557</v>
      </c>
      <c r="V182" s="44">
        <v>230</v>
      </c>
      <c r="W182" s="3">
        <f>TABL123[[#This Row],[(A/B TOT) AJD]]+TABL123[[#This Row],[(A/S TOT)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91">
        <f>TABL123[[#This Row],[( S/S+T/B) AJD]]-(TABL123[[#This Row],[(A/B + A/S) AJD]]+(TABL123[[#This Row],[(STORGE DIFF.) AJD]]*1000)+TABL123[[#This Row],[البخر  AJD]])</f>
        <v>-51629</v>
      </c>
      <c r="AE182" s="75">
        <v>39</v>
      </c>
      <c r="AF182" s="75">
        <v>59.05</v>
      </c>
      <c r="AG182" s="75">
        <v>1656670</v>
      </c>
      <c r="AH182" s="45">
        <v>2601</v>
      </c>
      <c r="AI182" s="45">
        <v>2601</v>
      </c>
      <c r="AJ182" s="86">
        <f>TABL123[[#This Row],[(A/B TOT) AJD]]-TABL123[[#This Row],[BER_ IN]]</f>
        <v>518</v>
      </c>
      <c r="AK182" s="75">
        <v>14</v>
      </c>
      <c r="AL182" s="96">
        <v>41.096400000000003</v>
      </c>
      <c r="AM182" s="96">
        <v>2092440</v>
      </c>
      <c r="AN182" s="96">
        <f>TABL123[[#This Row],[ (RESV. STORGE) SER]]/10</f>
        <v>209244</v>
      </c>
      <c r="AO182" s="45">
        <v>1830</v>
      </c>
      <c r="AP182" s="32">
        <f>TABL123[[#This Row],[(A/S TOT) AJD]]-TABL123[[#This Row],[SER_ 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Row],[خط (T/B  TOT) SAR]]+TABL123[[#This Row],[خط (S/S  TOT) SAR2]]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Row],[خط (S/S  TOT) SAR2]]-TABL123[[#This Row],[(S/S TOT) AJD]]</f>
        <v>92</v>
      </c>
      <c r="Q183" s="39">
        <v>449</v>
      </c>
      <c r="R183" s="12">
        <f>TABL123[[#This Row],[خط (T/B  TOT) SAR]]-TABL123[[#This Row],[(T/B TOT) AJD]]</f>
        <v>76</v>
      </c>
      <c r="S183" s="12">
        <f>TABL123[[#This Row],[الفرق بين بداية ونهاية خط  T/B]]+TABL123[[#This Row],[الفرق بين بداية ونهاية خط  S/S]]</f>
        <v>168</v>
      </c>
      <c r="T183" s="12">
        <f>TABL123[[#This Row],[(S/S TOT) AJD]]+TABL123[[#This Row],[(T/B TOT) AJD]]</f>
        <v>866</v>
      </c>
      <c r="U183" s="41">
        <v>555</v>
      </c>
      <c r="V183" s="41">
        <v>256</v>
      </c>
      <c r="W183" s="12">
        <f>TABL123[[#This Row],[(A/B TOT) AJD]]+TABL123[[#This Row],[(A/S TOT)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91">
        <f>TABL123[[#This Row],[( S/S+T/B) AJD]]-(TABL123[[#This Row],[(A/B + A/S) AJD]]+(TABL123[[#This Row],[(STORGE DIFF.) AJD]]*1000)+TABL123[[#This Row],[البخر  AJD]])</f>
        <v>-39425</v>
      </c>
      <c r="AE183" s="75">
        <v>40</v>
      </c>
      <c r="AF183" s="75">
        <v>59.08</v>
      </c>
      <c r="AG183" s="75">
        <v>1676493</v>
      </c>
      <c r="AH183" s="43">
        <v>2802</v>
      </c>
      <c r="AI183" s="43">
        <v>2802</v>
      </c>
      <c r="AJ183" s="86">
        <f>TABL123[[#This Row],[(A/B TOT) AJD]]-TABL123[[#This Row],[BER_ IN]]</f>
        <v>515</v>
      </c>
      <c r="AK183" s="75">
        <v>13</v>
      </c>
      <c r="AL183" s="96">
        <v>41.068199999999997</v>
      </c>
      <c r="AM183" s="96">
        <v>2077210</v>
      </c>
      <c r="AN183" s="96">
        <f>TABL123[[#This Row],[ (RESV. STORGE) SER]]/10</f>
        <v>207721</v>
      </c>
      <c r="AO183" s="43">
        <v>1850</v>
      </c>
      <c r="AP183" s="32">
        <f>TABL123[[#This Row],[(A/S TOT) AJD]]-TABL123[[#This Row],[SER_ 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Row],[خط (T/B  TOT) SAR]]+TABL123[[#This Row],[خط (S/S  TOT) SAR2]]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Row],[خط (S/S  TOT) SAR2]]-TABL123[[#This Row],[(S/S TOT) AJD]]</f>
        <v>85</v>
      </c>
      <c r="Q184" s="40">
        <v>461</v>
      </c>
      <c r="R184" s="12">
        <f>TABL123[[#This Row],[خط (T/B  TOT) SAR]]-TABL123[[#This Row],[(T/B TOT) AJD]]</f>
        <v>64</v>
      </c>
      <c r="S184" s="12">
        <f>TABL123[[#This Row],[الفرق بين بداية ونهاية خط  T/B]]+TABL123[[#This Row],[الفرق بين بداية ونهاية خط  S/S]]</f>
        <v>149</v>
      </c>
      <c r="T184" s="12">
        <f>TABL123[[#This Row],[(S/S TOT) AJD]]+TABL123[[#This Row],[(T/B TOT) AJD]]</f>
        <v>892</v>
      </c>
      <c r="U184" s="44">
        <v>535</v>
      </c>
      <c r="V184" s="44">
        <v>260</v>
      </c>
      <c r="W184" s="12">
        <f>TABL123[[#This Row],[(A/B TOT) AJD]]+TABL123[[#This Row],[(A/S TOT)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91">
        <f>TABL123[[#This Row],[( S/S+T/B) AJD]]-(TABL123[[#This Row],[(A/B + A/S) AJD]]+(TABL123[[#This Row],[(STORGE DIFF.) AJD]]*1000)+TABL123[[#This Row],[البخر  AJD]])</f>
        <v>-75856</v>
      </c>
      <c r="AE184" s="75">
        <v>44</v>
      </c>
      <c r="AF184" s="75">
        <v>59.11</v>
      </c>
      <c r="AG184" s="75">
        <v>1696324</v>
      </c>
      <c r="AH184" s="45">
        <v>2364</v>
      </c>
      <c r="AI184" s="45">
        <v>2364</v>
      </c>
      <c r="AJ184" s="86">
        <f>TABL123[[#This Row],[(A/B TOT) AJD]]-TABL123[[#This Row],[BER_ IN]]</f>
        <v>491</v>
      </c>
      <c r="AK184" s="75">
        <v>13</v>
      </c>
      <c r="AL184" s="96">
        <v>41.0381</v>
      </c>
      <c r="AM184" s="96">
        <v>2061430</v>
      </c>
      <c r="AN184" s="96">
        <f>TABL123[[#This Row],[ (RESV. STORGE) SER]]/10</f>
        <v>206143</v>
      </c>
      <c r="AO184" s="45">
        <v>1865</v>
      </c>
      <c r="AP184" s="32">
        <f>TABL123[[#This Row],[(A/S TOT) AJD]]-TABL123[[#This Row],[SER_ 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Row],[خط (T/B  TOT) SAR]]+TABL123[[#This Row],[خط (S/S  TOT) SAR2]]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Row],[خط (S/S  TOT) SAR2]]-TABL123[[#This Row],[(S/S TOT) AJD]]</f>
        <v>80</v>
      </c>
      <c r="Q185" s="39">
        <v>458</v>
      </c>
      <c r="R185" s="12">
        <f>TABL123[[#This Row],[خط (T/B  TOT) SAR]]-TABL123[[#This Row],[(T/B TOT) AJD]]</f>
        <v>62</v>
      </c>
      <c r="S185" s="12">
        <f>TABL123[[#This Row],[الفرق بين بداية ونهاية خط  T/B]]+TABL123[[#This Row],[الفرق بين بداية ونهاية خط  S/S]]</f>
        <v>142</v>
      </c>
      <c r="T185" s="12">
        <f>TABL123[[#This Row],[(S/S TOT) AJD]]+TABL123[[#This Row],[(T/B TOT) AJD]]</f>
        <v>883</v>
      </c>
      <c r="U185" s="41">
        <v>515</v>
      </c>
      <c r="V185" s="41">
        <v>262</v>
      </c>
      <c r="W185" s="12">
        <f>TABL123[[#This Row],[(A/B TOT) AJD]]+TABL123[[#This Row],[(A/S TOT)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91">
        <f>TABL123[[#This Row],[( S/S+T/B) AJD]]-(TABL123[[#This Row],[(A/B + A/S) AJD]]+(TABL123[[#This Row],[(STORGE DIFF.) AJD]]*1000)+TABL123[[#This Row],[البخر  AJD]])</f>
        <v>-82989</v>
      </c>
      <c r="AE185" s="75">
        <v>41</v>
      </c>
      <c r="AF185" s="75">
        <v>59.08</v>
      </c>
      <c r="AG185" s="75">
        <v>1676493</v>
      </c>
      <c r="AH185" s="43">
        <v>2465</v>
      </c>
      <c r="AI185" s="43">
        <v>2465</v>
      </c>
      <c r="AJ185" s="86">
        <f>TABL123[[#This Row],[(A/B TOT) AJD]]-TABL123[[#This Row],[BER_ IN]]</f>
        <v>474</v>
      </c>
      <c r="AK185" s="75">
        <v>13</v>
      </c>
      <c r="AL185" s="96">
        <v>41.0015</v>
      </c>
      <c r="AM185" s="96">
        <v>2042032</v>
      </c>
      <c r="AN185" s="96">
        <f>TABL123[[#This Row],[ (RESV. STORGE) SER]]/10</f>
        <v>204203.2</v>
      </c>
      <c r="AO185" s="43">
        <v>1835</v>
      </c>
      <c r="AP185" s="32">
        <f>TABL123[[#This Row],[(A/S TOT) AJD]]-TABL123[[#This Row],[SER_ 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Row],[خط (T/B  TOT) SAR]]+TABL123[[#This Row],[خط (S/S  TOT) SAR2]]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Row],[خط (S/S  TOT) SAR2]]-TABL123[[#This Row],[(S/S TOT) AJD]]</f>
        <v>81</v>
      </c>
      <c r="Q186" s="40">
        <v>460</v>
      </c>
      <c r="R186" s="12">
        <f>TABL123[[#This Row],[خط (T/B  TOT) SAR]]-TABL123[[#This Row],[(T/B TOT) AJD]]</f>
        <v>62</v>
      </c>
      <c r="S186" s="12">
        <f>TABL123[[#This Row],[الفرق بين بداية ونهاية خط  T/B]]+TABL123[[#This Row],[الفرق بين بداية ونهاية خط  S/S]]</f>
        <v>143</v>
      </c>
      <c r="T186" s="12">
        <f>TABL123[[#This Row],[(S/S TOT) AJD]]+TABL123[[#This Row],[(T/B TOT) AJD]]</f>
        <v>886</v>
      </c>
      <c r="U186" s="44">
        <v>562</v>
      </c>
      <c r="V186" s="44">
        <v>261</v>
      </c>
      <c r="W186" s="12">
        <f>TABL123[[#This Row],[(A/B TOT) AJD]]+TABL123[[#This Row],[(A/S TOT)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91">
        <f>TABL123[[#This Row],[( S/S+T/B) AJD]]-(TABL123[[#This Row],[(A/B + A/S) AJD]]+(TABL123[[#This Row],[(STORGE DIFF.) AJD]]*1000)+TABL123[[#This Row],[البخر  AJD]])</f>
        <v>-34652</v>
      </c>
      <c r="AE186" s="75">
        <v>41</v>
      </c>
      <c r="AF186" s="75">
        <v>59.02</v>
      </c>
      <c r="AG186" s="75">
        <v>1636855</v>
      </c>
      <c r="AH186" s="45">
        <v>2999</v>
      </c>
      <c r="AI186" s="45">
        <v>2999</v>
      </c>
      <c r="AJ186" s="86">
        <f>TABL123[[#This Row],[(A/B TOT) AJD]]-TABL123[[#This Row],[BER_ IN]]</f>
        <v>521</v>
      </c>
      <c r="AK186" s="75">
        <v>14</v>
      </c>
      <c r="AL186" s="96">
        <v>41.000700000000002</v>
      </c>
      <c r="AM186" s="96">
        <v>2041850</v>
      </c>
      <c r="AN186" s="96">
        <f>TABL123[[#This Row],[ (RESV. STORGE) SER]]/10</f>
        <v>204185</v>
      </c>
      <c r="AO186" s="45">
        <v>1950</v>
      </c>
      <c r="AP186" s="32">
        <f>TABL123[[#This Row],[(A/S TOT) AJD]]-TABL123[[#This Row],[SER_ 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Row],[خط (T/B  TOT) SAR]]+TABL123[[#This Row],[خط (S/S  TOT) SAR2]]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Row],[خط (S/S  TOT) SAR2]]-TABL123[[#This Row],[(S/S TOT) AJD]]</f>
        <v>76</v>
      </c>
      <c r="Q187" s="39">
        <v>466</v>
      </c>
      <c r="R187" s="12">
        <f>TABL123[[#This Row],[خط (T/B  TOT) SAR]]-TABL123[[#This Row],[(T/B TOT) AJD]]</f>
        <v>59</v>
      </c>
      <c r="S187" s="12">
        <f>TABL123[[#This Row],[الفرق بين بداية ونهاية خط  T/B]]+TABL123[[#This Row],[الفرق بين بداية ونهاية خط  S/S]]</f>
        <v>135</v>
      </c>
      <c r="T187" s="12">
        <f>TABL123[[#This Row],[(S/S TOT) AJD]]+TABL123[[#This Row],[(T/B TOT) AJD]]</f>
        <v>900</v>
      </c>
      <c r="U187" s="41">
        <v>559</v>
      </c>
      <c r="V187" s="41">
        <v>270</v>
      </c>
      <c r="W187" s="10">
        <f>TABL123[[#This Row],[(A/B TOT) AJD]]+TABL123[[#This Row],[(A/S TOT)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91">
        <f>TABL123[[#This Row],[( S/S+T/B) AJD]]-(TABL123[[#This Row],[(A/B + A/S) AJD]]+(TABL123[[#This Row],[(STORGE DIFF.) AJD]]*1000)+TABL123[[#This Row],[البخر  AJD]])</f>
        <v>-44037</v>
      </c>
      <c r="AE187" s="75">
        <v>42</v>
      </c>
      <c r="AF187" s="75">
        <v>58.98</v>
      </c>
      <c r="AG187" s="75">
        <v>1610447</v>
      </c>
      <c r="AH187" s="43">
        <v>2728</v>
      </c>
      <c r="AI187" s="43">
        <v>2728</v>
      </c>
      <c r="AJ187" s="86">
        <f>TABL123[[#This Row],[(A/B TOT) AJD]]-TABL123[[#This Row],[BER_ IN]]</f>
        <v>517</v>
      </c>
      <c r="AK187" s="75">
        <v>13</v>
      </c>
      <c r="AL187" s="96">
        <v>40.9925</v>
      </c>
      <c r="AM187" s="96">
        <v>2037770</v>
      </c>
      <c r="AN187" s="96">
        <f>TABL123[[#This Row],[ (RESV. STORGE) SER]]/10</f>
        <v>203777</v>
      </c>
      <c r="AO187" s="43">
        <v>2015</v>
      </c>
      <c r="AP187" s="32">
        <f>TABL123[[#This Row],[(A/S TOT) AJD]]-TABL123[[#This Row],[SER_ 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Row],[خط (T/B  TOT) SAR]]+TABL123[[#This Row],[خط (S/S  TOT) SAR2]]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Row],[خط (S/S  TOT) SAR2]]-TABL123[[#This Row],[(S/S TOT) AJD]]</f>
        <v>49</v>
      </c>
      <c r="Q188" s="40">
        <v>437</v>
      </c>
      <c r="R188" s="12">
        <f>TABL123[[#This Row],[خط (T/B  TOT) SAR]]-TABL123[[#This Row],[(T/B TOT) AJD]]</f>
        <v>95</v>
      </c>
      <c r="S188" s="12">
        <f>TABL123[[#This Row],[الفرق بين بداية ونهاية خط  T/B]]+TABL123[[#This Row],[الفرق بين بداية ونهاية خط  S/S]]</f>
        <v>144</v>
      </c>
      <c r="T188" s="12">
        <f>TABL123[[#This Row],[(S/S TOT) AJD]]+TABL123[[#This Row],[(T/B TOT) AJD]]</f>
        <v>906</v>
      </c>
      <c r="U188" s="44">
        <v>568</v>
      </c>
      <c r="V188" s="44">
        <v>283</v>
      </c>
      <c r="W188" s="12">
        <f>TABL123[[#This Row],[(A/B TOT) AJD]]+TABL123[[#This Row],[(A/S TOT)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91">
        <f>TABL123[[#This Row],[( S/S+T/B) AJD]]-(TABL123[[#This Row],[(A/B + A/S) AJD]]+(TABL123[[#This Row],[(STORGE DIFF.) AJD]]*1000)+TABL123[[#This Row],[البخر  AJD]])</f>
        <v>-22977</v>
      </c>
      <c r="AE188" s="75">
        <v>39</v>
      </c>
      <c r="AF188" s="75">
        <v>58.97</v>
      </c>
      <c r="AG188" s="75">
        <v>1603847</v>
      </c>
      <c r="AH188" s="45">
        <v>2999</v>
      </c>
      <c r="AI188" s="45">
        <v>2999</v>
      </c>
      <c r="AJ188" s="86">
        <f>TABL123[[#This Row],[(A/B TOT) AJD]]-TABL123[[#This Row],[BER_ IN]]</f>
        <v>529</v>
      </c>
      <c r="AK188" s="75">
        <v>14</v>
      </c>
      <c r="AL188" s="96">
        <v>40.979300000000002</v>
      </c>
      <c r="AM188" s="96">
        <v>2030920</v>
      </c>
      <c r="AN188" s="96">
        <f>TABL123[[#This Row],[ (RESV. STORGE) SER]]/10</f>
        <v>203092</v>
      </c>
      <c r="AO188" s="45">
        <v>2035</v>
      </c>
      <c r="AP188" s="32">
        <f>TABL123[[#This Row],[(A/S TOT) AJD]]-TABL123[[#This Row],[SER_ 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Row],[خط (T/B  TOT) SAR]]+TABL123[[#This Row],[خط (S/S  TOT) SAR2]]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Row],[خط (S/S  TOT) SAR2]]-TABL123[[#This Row],[(S/S TOT) AJD]]</f>
        <v>83</v>
      </c>
      <c r="Q189" s="39">
        <v>465</v>
      </c>
      <c r="R189" s="12">
        <f>TABL123[[#This Row],[خط (T/B  TOT) SAR]]-TABL123[[#This Row],[(T/B TOT) AJD]]</f>
        <v>68</v>
      </c>
      <c r="S189" s="12">
        <f>TABL123[[#This Row],[الفرق بين بداية ونهاية خط  T/B]]+TABL123[[#This Row],[الفرق بين بداية ونهاية خط  S/S]]</f>
        <v>151</v>
      </c>
      <c r="T189" s="12">
        <f>TABL123[[#This Row],[(S/S TOT) AJD]]+TABL123[[#This Row],[(T/B TOT) AJD]]</f>
        <v>900</v>
      </c>
      <c r="U189" s="41">
        <v>565</v>
      </c>
      <c r="V189" s="41">
        <v>285</v>
      </c>
      <c r="W189" s="12">
        <f>TABL123[[#This Row],[(A/B TOT) AJD]]+TABL123[[#This Row],[(A/S TOT)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91">
        <f>TABL123[[#This Row],[( S/S+T/B) AJD]]-(TABL123[[#This Row],[(A/B + A/S) AJD]]+(TABL123[[#This Row],[(STORGE DIFF.) AJD]]*1000)+TABL123[[#This Row],[البخر  AJD]])</f>
        <v>-20823</v>
      </c>
      <c r="AE189" s="75">
        <v>48</v>
      </c>
      <c r="AF189" s="75">
        <v>58.95</v>
      </c>
      <c r="AG189" s="75">
        <v>1590650</v>
      </c>
      <c r="AH189" s="43">
        <v>2987</v>
      </c>
      <c r="AI189" s="43">
        <v>2987</v>
      </c>
      <c r="AJ189" s="86">
        <f>TABL123[[#This Row],[(A/B TOT) AJD]]-TABL123[[#This Row],[BER_ IN]]</f>
        <v>517</v>
      </c>
      <c r="AK189" s="75">
        <v>22</v>
      </c>
      <c r="AL189" s="96">
        <v>40.976100000000002</v>
      </c>
      <c r="AM189" s="96">
        <v>2028840</v>
      </c>
      <c r="AN189" s="96">
        <f>TABL123[[#This Row],[ (RESV. STORGE) SER]]/10</f>
        <v>202884</v>
      </c>
      <c r="AO189" s="43">
        <v>2048</v>
      </c>
      <c r="AP189" s="32">
        <f>TABL123[[#This Row],[(A/S TOT) AJD]]-TABL123[[#This Row],[SER_ 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Row],[خط (T/B  TOT) SAR]]+TABL123[[#This Row],[خط (S/S  TOT) SAR2]]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Row],[خط (S/S  TOT) SAR2]]-TABL123[[#This Row],[(S/S TOT) AJD]]</f>
        <v>84</v>
      </c>
      <c r="Q190" s="40">
        <v>468</v>
      </c>
      <c r="R190" s="12">
        <f>TABL123[[#This Row],[خط (T/B  TOT) SAR]]-TABL123[[#This Row],[(T/B TOT) AJD]]</f>
        <v>69</v>
      </c>
      <c r="S190" s="12">
        <f>TABL123[[#This Row],[الفرق بين بداية ونهاية خط  T/B]]+TABL123[[#This Row],[الفرق بين بداية ونهاية خط  S/S]]</f>
        <v>153</v>
      </c>
      <c r="T190" s="12">
        <f>TABL123[[#This Row],[(S/S TOT) AJD]]+TABL123[[#This Row],[(T/B TOT) AJD]]</f>
        <v>904</v>
      </c>
      <c r="U190" s="44">
        <v>559</v>
      </c>
      <c r="V190" s="44">
        <v>280</v>
      </c>
      <c r="W190" s="12">
        <f>TABL123[[#This Row],[(A/B TOT) AJD]]+TABL123[[#This Row],[(A/S TOT)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91">
        <f>TABL123[[#This Row],[( S/S+T/B) AJD]]-(TABL123[[#This Row],[(A/B + A/S) AJD]]+(TABL123[[#This Row],[(STORGE DIFF.) AJD]]*1000)+TABL123[[#This Row],[البخر  AJD]])</f>
        <v>-35000</v>
      </c>
      <c r="AE190" s="75">
        <v>50</v>
      </c>
      <c r="AF190" s="75">
        <v>58.91</v>
      </c>
      <c r="AG190" s="75">
        <v>1564266</v>
      </c>
      <c r="AH190" s="45">
        <v>2999</v>
      </c>
      <c r="AI190" s="45">
        <v>2999</v>
      </c>
      <c r="AJ190" s="86">
        <f>TABL123[[#This Row],[(A/B TOT) AJD]]-TABL123[[#This Row],[BER_ IN]]</f>
        <v>509</v>
      </c>
      <c r="AK190" s="75">
        <v>23</v>
      </c>
      <c r="AL190" s="96">
        <v>40.973399999999998</v>
      </c>
      <c r="AM190" s="96">
        <v>2027130</v>
      </c>
      <c r="AN190" s="96">
        <f>TABL123[[#This Row],[ (RESV. STORGE) SER]]/10</f>
        <v>202713</v>
      </c>
      <c r="AO190" s="45">
        <v>2050</v>
      </c>
      <c r="AP190" s="32">
        <f>TABL123[[#This Row],[(A/S TOT) AJD]]-TABL123[[#This Row],[SER_ 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Row],[خط (T/B  TOT) SAR]]+TABL123[[#This Row],[خط (S/S  TOT) SAR2]]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Row],[خط (S/S  TOT) SAR2]]-TABL123[[#This Row],[(S/S TOT) AJD]]</f>
        <v>85</v>
      </c>
      <c r="Q191" s="39">
        <v>473</v>
      </c>
      <c r="R191" s="12">
        <f>TABL123[[#This Row],[خط (T/B  TOT) SAR]]-TABL123[[#This Row],[(T/B TOT) AJD]]</f>
        <v>67</v>
      </c>
      <c r="S191" s="12">
        <f>TABL123[[#This Row],[الفرق بين بداية ونهاية خط  T/B]]+TABL123[[#This Row],[الفرق بين بداية ونهاية خط  S/S]]</f>
        <v>152</v>
      </c>
      <c r="T191" s="12">
        <f>TABL123[[#This Row],[(S/S TOT) AJD]]+TABL123[[#This Row],[(T/B TOT) AJD]]</f>
        <v>913</v>
      </c>
      <c r="U191" s="41">
        <v>559</v>
      </c>
      <c r="V191" s="41">
        <v>267</v>
      </c>
      <c r="W191" s="12">
        <f>TABL123[[#This Row],[(A/B TOT) AJD]]+TABL123[[#This Row],[(A/S TOT)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91">
        <f>TABL123[[#This Row],[( S/S+T/B) AJD]]-(TABL123[[#This Row],[(A/B + A/S) AJD]]+(TABL123[[#This Row],[(STORGE DIFF.) AJD]]*1000)+TABL123[[#This Row],[البخر  AJD]])</f>
        <v>-48643</v>
      </c>
      <c r="AE191" s="75">
        <v>56</v>
      </c>
      <c r="AF191" s="75">
        <v>58.88</v>
      </c>
      <c r="AG191" s="75">
        <v>1544487</v>
      </c>
      <c r="AH191" s="43">
        <v>2999</v>
      </c>
      <c r="AI191" s="43">
        <v>2999</v>
      </c>
      <c r="AJ191" s="86">
        <f>TABL123[[#This Row],[(A/B TOT) AJD]]-TABL123[[#This Row],[BER_ IN]]</f>
        <v>503</v>
      </c>
      <c r="AK191" s="75">
        <v>32</v>
      </c>
      <c r="AL191" s="96">
        <v>40.979100000000003</v>
      </c>
      <c r="AM191" s="96">
        <v>2028840</v>
      </c>
      <c r="AN191" s="96">
        <f>TABL123[[#This Row],[ (RESV. STORGE) SER]]/10</f>
        <v>202884</v>
      </c>
      <c r="AO191" s="43">
        <v>2057</v>
      </c>
      <c r="AP191" s="32">
        <f>TABL123[[#This Row],[(A/S TOT) AJD]]-TABL123[[#This Row],[SER_ 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Row],[خط (T/B  TOT) SAR]]+TABL123[[#This Row],[خط (S/S  TOT) SAR2]]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Row],[خط (S/S  TOT) SAR2]]-TABL123[[#This Row],[(S/S TOT) AJD]]</f>
        <v>58</v>
      </c>
      <c r="Q192" s="40">
        <v>477</v>
      </c>
      <c r="R192" s="12">
        <f>TABL123[[#This Row],[خط (T/B  TOT) SAR]]-TABL123[[#This Row],[(T/B TOT) AJD]]</f>
        <v>83</v>
      </c>
      <c r="S192" s="12">
        <f>TABL123[[#This Row],[الفرق بين بداية ونهاية خط  T/B]]+TABL123[[#This Row],[الفرق بين بداية ونهاية خط  S/S]]</f>
        <v>141</v>
      </c>
      <c r="T192" s="12">
        <f>TABL123[[#This Row],[(S/S TOT) AJD]]+TABL123[[#This Row],[(T/B TOT) AJD]]</f>
        <v>954</v>
      </c>
      <c r="U192" s="44">
        <v>559</v>
      </c>
      <c r="V192" s="44">
        <v>273</v>
      </c>
      <c r="W192" s="12">
        <f>TABL123[[#This Row],[(A/B TOT) AJD]]+TABL123[[#This Row],[(A/S TOT)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91">
        <f>TABL123[[#This Row],[( S/S+T/B) AJD]]-(TABL123[[#This Row],[(A/B + A/S) AJD]]+(TABL123[[#This Row],[(STORGE DIFF.) AJD]]*1000)+TABL123[[#This Row],[البخر  AJD]])</f>
        <v>-57184</v>
      </c>
      <c r="AE192" s="75">
        <v>77</v>
      </c>
      <c r="AF192" s="75">
        <v>58.89</v>
      </c>
      <c r="AG192" s="75">
        <v>1551079</v>
      </c>
      <c r="AH192" s="45">
        <v>2999</v>
      </c>
      <c r="AI192" s="45">
        <v>2999</v>
      </c>
      <c r="AJ192" s="86">
        <f>TABL123[[#This Row],[(A/B TOT) AJD]]-TABL123[[#This Row],[BER_ IN]]</f>
        <v>482</v>
      </c>
      <c r="AK192" s="75">
        <v>41</v>
      </c>
      <c r="AL192" s="96">
        <v>40.978700000000003</v>
      </c>
      <c r="AM192" s="96">
        <v>2030220</v>
      </c>
      <c r="AN192" s="96">
        <f>TABL123[[#This Row],[ (RESV. STORGE) SER]]/10</f>
        <v>203022</v>
      </c>
      <c r="AO192" s="45">
        <v>2075</v>
      </c>
      <c r="AP192" s="32">
        <f>TABL123[[#This Row],[(A/S TOT) AJD]]-TABL123[[#This Row],[SER_ 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Row],[خط (T/B  TOT) SAR]]+TABL123[[#This Row],[خط (S/S  TOT) SAR2]]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Row],[خط (S/S  TOT) SAR2]]-TABL123[[#This Row],[(S/S TOT) AJD]]</f>
        <v>79</v>
      </c>
      <c r="Q193" s="39">
        <v>486</v>
      </c>
      <c r="R193" s="12">
        <f>TABL123[[#This Row],[خط (T/B  TOT) SAR]]-TABL123[[#This Row],[(T/B TOT) AJD]]</f>
        <v>72</v>
      </c>
      <c r="S193" s="12">
        <f>TABL123[[#This Row],[الفرق بين بداية ونهاية خط  T/B]]+TABL123[[#This Row],[الفرق بين بداية ونهاية خط  S/S]]</f>
        <v>151</v>
      </c>
      <c r="T193" s="12">
        <f>TABL123[[#This Row],[(S/S TOT) AJD]]+TABL123[[#This Row],[(T/B TOT) AJD]]</f>
        <v>939</v>
      </c>
      <c r="U193" s="41">
        <v>567</v>
      </c>
      <c r="V193" s="41">
        <v>257</v>
      </c>
      <c r="W193" s="12">
        <f>TABL123[[#This Row],[(A/B TOT) AJD]]+TABL123[[#This Row],[(A/S TOT)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91">
        <f>TABL123[[#This Row],[( S/S+T/B) AJD]]-(TABL123[[#This Row],[(A/B + A/S) AJD]]+(TABL123[[#This Row],[(STORGE DIFF.) AJD]]*1000)+TABL123[[#This Row],[البخر  AJD]])</f>
        <v>-74439</v>
      </c>
      <c r="AE193" s="75">
        <v>77</v>
      </c>
      <c r="AF193" s="75">
        <v>58.86</v>
      </c>
      <c r="AG193" s="75">
        <v>1531306</v>
      </c>
      <c r="AH193" s="75">
        <v>3000</v>
      </c>
      <c r="AI193" s="75">
        <v>3000</v>
      </c>
      <c r="AJ193" s="86">
        <f>TABL123[[#This Row],[(A/B TOT) AJD]]-TABL123[[#This Row],[BER_ IN]]</f>
        <v>490</v>
      </c>
      <c r="AK193" s="75">
        <v>42</v>
      </c>
      <c r="AL193" s="96">
        <v>40.9848</v>
      </c>
      <c r="AM193" s="96">
        <v>2033560</v>
      </c>
      <c r="AN193" s="96">
        <f>TABL123[[#This Row],[ (RESV. STORGE) SER]]/10</f>
        <v>203356</v>
      </c>
      <c r="AO193" s="43">
        <v>2095</v>
      </c>
      <c r="AP193" s="32">
        <f>TABL123[[#This Row],[(A/S TOT) AJD]]-TABL123[[#This Row],[SER_ 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Row],[خط (T/B  TOT) SAR]]+TABL123[[#This Row],[خط (S/S  TOT) SAR2]]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Row],[خط (S/S  TOT) SAR2]]-TABL123[[#This Row],[(S/S TOT) AJD]]</f>
        <v>81</v>
      </c>
      <c r="Q194" s="40">
        <v>486</v>
      </c>
      <c r="R194" s="12">
        <f>TABL123[[#This Row],[خط (T/B  TOT) SAR]]-TABL123[[#This Row],[(T/B TOT) AJD]]</f>
        <v>72</v>
      </c>
      <c r="S194" s="12">
        <f>TABL123[[#This Row],[الفرق بين بداية ونهاية خط  T/B]]+TABL123[[#This Row],[الفرق بين بداية ونهاية خط  S/S]]</f>
        <v>153</v>
      </c>
      <c r="T194" s="12">
        <f>TABL123[[#This Row],[(S/S TOT) AJD]]+TABL123[[#This Row],[(T/B TOT) AJD]]</f>
        <v>940</v>
      </c>
      <c r="U194" s="44">
        <v>584</v>
      </c>
      <c r="V194" s="44">
        <v>327</v>
      </c>
      <c r="W194" s="12">
        <f>TABL123[[#This Row],[(A/B TOT) AJD]]+TABL123[[#This Row],[(A/S TOT)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91">
        <f>TABL123[[#This Row],[( S/S+T/B) AJD]]-(TABL123[[#This Row],[(A/B + A/S) AJD]]+(TABL123[[#This Row],[(STORGE DIFF.) AJD]]*1000)+TABL123[[#This Row],[البخر  AJD]])</f>
        <v>11615</v>
      </c>
      <c r="AE194" s="75">
        <v>82</v>
      </c>
      <c r="AF194" s="75">
        <v>58.83</v>
      </c>
      <c r="AG194" s="75">
        <v>1511540</v>
      </c>
      <c r="AH194" s="45">
        <v>2987</v>
      </c>
      <c r="AI194" s="45">
        <v>2987</v>
      </c>
      <c r="AJ194" s="86">
        <f>TABL123[[#This Row],[(A/B TOT) AJD]]-TABL123[[#This Row],[BER_ IN]]</f>
        <v>502</v>
      </c>
      <c r="AK194" s="75">
        <v>60</v>
      </c>
      <c r="AL194" s="96">
        <v>41.0366</v>
      </c>
      <c r="AM194" s="96">
        <v>2060900</v>
      </c>
      <c r="AN194" s="96">
        <f>TABL123[[#This Row],[ (RESV. STORGE) SER]]/10</f>
        <v>206090</v>
      </c>
      <c r="AO194" s="45">
        <v>2115</v>
      </c>
      <c r="AP194" s="32">
        <f>TABL123[[#This Row],[(A/S TOT) AJD]]-TABL123[[#This Row],[SER_ 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Row],[خط (T/B  TOT) SAR]]+TABL123[[#This Row],[خط (S/S  TOT) SAR2]]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Row],[خط (S/S  TOT) SAR2]]-TABL123[[#This Row],[(S/S TOT) AJD]]</f>
        <v>78</v>
      </c>
      <c r="Q195" s="39">
        <v>485</v>
      </c>
      <c r="R195" s="12">
        <f>TABL123[[#This Row],[خط (T/B  TOT) SAR]]-TABL123[[#This Row],[(T/B TOT) AJD]]</f>
        <v>70</v>
      </c>
      <c r="S195" s="12">
        <f>TABL123[[#This Row],[الفرق بين بداية ونهاية خط  T/B]]+TABL123[[#This Row],[الفرق بين بداية ونهاية خط  S/S]]</f>
        <v>148</v>
      </c>
      <c r="T195" s="12">
        <f>TABL123[[#This Row],[(S/S TOT) AJD]]+TABL123[[#This Row],[(T/B TOT) AJD]]</f>
        <v>937</v>
      </c>
      <c r="U195" s="41">
        <v>587</v>
      </c>
      <c r="V195" s="41">
        <v>352</v>
      </c>
      <c r="W195" s="12">
        <f>TABL123[[#This Row],[(A/B TOT) AJD]]+TABL123[[#This Row],[(A/S TOT)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91">
        <f>TABL123[[#This Row],[( S/S+T/B) AJD]]-(TABL123[[#This Row],[(A/B + A/S) AJD]]+(TABL123[[#This Row],[(STORGE DIFF.) AJD]]*1000)+TABL123[[#This Row],[البخر  AJD]])</f>
        <v>42955</v>
      </c>
      <c r="AE195" s="75">
        <v>86</v>
      </c>
      <c r="AF195" s="75">
        <v>58.82</v>
      </c>
      <c r="AG195" s="75">
        <v>1504953</v>
      </c>
      <c r="AH195" s="43">
        <v>2414</v>
      </c>
      <c r="AI195" s="43">
        <v>2414</v>
      </c>
      <c r="AJ195" s="86">
        <f>TABL123[[#This Row],[(A/B TOT) AJD]]-TABL123[[#This Row],[BER_ IN]]</f>
        <v>501</v>
      </c>
      <c r="AK195" s="75">
        <v>68</v>
      </c>
      <c r="AL195" s="96">
        <v>41.119100000000003</v>
      </c>
      <c r="AM195" s="96">
        <v>2104220</v>
      </c>
      <c r="AN195" s="96">
        <f>TABL123[[#This Row],[ (RESV. STORGE) SER]]/10</f>
        <v>210422</v>
      </c>
      <c r="AO195" s="43">
        <v>2125</v>
      </c>
      <c r="AP195" s="32">
        <f>TABL123[[#This Row],[(A/S TOT) AJD]]-TABL123[[#This Row],[SER_ 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Row],[خط (T/B  TOT) SAR]]+TABL123[[#This Row],[خط (S/S  TOT) SAR2]]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Row],[خط (S/S  TOT) SAR2]]-TABL123[[#This Row],[(S/S TOT) AJD]]</f>
        <v>84</v>
      </c>
      <c r="Q196" s="40">
        <v>483</v>
      </c>
      <c r="R196" s="12">
        <f>TABL123[[#This Row],[خط (T/B  TOT) SAR]]-TABL123[[#This Row],[(T/B TOT) AJD]]</f>
        <v>67</v>
      </c>
      <c r="S196" s="12">
        <f>TABL123[[#This Row],[الفرق بين بداية ونهاية خط  T/B]]+TABL123[[#This Row],[الفرق بين بداية ونهاية خط  S/S]]</f>
        <v>151</v>
      </c>
      <c r="T196" s="12">
        <f>TABL123[[#This Row],[(S/S TOT) AJD]]+TABL123[[#This Row],[(T/B TOT) AJD]]</f>
        <v>931</v>
      </c>
      <c r="U196" s="44">
        <v>586</v>
      </c>
      <c r="V196" s="44">
        <v>360</v>
      </c>
      <c r="W196" s="12">
        <f>TABL123[[#This Row],[(A/B TOT) AJD]]+TABL123[[#This Row],[(A/S TOT)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91">
        <f>TABL123[[#This Row],[( S/S+T/B) AJD]]-(TABL123[[#This Row],[(A/B + A/S) AJD]]+(TABL123[[#This Row],[(STORGE DIFF.) AJD]]*1000)+TABL123[[#This Row],[البخر  AJD]])</f>
        <v>48329</v>
      </c>
      <c r="AE196" s="75">
        <v>86</v>
      </c>
      <c r="AF196" s="75">
        <v>58.84</v>
      </c>
      <c r="AG196" s="75">
        <v>1518127</v>
      </c>
      <c r="AH196" s="45">
        <v>2367</v>
      </c>
      <c r="AI196" s="45">
        <v>2367</v>
      </c>
      <c r="AJ196" s="86">
        <f>TABL123[[#This Row],[(A/B TOT) AJD]]-TABL123[[#This Row],[BER_ IN]]</f>
        <v>500</v>
      </c>
      <c r="AK196" s="75">
        <v>70</v>
      </c>
      <c r="AL196" s="96">
        <v>41.213700000000003</v>
      </c>
      <c r="AM196" s="96">
        <v>2154110</v>
      </c>
      <c r="AN196" s="96">
        <f>TABL123[[#This Row],[ (RESV. STORGE) SER]]/10</f>
        <v>215411</v>
      </c>
      <c r="AO196" s="45">
        <v>2130</v>
      </c>
      <c r="AP196" s="32">
        <f>TABL123[[#This Row],[(A/S TOT) AJD]]-TABL123[[#This Row],[SER_ 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Row],[خط (T/B  TOT) SAR]]+TABL123[[#This Row],[خط (S/S  TOT) SAR2]]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Row],[خط (S/S  TOT) SAR2]]-TABL123[[#This Row],[(S/S TOT) AJD]]</f>
        <v>29</v>
      </c>
      <c r="Q197" s="39">
        <v>440</v>
      </c>
      <c r="R197" s="12">
        <f>TABL123[[#This Row],[خط (T/B  TOT) SAR]]-TABL123[[#This Row],[(T/B TOT) AJD]]</f>
        <v>4</v>
      </c>
      <c r="S197" s="12">
        <f>TABL123[[#This Row],[الفرق بين بداية ونهاية خط  T/B]]+TABL123[[#This Row],[الفرق بين بداية ونهاية خط  S/S]]</f>
        <v>33</v>
      </c>
      <c r="T197" s="12">
        <f>TABL123[[#This Row],[(S/S TOT) AJD]]+TABL123[[#This Row],[(T/B TOT) AJD]]</f>
        <v>839</v>
      </c>
      <c r="U197" s="41">
        <v>577</v>
      </c>
      <c r="V197" s="41">
        <v>329</v>
      </c>
      <c r="W197" s="12">
        <f>TABL123[[#This Row],[(A/B TOT) AJD]]+TABL123[[#This Row],[(A/S TOT)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91">
        <f>TABL123[[#This Row],[( S/S+T/B) AJD]]-(TABL123[[#This Row],[(A/B + A/S) AJD]]+(TABL123[[#This Row],[(STORGE DIFF.) AJD]]*1000)+TABL123[[#This Row],[البخر  AJD]])</f>
        <v>107561</v>
      </c>
      <c r="AE197" s="75">
        <v>86</v>
      </c>
      <c r="AF197" s="75">
        <v>58.835999999999999</v>
      </c>
      <c r="AG197" s="75">
        <v>1515492</v>
      </c>
      <c r="AH197" s="43">
        <v>2635</v>
      </c>
      <c r="AI197" s="43">
        <v>2635</v>
      </c>
      <c r="AJ197" s="86">
        <f>TABL123[[#This Row],[(A/B TOT) AJD]]-TABL123[[#This Row],[BER_ IN]]</f>
        <v>491</v>
      </c>
      <c r="AK197" s="75">
        <v>71</v>
      </c>
      <c r="AL197" s="96">
        <v>41.320300000000003</v>
      </c>
      <c r="AM197" s="96">
        <v>2210540</v>
      </c>
      <c r="AN197" s="96">
        <f>TABL123[[#This Row],[ (RESV. STORGE) SER]]/10</f>
        <v>221054</v>
      </c>
      <c r="AO197" s="43">
        <v>2140</v>
      </c>
      <c r="AP197" s="32">
        <f>TABL123[[#This Row],[(A/S TOT) AJD]]-TABL123[[#This Row],[SER_ 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Row],[خط (T/B  TOT) SAR]]+TABL123[[#This Row],[خط (S/S  TOT) SAR2]]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Row],[خط (S/S  TOT) SAR2]]-TABL123[[#This Row],[(S/S TOT) AJD]]</f>
        <v>205</v>
      </c>
      <c r="Q198" s="40">
        <v>351</v>
      </c>
      <c r="R198" s="12">
        <f>TABL123[[#This Row],[خط (T/B  TOT) SAR]]-TABL123[[#This Row],[(T/B TOT) AJD]]</f>
        <v>189</v>
      </c>
      <c r="S198" s="12">
        <f>TABL123[[#This Row],[الفرق بين بداية ونهاية خط  T/B]]+TABL123[[#This Row],[الفرق بين بداية ونهاية خط  S/S]]</f>
        <v>394</v>
      </c>
      <c r="T198" s="12">
        <f>TABL123[[#This Row],[(S/S TOT) AJD]]+TABL123[[#This Row],[(T/B TOT) AJD]]</f>
        <v>672</v>
      </c>
      <c r="U198" s="44">
        <v>584</v>
      </c>
      <c r="V198" s="44">
        <v>312</v>
      </c>
      <c r="W198" s="12">
        <f>TABL123[[#This Row],[(A/B TOT) AJD]]+TABL123[[#This Row],[(A/S TOT)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91">
        <f>TABL123[[#This Row],[( S/S+T/B) AJD]]-(TABL123[[#This Row],[(A/B + A/S) AJD]]+(TABL123[[#This Row],[(STORGE DIFF.) AJD]]*1000)+TABL123[[#This Row],[البخر  AJD]])</f>
        <v>253857.00000000003</v>
      </c>
      <c r="AE198" s="75">
        <v>90</v>
      </c>
      <c r="AF198" s="75">
        <v>58.85</v>
      </c>
      <c r="AG198" s="75">
        <v>1524716</v>
      </c>
      <c r="AH198" s="45">
        <v>2357</v>
      </c>
      <c r="AI198" s="45">
        <v>2357</v>
      </c>
      <c r="AJ198" s="86">
        <f>TABL123[[#This Row],[(A/B TOT) AJD]]-TABL123[[#This Row],[BER_ IN]]</f>
        <v>494</v>
      </c>
      <c r="AK198" s="75">
        <v>70</v>
      </c>
      <c r="AL198" s="96">
        <v>41.420499999999997</v>
      </c>
      <c r="AM198" s="96">
        <v>2263420</v>
      </c>
      <c r="AN198" s="96">
        <f>TABL123[[#This Row],[ (RESV. STORGE) SER]]/10</f>
        <v>226342</v>
      </c>
      <c r="AO198" s="45">
        <v>1820</v>
      </c>
      <c r="AP198" s="32">
        <f>TABL123[[#This Row],[(A/S TOT) AJD]]-TABL123[[#This Row],[SER_ 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Row],[خط (T/B  TOT) SAR]]+TABL123[[#This Row],[خط (S/S  TOT) SAR2]]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Row],[خط (S/S  TOT) SAR2]]-TABL123[[#This Row],[(S/S TOT) AJD]]</f>
        <v>93</v>
      </c>
      <c r="Q199" s="39">
        <v>460</v>
      </c>
      <c r="R199" s="12">
        <f>TABL123[[#This Row],[خط (T/B  TOT) SAR]]-TABL123[[#This Row],[(T/B TOT) AJD]]</f>
        <v>77</v>
      </c>
      <c r="S199" s="12">
        <f>TABL123[[#This Row],[الفرق بين بداية ونهاية خط  T/B]]+TABL123[[#This Row],[الفرق بين بداية ونهاية خط  S/S]]</f>
        <v>170</v>
      </c>
      <c r="T199" s="12">
        <f>TABL123[[#This Row],[(S/S TOT) AJD]]+TABL123[[#This Row],[(T/B TOT) AJD]]</f>
        <v>892</v>
      </c>
      <c r="U199" s="41">
        <v>550</v>
      </c>
      <c r="V199" s="41">
        <v>277</v>
      </c>
      <c r="W199" s="12">
        <f>TABL123[[#This Row],[(A/B TOT) AJD]]+TABL123[[#This Row],[(A/S TOT)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91">
        <f>TABL123[[#This Row],[( S/S+T/B) AJD]]-(TABL123[[#This Row],[(A/B + A/S) AJD]]+(TABL123[[#This Row],[(STORGE DIFF.) AJD]]*1000)+TABL123[[#This Row],[البخر  AJD]])</f>
        <v>-45648</v>
      </c>
      <c r="AE199" s="75">
        <v>61</v>
      </c>
      <c r="AF199" s="75">
        <v>58.83</v>
      </c>
      <c r="AG199" s="75">
        <v>1512810</v>
      </c>
      <c r="AH199" s="43">
        <v>2400</v>
      </c>
      <c r="AI199" s="43">
        <v>2400</v>
      </c>
      <c r="AJ199" s="86">
        <f>TABL123[[#This Row],[(A/B TOT) AJD]]-TABL123[[#This Row],[BER_ IN]]</f>
        <v>489</v>
      </c>
      <c r="AK199" s="75">
        <v>51</v>
      </c>
      <c r="AL199" s="96">
        <v>41.489100000000001</v>
      </c>
      <c r="AM199" s="96">
        <v>2299400</v>
      </c>
      <c r="AN199" s="96">
        <f>TABL123[[#This Row],[ (RESV. STORGE) SER]]/10</f>
        <v>229940</v>
      </c>
      <c r="AO199" s="43">
        <v>1920</v>
      </c>
      <c r="AP199" s="32">
        <f>TABL123[[#This Row],[(A/S TOT) AJD]]-TABL123[[#This Row],[SER_ 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Row],[خط (T/B  TOT) SAR]]+TABL123[[#This Row],[خط (S/S  TOT) SAR2]]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Row],[خط (S/S  TOT) SAR2]]-TABL123[[#This Row],[(S/S TOT) AJD]]</f>
        <v>41</v>
      </c>
      <c r="Q200" s="40">
        <v>472</v>
      </c>
      <c r="R200" s="12">
        <f>TABL123[[#This Row],[خط (T/B  TOT) SAR]]-TABL123[[#This Row],[(T/B TOT) AJD]]</f>
        <v>-2</v>
      </c>
      <c r="S200" s="12">
        <f>TABL123[[#This Row],[الفرق بين بداية ونهاية خط  T/B]]+TABL123[[#This Row],[الفرق بين بداية ونهاية خط  S/S]]</f>
        <v>39</v>
      </c>
      <c r="T200" s="12">
        <f>TABL123[[#This Row],[(S/S TOT) AJD]]+TABL123[[#This Row],[(T/B TOT) AJD]]</f>
        <v>911</v>
      </c>
      <c r="U200" s="44">
        <v>487</v>
      </c>
      <c r="V200" s="44">
        <v>275</v>
      </c>
      <c r="W200" s="12">
        <f>TABL123[[#This Row],[(A/B TOT) AJD]]+TABL123[[#This Row],[(A/S TOT)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91">
        <f>TABL123[[#This Row],[( S/S+T/B) AJD]]-(TABL123[[#This Row],[(A/B + A/S) AJD]]+(TABL123[[#This Row],[(STORGE DIFF.) AJD]]*1000)+TABL123[[#This Row],[البخر  AJD]])</f>
        <v>-127863</v>
      </c>
      <c r="AE200" s="75">
        <v>51</v>
      </c>
      <c r="AF200" s="75">
        <v>58.87</v>
      </c>
      <c r="AG200" s="75">
        <v>1537896</v>
      </c>
      <c r="AH200" s="45">
        <v>2999</v>
      </c>
      <c r="AI200" s="45">
        <v>2999</v>
      </c>
      <c r="AJ200" s="86">
        <f>TABL123[[#This Row],[(A/B TOT) AJD]]-TABL123[[#This Row],[BER_ IN]]</f>
        <v>436</v>
      </c>
      <c r="AK200" s="75">
        <v>42</v>
      </c>
      <c r="AL200" s="96">
        <v>41.5</v>
      </c>
      <c r="AM200" s="96">
        <v>2304060</v>
      </c>
      <c r="AN200" s="96">
        <f>TABL123[[#This Row],[ (RESV. STORGE) SER]]/10</f>
        <v>230406</v>
      </c>
      <c r="AO200" s="45">
        <v>1940</v>
      </c>
      <c r="AP200" s="32">
        <f>TABL123[[#This Row],[(A/S TOT) AJD]]-TABL123[[#This Row],[SER_ 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Row],[خط (T/B  TOT) SAR]]+TABL123[[#This Row],[خط (S/S  TOT) SAR2]]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Row],[خط (S/S  TOT) SAR2]]-TABL123[[#This Row],[(S/S TOT) AJD]]</f>
        <v>105</v>
      </c>
      <c r="Q201" s="39">
        <v>385</v>
      </c>
      <c r="R201" s="12">
        <f>TABL123[[#This Row],[خط (T/B  TOT) SAR]]-TABL123[[#This Row],[(T/B TOT) AJD]]</f>
        <v>80</v>
      </c>
      <c r="S201" s="12">
        <f>TABL123[[#This Row],[الفرق بين بداية ونهاية خط  T/B]]+TABL123[[#This Row],[الفرق بين بداية ونهاية خط  S/S]]</f>
        <v>185</v>
      </c>
      <c r="T201" s="12">
        <f>TABL123[[#This Row],[(S/S TOT) AJD]]+TABL123[[#This Row],[(T/B TOT) AJD]]</f>
        <v>740</v>
      </c>
      <c r="U201" s="41">
        <v>453</v>
      </c>
      <c r="V201" s="41">
        <v>258</v>
      </c>
      <c r="W201" s="12">
        <f>TABL123[[#This Row],[(A/B TOT) AJD]]+TABL123[[#This Row],[(A/S TOT)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91">
        <f>TABL123[[#This Row],[( S/S+T/B) AJD]]-(TABL123[[#This Row],[(A/B + A/S) AJD]]+(TABL123[[#This Row],[(STORGE DIFF.) AJD]]*1000)+TABL123[[#This Row],[البخر  AJD]])</f>
        <v>8660</v>
      </c>
      <c r="AE201" s="75">
        <v>50</v>
      </c>
      <c r="AF201" s="75">
        <v>58.92</v>
      </c>
      <c r="AG201" s="75">
        <v>1570861</v>
      </c>
      <c r="AH201" s="43">
        <v>3004</v>
      </c>
      <c r="AI201" s="43">
        <v>3004</v>
      </c>
      <c r="AJ201" s="86">
        <f>TABL123[[#This Row],[(A/B TOT) AJD]]-TABL123[[#This Row],[BER_ IN]]</f>
        <v>403</v>
      </c>
      <c r="AK201" s="75">
        <v>21</v>
      </c>
      <c r="AL201" s="96">
        <v>41.534999999999997</v>
      </c>
      <c r="AM201" s="96">
        <v>2322990</v>
      </c>
      <c r="AN201" s="96">
        <f>TABL123[[#This Row],[ (RESV. STORGE) SER]]/10</f>
        <v>232299</v>
      </c>
      <c r="AO201" s="43">
        <v>2070</v>
      </c>
      <c r="AP201" s="32">
        <f>TABL123[[#This Row],[(A/S TOT) AJD]]-TABL123[[#This Row],[SER_ 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Row],[خط (T/B  TOT) SAR]]+TABL123[[#This Row],[خط (S/S  TOT) SAR2]]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Row],[خط (S/S  TOT) SAR2]]-TABL123[[#This Row],[(S/S TOT) AJD]]</f>
        <v>116</v>
      </c>
      <c r="Q202" s="40">
        <v>345</v>
      </c>
      <c r="R202" s="12">
        <f>TABL123[[#This Row],[خط (T/B  TOT) SAR]]-TABL123[[#This Row],[(T/B TOT) AJD]]</f>
        <v>114</v>
      </c>
      <c r="S202" s="12">
        <f>TABL123[[#This Row],[الفرق بين بداية ونهاية خط  T/B]]+TABL123[[#This Row],[الفرق بين بداية ونهاية خط  S/S]]</f>
        <v>230</v>
      </c>
      <c r="T202" s="12">
        <f>TABL123[[#This Row],[(S/S TOT) AJD]]+TABL123[[#This Row],[(T/B TOT) AJD]]</f>
        <v>674</v>
      </c>
      <c r="U202" s="44">
        <v>479</v>
      </c>
      <c r="V202" s="44">
        <v>238</v>
      </c>
      <c r="W202" s="12">
        <f>TABL123[[#This Row],[(A/B TOT) AJD]]+TABL123[[#This Row],[(A/S TOT)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91">
        <f>TABL123[[#This Row],[( S/S+T/B) AJD]]-(TABL123[[#This Row],[(A/B + A/S) AJD]]+(TABL123[[#This Row],[(STORGE DIFF.) AJD]]*1000)+TABL123[[#This Row],[البخر  AJD]])</f>
        <v>62731</v>
      </c>
      <c r="AE202" s="75">
        <v>50</v>
      </c>
      <c r="AF202" s="75">
        <v>58.991999999999997</v>
      </c>
      <c r="AG202" s="75">
        <v>1618368</v>
      </c>
      <c r="AH202" s="45">
        <v>2492</v>
      </c>
      <c r="AI202" s="45">
        <v>2492</v>
      </c>
      <c r="AJ202" s="86">
        <f>TABL123[[#This Row],[(A/B TOT) AJD]]-TABL123[[#This Row],[BER_ IN]]</f>
        <v>429</v>
      </c>
      <c r="AK202" s="75">
        <v>0</v>
      </c>
      <c r="AL202" s="96">
        <v>41.502800000000001</v>
      </c>
      <c r="AM202" s="96">
        <v>2306820</v>
      </c>
      <c r="AN202" s="96">
        <f>TABL123[[#This Row],[ (RESV. STORGE) SER]]/10</f>
        <v>230682</v>
      </c>
      <c r="AO202" s="45">
        <v>1870</v>
      </c>
      <c r="AP202" s="32">
        <f>TABL123[[#This Row],[(A/S TOT) AJD]]-TABL123[[#This Row],[SER_ 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Row],[خط (T/B  TOT) SAR]]+TABL123[[#This Row],[خط (S/S  TOT) SAR2]]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Row],[خط (S/S  TOT) SAR2]]-TABL123[[#This Row],[(S/S TOT) AJD]]</f>
        <v>77</v>
      </c>
      <c r="Q203" s="39">
        <v>384</v>
      </c>
      <c r="R203" s="12">
        <f>TABL123[[#This Row],[خط (T/B  TOT) SAR]]-TABL123[[#This Row],[(T/B TOT) AJD]]</f>
        <v>67</v>
      </c>
      <c r="S203" s="12">
        <f>TABL123[[#This Row],[الفرق بين بداية ونهاية خط  T/B]]+TABL123[[#This Row],[الفرق بين بداية ونهاية خط  S/S]]</f>
        <v>144</v>
      </c>
      <c r="T203" s="12">
        <f>TABL123[[#This Row],[(S/S TOT) AJD]]+TABL123[[#This Row],[(T/B TOT) AJD]]</f>
        <v>745</v>
      </c>
      <c r="U203" s="41">
        <v>528</v>
      </c>
      <c r="V203" s="41">
        <v>262</v>
      </c>
      <c r="W203" s="12">
        <f>TABL123[[#This Row],[(A/B TOT) AJD]]+TABL123[[#This Row],[(A/S TOT)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91">
        <f>TABL123[[#This Row],[( S/S+T/B) AJD]]-(TABL123[[#This Row],[(A/B + A/S) AJD]]+(TABL123[[#This Row],[(STORGE DIFF.) AJD]]*1000)+TABL123[[#This Row],[البخر  AJD]])</f>
        <v>62044</v>
      </c>
      <c r="AE203" s="75">
        <v>53</v>
      </c>
      <c r="AF203" s="75">
        <v>59.069000000000003</v>
      </c>
      <c r="AG203" s="75">
        <v>1669224</v>
      </c>
      <c r="AH203" s="43">
        <v>2144</v>
      </c>
      <c r="AI203" s="43">
        <v>2144</v>
      </c>
      <c r="AJ203" s="86">
        <f>TABL123[[#This Row],[(A/B TOT) AJD]]-TABL123[[#This Row],[BER_ IN]]</f>
        <v>475</v>
      </c>
      <c r="AK203" s="75">
        <v>0</v>
      </c>
      <c r="AL203" s="96">
        <v>41.482100000000003</v>
      </c>
      <c r="AM203" s="96">
        <v>2295170</v>
      </c>
      <c r="AN203" s="96">
        <f>TABL123[[#This Row],[ (RESV. STORGE) SER]]/10</f>
        <v>229517</v>
      </c>
      <c r="AO203" s="43">
        <v>1820</v>
      </c>
      <c r="AP203" s="32">
        <f>TABL123[[#This Row],[(A/S TOT) AJD]]-TABL123[[#This Row],[SER_ 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Row],[خط (T/B  TOT) SAR]]+TABL123[[#This Row],[خط (S/S  TOT) SAR2]]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Row],[خط (S/S  TOT) SAR2]]-TABL123[[#This Row],[(S/S TOT) AJD]]</f>
        <v>120</v>
      </c>
      <c r="Q204" s="40">
        <v>395</v>
      </c>
      <c r="R204" s="12">
        <f>TABL123[[#This Row],[خط (T/B  TOT) SAR]]-TABL123[[#This Row],[(T/B TOT) AJD]]</f>
        <v>104</v>
      </c>
      <c r="S204" s="12">
        <f>TABL123[[#This Row],[الفرق بين بداية ونهاية خط  T/B]]+TABL123[[#This Row],[الفرق بين بداية ونهاية خط  S/S]]</f>
        <v>224</v>
      </c>
      <c r="T204" s="12">
        <f>TABL123[[#This Row],[(S/S TOT) AJD]]+TABL123[[#This Row],[(T/B TOT) AJD]]</f>
        <v>762</v>
      </c>
      <c r="U204" s="44">
        <v>552</v>
      </c>
      <c r="V204" s="44">
        <v>259</v>
      </c>
      <c r="W204" s="12">
        <f>TABL123[[#This Row],[(A/B TOT) AJD]]+TABL123[[#This Row],[(A/S TOT)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91">
        <f>TABL123[[#This Row],[( S/S+T/B) AJD]]-(TABL123[[#This Row],[(A/B + A/S) AJD]]+(TABL123[[#This Row],[(STORGE DIFF.) AJD]]*1000)+TABL123[[#This Row],[البخر  AJD]])</f>
        <v>67254</v>
      </c>
      <c r="AE204" s="75">
        <v>50</v>
      </c>
      <c r="AF204" s="75">
        <v>59.14</v>
      </c>
      <c r="AG204" s="75">
        <v>1716162</v>
      </c>
      <c r="AH204" s="45">
        <v>3061</v>
      </c>
      <c r="AI204" s="45">
        <v>3061</v>
      </c>
      <c r="AJ204" s="86">
        <f>TABL123[[#This Row],[(A/B TOT) AJD]]-TABL123[[#This Row],[BER_ IN]]</f>
        <v>502</v>
      </c>
      <c r="AK204" s="75">
        <v>0</v>
      </c>
      <c r="AL204" s="96">
        <v>41.4664</v>
      </c>
      <c r="AM204" s="96">
        <v>2287280</v>
      </c>
      <c r="AN204" s="96">
        <f>TABL123[[#This Row],[ (RESV. STORGE) SER]]/10</f>
        <v>228728</v>
      </c>
      <c r="AO204" s="45">
        <v>1890</v>
      </c>
      <c r="AP204" s="32">
        <f>TABL123[[#This Row],[(A/S TOT) AJD]]-TABL123[[#This Row],[SER_ 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Row],[خط (T/B  TOT) SAR]]+TABL123[[#This Row],[خط (S/S  TOT) SAR2]]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Row],[خط (S/S  TOT) SAR2]]-TABL123[[#This Row],[(S/S TOT) AJD]]</f>
        <v>78</v>
      </c>
      <c r="Q205" s="39">
        <v>437</v>
      </c>
      <c r="R205" s="12">
        <f>TABL123[[#This Row],[خط (T/B  TOT) SAR]]-TABL123[[#This Row],[(T/B TOT) AJD]]</f>
        <v>62</v>
      </c>
      <c r="S205" s="12">
        <f>TABL123[[#This Row],[الفرق بين بداية ونهاية خط  T/B]]+TABL123[[#This Row],[الفرق بين بداية ونهاية خط  S/S]]</f>
        <v>140</v>
      </c>
      <c r="T205" s="12">
        <f>TABL123[[#This Row],[(S/S TOT) AJD]]+TABL123[[#This Row],[(T/B TOT) AJD]]</f>
        <v>846</v>
      </c>
      <c r="U205" s="41">
        <v>560</v>
      </c>
      <c r="V205" s="41">
        <v>252</v>
      </c>
      <c r="W205" s="12">
        <f>TABL123[[#This Row],[(A/B TOT) AJD]]+TABL123[[#This Row],[(A/S TOT)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91">
        <f>TABL123[[#This Row],[( S/S+T/B) AJD]]-(TABL123[[#This Row],[(A/B + A/S) AJD]]+(TABL123[[#This Row],[(STORGE DIFF.) AJD]]*1000)+TABL123[[#This Row],[البخر  AJD]])</f>
        <v>-19764</v>
      </c>
      <c r="AE205" s="75">
        <v>51</v>
      </c>
      <c r="AF205" s="75">
        <v>59.16</v>
      </c>
      <c r="AG205" s="75">
        <v>1729392</v>
      </c>
      <c r="AH205" s="43">
        <v>3209</v>
      </c>
      <c r="AI205" s="43">
        <v>3209</v>
      </c>
      <c r="AJ205" s="86">
        <f>TABL123[[#This Row],[(A/B TOT) AJD]]-TABL123[[#This Row],[BER_ IN]]</f>
        <v>509</v>
      </c>
      <c r="AK205" s="75">
        <v>0</v>
      </c>
      <c r="AL205" s="96">
        <v>41.449399999999997</v>
      </c>
      <c r="AM205" s="96">
        <v>2278040</v>
      </c>
      <c r="AN205" s="96">
        <f>TABL123[[#This Row],[ (RESV. STORGE) SER]]/10</f>
        <v>227804</v>
      </c>
      <c r="AO205" s="43">
        <v>1940</v>
      </c>
      <c r="AP205" s="32">
        <f>TABL123[[#This Row],[(A/S TOT) AJD]]-TABL123[[#This Row],[SER_ 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Row],[خط (T/B  TOT) SAR]]+TABL123[[#This Row],[خط (S/S  TOT) SAR2]]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Row],[خط (S/S  TOT) SAR2]]-TABL123[[#This Row],[(S/S TOT) AJD]]</f>
        <v>-54</v>
      </c>
      <c r="Q206" s="45">
        <v>473</v>
      </c>
      <c r="R206" s="12">
        <f>TABL123[[#This Row],[خط (T/B  TOT) SAR]]-TABL123[[#This Row],[(T/B TOT) AJD]]</f>
        <v>-65</v>
      </c>
      <c r="S206" s="12">
        <f>TABL123[[#This Row],[الفرق بين بداية ونهاية خط  T/B]]+TABL123[[#This Row],[الفرق بين بداية ونهاية خط  S/S]]</f>
        <v>-119</v>
      </c>
      <c r="T206" s="12">
        <f>TABL123[[#This Row],[(S/S TOT) AJD]]+TABL123[[#This Row],[(T/B TOT) AJD]]</f>
        <v>922</v>
      </c>
      <c r="U206" s="44">
        <v>497</v>
      </c>
      <c r="V206" s="44">
        <v>224</v>
      </c>
      <c r="W206" s="12">
        <f>TABL123[[#This Row],[(A/B TOT) AJD]]+TABL123[[#This Row],[(A/S TOT)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91">
        <f>TABL123[[#This Row],[( S/S+T/B) AJD]]-(TABL123[[#This Row],[(A/B + A/S) AJD]]+(TABL123[[#This Row],[(STORGE DIFF.) AJD]]*1000)+TABL123[[#This Row],[البخر  AJD]])</f>
        <v>-173773</v>
      </c>
      <c r="AE206" s="75">
        <v>50</v>
      </c>
      <c r="AF206" s="75">
        <v>59.14</v>
      </c>
      <c r="AG206" s="75">
        <v>1716162</v>
      </c>
      <c r="AH206" s="45">
        <v>3149</v>
      </c>
      <c r="AI206" s="45">
        <v>3149</v>
      </c>
      <c r="AJ206" s="86">
        <f>TABL123[[#This Row],[(A/B TOT) AJD]]-TABL123[[#This Row],[BER_ IN]]</f>
        <v>447</v>
      </c>
      <c r="AK206" s="75">
        <v>0</v>
      </c>
      <c r="AL206" s="96">
        <v>41.427700000000002</v>
      </c>
      <c r="AM206" s="96">
        <v>2267130</v>
      </c>
      <c r="AN206" s="96">
        <f>TABL123[[#This Row],[ (RESV. STORGE) SER]]/10</f>
        <v>226713</v>
      </c>
      <c r="AO206" s="45">
        <v>2010</v>
      </c>
      <c r="AP206" s="32">
        <f>TABL123[[#This Row],[(A/S TOT) AJD]]-TABL123[[#This Row],[SER_ 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Row],[خط (T/B  TOT) SAR]]+TABL123[[#This Row],[خط (S/S  TOT) SAR2]]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Row],[خط (S/S  TOT) SAR2]]-TABL123[[#This Row],[(S/S TOT) AJD]]</f>
        <v>-156</v>
      </c>
      <c r="Q207" s="43">
        <v>432</v>
      </c>
      <c r="R207" s="12">
        <f>TABL123[[#This Row],[خط (T/B  TOT) SAR]]-TABL123[[#This Row],[(T/B TOT) AJD]]</f>
        <v>-165</v>
      </c>
      <c r="S207" s="12">
        <f>TABL123[[#This Row],[الفرق بين بداية ونهاية خط  T/B]]+TABL123[[#This Row],[الفرق بين بداية ونهاية خط  S/S]]</f>
        <v>-321</v>
      </c>
      <c r="T207" s="12">
        <f>TABL123[[#This Row],[(S/S TOT) AJD]]+TABL123[[#This Row],[(T/B TOT) AJD]]</f>
        <v>834</v>
      </c>
      <c r="U207" s="41">
        <v>448</v>
      </c>
      <c r="V207" s="41">
        <v>190</v>
      </c>
      <c r="W207" s="12">
        <f>TABL123[[#This Row],[(A/B TOT) AJD]]+TABL123[[#This Row],[(A/S TOT)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91">
        <f>TABL123[[#This Row],[( S/S+T/B) AJD]]-(TABL123[[#This Row],[(A/B + A/S) AJD]]+(TABL123[[#This Row],[(STORGE DIFF.) AJD]]*1000)+TABL123[[#This Row],[البخر  AJD]])</f>
        <v>-176948</v>
      </c>
      <c r="AE207" s="75">
        <v>49</v>
      </c>
      <c r="AF207" s="75">
        <v>59.16</v>
      </c>
      <c r="AG207" s="75">
        <v>1729392</v>
      </c>
      <c r="AH207" s="43">
        <v>2999</v>
      </c>
      <c r="AI207" s="43">
        <v>2999</v>
      </c>
      <c r="AJ207" s="86">
        <f>TABL123[[#This Row],[(A/B TOT) AJD]]-TABL123[[#This Row],[BER_ IN]]</f>
        <v>399</v>
      </c>
      <c r="AK207" s="75">
        <v>0</v>
      </c>
      <c r="AL207" s="96">
        <v>41.4176</v>
      </c>
      <c r="AM207" s="96">
        <v>2261480</v>
      </c>
      <c r="AN207" s="96">
        <f>TABL123[[#This Row],[ (RESV. STORGE) SER]]/10</f>
        <v>226148</v>
      </c>
      <c r="AO207" s="43">
        <v>1950</v>
      </c>
      <c r="AP207" s="32">
        <f>TABL123[[#This Row],[(A/S TOT) AJD]]-TABL123[[#This Row],[SER_ 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Row],[خط (T/B  TOT) SAR]]+TABL123[[#This Row],[خط (S/S  TOT) SAR2]]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Row],[خط (S/S  TOT) SAR2]]-TABL123[[#This Row],[(S/S TOT) AJD]]</f>
        <v>120</v>
      </c>
      <c r="Q208" s="45">
        <v>311</v>
      </c>
      <c r="R208" s="12">
        <f>TABL123[[#This Row],[خط (T/B  TOT) SAR]]-TABL123[[#This Row],[(T/B TOT) AJD]]</f>
        <v>106</v>
      </c>
      <c r="S208" s="12">
        <f>TABL123[[#This Row],[الفرق بين بداية ونهاية خط  T/B]]+TABL123[[#This Row],[الفرق بين بداية ونهاية خط  S/S]]</f>
        <v>226</v>
      </c>
      <c r="T208" s="12">
        <f>TABL123[[#This Row],[(S/S TOT) AJD]]+TABL123[[#This Row],[(T/B TOT) AJD]]</f>
        <v>598</v>
      </c>
      <c r="U208" s="44">
        <v>463</v>
      </c>
      <c r="V208" s="44">
        <v>174</v>
      </c>
      <c r="W208" s="12">
        <f>TABL123[[#This Row],[(A/B TOT) AJD]]+TABL123[[#This Row],[(A/S TOT)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91">
        <f>TABL123[[#This Row],[( S/S+T/B) AJD]]-(TABL123[[#This Row],[(A/B + A/S) AJD]]+(TABL123[[#This Row],[(STORGE DIFF.) AJD]]*1000)+TABL123[[#This Row],[البخر  AJD]])</f>
        <v>96076</v>
      </c>
      <c r="AE208" s="75">
        <v>50</v>
      </c>
      <c r="AF208" s="75">
        <v>59.14</v>
      </c>
      <c r="AG208" s="75">
        <v>1716162</v>
      </c>
      <c r="AH208" s="45">
        <v>2999</v>
      </c>
      <c r="AI208" s="45">
        <v>2999</v>
      </c>
      <c r="AJ208" s="86">
        <f>TABL123[[#This Row],[(A/B TOT) AJD]]-TABL123[[#This Row],[BER_ IN]]</f>
        <v>413</v>
      </c>
      <c r="AK208" s="75">
        <v>0</v>
      </c>
      <c r="AL208" s="96">
        <v>41.412799999999997</v>
      </c>
      <c r="AM208" s="96">
        <v>2259190</v>
      </c>
      <c r="AN208" s="96">
        <f>TABL123[[#This Row],[ (RESV. STORGE) SER]]/10</f>
        <v>225919</v>
      </c>
      <c r="AO208" s="45">
        <v>2290</v>
      </c>
      <c r="AP208" s="32">
        <f>TABL123[[#This Row],[(A/S TOT) AJD]]-TABL123[[#This Row],[SER_ 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Row],[خط (T/B  TOT) SAR]]+TABL123[[#This Row],[خط (S/S  TOT) SAR2]]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Row],[خط (S/S  TOT) SAR2]]-TABL123[[#This Row],[(S/S TOT) AJD]]</f>
        <v>90</v>
      </c>
      <c r="Q209" s="39">
        <v>372</v>
      </c>
      <c r="R209" s="12">
        <f>TABL123[[#This Row],[خط (T/B  TOT) SAR]]-TABL123[[#This Row],[(T/B TOT) AJD]]</f>
        <v>60</v>
      </c>
      <c r="S209" s="12">
        <f>TABL123[[#This Row],[الفرق بين بداية ونهاية خط  T/B]]+TABL123[[#This Row],[الفرق بين بداية ونهاية خط  S/S]]</f>
        <v>150</v>
      </c>
      <c r="T209" s="12">
        <f>TABL123[[#This Row],[(S/S TOT) AJD]]+TABL123[[#This Row],[(T/B TOT) AJD]]</f>
        <v>701</v>
      </c>
      <c r="U209" s="41">
        <v>498</v>
      </c>
      <c r="V209" s="41">
        <v>173</v>
      </c>
      <c r="W209" s="12">
        <f>TABL123[[#This Row],[(A/B TOT) AJD]]+TABL123[[#This Row],[(A/S TOT)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91">
        <f>TABL123[[#This Row],[( S/S+T/B) AJD]]-(TABL123[[#This Row],[(A/B + A/S) AJD]]+(TABL123[[#This Row],[(STORGE DIFF.) AJD]]*1000)+TABL123[[#This Row],[البخر  AJD]])</f>
        <v>18705</v>
      </c>
      <c r="AE209" s="75">
        <v>50</v>
      </c>
      <c r="AF209" s="75">
        <v>59.13</v>
      </c>
      <c r="AG209" s="75">
        <v>1709548</v>
      </c>
      <c r="AH209" s="43">
        <v>2999</v>
      </c>
      <c r="AI209" s="43">
        <v>2999</v>
      </c>
      <c r="AJ209" s="86">
        <f>TABL123[[#This Row],[(A/B TOT) AJD]]-TABL123[[#This Row],[BER_ IN]]</f>
        <v>448</v>
      </c>
      <c r="AK209" s="75">
        <v>0</v>
      </c>
      <c r="AL209" s="96">
        <v>41.380200000000002</v>
      </c>
      <c r="AM209" s="96">
        <v>2241950</v>
      </c>
      <c r="AN209" s="96">
        <f>TABL123[[#This Row],[ (RESV. STORGE) SER]]/10</f>
        <v>224195</v>
      </c>
      <c r="AO209" s="43">
        <v>1940</v>
      </c>
      <c r="AP209" s="32">
        <f>TABL123[[#This Row],[(A/S TOT) AJD]]-TABL123[[#This Row],[SER_ 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Row],[خط (T/B  TOT) SAR]]+TABL123[[#This Row],[خط (S/S  TOT) SAR2]]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Row],[خط (S/S  TOT) SAR2]]-TABL123[[#This Row],[(S/S TOT) AJD]]</f>
        <v>148</v>
      </c>
      <c r="Q210" s="40">
        <v>384</v>
      </c>
      <c r="R210" s="12">
        <f>TABL123[[#This Row],[خط (T/B  TOT) SAR]]-TABL123[[#This Row],[(T/B TOT) AJD]]</f>
        <v>134</v>
      </c>
      <c r="S210" s="12">
        <f>TABL123[[#This Row],[الفرق بين بداية ونهاية خط  T/B]]+TABL123[[#This Row],[الفرق بين بداية ونهاية خط  S/S]]</f>
        <v>282</v>
      </c>
      <c r="T210" s="12">
        <f>TABL123[[#This Row],[(S/S TOT) AJD]]+TABL123[[#This Row],[(T/B TOT) AJD]]</f>
        <v>742</v>
      </c>
      <c r="U210" s="44">
        <v>529</v>
      </c>
      <c r="V210" s="44">
        <v>172</v>
      </c>
      <c r="W210" s="12">
        <f>TABL123[[#This Row],[(A/B TOT) AJD]]+TABL123[[#This Row],[(A/S TOT)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91">
        <f>TABL123[[#This Row],[( S/S+T/B) AJD]]-(TABL123[[#This Row],[(A/B + A/S) AJD]]+(TABL123[[#This Row],[(STORGE DIFF.) AJD]]*1000)+TABL123[[#This Row],[البخر  AJD]])</f>
        <v>-11917</v>
      </c>
      <c r="AE210" s="75">
        <v>50</v>
      </c>
      <c r="AF210" s="75">
        <v>59.11</v>
      </c>
      <c r="AG210" s="75">
        <v>1696324</v>
      </c>
      <c r="AH210" s="45">
        <v>2999</v>
      </c>
      <c r="AI210" s="45">
        <v>2999</v>
      </c>
      <c r="AJ210" s="86">
        <f>TABL123[[#This Row],[(A/B TOT) AJD]]-TABL123[[#This Row],[BER_ IN]]</f>
        <v>479</v>
      </c>
      <c r="AK210" s="75">
        <v>0</v>
      </c>
      <c r="AL210" s="96">
        <v>41.343600000000002</v>
      </c>
      <c r="AM210" s="96">
        <v>2222630</v>
      </c>
      <c r="AN210" s="96">
        <f>TABL123[[#This Row],[ (RESV. STORGE) SER]]/10</f>
        <v>222263</v>
      </c>
      <c r="AO210" s="45">
        <v>1920</v>
      </c>
      <c r="AP210" s="32">
        <f>TABL123[[#This Row],[(A/S TOT) AJD]]-TABL123[[#This Row],[SER_ 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Row],[خط (T/B  TOT) SAR]]+TABL123[[#This Row],[خط (S/S  TOT) SAR2]]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Row],[خط (S/S  TOT) SAR2]]-TABL123[[#This Row],[(S/S TOT) AJD]]</f>
        <v>111</v>
      </c>
      <c r="Q211" s="39">
        <v>450</v>
      </c>
      <c r="R211" s="12">
        <f>TABL123[[#This Row],[خط (T/B  TOT) SAR]]-TABL123[[#This Row],[(T/B TOT) AJD]]</f>
        <v>104</v>
      </c>
      <c r="S211" s="12">
        <f>TABL123[[#This Row],[الفرق بين بداية ونهاية خط  T/B]]+TABL123[[#This Row],[الفرق بين بداية ونهاية خط  S/S]]</f>
        <v>215</v>
      </c>
      <c r="T211" s="12">
        <f>TABL123[[#This Row],[(S/S TOT) AJD]]+TABL123[[#This Row],[(T/B TOT) AJD]]</f>
        <v>873</v>
      </c>
      <c r="U211" s="41">
        <v>554</v>
      </c>
      <c r="V211" s="41">
        <v>191</v>
      </c>
      <c r="W211" s="12">
        <f>TABL123[[#This Row],[(A/B TOT) AJD]]+TABL123[[#This Row],[(A/S TOT)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91">
        <f>TABL123[[#This Row],[( S/S+T/B) AJD]]-(TABL123[[#This Row],[(A/B + A/S) AJD]]+(TABL123[[#This Row],[(STORGE DIFF.) AJD]]*1000)+TABL123[[#This Row],[البخر  AJD]])</f>
        <v>-117371</v>
      </c>
      <c r="AE211" s="75">
        <v>49</v>
      </c>
      <c r="AF211" s="75">
        <v>59.11</v>
      </c>
      <c r="AG211" s="75">
        <v>1696324</v>
      </c>
      <c r="AH211" s="43">
        <v>3000</v>
      </c>
      <c r="AI211" s="43">
        <v>3000</v>
      </c>
      <c r="AJ211" s="86">
        <f>TABL123[[#This Row],[(A/B TOT) AJD]]-TABL123[[#This Row],[BER_ IN]]</f>
        <v>505</v>
      </c>
      <c r="AK211" s="75">
        <v>15</v>
      </c>
      <c r="AL211" s="96">
        <v>41.328699999999998</v>
      </c>
      <c r="AM211" s="96">
        <v>2214800</v>
      </c>
      <c r="AN211" s="96">
        <f>TABL123[[#This Row],[ (RESV. STORGE) SER]]/10</f>
        <v>221480</v>
      </c>
      <c r="AO211" s="43">
        <v>1930</v>
      </c>
      <c r="AP211" s="32">
        <f>TABL123[[#This Row],[(A/S TOT) AJD]]-TABL123[[#This Row],[SER_ 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Row],[خط (T/B  TOT) SAR]]+TABL123[[#This Row],[خط (S/S  TOT) SAR2]]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Row],[خط (S/S  TOT) SAR2]]-TABL123[[#This Row],[(S/S TOT) AJD]]</f>
        <v>58</v>
      </c>
      <c r="Q212" s="40">
        <v>449</v>
      </c>
      <c r="R212" s="12">
        <f>TABL123[[#This Row],[خط (T/B  TOT) SAR]]-TABL123[[#This Row],[(T/B TOT) AJD]]</f>
        <v>33</v>
      </c>
      <c r="S212" s="12">
        <f>TABL123[[#This Row],[الفرق بين بداية ونهاية خط  T/B]]+TABL123[[#This Row],[الفرق بين بداية ونهاية خط  S/S]]</f>
        <v>91</v>
      </c>
      <c r="T212" s="12">
        <f>TABL123[[#This Row],[(S/S TOT) AJD]]+TABL123[[#This Row],[(T/B TOT) AJD]]</f>
        <v>862</v>
      </c>
      <c r="U212" s="44">
        <v>518</v>
      </c>
      <c r="V212" s="44">
        <v>223</v>
      </c>
      <c r="W212" s="12">
        <f>TABL123[[#This Row],[(A/B TOT) AJD]]+TABL123[[#This Row],[(A/S TOT)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91">
        <f>TABL123[[#This Row],[( S/S+T/B) AJD]]-(TABL123[[#This Row],[(A/B + A/S) AJD]]+(TABL123[[#This Row],[(STORGE DIFF.) AJD]]*1000)+TABL123[[#This Row],[البخر  AJD]])</f>
        <v>-87390</v>
      </c>
      <c r="AE212" s="75">
        <v>66</v>
      </c>
      <c r="AF212" s="75">
        <v>59.12</v>
      </c>
      <c r="AG212" s="75">
        <v>1702936</v>
      </c>
      <c r="AH212" s="45">
        <v>2814</v>
      </c>
      <c r="AI212" s="45">
        <v>2814</v>
      </c>
      <c r="AJ212" s="86">
        <f>TABL123[[#This Row],[(A/B TOT) AJD]]-TABL123[[#This Row],[BER_ IN]]</f>
        <v>452</v>
      </c>
      <c r="AK212" s="75">
        <v>20</v>
      </c>
      <c r="AL212" s="96">
        <v>41.328600000000002</v>
      </c>
      <c r="AM212" s="96">
        <v>2213500</v>
      </c>
      <c r="AN212" s="96">
        <f>TABL123[[#This Row],[ (RESV. STORGE) SER]]/10</f>
        <v>221350</v>
      </c>
      <c r="AO212" s="45">
        <v>1900</v>
      </c>
      <c r="AP212" s="32">
        <f>TABL123[[#This Row],[(A/S TOT) AJD]]-TABL123[[#This Row],[SER_ 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Row],[خط (T/B  TOT) SAR]]+TABL123[[#This Row],[خط (S/S  TOT) SAR2]]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Row],[خط (S/S  TOT) SAR2]]-TABL123[[#This Row],[(S/S TOT) AJD]]</f>
        <v>57</v>
      </c>
      <c r="Q213" s="39">
        <v>389</v>
      </c>
      <c r="R213" s="12">
        <f>TABL123[[#This Row],[خط (T/B  TOT) SAR]]-TABL123[[#This Row],[(T/B TOT) AJD]]</f>
        <v>101</v>
      </c>
      <c r="S213" s="12">
        <f>TABL123[[#This Row],[الفرق بين بداية ونهاية خط  T/B]]+TABL123[[#This Row],[الفرق بين بداية ونهاية خط  S/S]]</f>
        <v>158</v>
      </c>
      <c r="T213" s="12">
        <f>TABL123[[#This Row],[(S/S TOT) AJD]]+TABL123[[#This Row],[(T/B TOT) AJD]]</f>
        <v>809</v>
      </c>
      <c r="U213" s="41">
        <v>562</v>
      </c>
      <c r="V213" s="41">
        <v>192</v>
      </c>
      <c r="W213" s="12">
        <f>TABL123[[#This Row],[(A/B TOT) AJD]]+TABL123[[#This Row],[(A/S TOT)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91">
        <f>TABL123[[#This Row],[( S/S+T/B) AJD]]-(TABL123[[#This Row],[(A/B + A/S) AJD]]+(TABL123[[#This Row],[(STORGE DIFF.) AJD]]*1000)+TABL123[[#This Row],[البخر  AJD]])</f>
        <v>57576</v>
      </c>
      <c r="AE213" s="75">
        <v>68</v>
      </c>
      <c r="AF213" s="75">
        <v>59.14</v>
      </c>
      <c r="AG213" s="75">
        <v>1716162</v>
      </c>
      <c r="AH213" s="43">
        <v>3157</v>
      </c>
      <c r="AI213" s="43">
        <v>3157</v>
      </c>
      <c r="AJ213" s="86">
        <f>TABL123[[#This Row],[(A/B TOT) AJD]]-TABL123[[#This Row],[BER_ IN]]</f>
        <v>494</v>
      </c>
      <c r="AK213" s="75">
        <v>22</v>
      </c>
      <c r="AL213" s="96">
        <v>41.319699999999997</v>
      </c>
      <c r="AM213" s="96">
        <v>2210030</v>
      </c>
      <c r="AN213" s="96">
        <f>TABL123[[#This Row],[ (RESV. STORGE) SER]]/10</f>
        <v>221003</v>
      </c>
      <c r="AO213" s="43">
        <v>1970</v>
      </c>
      <c r="AP213" s="32">
        <f>TABL123[[#This Row],[(A/S TOT) AJD]]-TABL123[[#This Row],[SER_ 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Row],[خط (T/B  TOT) SAR]]+TABL123[[#This Row],[خط (S/S  TOT) SAR2]]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Row],[خط (S/S  TOT) SAR2]]-TABL123[[#This Row],[(S/S TOT) AJD]]</f>
        <v>-75</v>
      </c>
      <c r="Q214" s="39">
        <v>429</v>
      </c>
      <c r="R214" s="3">
        <f>TABL123[[#This Row],[خط (T/B  TOT) SAR]]-TABL123[[#This Row],[(T/B TOT) AJD]]</f>
        <v>-82</v>
      </c>
      <c r="S214" s="3">
        <f>TABL123[[#This Row],[الفرق بين بداية ونهاية خط  T/B]]+TABL123[[#This Row],[الفرق بين بداية ونهاية خط  S/S]]</f>
        <v>-157</v>
      </c>
      <c r="T214" s="3">
        <f>TABL123[[#This Row],[(S/S TOT) AJD]]+TABL123[[#This Row],[(T/B TOT) AJD]]</f>
        <v>830</v>
      </c>
      <c r="U214" s="41">
        <v>494</v>
      </c>
      <c r="V214" s="41">
        <v>224</v>
      </c>
      <c r="W214" s="3">
        <f>TABL123[[#This Row],[(A/B TOT) AJD]]+TABL123[[#This Row],[(A/S TOT)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91">
        <f>TABL123[[#This Row],[( S/S+T/B) AJD]]-(TABL123[[#This Row],[(A/B + A/S) AJD]]+(TABL123[[#This Row],[(STORGE DIFF.) AJD]]*1000)+TABL123[[#This Row],[البخر  AJD]])</f>
        <v>-87787</v>
      </c>
      <c r="AE214" s="75">
        <v>67</v>
      </c>
      <c r="AF214" s="75">
        <v>59.21</v>
      </c>
      <c r="AG214" s="75">
        <v>1762482</v>
      </c>
      <c r="AH214" s="43">
        <v>3175</v>
      </c>
      <c r="AI214" s="43">
        <v>3175</v>
      </c>
      <c r="AJ214" s="86">
        <f>TABL123[[#This Row],[(A/B TOT) AJD]]-TABL123[[#This Row],[BER_ IN]]</f>
        <v>427</v>
      </c>
      <c r="AK214" s="75">
        <v>23</v>
      </c>
      <c r="AL214" s="96">
        <v>41.328699999999998</v>
      </c>
      <c r="AM214" s="96">
        <v>2214800</v>
      </c>
      <c r="AN214" s="96">
        <f>TABL123[[#This Row],[ (RESV. STORGE) SER]]/10</f>
        <v>221480</v>
      </c>
      <c r="AO214" s="43">
        <v>1960</v>
      </c>
      <c r="AP214" s="32">
        <f>TABL123[[#This Row],[(A/S TOT) AJD]]-TABL123[[#This Row],[SER_ 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Row],[خط (T/B  TOT) SAR]]+TABL123[[#This Row],[خط (S/S  TOT) SAR2]]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Row],[خط (S/S  TOT) SAR2]]-TABL123[[#This Row],[(S/S TOT) AJD]]</f>
        <v>68</v>
      </c>
      <c r="Q215" s="40">
        <v>397</v>
      </c>
      <c r="R215" s="3">
        <f>TABL123[[#This Row],[خط (T/B  TOT) SAR]]-TABL123[[#This Row],[(T/B TOT) AJD]]</f>
        <v>48</v>
      </c>
      <c r="S215" s="3">
        <f>TABL123[[#This Row],[الفرق بين بداية ونهاية خط  T/B]]+TABL123[[#This Row],[الفرق بين بداية ونهاية خط  S/S]]</f>
        <v>116</v>
      </c>
      <c r="T215" s="3">
        <f>TABL123[[#This Row],[(S/S TOT) AJD]]+TABL123[[#This Row],[(T/B TOT) AJD]]</f>
        <v>758</v>
      </c>
      <c r="U215" s="44">
        <v>526</v>
      </c>
      <c r="V215" s="44">
        <v>189</v>
      </c>
      <c r="W215" s="3">
        <f>TABL123[[#This Row],[(A/B TOT) AJD]]+TABL123[[#This Row],[(A/S TOT)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91">
        <f>TABL123[[#This Row],[( S/S+T/B) AJD]]-(TABL123[[#This Row],[(A/B + A/S) AJD]]+(TABL123[[#This Row],[(STORGE DIFF.) AJD]]*1000)+TABL123[[#This Row],[البخر  AJD]])</f>
        <v>-2966</v>
      </c>
      <c r="AE215" s="75">
        <v>50</v>
      </c>
      <c r="AF215" s="75">
        <v>59.12</v>
      </c>
      <c r="AG215" s="75">
        <v>1702936</v>
      </c>
      <c r="AH215" s="45">
        <v>3422</v>
      </c>
      <c r="AI215" s="45">
        <v>3422</v>
      </c>
      <c r="AJ215" s="86">
        <f>TABL123[[#This Row],[(A/B TOT) AJD]]-TABL123[[#This Row],[BER_ IN]]</f>
        <v>476</v>
      </c>
      <c r="AK215" s="75">
        <v>21</v>
      </c>
      <c r="AL215" s="96">
        <v>41.271799999999999</v>
      </c>
      <c r="AM215" s="96">
        <v>2184700</v>
      </c>
      <c r="AN215" s="96">
        <f>TABL123[[#This Row],[ (RESV. STORGE) SER]]/10</f>
        <v>218470</v>
      </c>
      <c r="AO215" s="45">
        <v>1975</v>
      </c>
      <c r="AP215" s="32">
        <f>TABL123[[#This Row],[(A/S TOT) AJD]]-TABL123[[#This Row],[SER_ 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Row],[خط (T/B  TOT) SAR]]+TABL123[[#This Row],[خط (S/S  TOT) SAR2]]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Row],[خط (S/S  TOT) SAR2]]-TABL123[[#This Row],[(S/S TOT) AJD]]</f>
        <v>99</v>
      </c>
      <c r="Q216" s="39">
        <v>390</v>
      </c>
      <c r="R216" s="3">
        <f>TABL123[[#This Row],[خط (T/B  TOT) SAR]]-TABL123[[#This Row],[(T/B TOT) AJD]]</f>
        <v>82</v>
      </c>
      <c r="S216" s="3">
        <f>TABL123[[#This Row],[الفرق بين بداية ونهاية خط  T/B]]+TABL123[[#This Row],[الفرق بين بداية ونهاية خط  S/S]]</f>
        <v>181</v>
      </c>
      <c r="T216" s="3">
        <f>TABL123[[#This Row],[(S/S TOT) AJD]]+TABL123[[#This Row],[(T/B TOT) AJD]]</f>
        <v>751</v>
      </c>
      <c r="U216" s="41">
        <v>557</v>
      </c>
      <c r="V216" s="41">
        <v>210</v>
      </c>
      <c r="W216" s="3">
        <f>TABL123[[#This Row],[(A/B TOT) AJD]]+TABL123[[#This Row],[(A/S TOT)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91">
        <f>TABL123[[#This Row],[( S/S+T/B) AJD]]-(TABL123[[#This Row],[(A/B + A/S) AJD]]+(TABL123[[#This Row],[(STORGE DIFF.) AJD]]*1000)+TABL123[[#This Row],[البخر  AJD]])</f>
        <v>49254</v>
      </c>
      <c r="AE216" s="75">
        <v>63</v>
      </c>
      <c r="AF216" s="75">
        <v>59.1</v>
      </c>
      <c r="AG216" s="75">
        <v>1689713</v>
      </c>
      <c r="AH216" s="43">
        <v>3161</v>
      </c>
      <c r="AI216" s="43">
        <v>3161</v>
      </c>
      <c r="AJ216" s="86">
        <f>TABL123[[#This Row],[(A/B TOT) AJD]]-TABL123[[#This Row],[BER_ IN]]</f>
        <v>494</v>
      </c>
      <c r="AK216" s="75">
        <v>41</v>
      </c>
      <c r="AL216" s="96">
        <v>41.247999999999998</v>
      </c>
      <c r="AM216" s="96">
        <v>2171750</v>
      </c>
      <c r="AN216" s="96">
        <f>TABL123[[#This Row],[ (RESV. STORGE) SER]]/10</f>
        <v>217175</v>
      </c>
      <c r="AO216" s="43">
        <v>1980</v>
      </c>
      <c r="AP216" s="32">
        <f>TABL123[[#This Row],[(A/S TOT) AJD]]-TABL123[[#This Row],[SER_ 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Row],[خط (T/B  TOT) SAR]]+TABL123[[#This Row],[خط (S/S  TOT) SAR2]]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Row],[خط (S/S  TOT) SAR2]]-TABL123[[#This Row],[(S/S TOT) AJD]]</f>
        <v>113</v>
      </c>
      <c r="Q217" s="40">
        <v>414</v>
      </c>
      <c r="R217" s="3">
        <f>TABL123[[#This Row],[خط (T/B  TOT) SAR]]-TABL123[[#This Row],[(T/B TOT) AJD]]</f>
        <v>101</v>
      </c>
      <c r="S217" s="3">
        <f>TABL123[[#This Row],[الفرق بين بداية ونهاية خط  T/B]]+TABL123[[#This Row],[الفرق بين بداية ونهاية خط  S/S]]</f>
        <v>214</v>
      </c>
      <c r="T217" s="3">
        <f>TABL123[[#This Row],[(S/S TOT) AJD]]+TABL123[[#This Row],[(T/B TOT) AJD]]</f>
        <v>800</v>
      </c>
      <c r="U217" s="44">
        <v>572</v>
      </c>
      <c r="V217" s="44">
        <v>221</v>
      </c>
      <c r="W217" s="3">
        <f>TABL123[[#This Row],[(A/B TOT) AJD]]+TABL123[[#This Row],[(A/S TOT)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91">
        <f>TABL123[[#This Row],[( S/S+T/B) AJD]]-(TABL123[[#This Row],[(A/B + A/S) AJD]]+(TABL123[[#This Row],[(STORGE DIFF.) AJD]]*1000)+TABL123[[#This Row],[البخر  AJD]])</f>
        <v>23390</v>
      </c>
      <c r="AE217" s="75">
        <v>70</v>
      </c>
      <c r="AF217" s="75">
        <v>59.09</v>
      </c>
      <c r="AG217" s="75">
        <v>1683102</v>
      </c>
      <c r="AH217" s="45">
        <v>3232</v>
      </c>
      <c r="AI217" s="45">
        <v>3232</v>
      </c>
      <c r="AJ217" s="86">
        <f>TABL123[[#This Row],[(A/B TOT) AJD]]-TABL123[[#This Row],[BER_ IN]]</f>
        <v>502</v>
      </c>
      <c r="AK217" s="75">
        <v>45</v>
      </c>
      <c r="AL217" s="96">
        <v>41.244999999999997</v>
      </c>
      <c r="AM217" s="96">
        <v>2170460</v>
      </c>
      <c r="AN217" s="96">
        <f>TABL123[[#This Row],[ (RESV. STORGE) SER]]/10</f>
        <v>217046</v>
      </c>
      <c r="AO217" s="45">
        <v>1985</v>
      </c>
      <c r="AP217" s="32">
        <f>TABL123[[#This Row],[(A/S TOT) AJD]]-TABL123[[#This Row],[SER_ 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Row],[خط (T/B  TOT) SAR]]+TABL123[[#This Row],[خط (S/S  TOT) SAR2]]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Row],[خط (S/S  TOT) SAR2]]-TABL123[[#This Row],[(S/S TOT) AJD]]</f>
        <v>55</v>
      </c>
      <c r="Q218" s="39">
        <v>426</v>
      </c>
      <c r="R218" s="3">
        <f>TABL123[[#This Row],[خط (T/B  TOT) SAR]]-TABL123[[#This Row],[(T/B TOT) AJD]]</f>
        <v>99</v>
      </c>
      <c r="S218" s="3">
        <f>TABL123[[#This Row],[الفرق بين بداية ونهاية خط  T/B]]+TABL123[[#This Row],[الفرق بين بداية ونهاية خط  S/S]]</f>
        <v>154</v>
      </c>
      <c r="T218" s="3">
        <f>TABL123[[#This Row],[(S/S TOT) AJD]]+TABL123[[#This Row],[(T/B TOT) AJD]]</f>
        <v>881</v>
      </c>
      <c r="U218" s="41">
        <v>570</v>
      </c>
      <c r="V218" s="41">
        <v>231</v>
      </c>
      <c r="W218" s="3">
        <f>TABL123[[#This Row],[(A/B TOT) AJD]]+TABL123[[#This Row],[(A/S TOT)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91">
        <f>TABL123[[#This Row],[( S/S+T/B) AJD]]-(TABL123[[#This Row],[(A/B + A/S) AJD]]+(TABL123[[#This Row],[(STORGE DIFF.) AJD]]*1000)+TABL123[[#This Row],[البخر  AJD]])</f>
        <v>-43411</v>
      </c>
      <c r="AE218" s="75">
        <v>83</v>
      </c>
      <c r="AF218" s="75">
        <v>59.064999999999998</v>
      </c>
      <c r="AG218" s="75">
        <v>1666581</v>
      </c>
      <c r="AH218" s="43">
        <v>3320</v>
      </c>
      <c r="AI218" s="43">
        <v>3320</v>
      </c>
      <c r="AJ218" s="86">
        <f>TABL123[[#This Row],[(A/B TOT) AJD]]-TABL123[[#This Row],[BER_ IN]]</f>
        <v>487</v>
      </c>
      <c r="AK218" s="75">
        <v>50</v>
      </c>
      <c r="AL218" s="96">
        <v>41.2986</v>
      </c>
      <c r="AM218" s="96">
        <v>2198960</v>
      </c>
      <c r="AN218" s="96">
        <f>TABL123[[#This Row],[ (RESV. STORGE) SER]]/10</f>
        <v>219896</v>
      </c>
      <c r="AO218" s="43">
        <v>1995</v>
      </c>
      <c r="AP218" s="32">
        <f>TABL123[[#This Row],[(A/S TOT) AJD]]-TABL123[[#This Row],[SER_ 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Row],[خط (T/B  TOT) SAR]]+TABL123[[#This Row],[خط (S/S  TOT) SAR2]]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Row],[خط (S/S  TOT) SAR2]]-TABL123[[#This Row],[(S/S TOT) AJD]]</f>
        <v>78</v>
      </c>
      <c r="Q219" s="40">
        <v>467</v>
      </c>
      <c r="R219" s="3">
        <f>TABL123[[#This Row],[خط (T/B  TOT) SAR]]-TABL123[[#This Row],[(T/B TOT) AJD]]</f>
        <v>63</v>
      </c>
      <c r="S219" s="3">
        <f>TABL123[[#This Row],[الفرق بين بداية ونهاية خط  T/B]]+TABL123[[#This Row],[الفرق بين بداية ونهاية خط  S/S]]</f>
        <v>141</v>
      </c>
      <c r="T219" s="3">
        <f>TABL123[[#This Row],[(S/S TOT) AJD]]+TABL123[[#This Row],[(T/B TOT) AJD]]</f>
        <v>904</v>
      </c>
      <c r="U219" s="44">
        <v>558</v>
      </c>
      <c r="V219" s="44">
        <v>249</v>
      </c>
      <c r="W219" s="3">
        <f>TABL123[[#This Row],[(A/B TOT) AJD]]+TABL123[[#This Row],[(A/S TOT)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91">
        <f>TABL123[[#This Row],[( S/S+T/B) AJD]]-(TABL123[[#This Row],[(A/B + A/S) AJD]]+(TABL123[[#This Row],[(STORGE DIFF.) AJD]]*1000)+TABL123[[#This Row],[البخر  AJD]])</f>
        <v>-66608</v>
      </c>
      <c r="AE219" s="75">
        <v>87</v>
      </c>
      <c r="AF219" s="75">
        <v>59.05</v>
      </c>
      <c r="AG219" s="75">
        <v>1702936</v>
      </c>
      <c r="AH219" s="45">
        <v>3320</v>
      </c>
      <c r="AI219" s="45">
        <v>3320</v>
      </c>
      <c r="AJ219" s="86">
        <f>TABL123[[#This Row],[(A/B TOT) AJD]]-TABL123[[#This Row],[BER_ IN]]</f>
        <v>471</v>
      </c>
      <c r="AK219" s="75">
        <v>58</v>
      </c>
      <c r="AL219" s="96">
        <v>41.331000000000003</v>
      </c>
      <c r="AM219" s="96">
        <v>2215980</v>
      </c>
      <c r="AN219" s="96">
        <f>TABL123[[#This Row],[ (RESV. STORGE) SER]]/10</f>
        <v>221598</v>
      </c>
      <c r="AO219" s="45">
        <v>2035</v>
      </c>
      <c r="AP219" s="32">
        <f>TABL123[[#This Row],[(A/S TOT) AJD]]-TABL123[[#This Row],[SER_ 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Row],[خط (T/B  TOT) SAR]]+TABL123[[#This Row],[خط (S/S  TOT) SAR2]]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Row],[خط (S/S  TOT) SAR2]]-TABL123[[#This Row],[(S/S TOT) AJD]]</f>
        <v>82</v>
      </c>
      <c r="Q220" s="39">
        <v>471</v>
      </c>
      <c r="R220" s="3">
        <f>TABL123[[#This Row],[خط (T/B  TOT) SAR]]-TABL123[[#This Row],[(T/B TOT) AJD]]</f>
        <v>64</v>
      </c>
      <c r="S220" s="3">
        <f>TABL123[[#This Row],[الفرق بين بداية ونهاية خط  T/B]]+TABL123[[#This Row],[الفرق بين بداية ونهاية خط  S/S]]</f>
        <v>146</v>
      </c>
      <c r="T220" s="3">
        <f>TABL123[[#This Row],[(S/S TOT) AJD]]+TABL123[[#This Row],[(T/B TOT) AJD]]</f>
        <v>909</v>
      </c>
      <c r="U220" s="41">
        <v>551</v>
      </c>
      <c r="V220" s="41">
        <v>295</v>
      </c>
      <c r="W220" s="3">
        <f>TABL123[[#This Row],[(A/B TOT) AJD]]+TABL123[[#This Row],[(A/S TOT)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91">
        <f>TABL123[[#This Row],[( S/S+T/B) AJD]]-(TABL123[[#This Row],[(A/B + A/S) AJD]]+(TABL123[[#This Row],[(STORGE DIFF.) AJD]]*1000)+TABL123[[#This Row],[البخر  AJD]])</f>
        <v>-31633</v>
      </c>
      <c r="AE220" s="75">
        <v>96</v>
      </c>
      <c r="AF220" s="75">
        <v>59.12</v>
      </c>
      <c r="AG220" s="75">
        <v>1702936</v>
      </c>
      <c r="AH220" s="43">
        <v>3121</v>
      </c>
      <c r="AI220" s="43">
        <v>3121</v>
      </c>
      <c r="AJ220" s="86">
        <f>TABL123[[#This Row],[(A/B TOT) AJD]]-TABL123[[#This Row],[BER_ IN]]</f>
        <v>455</v>
      </c>
      <c r="AK220" s="75">
        <v>80</v>
      </c>
      <c r="AL220" s="96">
        <v>41.331000000000003</v>
      </c>
      <c r="AM220" s="96">
        <v>2280368</v>
      </c>
      <c r="AN220" s="96">
        <f>TABL123[[#This Row],[ (RESV. STORGE) SER]]/10</f>
        <v>228036.8</v>
      </c>
      <c r="AO220" s="43">
        <v>1910</v>
      </c>
      <c r="AP220" s="32">
        <f>TABL123[[#This Row],[(A/S TOT) AJD]]-TABL123[[#This Row],[SER_ 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Row],[خط (T/B  TOT) SAR]]+TABL123[[#This Row],[خط (S/S  TOT) SAR2]]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Row],[خط (S/S  TOT) SAR2]]-TABL123[[#This Row],[(S/S TOT) AJD]]</f>
        <v>75</v>
      </c>
      <c r="Q221" s="40">
        <v>478</v>
      </c>
      <c r="R221" s="3">
        <f>TABL123[[#This Row],[خط (T/B  TOT) SAR]]-TABL123[[#This Row],[(T/B TOT) AJD]]</f>
        <v>59</v>
      </c>
      <c r="S221" s="3">
        <f>TABL123[[#This Row],[الفرق بين بداية ونهاية خط  T/B]]+TABL123[[#This Row],[الفرق بين بداية ونهاية خط  S/S]]</f>
        <v>134</v>
      </c>
      <c r="T221" s="3">
        <f>TABL123[[#This Row],[(S/S TOT) AJD]]+TABL123[[#This Row],[(T/B TOT) AJD]]</f>
        <v>925</v>
      </c>
      <c r="U221" s="44">
        <v>546</v>
      </c>
      <c r="V221" s="44">
        <v>304</v>
      </c>
      <c r="W221" s="3">
        <f>TABL123[[#This Row],[(A/B TOT) AJD]]+TABL123[[#This Row],[(A/S TOT)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91">
        <f>TABL123[[#This Row],[( S/S+T/B) AJD]]-(TABL123[[#This Row],[(A/B + A/S) AJD]]+(TABL123[[#This Row],[(STORGE DIFF.) AJD]]*1000)+TABL123[[#This Row],[البخر  AJD]])</f>
        <v>-29754</v>
      </c>
      <c r="AE221" s="75">
        <v>116</v>
      </c>
      <c r="AF221" s="75">
        <v>59.2</v>
      </c>
      <c r="AG221" s="75">
        <v>1755863</v>
      </c>
      <c r="AH221" s="45">
        <v>3007</v>
      </c>
      <c r="AI221" s="45">
        <v>3007</v>
      </c>
      <c r="AJ221" s="86">
        <f>TABL123[[#This Row],[(A/B TOT) AJD]]-TABL123[[#This Row],[BER_ IN]]</f>
        <v>430</v>
      </c>
      <c r="AK221" s="75">
        <v>87</v>
      </c>
      <c r="AL221" s="96">
        <v>41.453600000000002</v>
      </c>
      <c r="AM221" s="96">
        <v>2343099</v>
      </c>
      <c r="AN221" s="96">
        <f>TABL123[[#This Row],[ (RESV. STORGE) SER]]/10</f>
        <v>234309.9</v>
      </c>
      <c r="AO221" s="45">
        <v>1985</v>
      </c>
      <c r="AP221" s="32">
        <f>TABL123[[#This Row],[(A/S TOT) AJD]]-TABL123[[#This Row],[SER_ 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Row],[خط (T/B  TOT) SAR]]+TABL123[[#This Row],[خط (S/S  TOT) SAR2]]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Row],[خط (S/S  TOT) SAR2]]-TABL123[[#This Row],[(S/S TOT) AJD]]</f>
        <v>78</v>
      </c>
      <c r="Q222" s="39">
        <v>479</v>
      </c>
      <c r="R222" s="3">
        <f>TABL123[[#This Row],[خط (T/B  TOT) SAR]]-TABL123[[#This Row],[(T/B TOT) AJD]]</f>
        <v>58</v>
      </c>
      <c r="S222" s="3">
        <f>TABL123[[#This Row],[الفرق بين بداية ونهاية خط  T/B]]+TABL123[[#This Row],[الفرق بين بداية ونهاية خط  S/S]]</f>
        <v>136</v>
      </c>
      <c r="T222" s="3">
        <f>TABL123[[#This Row],[(S/S TOT) AJD]]+TABL123[[#This Row],[(T/B TOT) AJD]]</f>
        <v>924</v>
      </c>
      <c r="U222" s="41">
        <v>524</v>
      </c>
      <c r="V222" s="41">
        <v>302</v>
      </c>
      <c r="W222" s="3">
        <f>TABL123[[#This Row],[(A/B TOT) AJD]]+TABL123[[#This Row],[(A/S TOT)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91">
        <f>TABL123[[#This Row],[( S/S+T/B) AJD]]-(TABL123[[#This Row],[(A/B + A/S) AJD]]+(TABL123[[#This Row],[(STORGE DIFF.) AJD]]*1000)+TABL123[[#This Row],[البخر  AJD]])</f>
        <v>-55211</v>
      </c>
      <c r="AE222" s="75">
        <v>129</v>
      </c>
      <c r="AF222" s="75">
        <v>59.284999999999997</v>
      </c>
      <c r="AG222" s="75">
        <v>1812158</v>
      </c>
      <c r="AH222" s="43">
        <v>2984</v>
      </c>
      <c r="AI222" s="43">
        <v>2984</v>
      </c>
      <c r="AJ222" s="86">
        <f>TABL123[[#This Row],[(A/B TOT) AJD]]-TABL123[[#This Row],[BER_ IN]]</f>
        <v>395</v>
      </c>
      <c r="AK222" s="75">
        <v>93</v>
      </c>
      <c r="AL222" s="96">
        <v>41.688200000000002</v>
      </c>
      <c r="AM222" s="96">
        <v>2404913</v>
      </c>
      <c r="AN222" s="96">
        <f>TABL123[[#This Row],[ (RESV. STORGE) SER]]/10</f>
        <v>240491.3</v>
      </c>
      <c r="AO222" s="43">
        <v>2012</v>
      </c>
      <c r="AP222" s="32">
        <f>TABL123[[#This Row],[(A/S TOT) AJD]]-TABL123[[#This Row],[SER_ 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Row],[خط (T/B  TOT) SAR]]+TABL123[[#This Row],[خط (S/S  TOT) SAR2]]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Row],[خط (S/S  TOT) SAR2]]-TABL123[[#This Row],[(S/S TOT) AJD]]</f>
        <v>80</v>
      </c>
      <c r="Q223" s="40">
        <v>478</v>
      </c>
      <c r="R223" s="3">
        <f>TABL123[[#This Row],[خط (T/B  TOT) SAR]]-TABL123[[#This Row],[(T/B TOT) AJD]]</f>
        <v>59</v>
      </c>
      <c r="S223" s="3">
        <f>TABL123[[#This Row],[الفرق بين بداية ونهاية خط  T/B]]+TABL123[[#This Row],[الفرق بين بداية ونهاية خط  S/S]]</f>
        <v>139</v>
      </c>
      <c r="T223" s="3">
        <f>TABL123[[#This Row],[(S/S TOT) AJD]]+TABL123[[#This Row],[(T/B TOT) AJD]]</f>
        <v>920</v>
      </c>
      <c r="U223" s="44">
        <v>528</v>
      </c>
      <c r="V223" s="44">
        <v>324</v>
      </c>
      <c r="W223" s="3">
        <f>TABL123[[#This Row],[(A/B TOT) AJD]]+TABL123[[#This Row],[(A/S TOT)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91">
        <f>TABL123[[#This Row],[( S/S+T/B) AJD]]-(TABL123[[#This Row],[(A/B + A/S) AJD]]+(TABL123[[#This Row],[(STORGE DIFF.) AJD]]*1000)+TABL123[[#This Row],[البخر  AJD]])</f>
        <v>-25606</v>
      </c>
      <c r="AE223" s="75">
        <v>145</v>
      </c>
      <c r="AF223" s="75">
        <v>59.363999999999997</v>
      </c>
      <c r="AG223" s="75">
        <v>1864536</v>
      </c>
      <c r="AH223" s="45">
        <v>3039</v>
      </c>
      <c r="AI223" s="45">
        <v>3039</v>
      </c>
      <c r="AJ223" s="86">
        <f>TABL123[[#This Row],[(A/B TOT) AJD]]-TABL123[[#This Row],[BER_ IN]]</f>
        <v>383</v>
      </c>
      <c r="AK223" s="75">
        <v>120</v>
      </c>
      <c r="AL223" s="96">
        <v>41.848799999999997</v>
      </c>
      <c r="AM223" s="96">
        <v>2490499</v>
      </c>
      <c r="AN223" s="96">
        <f>TABL123[[#This Row],[ (RESV. STORGE) SER]]/10</f>
        <v>249049.9</v>
      </c>
      <c r="AO223" s="45">
        <v>2025</v>
      </c>
      <c r="AP223" s="32">
        <f>TABL123[[#This Row],[(A/S TOT) AJD]]-TABL123[[#This Row],[SER_ 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Row],[خط (T/B  TOT) SAR]]+TABL123[[#This Row],[خط (S/S  TOT) SAR2]]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Row],[خط (S/S  TOT) SAR2]]-TABL123[[#This Row],[(S/S TOT) AJD]]</f>
        <v>79</v>
      </c>
      <c r="Q224" s="39">
        <v>479</v>
      </c>
      <c r="R224" s="3">
        <f>TABL123[[#This Row],[خط (T/B  TOT) SAR]]-TABL123[[#This Row],[(T/B TOT) AJD]]</f>
        <v>58</v>
      </c>
      <c r="S224" s="3">
        <f>TABL123[[#This Row],[الفرق بين بداية ونهاية خط  T/B]]+TABL123[[#This Row],[الفرق بين بداية ونهاية خط  S/S]]</f>
        <v>137</v>
      </c>
      <c r="T224" s="3">
        <f>TABL123[[#This Row],[(S/S TOT) AJD]]+TABL123[[#This Row],[(T/B TOT) AJD]]</f>
        <v>922</v>
      </c>
      <c r="U224" s="41">
        <v>558</v>
      </c>
      <c r="V224" s="41">
        <v>348</v>
      </c>
      <c r="W224" s="3">
        <f>TABL123[[#This Row],[(A/B TOT) AJD]]+TABL123[[#This Row],[(A/S TOT)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91">
        <f>TABL123[[#This Row],[( S/S+T/B) AJD]]-(TABL123[[#This Row],[(A/B + A/S) AJD]]+(TABL123[[#This Row],[(STORGE DIFF.) AJD]]*1000)+TABL123[[#This Row],[البخر  AJD]])</f>
        <v>34811</v>
      </c>
      <c r="AE224" s="75">
        <v>149</v>
      </c>
      <c r="AF224" s="75">
        <v>59.475000000000001</v>
      </c>
      <c r="AG224" s="75">
        <v>1938221</v>
      </c>
      <c r="AH224" s="75">
        <v>2902</v>
      </c>
      <c r="AI224" s="75">
        <v>2902</v>
      </c>
      <c r="AJ224" s="86">
        <f>TABL123[[#This Row],[(A/B TOT) AJD]]-TABL123[[#This Row],[BER_ IN]]</f>
        <v>409</v>
      </c>
      <c r="AK224" s="75">
        <v>141</v>
      </c>
      <c r="AL224" s="96">
        <v>42.0854</v>
      </c>
      <c r="AM224" s="96">
        <v>2616840</v>
      </c>
      <c r="AN224" s="96">
        <f>TABL123[[#This Row],[ (RESV. STORGE) SER]]/10</f>
        <v>261684</v>
      </c>
      <c r="AO224" s="43">
        <v>2030</v>
      </c>
      <c r="AP224" s="32">
        <f>TABL123[[#This Row],[(A/S TOT) AJD]]-TABL123[[#This Row],[SER_ 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Row],[خط (T/B  TOT) SAR]]+TABL123[[#This Row],[خط (S/S  TOT) SAR2]]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Row],[خط (S/S  TOT) SAR2]]-TABL123[[#This Row],[(S/S TOT) AJD]]</f>
        <v>78</v>
      </c>
      <c r="Q225" s="40">
        <v>479</v>
      </c>
      <c r="R225" s="3">
        <f>TABL123[[#This Row],[خط (T/B  TOT) SAR]]-TABL123[[#This Row],[(T/B TOT) AJD]]</f>
        <v>58</v>
      </c>
      <c r="S225" s="3">
        <f>TABL123[[#This Row],[الفرق بين بداية ونهاية خط  T/B]]+TABL123[[#This Row],[الفرق بين بداية ونهاية خط  S/S]]</f>
        <v>136</v>
      </c>
      <c r="T225" s="3">
        <f>TABL123[[#This Row],[(S/S TOT) AJD]]+TABL123[[#This Row],[(T/B TOT) AJD]]</f>
        <v>923</v>
      </c>
      <c r="U225" s="44">
        <v>594</v>
      </c>
      <c r="V225" s="44">
        <v>352</v>
      </c>
      <c r="W225" s="3">
        <f>TABL123[[#This Row],[(A/B TOT) AJD]]+TABL123[[#This Row],[(A/S TOT)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91">
        <f>TABL123[[#This Row],[( S/S+T/B) AJD]]-(TABL123[[#This Row],[(A/B + A/S) AJD]]+(TABL123[[#This Row],[(STORGE DIFF.) AJD]]*1000)+TABL123[[#This Row],[البخر  AJD]])</f>
        <v>67201</v>
      </c>
      <c r="AE225" s="75">
        <v>148</v>
      </c>
      <c r="AF225" s="75">
        <v>59.548000000000002</v>
      </c>
      <c r="AG225" s="75">
        <v>1987051</v>
      </c>
      <c r="AH225" s="45">
        <v>3169</v>
      </c>
      <c r="AI225" s="45">
        <v>3169</v>
      </c>
      <c r="AJ225" s="86">
        <f>TABL123[[#This Row],[(A/B TOT) AJD]]-TABL123[[#This Row],[BER_ IN]]</f>
        <v>446</v>
      </c>
      <c r="AK225" s="75">
        <v>153</v>
      </c>
      <c r="AL225" s="96">
        <v>42.323300000000003</v>
      </c>
      <c r="AM225" s="96">
        <v>2743630</v>
      </c>
      <c r="AN225" s="96">
        <f>TABL123[[#This Row],[ (RESV. STORGE) SER]]/10</f>
        <v>274363</v>
      </c>
      <c r="AO225" s="45">
        <v>2035</v>
      </c>
      <c r="AP225" s="32">
        <f>TABL123[[#This Row],[(A/S TOT) AJD]]-TABL123[[#This Row],[SER_ 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Row],[خط (T/B  TOT) SAR]]+TABL123[[#This Row],[خط (S/S  TOT) SAR2]]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Row],[خط (S/S  TOT) SAR2]]-TABL123[[#This Row],[(S/S TOT) AJD]]</f>
        <v>75</v>
      </c>
      <c r="Q226" s="39">
        <v>481</v>
      </c>
      <c r="R226" s="3">
        <f>TABL123[[#This Row],[خط (T/B  TOT) SAR]]-TABL123[[#This Row],[(T/B TOT) AJD]]</f>
        <v>54</v>
      </c>
      <c r="S226" s="3">
        <f>TABL123[[#This Row],[الفرق بين بداية ونهاية خط  T/B]]+TABL123[[#This Row],[الفرق بين بداية ونهاية خط  S/S]]</f>
        <v>129</v>
      </c>
      <c r="T226" s="3">
        <f>TABL123[[#This Row],[(S/S TOT) AJD]]+TABL123[[#This Row],[(T/B TOT) AJD]]</f>
        <v>928</v>
      </c>
      <c r="U226" s="41">
        <v>612</v>
      </c>
      <c r="V226" s="41">
        <v>357</v>
      </c>
      <c r="W226" s="3">
        <f>TABL123[[#This Row],[(A/B TOT) AJD]]+TABL123[[#This Row],[(A/S TOT)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91">
        <f>TABL123[[#This Row],[( S/S+T/B) AJD]]-(TABL123[[#This Row],[(A/B + A/S) AJD]]+(TABL123[[#This Row],[(STORGE DIFF.) AJD]]*1000)+TABL123[[#This Row],[البخر  AJD]])</f>
        <v>79035</v>
      </c>
      <c r="AE226" s="75">
        <v>148</v>
      </c>
      <c r="AF226" s="75">
        <v>59.616</v>
      </c>
      <c r="AG226" s="75">
        <v>2031975</v>
      </c>
      <c r="AH226" s="43">
        <v>3395</v>
      </c>
      <c r="AI226" s="43">
        <v>3395</v>
      </c>
      <c r="AJ226" s="86">
        <f>TABL123[[#This Row],[(A/B TOT) AJD]]-TABL123[[#This Row],[BER_ IN]]</f>
        <v>464</v>
      </c>
      <c r="AK226" s="75">
        <v>151</v>
      </c>
      <c r="AL226" s="96">
        <v>42.583199999999998</v>
      </c>
      <c r="AM226" s="96">
        <v>2883220</v>
      </c>
      <c r="AN226" s="96">
        <f>TABL123[[#This Row],[ (RESV. STORGE) SER]]/10</f>
        <v>288322</v>
      </c>
      <c r="AO226" s="43">
        <v>2045</v>
      </c>
      <c r="AP226" s="32">
        <f>TABL123[[#This Row],[(A/S TOT) AJD]]-TABL123[[#This Row],[SER_ 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Row],[خط (T/B  TOT) SAR]]+TABL123[[#This Row],[خط (S/S  TOT) SAR2]]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Row],[خط (S/S  TOT) SAR2]]-TABL123[[#This Row],[(S/S TOT) AJD]]</f>
        <v>80</v>
      </c>
      <c r="Q227" s="40">
        <v>479</v>
      </c>
      <c r="R227" s="3">
        <f>TABL123[[#This Row],[خط (T/B  TOT) SAR]]-TABL123[[#This Row],[(T/B TOT) AJD]]</f>
        <v>58</v>
      </c>
      <c r="S227" s="3">
        <f>TABL123[[#This Row],[الفرق بين بداية ونهاية خط  T/B]]+TABL123[[#This Row],[الفرق بين بداية ونهاية خط  S/S]]</f>
        <v>138</v>
      </c>
      <c r="T227" s="3">
        <f>TABL123[[#This Row],[(S/S TOT) AJD]]+TABL123[[#This Row],[(T/B TOT) AJD]]</f>
        <v>921</v>
      </c>
      <c r="U227" s="44">
        <v>616</v>
      </c>
      <c r="V227" s="44">
        <v>359</v>
      </c>
      <c r="W227" s="3">
        <f>TABL123[[#This Row],[(A/B TOT) AJD]]+TABL123[[#This Row],[(A/S TOT)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91">
        <f>TABL123[[#This Row],[( S/S+T/B) AJD]]-(TABL123[[#This Row],[(A/B + A/S) AJD]]+(TABL123[[#This Row],[(STORGE DIFF.) AJD]]*1000)+TABL123[[#This Row],[البخر  AJD]])</f>
        <v>85769</v>
      </c>
      <c r="AE227" s="75">
        <v>151</v>
      </c>
      <c r="AF227" s="75">
        <v>59.585000000000001</v>
      </c>
      <c r="AG227" s="75">
        <v>2011348</v>
      </c>
      <c r="AH227" s="45">
        <v>2763</v>
      </c>
      <c r="AI227" s="45">
        <v>2763</v>
      </c>
      <c r="AJ227" s="86">
        <f>TABL123[[#This Row],[(A/B TOT) AJD]]-TABL123[[#This Row],[BER_ IN]]</f>
        <v>465</v>
      </c>
      <c r="AK227" s="75">
        <v>153</v>
      </c>
      <c r="AL227" s="96">
        <v>42.850900000000003</v>
      </c>
      <c r="AM227" s="96">
        <v>3027660</v>
      </c>
      <c r="AN227" s="96">
        <f>TABL123[[#This Row],[ (RESV. STORGE) SER]]/10</f>
        <v>302766</v>
      </c>
      <c r="AO227" s="45">
        <v>2040</v>
      </c>
      <c r="AP227" s="32">
        <f>TABL123[[#This Row],[(A/S TOT) AJD]]-TABL123[[#This Row],[SER_ 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Row],[خط (T/B  TOT) SAR]]+TABL123[[#This Row],[خط (S/S  TOT) SAR2]]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Row],[خط (S/S  TOT) SAR2]]-TABL123[[#This Row],[(S/S TOT) AJD]]</f>
        <v>83</v>
      </c>
      <c r="Q228" s="39">
        <v>477</v>
      </c>
      <c r="R228" s="3">
        <f>TABL123[[#This Row],[خط (T/B  TOT) SAR]]-TABL123[[#This Row],[(T/B TOT) AJD]]</f>
        <v>58</v>
      </c>
      <c r="S228" s="3">
        <f>TABL123[[#This Row],[الفرق بين بداية ونهاية خط  T/B]]+TABL123[[#This Row],[الفرق بين بداية ونهاية خط  S/S]]</f>
        <v>141</v>
      </c>
      <c r="T228" s="3">
        <f>TABL123[[#This Row],[(S/S TOT) AJD]]+TABL123[[#This Row],[(T/B TOT) AJD]]</f>
        <v>916</v>
      </c>
      <c r="U228" s="41">
        <v>616</v>
      </c>
      <c r="V228" s="41">
        <v>328</v>
      </c>
      <c r="W228" s="3">
        <f>TABL123[[#This Row],[(A/B TOT) AJD]]+TABL123[[#This Row],[(A/S TOT)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91">
        <f>TABL123[[#This Row],[( S/S+T/B) AJD]]-(TABL123[[#This Row],[(A/B + A/S) AJD]]+(TABL123[[#This Row],[(STORGE DIFF.) AJD]]*1000)+TABL123[[#This Row],[البخر  AJD]])</f>
        <v>62002</v>
      </c>
      <c r="AE228" s="75">
        <v>134</v>
      </c>
      <c r="AF228" s="75">
        <v>59.470999999999997</v>
      </c>
      <c r="AG228" s="75">
        <v>1935564</v>
      </c>
      <c r="AH228" s="43">
        <v>2696</v>
      </c>
      <c r="AI228" s="43">
        <v>2696</v>
      </c>
      <c r="AJ228" s="86">
        <f>TABL123[[#This Row],[(A/B TOT) AJD]]-TABL123[[#This Row],[BER_ IN]]</f>
        <v>482</v>
      </c>
      <c r="AK228" s="75">
        <v>132</v>
      </c>
      <c r="AL228" s="96">
        <v>43.091700000000003</v>
      </c>
      <c r="AM228" s="96">
        <v>3157820</v>
      </c>
      <c r="AN228" s="96">
        <f>TABL123[[#This Row],[ (RESV. STORGE) SER]]/10</f>
        <v>315782</v>
      </c>
      <c r="AO228" s="43">
        <v>1840</v>
      </c>
      <c r="AP228" s="32">
        <f>TABL123[[#This Row],[(A/S TOT) AJD]]-TABL123[[#This Row],[SER_ 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Row],[خط (T/B  TOT) SAR]]+TABL123[[#This Row],[خط (S/S  TOT) SAR2]]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Row],[خط (S/S  TOT) SAR2]]-TABL123[[#This Row],[(S/S TOT) AJD]]</f>
        <v>33</v>
      </c>
      <c r="Q229" s="40">
        <v>440</v>
      </c>
      <c r="R229" s="3">
        <f>TABL123[[#This Row],[خط (T/B  TOT) SAR]]-TABL123[[#This Row],[(T/B TOT) AJD]]</f>
        <v>88</v>
      </c>
      <c r="S229" s="3">
        <f>TABL123[[#This Row],[الفرق بين بداية ونهاية خط  T/B]]+TABL123[[#This Row],[الفرق بين بداية ونهاية خط  S/S]]</f>
        <v>121</v>
      </c>
      <c r="T229" s="3">
        <f>TABL123[[#This Row],[(S/S TOT) AJD]]+TABL123[[#This Row],[(T/B TOT) AJD]]</f>
        <v>917</v>
      </c>
      <c r="U229" s="44">
        <v>615</v>
      </c>
      <c r="V229" s="44">
        <v>341</v>
      </c>
      <c r="W229" s="3">
        <f>TABL123[[#This Row],[(A/B TOT) AJD]]+TABL123[[#This Row],[(A/S TOT)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91">
        <f>TABL123[[#This Row],[( S/S+T/B) AJD]]-(TABL123[[#This Row],[(A/B + A/S) AJD]]+(TABL123[[#This Row],[(STORGE DIFF.) AJD]]*1000)+TABL123[[#This Row],[البخر  AJD]])</f>
        <v>72094</v>
      </c>
      <c r="AE229" s="75">
        <v>140</v>
      </c>
      <c r="AF229" s="75">
        <v>59.368000000000002</v>
      </c>
      <c r="AG229" s="75">
        <v>1867189</v>
      </c>
      <c r="AH229" s="45">
        <v>2670</v>
      </c>
      <c r="AI229" s="45">
        <v>2670</v>
      </c>
      <c r="AJ229" s="86">
        <f>TABL123[[#This Row],[(A/B TOT) AJD]]-TABL123[[#This Row],[BER_ IN]]</f>
        <v>475</v>
      </c>
      <c r="AK229" s="75">
        <v>122</v>
      </c>
      <c r="AL229" s="96">
        <v>43.300600000000003</v>
      </c>
      <c r="AM229" s="96">
        <v>3271450</v>
      </c>
      <c r="AN229" s="96">
        <f>TABL123[[#This Row],[ (RESV. STORGE) SER]]/10</f>
        <v>327145</v>
      </c>
      <c r="AO229" s="45">
        <v>1870</v>
      </c>
      <c r="AP229" s="32">
        <f>TABL123[[#This Row],[(A/S TOT) AJD]]-TABL123[[#This Row],[SER_ 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Row],[خط (T/B  TOT) SAR]]+TABL123[[#This Row],[خط (S/S  TOT) SAR2]]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Row],[خط (S/S  TOT) SAR2]]-TABL123[[#This Row],[(S/S TOT) AJD]]</f>
        <v>85</v>
      </c>
      <c r="Q230" s="39">
        <v>466</v>
      </c>
      <c r="R230" s="3">
        <f>TABL123[[#This Row],[خط (T/B  TOT) SAR]]-TABL123[[#This Row],[(T/B TOT) AJD]]</f>
        <v>64</v>
      </c>
      <c r="S230" s="3">
        <f>TABL123[[#This Row],[الفرق بين بداية ونهاية خط  T/B]]+TABL123[[#This Row],[الفرق بين بداية ونهاية خط  S/S]]</f>
        <v>149</v>
      </c>
      <c r="T230" s="3">
        <f>TABL123[[#This Row],[(S/S TOT) AJD]]+TABL123[[#This Row],[(T/B TOT) AJD]]</f>
        <v>896</v>
      </c>
      <c r="U230" s="41">
        <v>591</v>
      </c>
      <c r="V230" s="41">
        <v>320</v>
      </c>
      <c r="W230" s="3">
        <f>TABL123[[#This Row],[(A/B TOT) AJD]]+TABL123[[#This Row],[(A/S TOT)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91">
        <f>TABL123[[#This Row],[( S/S+T/B) AJD]]-(TABL123[[#This Row],[(A/B + A/S) AJD]]+(TABL123[[#This Row],[(STORGE DIFF.) AJD]]*1000)+TABL123[[#This Row],[البخر  AJD]])</f>
        <v>34674</v>
      </c>
      <c r="AE230" s="75">
        <v>111</v>
      </c>
      <c r="AF230" s="75">
        <v>59.258000000000003</v>
      </c>
      <c r="AG230" s="75">
        <v>1794269</v>
      </c>
      <c r="AH230" s="43">
        <v>3283</v>
      </c>
      <c r="AI230" s="43">
        <v>3283</v>
      </c>
      <c r="AJ230" s="86">
        <f>TABL123[[#This Row],[(A/B TOT) AJD]]-TABL123[[#This Row],[BER_ IN]]</f>
        <v>480</v>
      </c>
      <c r="AK230" s="75">
        <v>92</v>
      </c>
      <c r="AL230" s="96">
        <v>43.420900000000003</v>
      </c>
      <c r="AM230" s="96">
        <v>3334980</v>
      </c>
      <c r="AN230" s="96">
        <f>TABL123[[#This Row],[ (RESV. STORGE) SER]]/10</f>
        <v>333498</v>
      </c>
      <c r="AO230" s="43">
        <v>1870</v>
      </c>
      <c r="AP230" s="32">
        <f>TABL123[[#This Row],[(A/S TOT) AJD]]-TABL123[[#This Row],[SER_ 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Row],[خط (T/B  TOT) SAR]]+TABL123[[#This Row],[خط (S/S  TOT) SAR2]]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Row],[خط (S/S  TOT) SAR2]]-TABL123[[#This Row],[(S/S TOT) AJD]]</f>
        <v>83</v>
      </c>
      <c r="Q231" s="40">
        <v>469</v>
      </c>
      <c r="R231" s="3">
        <f>TABL123[[#This Row],[خط (T/B  TOT) SAR]]-TABL123[[#This Row],[(T/B TOT) AJD]]</f>
        <v>64</v>
      </c>
      <c r="S231" s="3">
        <f>TABL123[[#This Row],[الفرق بين بداية ونهاية خط  T/B]]+TABL123[[#This Row],[الفرق بين بداية ونهاية خط  S/S]]</f>
        <v>147</v>
      </c>
      <c r="T231" s="3">
        <f>TABL123[[#This Row],[(S/S TOT) AJD]]+TABL123[[#This Row],[(T/B TOT) AJD]]</f>
        <v>905</v>
      </c>
      <c r="U231" s="44">
        <v>599</v>
      </c>
      <c r="V231" s="44">
        <v>290</v>
      </c>
      <c r="W231" s="3">
        <f>TABL123[[#This Row],[(A/B TOT) AJD]]+TABL123[[#This Row],[(A/S TOT)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91">
        <f>TABL123[[#This Row],[( S/S+T/B) AJD]]-(TABL123[[#This Row],[(A/B + A/S) AJD]]+(TABL123[[#This Row],[(STORGE DIFF.) AJD]]*1000)+TABL123[[#This Row],[البخر  AJD]])</f>
        <v>11269</v>
      </c>
      <c r="AE231" s="75">
        <v>96</v>
      </c>
      <c r="AF231" s="75">
        <v>59.238</v>
      </c>
      <c r="AG231" s="75">
        <v>1781022</v>
      </c>
      <c r="AH231" s="45">
        <v>3534</v>
      </c>
      <c r="AI231" s="45">
        <v>3534</v>
      </c>
      <c r="AJ231" s="86">
        <f>TABL123[[#This Row],[(A/B TOT) AJD]]-TABL123[[#This Row],[BER_ IN]]</f>
        <v>503</v>
      </c>
      <c r="AK231" s="75">
        <v>82</v>
      </c>
      <c r="AL231" s="96">
        <v>43.521999999999998</v>
      </c>
      <c r="AM231" s="96">
        <v>3390043</v>
      </c>
      <c r="AN231" s="96">
        <f>TABL123[[#This Row],[ (RESV. STORGE) SER]]/10</f>
        <v>339004.3</v>
      </c>
      <c r="AO231" s="45">
        <v>1837</v>
      </c>
      <c r="AP231" s="32">
        <f>TABL123[[#This Row],[(A/S TOT) AJD]]-TABL123[[#This Row],[SER_ 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9">
        <v>530</v>
      </c>
      <c r="J232" s="39">
        <v>516</v>
      </c>
      <c r="K232" s="28">
        <f>TABL123[[#This Row],[خط (T/B  TOT) SAR]]+TABL123[[#This Row],[خط (S/S  TOT) SAR2]]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Row],[خط (S/S  TOT) SAR2]]-TABL123[[#This Row],[(S/S TOT) AJD]]</f>
        <v>80</v>
      </c>
      <c r="Q232" s="39">
        <v>469</v>
      </c>
      <c r="R232" s="3">
        <f>TABL123[[#This Row],[خط (T/B  TOT) SAR]]-TABL123[[#This Row],[(T/B TOT) AJD]]</f>
        <v>61</v>
      </c>
      <c r="S232" s="3">
        <f>TABL123[[#This Row],[الفرق بين بداية ونهاية خط  T/B]]+TABL123[[#This Row],[الفرق بين بداية ونهاية خط  S/S]]</f>
        <v>141</v>
      </c>
      <c r="T232" s="3">
        <f>TABL123[[#This Row],[(S/S TOT) AJD]]+TABL123[[#This Row],[(T/B TOT) AJD]]</f>
        <v>905</v>
      </c>
      <c r="U232" s="41">
        <v>598</v>
      </c>
      <c r="V232" s="41">
        <v>238</v>
      </c>
      <c r="W232" s="3">
        <f>TABL123[[#This Row],[(A/B TOT) AJD]]+TABL123[[#This Row],[(A/S TOT)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91">
        <f>TABL123[[#This Row],[( S/S+T/B) AJD]]-(TABL123[[#This Row],[(A/B + A/S) AJD]]+(TABL123[[#This Row],[(STORGE DIFF.) AJD]]*1000)+TABL123[[#This Row],[البخر  AJD]])</f>
        <v>-47606</v>
      </c>
      <c r="AE232" s="75">
        <v>94</v>
      </c>
      <c r="AF232" s="75">
        <v>59.226999999999997</v>
      </c>
      <c r="AG232" s="75">
        <v>1773738</v>
      </c>
      <c r="AH232" s="43">
        <v>3604</v>
      </c>
      <c r="AI232" s="43">
        <v>3604</v>
      </c>
      <c r="AJ232" s="86">
        <f>TABL123[[#This Row],[(A/B TOT) AJD]]-TABL123[[#This Row],[BER_ IN]]</f>
        <v>504</v>
      </c>
      <c r="AK232" s="75">
        <v>70</v>
      </c>
      <c r="AL232" s="96">
        <v>43.555</v>
      </c>
      <c r="AM232" s="96">
        <v>3408031</v>
      </c>
      <c r="AN232" s="96">
        <f>TABL123[[#This Row],[ (RESV. STORGE) SER]]/10</f>
        <v>340803.1</v>
      </c>
      <c r="AO232" s="43">
        <v>1912</v>
      </c>
      <c r="AP232" s="32">
        <f>TABL123[[#This Row],[(A/S TOT) AJD]]-TABL123[[#This Row],[SER_ 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Row],[خط (T/B  TOT) SAR]]+TABL123[[#This Row],[خط (S/S  TOT) SAR2]]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Row],[خط (S/S  TOT) SAR2]]-TABL123[[#This Row],[(S/S TOT) AJD]]</f>
        <v>86</v>
      </c>
      <c r="Q233" s="40">
        <v>467</v>
      </c>
      <c r="R233" s="3">
        <f>TABL123[[#This Row],[خط (T/B  TOT) SAR]]-TABL123[[#This Row],[(T/B TOT) AJD]]</f>
        <v>69</v>
      </c>
      <c r="S233" s="3">
        <f>TABL123[[#This Row],[الفرق بين بداية ونهاية خط  T/B]]+TABL123[[#This Row],[الفرق بين بداية ونهاية خط  S/S]]</f>
        <v>155</v>
      </c>
      <c r="T233" s="3">
        <f>TABL123[[#This Row],[(S/S TOT) AJD]]+TABL123[[#This Row],[(T/B TOT) AJD]]</f>
        <v>903</v>
      </c>
      <c r="U233" s="44">
        <v>593</v>
      </c>
      <c r="V233" s="44">
        <v>288</v>
      </c>
      <c r="W233" s="3">
        <f>TABL123[[#This Row],[(A/B TOT) AJD]]+TABL123[[#This Row],[(A/S TOT)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91">
        <f>TABL123[[#This Row],[( S/S+T/B) AJD]]-(TABL123[[#This Row],[(A/B + A/S) AJD]]+(TABL123[[#This Row],[(STORGE DIFF.) AJD]]*1000)+TABL123[[#This Row],[البخر  AJD]])</f>
        <v>1004</v>
      </c>
      <c r="AE233" s="75">
        <v>96</v>
      </c>
      <c r="AF233" s="75">
        <v>59.218000000000004</v>
      </c>
      <c r="AG233" s="75">
        <v>1768035</v>
      </c>
      <c r="AH233" s="45">
        <v>3023</v>
      </c>
      <c r="AI233" s="45">
        <v>3023</v>
      </c>
      <c r="AJ233" s="86">
        <f>TABL123[[#This Row],[(A/B TOT) AJD]]-TABL123[[#This Row],[BER_ IN]]</f>
        <v>497</v>
      </c>
      <c r="AK233" s="75">
        <v>74</v>
      </c>
      <c r="AL233" s="96">
        <v>43.512</v>
      </c>
      <c r="AM233" s="96">
        <v>3384593</v>
      </c>
      <c r="AN233" s="96">
        <f>TABL123[[#This Row],[ (RESV. STORGE) SER]]/10</f>
        <v>338459.3</v>
      </c>
      <c r="AO233" s="45">
        <v>1938</v>
      </c>
      <c r="AP233" s="32">
        <f>TABL123[[#This Row],[(A/S TOT) AJD]]-TABL123[[#This Row],[SER_ 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Row],[خط (T/B  TOT) SAR]]+TABL123[[#This Row],[خط (S/S  TOT) SAR2]]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Row],[خط (S/S  TOT) SAR2]]-TABL123[[#This Row],[(S/S TOT) AJD]]</f>
        <v>-198</v>
      </c>
      <c r="Q234" s="39">
        <v>469</v>
      </c>
      <c r="R234" s="3">
        <f>TABL123[[#This Row],[خط (T/B  TOT) SAR]]-TABL123[[#This Row],[(T/B TOT) AJD]]</f>
        <v>-194</v>
      </c>
      <c r="S234" s="3">
        <f>TABL123[[#This Row],[الفرق بين بداية ونهاية خط  T/B]]+TABL123[[#This Row],[الفرق بين بداية ونهاية خط  S/S]]</f>
        <v>-392</v>
      </c>
      <c r="T234" s="3">
        <f>TABL123[[#This Row],[(S/S TOT) AJD]]+TABL123[[#This Row],[(T/B TOT) AJD]]</f>
        <v>907</v>
      </c>
      <c r="U234" s="41">
        <v>521</v>
      </c>
      <c r="V234" s="41">
        <v>281</v>
      </c>
      <c r="W234" s="3">
        <f>TABL123[[#This Row],[(A/B TOT) AJD]]+TABL123[[#This Row],[(A/S TOT)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91">
        <f>TABL123[[#This Row],[( S/S+T/B) AJD]]-(TABL123[[#This Row],[(A/B + A/S) AJD]]+(TABL123[[#This Row],[(STORGE DIFF.) AJD]]*1000)+TABL123[[#This Row],[البخر  AJD]])</f>
        <v>-92341</v>
      </c>
      <c r="AE234" s="75">
        <v>82</v>
      </c>
      <c r="AF234" s="75">
        <v>59.207000000000001</v>
      </c>
      <c r="AG234" s="75">
        <v>1760496</v>
      </c>
      <c r="AH234" s="43">
        <v>3138</v>
      </c>
      <c r="AI234" s="43">
        <v>3138</v>
      </c>
      <c r="AJ234" s="86">
        <f>TABL123[[#This Row],[(A/B TOT) AJD]]-TABL123[[#This Row],[BER_ IN]]</f>
        <v>439</v>
      </c>
      <c r="AK234" s="75">
        <v>45</v>
      </c>
      <c r="AL234" s="96">
        <v>43.3795</v>
      </c>
      <c r="AM234" s="96">
        <v>3313880</v>
      </c>
      <c r="AN234" s="96">
        <f>TABL123[[#This Row],[ (RESV. STORGE) SER]]/10</f>
        <v>331388</v>
      </c>
      <c r="AO234" s="43">
        <v>1913</v>
      </c>
      <c r="AP234" s="32">
        <f>TABL123[[#This Row],[(A/S TOT) AJD]]-TABL123[[#This Row],[SER_ 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Row],[خط (T/B  TOT) SAR]]+TABL123[[#This Row],[خط (S/S  TOT) SAR2]]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Row],[خط (S/S  TOT) SAR2]]-TABL123[[#This Row],[(S/S TOT) AJD]]</f>
        <v>-80</v>
      </c>
      <c r="Q235" s="40">
        <v>359</v>
      </c>
      <c r="R235" s="3">
        <f>TABL123[[#This Row],[خط (T/B  TOT) SAR]]-TABL123[[#This Row],[(T/B TOT) AJD]]</f>
        <v>-98</v>
      </c>
      <c r="S235" s="3">
        <f>TABL123[[#This Row],[الفرق بين بداية ونهاية خط  T/B]]+TABL123[[#This Row],[الفرق بين بداية ونهاية خط  S/S]]</f>
        <v>-178</v>
      </c>
      <c r="T235" s="3">
        <f>TABL123[[#This Row],[(S/S TOT) AJD]]+TABL123[[#This Row],[(T/B TOT) AJD]]</f>
        <v>689</v>
      </c>
      <c r="U235" s="44">
        <v>489</v>
      </c>
      <c r="V235" s="44">
        <v>211</v>
      </c>
      <c r="W235" s="3">
        <f>TABL123[[#This Row],[(A/B TOT) AJD]]+TABL123[[#This Row],[(A/S TOT)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91">
        <f>TABL123[[#This Row],[( S/S+T/B) AJD]]-(TABL123[[#This Row],[(A/B + A/S) AJD]]+(TABL123[[#This Row],[(STORGE DIFF.) AJD]]*1000)+TABL123[[#This Row],[البخر  AJD]])</f>
        <v>50758</v>
      </c>
      <c r="AE235" s="75">
        <v>45</v>
      </c>
      <c r="AF235" s="75">
        <v>59.137999999999998</v>
      </c>
      <c r="AG235" s="75">
        <v>1714910</v>
      </c>
      <c r="AH235" s="45">
        <v>3356</v>
      </c>
      <c r="AI235" s="45">
        <v>3356</v>
      </c>
      <c r="AJ235" s="86">
        <f>TABL123[[#This Row],[(A/B TOT) AJD]]-TABL123[[#This Row],[BER_ IN]]</f>
        <v>444</v>
      </c>
      <c r="AK235" s="75">
        <v>0</v>
      </c>
      <c r="AL235" s="96">
        <v>43.203299999999999</v>
      </c>
      <c r="AM235" s="96">
        <v>3218240</v>
      </c>
      <c r="AN235" s="96">
        <f>TABL123[[#This Row],[ (RESV. STORGE) SER]]/10</f>
        <v>321824</v>
      </c>
      <c r="AO235" s="45">
        <v>3356</v>
      </c>
      <c r="AP235" s="32">
        <f>TABL123[[#This Row],[(A/S TOT) AJD]]-TABL123[[#This Row],[SER_ 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Row],[خط (T/B  TOT) SAR]]+TABL123[[#This Row],[خط (S/S  TOT) SAR2]]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Row],[خط (S/S  TOT) SAR2]]-TABL123[[#This Row],[(S/S TOT) AJD]]</f>
        <v>141</v>
      </c>
      <c r="Q236" s="39">
        <v>325</v>
      </c>
      <c r="R236" s="3">
        <f>TABL123[[#This Row],[خط (T/B  TOT) SAR]]-TABL123[[#This Row],[(T/B TOT) AJD]]</f>
        <v>128</v>
      </c>
      <c r="S236" s="3">
        <f>TABL123[[#This Row],[الفرق بين بداية ونهاية خط  T/B]]+TABL123[[#This Row],[الفرق بين بداية ونهاية خط  S/S]]</f>
        <v>269</v>
      </c>
      <c r="T236" s="3">
        <f>TABL123[[#This Row],[(S/S TOT) AJD]]+TABL123[[#This Row],[(T/B TOT) AJD]]</f>
        <v>624</v>
      </c>
      <c r="U236" s="41">
        <v>467</v>
      </c>
      <c r="V236" s="41">
        <v>232</v>
      </c>
      <c r="W236" s="3">
        <f>TABL123[[#This Row],[(A/B TOT) AJD]]+TABL123[[#This Row],[(A/S TOT)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91">
        <f>TABL123[[#This Row],[( S/S+T/B) AJD]]-(TABL123[[#This Row],[(A/B + A/S) AJD]]+(TABL123[[#This Row],[(STORGE DIFF.) AJD]]*1000)+TABL123[[#This Row],[البخر  AJD]])</f>
        <v>98701</v>
      </c>
      <c r="AE236" s="75">
        <v>48</v>
      </c>
      <c r="AF236" s="75">
        <v>59.09</v>
      </c>
      <c r="AG236" s="75">
        <v>1683102</v>
      </c>
      <c r="AH236" s="43">
        <v>3209</v>
      </c>
      <c r="AI236" s="43">
        <v>3209</v>
      </c>
      <c r="AJ236" s="86">
        <f>TABL123[[#This Row],[(A/B TOT) AJD]]-TABL123[[#This Row],[BER_ IN]]</f>
        <v>419</v>
      </c>
      <c r="AK236" s="75">
        <v>0</v>
      </c>
      <c r="AL236" s="96">
        <v>43.134099999999997</v>
      </c>
      <c r="AM236" s="96">
        <v>3180790</v>
      </c>
      <c r="AN236" s="96">
        <f>TABL123[[#This Row],[ (RESV. STORGE) SER]]/10</f>
        <v>318079</v>
      </c>
      <c r="AO236" s="43">
        <v>1850</v>
      </c>
      <c r="AP236" s="32">
        <f>TABL123[[#This Row],[(A/S TOT) AJD]]-TABL123[[#This Row],[SER_ 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Row],[خط (T/B  TOT) SAR]]+TABL123[[#This Row],[خط (S/S  TOT) SAR2]]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Row],[خط (S/S  TOT) SAR2]]-TABL123[[#This Row],[(S/S TOT) AJD]]</f>
        <v>150</v>
      </c>
      <c r="Q237" s="40">
        <v>363</v>
      </c>
      <c r="R237" s="3">
        <f>TABL123[[#This Row],[خط (T/B  TOT) SAR]]-TABL123[[#This Row],[(T/B TOT) AJD]]</f>
        <v>134</v>
      </c>
      <c r="S237" s="3">
        <f>TABL123[[#This Row],[الفرق بين بداية ونهاية خط  T/B]]+TABL123[[#This Row],[الفرق بين بداية ونهاية خط  S/S]]</f>
        <v>284</v>
      </c>
      <c r="T237" s="3">
        <f>TABL123[[#This Row],[(S/S TOT) AJD]]+TABL123[[#This Row],[(T/B TOT) AJD]]</f>
        <v>698</v>
      </c>
      <c r="U237" s="44">
        <v>517</v>
      </c>
      <c r="V237" s="44">
        <v>249</v>
      </c>
      <c r="W237" s="3">
        <f>TABL123[[#This Row],[(A/B TOT) AJD]]+TABL123[[#This Row],[(A/S TOT)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91">
        <f>TABL123[[#This Row],[( S/S+T/B) AJD]]-(TABL123[[#This Row],[(A/B + A/S) AJD]]+(TABL123[[#This Row],[(STORGE DIFF.) AJD]]*1000)+TABL123[[#This Row],[البخر  AJD]])</f>
        <v>90082</v>
      </c>
      <c r="AE237" s="75">
        <v>45</v>
      </c>
      <c r="AF237" s="75">
        <v>59.002000000000002</v>
      </c>
      <c r="AG237" s="75">
        <v>1625441</v>
      </c>
      <c r="AH237" s="45">
        <v>2981</v>
      </c>
      <c r="AI237" s="45">
        <v>2981</v>
      </c>
      <c r="AJ237" s="86">
        <f>TABL123[[#This Row],[(A/B TOT) AJD]]-TABL123[[#This Row],[BER_ IN]]</f>
        <v>472</v>
      </c>
      <c r="AK237" s="75">
        <v>0</v>
      </c>
      <c r="AL237" s="96">
        <v>43.095599999999997</v>
      </c>
      <c r="AM237" s="96">
        <v>3160200</v>
      </c>
      <c r="AN237" s="96">
        <f>TABL123[[#This Row],[ (RESV. STORGE) SER]]/10</f>
        <v>316020</v>
      </c>
      <c r="AO237" s="45">
        <v>1890</v>
      </c>
      <c r="AP237" s="32">
        <f>TABL123[[#This Row],[(A/S TOT) AJD]]-TABL123[[#This Row],[SER_ 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Row],[خط (T/B  TOT) SAR]]+TABL123[[#This Row],[خط (S/S  TOT) SAR2]]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Row],[خط (S/S  TOT) SAR2]]-TABL123[[#This Row],[(S/S TOT) AJD]]</f>
        <v>112</v>
      </c>
      <c r="Q238" s="39">
        <v>431</v>
      </c>
      <c r="R238" s="3">
        <f>TABL123[[#This Row],[خط (T/B  TOT) SAR]]-TABL123[[#This Row],[(T/B TOT) AJD]]</f>
        <v>96</v>
      </c>
      <c r="S238" s="3">
        <f>TABL123[[#This Row],[الفرق بين بداية ونهاية خط  T/B]]+TABL123[[#This Row],[الفرق بين بداية ونهاية خط  S/S]]</f>
        <v>208</v>
      </c>
      <c r="T238" s="3">
        <f>TABL123[[#This Row],[(S/S TOT) AJD]]+TABL123[[#This Row],[(T/B TOT) AJD]]</f>
        <v>831</v>
      </c>
      <c r="U238" s="41">
        <v>464</v>
      </c>
      <c r="V238" s="41">
        <v>249</v>
      </c>
      <c r="W238" s="3">
        <f>TABL123[[#This Row],[(A/B TOT) AJD]]+TABL123[[#This Row],[(A/S TOT)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91">
        <f>TABL123[[#This Row],[( S/S+T/B) AJD]]-(TABL123[[#This Row],[(A/B + A/S) AJD]]+(TABL123[[#This Row],[(STORGE DIFF.) AJD]]*1000)+TABL123[[#This Row],[البخر  AJD]])</f>
        <v>-109756</v>
      </c>
      <c r="AE238" s="75">
        <v>45</v>
      </c>
      <c r="AF238" s="75">
        <v>58.914999999999999</v>
      </c>
      <c r="AG238" s="75">
        <v>1567563</v>
      </c>
      <c r="AH238" s="43">
        <v>3197</v>
      </c>
      <c r="AI238" s="43">
        <v>3197</v>
      </c>
      <c r="AJ238" s="86">
        <f>TABL123[[#This Row],[(A/B TOT) AJD]]-TABL123[[#This Row],[BER_ IN]]</f>
        <v>419</v>
      </c>
      <c r="AK238" s="75">
        <v>0</v>
      </c>
      <c r="AL238" s="96">
        <v>43.050199999999997</v>
      </c>
      <c r="AM238" s="96">
        <v>3134740</v>
      </c>
      <c r="AN238" s="96">
        <f>TABL123[[#This Row],[ (RESV. STORGE) SER]]/10</f>
        <v>313474</v>
      </c>
      <c r="AO238" s="43">
        <v>1860</v>
      </c>
      <c r="AP238" s="32">
        <f>TABL123[[#This Row],[(A/S TOT) AJD]]-TABL123[[#This Row],[SER_ 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Row],[خط (T/B  TOT) SAR]]+TABL123[[#This Row],[خط (S/S  TOT) SAR2]]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Row],[خط (S/S  TOT) SAR2]]-TABL123[[#This Row],[(S/S TOT) AJD]]</f>
        <v>90</v>
      </c>
      <c r="Q239" s="40">
        <v>463</v>
      </c>
      <c r="R239" s="3">
        <f>TABL123[[#This Row],[خط (T/B  TOT) SAR]]-TABL123[[#This Row],[(T/B TOT) AJD]]</f>
        <v>71</v>
      </c>
      <c r="S239" s="3">
        <f>TABL123[[#This Row],[الفرق بين بداية ونهاية خط  T/B]]+TABL123[[#This Row],[الفرق بين بداية ونهاية خط  S/S]]</f>
        <v>161</v>
      </c>
      <c r="T239" s="3">
        <f>TABL123[[#This Row],[(S/S TOT) AJD]]+TABL123[[#This Row],[(T/B TOT) AJD]]</f>
        <v>893</v>
      </c>
      <c r="U239" s="44">
        <v>514</v>
      </c>
      <c r="V239" s="44">
        <v>248</v>
      </c>
      <c r="W239" s="3">
        <f>TABL123[[#This Row],[(A/B TOT) AJD]]+TABL123[[#This Row],[(A/S TOT)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91">
        <f>TABL123[[#This Row],[( S/S+T/B) AJD]]-(TABL123[[#This Row],[(A/B + A/S) AJD]]+(TABL123[[#This Row],[(STORGE DIFF.) AJD]]*1000)+TABL123[[#This Row],[البخر  AJD]])</f>
        <v>-87201</v>
      </c>
      <c r="AE239" s="75">
        <v>45</v>
      </c>
      <c r="AF239" s="75">
        <v>58.83</v>
      </c>
      <c r="AG239" s="75">
        <v>1511540</v>
      </c>
      <c r="AH239" s="45">
        <v>3343</v>
      </c>
      <c r="AI239" s="45">
        <v>3343</v>
      </c>
      <c r="AJ239" s="86">
        <f>TABL123[[#This Row],[(A/B TOT) AJD]]-TABL123[[#This Row],[BER_ IN]]</f>
        <v>469</v>
      </c>
      <c r="AK239" s="75">
        <v>0</v>
      </c>
      <c r="AL239" s="96">
        <v>43.0426</v>
      </c>
      <c r="AM239" s="96">
        <v>3131220</v>
      </c>
      <c r="AN239" s="96">
        <f>TABL123[[#This Row],[ (RESV. STORGE) SER]]/10</f>
        <v>313122</v>
      </c>
      <c r="AO239" s="45">
        <v>1820</v>
      </c>
      <c r="AP239" s="32">
        <f>TABL123[[#This Row],[(A/S TOT) AJD]]-TABL123[[#This Row],[SER_ 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Row],[خط (T/B  TOT) SAR]]+TABL123[[#This Row],[خط (S/S  TOT) SAR2]]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Row],[خط (S/S  TOT) SAR2]]-TABL123[[#This Row],[(S/S TOT) AJD]]</f>
        <v>82</v>
      </c>
      <c r="Q240" s="39">
        <v>470</v>
      </c>
      <c r="R240" s="3">
        <f>TABL123[[#This Row],[خط (T/B  TOT) SAR]]-TABL123[[#This Row],[(T/B TOT) AJD]]</f>
        <v>64</v>
      </c>
      <c r="S240" s="3">
        <f>TABL123[[#This Row],[الفرق بين بداية ونهاية خط  T/B]]+TABL123[[#This Row],[الفرق بين بداية ونهاية خط  S/S]]</f>
        <v>146</v>
      </c>
      <c r="T240" s="3">
        <f>TABL123[[#This Row],[(S/S TOT) AJD]]+TABL123[[#This Row],[(T/B TOT) AJD]]</f>
        <v>908</v>
      </c>
      <c r="U240" s="41">
        <v>537</v>
      </c>
      <c r="V240" s="41">
        <v>247</v>
      </c>
      <c r="W240" s="3">
        <f>TABL123[[#This Row],[(A/B TOT) AJD]]+TABL123[[#This Row],[(A/S TOT)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91">
        <f>TABL123[[#This Row],[( S/S+T/B) AJD]]-(TABL123[[#This Row],[(A/B + A/S) AJD]]+(TABL123[[#This Row],[(STORGE DIFF.) AJD]]*1000)+TABL123[[#This Row],[البخر  AJD]])</f>
        <v>-127036</v>
      </c>
      <c r="AE240" s="75">
        <v>45</v>
      </c>
      <c r="AF240" s="75">
        <v>58.726999999999997</v>
      </c>
      <c r="AG240" s="75">
        <v>1473348</v>
      </c>
      <c r="AH240" s="43">
        <v>3512</v>
      </c>
      <c r="AI240" s="43">
        <v>3512</v>
      </c>
      <c r="AJ240" s="86">
        <f>TABL123[[#This Row],[(A/B TOT) AJD]]-TABL123[[#This Row],[BER_ IN]]</f>
        <v>492</v>
      </c>
      <c r="AK240" s="75">
        <v>12</v>
      </c>
      <c r="AL240" s="96">
        <v>43.049399999999999</v>
      </c>
      <c r="AM240" s="96">
        <v>3134730</v>
      </c>
      <c r="AN240" s="96">
        <f>TABL123[[#This Row],[ (RESV. STORGE) SER]]/10</f>
        <v>313473</v>
      </c>
      <c r="AO240" s="43">
        <v>1890</v>
      </c>
      <c r="AP240" s="32">
        <f>TABL123[[#This Row],[(A/S TOT) AJD]]-TABL123[[#This Row],[SER_ 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Row],[خط (T/B  TOT) SAR]]+TABL123[[#This Row],[خط (S/S  TOT) SAR2]]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Row],[خط (S/S  TOT) SAR2]]-TABL123[[#This Row],[(S/S TOT) AJD]]</f>
        <v>85</v>
      </c>
      <c r="Q241" s="40">
        <v>473</v>
      </c>
      <c r="R241" s="3">
        <f>TABL123[[#This Row],[خط (T/B  TOT) SAR]]-TABL123[[#This Row],[(T/B TOT) AJD]]</f>
        <v>62</v>
      </c>
      <c r="S241" s="3">
        <f>TABL123[[#This Row],[الفرق بين بداية ونهاية خط  T/B]]+TABL123[[#This Row],[الفرق بين بداية ونهاية خط  S/S]]</f>
        <v>147</v>
      </c>
      <c r="T241" s="3">
        <f>TABL123[[#This Row],[(S/S TOT) AJD]]+TABL123[[#This Row],[(T/B TOT) AJD]]</f>
        <v>911</v>
      </c>
      <c r="U241" s="44">
        <v>542</v>
      </c>
      <c r="V241" s="44">
        <v>272</v>
      </c>
      <c r="W241" s="3">
        <f>TABL123[[#This Row],[(A/B TOT) AJD]]+TABL123[[#This Row],[(A/S TOT)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91">
        <f>TABL123[[#This Row],[( S/S+T/B) AJD]]-(TABL123[[#This Row],[(A/B + A/S) AJD]]+(TABL123[[#This Row],[(STORGE DIFF.) AJD]]*1000)+TABL123[[#This Row],[البخر  AJD]])</f>
        <v>-48272</v>
      </c>
      <c r="AE241" s="75">
        <v>45</v>
      </c>
      <c r="AF241" s="75">
        <v>58.725000000000001</v>
      </c>
      <c r="AG241" s="75">
        <v>1442420</v>
      </c>
      <c r="AH241" s="45">
        <v>35790</v>
      </c>
      <c r="AI241" s="45">
        <v>35790</v>
      </c>
      <c r="AJ241" s="86">
        <f>TABL123[[#This Row],[(A/B TOT) AJD]]-TABL123[[#This Row],[BER_ IN]]</f>
        <v>497</v>
      </c>
      <c r="AK241" s="75">
        <v>0</v>
      </c>
      <c r="AL241" s="96">
        <v>43.0077</v>
      </c>
      <c r="AM241" s="96">
        <v>3112500</v>
      </c>
      <c r="AN241" s="96">
        <f>TABL123[[#This Row],[ (RESV. STORGE) SER]]/10</f>
        <v>311250</v>
      </c>
      <c r="AO241" s="45">
        <v>1930</v>
      </c>
      <c r="AP241" s="32">
        <f>TABL123[[#This Row],[(A/S TOT) AJD]]-TABL123[[#This Row],[SER_ 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Row],[خط (T/B  TOT) SAR]]+TABL123[[#This Row],[خط (S/S  TOT) SAR2]]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Row],[خط (S/S  TOT) SAR2]]-TABL123[[#This Row],[(S/S TOT) AJD]]</f>
        <v>83</v>
      </c>
      <c r="Q242" s="39">
        <v>473</v>
      </c>
      <c r="R242" s="3">
        <f>TABL123[[#This Row],[خط (T/B  TOT) SAR]]-TABL123[[#This Row],[(T/B TOT) AJD]]</f>
        <v>62</v>
      </c>
      <c r="S242" s="3">
        <f>TABL123[[#This Row],[الفرق بين بداية ونهاية خط  T/B]]+TABL123[[#This Row],[الفرق بين بداية ونهاية خط  S/S]]</f>
        <v>145</v>
      </c>
      <c r="T242" s="3">
        <f>TABL123[[#This Row],[(S/S TOT) AJD]]+TABL123[[#This Row],[(T/B TOT) AJD]]</f>
        <v>911</v>
      </c>
      <c r="U242" s="41">
        <v>549</v>
      </c>
      <c r="V242" s="41">
        <v>260</v>
      </c>
      <c r="W242" s="3">
        <f>TABL123[[#This Row],[(A/B TOT) AJD]]+TABL123[[#This Row],[(A/S TOT)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91">
        <f>TABL123[[#This Row],[( S/S+T/B) AJD]]-(TABL123[[#This Row],[(A/B + A/S) AJD]]+(TABL123[[#This Row],[(STORGE DIFF.) AJD]]*1000)+TABL123[[#This Row],[البخر  AJD]])</f>
        <v>-88782</v>
      </c>
      <c r="AE242" s="75">
        <v>73</v>
      </c>
      <c r="AF242" s="75">
        <v>58.71</v>
      </c>
      <c r="AG242" s="75">
        <v>1432554</v>
      </c>
      <c r="AH242" s="43">
        <v>1386</v>
      </c>
      <c r="AI242" s="43">
        <v>1386</v>
      </c>
      <c r="AJ242" s="86">
        <f>TABL123[[#This Row],[(A/B TOT) AJD]]-TABL123[[#This Row],[BER_ IN]]</f>
        <v>476</v>
      </c>
      <c r="AK242" s="75">
        <v>0</v>
      </c>
      <c r="AL242" s="96">
        <v>43.002699999999997</v>
      </c>
      <c r="AM242" s="96">
        <v>3108990</v>
      </c>
      <c r="AN242" s="96">
        <f>TABL123[[#This Row],[ (RESV. STORGE) SER]]/10</f>
        <v>310899</v>
      </c>
      <c r="AO242" s="43">
        <v>1810</v>
      </c>
      <c r="AP242" s="32">
        <f>TABL123[[#This Row],[(A/S TOT) AJD]]-TABL123[[#This Row],[SER_ 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Row],[خط (T/B  TOT) SAR]]+TABL123[[#This Row],[خط (S/S  TOT) SAR2]]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Row],[خط (S/S  TOT) SAR2]]-TABL123[[#This Row],[(S/S TOT) AJD]]</f>
        <v>74</v>
      </c>
      <c r="Q243" s="40">
        <v>471</v>
      </c>
      <c r="R243" s="3">
        <f>TABL123[[#This Row],[خط (T/B  TOT) SAR]]-TABL123[[#This Row],[(T/B TOT) AJD]]</f>
        <v>61</v>
      </c>
      <c r="S243" s="3">
        <f>TABL123[[#This Row],[الفرق بين بداية ونهاية خط  T/B]]+TABL123[[#This Row],[الفرق بين بداية ونهاية خط  S/S]]</f>
        <v>135</v>
      </c>
      <c r="T243" s="3">
        <f>TABL123[[#This Row],[(S/S TOT) AJD]]+TABL123[[#This Row],[(T/B TOT) AJD]]</f>
        <v>907</v>
      </c>
      <c r="U243" s="44">
        <v>572</v>
      </c>
      <c r="V243" s="44">
        <v>290</v>
      </c>
      <c r="W243" s="3">
        <f>TABL123[[#This Row],[(A/B TOT) AJD]]+TABL123[[#This Row],[(A/S TOT)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91">
        <f>TABL123[[#This Row],[( S/S+T/B) AJD]]-(TABL123[[#This Row],[(A/B + A/S) AJD]]+(TABL123[[#This Row],[(STORGE DIFF.) AJD]]*1000)+TABL123[[#This Row],[البخر  AJD]])</f>
        <v>-662</v>
      </c>
      <c r="AE243" s="75">
        <v>89</v>
      </c>
      <c r="AF243" s="75">
        <v>58.723999999999997</v>
      </c>
      <c r="AG243" s="75">
        <v>1441762</v>
      </c>
      <c r="AH243" s="45">
        <v>3431</v>
      </c>
      <c r="AI243" s="45">
        <v>3431</v>
      </c>
      <c r="AJ243" s="86">
        <f>TABL123[[#This Row],[(A/B TOT) AJD]]-TABL123[[#This Row],[BER_ IN]]</f>
        <v>483</v>
      </c>
      <c r="AK243" s="75">
        <v>28</v>
      </c>
      <c r="AL243" s="96">
        <v>42.983499999999999</v>
      </c>
      <c r="AM243" s="96">
        <v>3099020</v>
      </c>
      <c r="AN243" s="96">
        <f>TABL123[[#This Row],[ (RESV. STORGE) SER]]/10</f>
        <v>309902</v>
      </c>
      <c r="AO243" s="45">
        <v>1870</v>
      </c>
      <c r="AP243" s="32">
        <f>TABL123[[#This Row],[(A/S TOT) AJD]]-TABL123[[#This Row],[SER_ 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Row],[خط (T/B  TOT) SAR]]+TABL123[[#This Row],[خط (S/S  TOT) SAR2]]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Row],[خط (S/S  TOT) SAR2]]-TABL123[[#This Row],[(S/S TOT) AJD]]</f>
        <v>77</v>
      </c>
      <c r="Q244" s="39">
        <v>468</v>
      </c>
      <c r="R244" s="3">
        <f>TABL123[[#This Row],[خط (T/B  TOT) SAR]]-TABL123[[#This Row],[(T/B TOT) AJD]]</f>
        <v>52</v>
      </c>
      <c r="S244" s="3">
        <f>TABL123[[#This Row],[الفرق بين بداية ونهاية خط  T/B]]+TABL123[[#This Row],[الفرق بين بداية ونهاية خط  S/S]]</f>
        <v>129</v>
      </c>
      <c r="T244" s="3">
        <f>TABL123[[#This Row],[(S/S TOT) AJD]]+TABL123[[#This Row],[(T/B TOT) AJD]]</f>
        <v>897</v>
      </c>
      <c r="U244" s="41">
        <v>581</v>
      </c>
      <c r="V244" s="41">
        <v>335</v>
      </c>
      <c r="W244" s="3">
        <f>TABL123[[#This Row],[(A/B TOT) AJD]]+TABL123[[#This Row],[(A/S TOT)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91">
        <f>TABL123[[#This Row],[( S/S+T/B) AJD]]-(TABL123[[#This Row],[(A/B + A/S) AJD]]+(TABL123[[#This Row],[(STORGE DIFF.) AJD]]*1000)+TABL123[[#This Row],[البخر  AJD]])</f>
        <v>41124</v>
      </c>
      <c r="AE244" s="75">
        <v>98</v>
      </c>
      <c r="AF244" s="75">
        <v>58.777999999999999</v>
      </c>
      <c r="AG244" s="75">
        <v>1477297</v>
      </c>
      <c r="AH244" s="43">
        <v>3535</v>
      </c>
      <c r="AI244" s="43">
        <v>3535</v>
      </c>
      <c r="AJ244" s="86">
        <f>TABL123[[#This Row],[(A/B TOT) AJD]]-TABL123[[#This Row],[BER_ IN]]</f>
        <v>483</v>
      </c>
      <c r="AK244" s="75">
        <v>43</v>
      </c>
      <c r="AL244" s="96">
        <v>43.018900000000002</v>
      </c>
      <c r="AM244" s="96">
        <v>3118490</v>
      </c>
      <c r="AN244" s="96">
        <f>TABL123[[#This Row],[ (RESV. STORGE) SER]]/10</f>
        <v>311849</v>
      </c>
      <c r="AO244" s="43">
        <v>1930</v>
      </c>
      <c r="AP244" s="32">
        <f>TABL123[[#This Row],[(A/S TOT) AJD]]-TABL123[[#This Row],[SER_ 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Row],[خط (T/B  TOT) SAR]]+TABL123[[#This Row],[خط (S/S  TOT) SAR2]]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Row],[خط (S/S  TOT) SAR2]]-TABL123[[#This Row],[(S/S TOT) AJD]]</f>
        <v>40</v>
      </c>
      <c r="Q245" s="39">
        <v>456</v>
      </c>
      <c r="R245" s="14">
        <f>TABL123[[#This Row],[خط (T/B  TOT) SAR]]-TABL123[[#This Row],[(T/B TOT) AJD]]</f>
        <v>15</v>
      </c>
      <c r="S245" s="14">
        <f>TABL123[[#This Row],[الفرق بين بداية ونهاية خط  T/B]]+TABL123[[#This Row],[الفرق بين بداية ونهاية خط  S/S]]</f>
        <v>55</v>
      </c>
      <c r="T245" s="9">
        <f>TABL123[[#This Row],[(S/S TOT) AJD]]+TABL123[[#This Row],[(T/B TOT) AJD]]</f>
        <v>875</v>
      </c>
      <c r="U245" s="41">
        <v>588</v>
      </c>
      <c r="V245" s="41">
        <v>346</v>
      </c>
      <c r="W245" s="9">
        <f>TABL123[[#This Row],[(A/B TOT) AJD]]+TABL123[[#This Row],[(A/S TOT)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91">
        <f>TABL123[[#This Row],[( S/S+T/B) AJD]]-(TABL123[[#This Row],[(A/B + A/S) AJD]]+(TABL123[[#This Row],[(STORGE DIFF.) AJD]]*1000)+TABL123[[#This Row],[البخر  AJD]])</f>
        <v>84321</v>
      </c>
      <c r="AE245" s="75">
        <v>97</v>
      </c>
      <c r="AF245" s="75">
        <v>58.811999999999998</v>
      </c>
      <c r="AG245" s="75">
        <v>1499684</v>
      </c>
      <c r="AH245" s="43">
        <v>3233</v>
      </c>
      <c r="AI245" s="43">
        <v>3233</v>
      </c>
      <c r="AJ245" s="86">
        <f>TABL123[[#This Row],[(A/B TOT) AJD]]-TABL123[[#This Row],[BER_ IN]]</f>
        <v>491</v>
      </c>
      <c r="AK245" s="75">
        <v>43</v>
      </c>
      <c r="AL245" s="96">
        <v>43.018900000000002</v>
      </c>
      <c r="AM245" s="96">
        <v>3118490</v>
      </c>
      <c r="AN245" s="96">
        <f>TABL123[[#This Row],[ (RESV. STORGE) SER]]/10</f>
        <v>311849</v>
      </c>
      <c r="AO245" s="43">
        <v>1930</v>
      </c>
      <c r="AP245" s="32">
        <f>TABL123[[#This Row],[(A/S TOT) AJD]]-TABL123[[#This Row],[SER_ 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Row],[خط (T/B  TOT) SAR]]+TABL123[[#This Row],[خط (S/S  TOT) SAR2]]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Row],[خط (S/S  TOT) SAR2]]-TABL123[[#This Row],[(S/S TOT) AJD]]</f>
        <v>73</v>
      </c>
      <c r="Q246" s="40">
        <v>426</v>
      </c>
      <c r="R246" s="14">
        <f>TABL123[[#This Row],[خط (T/B  TOT) SAR]]-TABL123[[#This Row],[(T/B TOT) AJD]]</f>
        <v>49</v>
      </c>
      <c r="S246" s="14">
        <f>TABL123[[#This Row],[الفرق بين بداية ونهاية خط  T/B]]+TABL123[[#This Row],[الفرق بين بداية ونهاية خط  S/S]]</f>
        <v>122</v>
      </c>
      <c r="T246" s="9">
        <f>TABL123[[#This Row],[(S/S TOT) AJD]]+TABL123[[#This Row],[(T/B TOT) AJD]]</f>
        <v>816</v>
      </c>
      <c r="U246" s="44">
        <v>583</v>
      </c>
      <c r="V246" s="44">
        <v>308</v>
      </c>
      <c r="W246" s="9">
        <f>TABL123[[#This Row],[(A/B TOT) AJD]]+TABL123[[#This Row],[(A/S TOT)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91">
        <f>TABL123[[#This Row],[( S/S+T/B) AJD]]-(TABL123[[#This Row],[(A/B + A/S) AJD]]+(TABL123[[#This Row],[(STORGE DIFF.) AJD]]*1000)+TABL123[[#This Row],[البخر  AJD]])</f>
        <v>126237</v>
      </c>
      <c r="AE246" s="75">
        <v>89</v>
      </c>
      <c r="AF246" s="75">
        <v>58.829000000000001</v>
      </c>
      <c r="AG246" s="75">
        <v>1510881</v>
      </c>
      <c r="AH246" s="45">
        <v>3102</v>
      </c>
      <c r="AI246" s="45">
        <v>3102</v>
      </c>
      <c r="AJ246" s="86">
        <f>TABL123[[#This Row],[(A/B TOT) AJD]]-TABL123[[#This Row],[BER_ IN]]</f>
        <v>494</v>
      </c>
      <c r="AK246" s="75">
        <v>42</v>
      </c>
      <c r="AL246" s="96">
        <v>43.122999999999998</v>
      </c>
      <c r="AM246" s="96">
        <v>3175280</v>
      </c>
      <c r="AN246" s="96">
        <f>TABL123[[#This Row],[ (RESV. STORGE) SER]]/10</f>
        <v>317528</v>
      </c>
      <c r="AO246" s="45">
        <v>2015</v>
      </c>
      <c r="AP246" s="32">
        <f>TABL123[[#This Row],[(A/S TOT) AJD]]-TABL123[[#This Row],[SER_ 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Row],[خط (T/B  TOT) SAR]]+TABL123[[#This Row],[خط (S/S  TOT) SAR2]]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Row],[خط (S/S  TOT) SAR2]]-TABL123[[#This Row],[(S/S TOT) AJD]]</f>
        <v>75</v>
      </c>
      <c r="Q247" s="39">
        <v>418</v>
      </c>
      <c r="R247" s="14">
        <f>TABL123[[#This Row],[خط (T/B  TOT) SAR]]-TABL123[[#This Row],[(T/B TOT) AJD]]</f>
        <v>57</v>
      </c>
      <c r="S247" s="14">
        <f>TABL123[[#This Row],[الفرق بين بداية ونهاية خط  T/B]]+TABL123[[#This Row],[الفرق بين بداية ونهاية خط  S/S]]</f>
        <v>132</v>
      </c>
      <c r="T247" s="9">
        <f>TABL123[[#This Row],[(S/S TOT) AJD]]+TABL123[[#This Row],[(T/B TOT) AJD]]</f>
        <v>803</v>
      </c>
      <c r="U247" s="41">
        <v>600</v>
      </c>
      <c r="V247" s="41">
        <v>287</v>
      </c>
      <c r="W247" s="9">
        <f>TABL123[[#This Row],[(A/B TOT) AJD]]+TABL123[[#This Row],[(A/S TOT)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91">
        <f>TABL123[[#This Row],[( S/S+T/B) AJD]]-(TABL123[[#This Row],[(A/B + A/S) AJD]]+(TABL123[[#This Row],[(STORGE DIFF.) AJD]]*1000)+TABL123[[#This Row],[البخر  AJD]])</f>
        <v>107961</v>
      </c>
      <c r="AE247" s="75">
        <v>80</v>
      </c>
      <c r="AF247" s="75">
        <v>58.83</v>
      </c>
      <c r="AG247" s="75">
        <v>1511540</v>
      </c>
      <c r="AH247" s="43">
        <v>2981</v>
      </c>
      <c r="AI247" s="43">
        <v>2981</v>
      </c>
      <c r="AJ247" s="86">
        <f>TABL123[[#This Row],[(A/B TOT) AJD]]-TABL123[[#This Row],[BER_ IN]]</f>
        <v>520</v>
      </c>
      <c r="AK247" s="75">
        <v>16</v>
      </c>
      <c r="AL247" s="96">
        <v>43.104399999999998</v>
      </c>
      <c r="AM247" s="96">
        <v>31664010</v>
      </c>
      <c r="AN247" s="96">
        <f>TABL123[[#This Row],[ (RESV. STORGE) SER]]/10</f>
        <v>3166401</v>
      </c>
      <c r="AO247" s="43">
        <v>2010</v>
      </c>
      <c r="AP247" s="32">
        <f>TABL123[[#This Row],[(A/S TOT) AJD]]-TABL123[[#This Row],[SER_ 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Row],[خط (T/B  TOT) SAR]]+TABL123[[#This Row],[خط (S/S  TOT) SAR2]]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Row],[خط (S/S  TOT) SAR2]]-TABL123[[#This Row],[(S/S TOT) AJD]]</f>
        <v>102</v>
      </c>
      <c r="Q248" s="40">
        <v>422</v>
      </c>
      <c r="R248" s="14">
        <f>TABL123[[#This Row],[خط (T/B  TOT) SAR]]-TABL123[[#This Row],[(T/B TOT) AJD]]</f>
        <v>88</v>
      </c>
      <c r="S248" s="14">
        <f>TABL123[[#This Row],[الفرق بين بداية ونهاية خط  T/B]]+TABL123[[#This Row],[الفرق بين بداية ونهاية خط  S/S]]</f>
        <v>190</v>
      </c>
      <c r="T248" s="9">
        <f>TABL123[[#This Row],[(S/S TOT) AJD]]+TABL123[[#This Row],[(T/B TOT) AJD]]</f>
        <v>810</v>
      </c>
      <c r="U248" s="44">
        <v>576</v>
      </c>
      <c r="V248" s="44">
        <v>272</v>
      </c>
      <c r="W248" s="9">
        <f>TABL123[[#This Row],[(A/B TOT) AJD]]+TABL123[[#This Row],[(A/S TOT)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91">
        <f>TABL123[[#This Row],[( S/S+T/B) AJD]]-(TABL123[[#This Row],[(A/B + A/S) AJD]]+(TABL123[[#This Row],[(STORGE DIFF.) AJD]]*1000)+TABL123[[#This Row],[البخر  AJD]])</f>
        <v>56298</v>
      </c>
      <c r="AE248" s="75">
        <v>56</v>
      </c>
      <c r="AF248" s="75">
        <v>58.787999999999997</v>
      </c>
      <c r="AG248" s="75">
        <v>1483850</v>
      </c>
      <c r="AH248" s="45">
        <v>2979</v>
      </c>
      <c r="AI248" s="45">
        <v>2979</v>
      </c>
      <c r="AJ248" s="86">
        <f>TABL123[[#This Row],[(A/B TOT) AJD]]-TABL123[[#This Row],[BER_ IN]]</f>
        <v>520</v>
      </c>
      <c r="AK248" s="75">
        <v>0</v>
      </c>
      <c r="AL248" s="96">
        <v>43.0627</v>
      </c>
      <c r="AM248" s="96">
        <v>3142146</v>
      </c>
      <c r="AN248" s="96">
        <f>TABL123[[#This Row],[ (RESV. STORGE) SER]]/10</f>
        <v>314214.59999999998</v>
      </c>
      <c r="AO248" s="45">
        <v>2035</v>
      </c>
      <c r="AP248" s="32">
        <f>TABL123[[#This Row],[(A/S TOT) AJD]]-TABL123[[#This Row],[SER_ 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Row],[خط (T/B  TOT) SAR]]+TABL123[[#This Row],[خط (S/S  TOT) SAR2]]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Row],[خط (S/S  TOT) SAR2]]-TABL123[[#This Row],[(S/S TOT) AJD]]</f>
        <v>92</v>
      </c>
      <c r="Q249" s="39">
        <v>440</v>
      </c>
      <c r="R249" s="14">
        <f>TABL123[[#This Row],[خط (T/B  TOT) SAR]]-TABL123[[#This Row],[(T/B TOT) AJD]]</f>
        <v>70</v>
      </c>
      <c r="S249" s="14">
        <f>TABL123[[#This Row],[الفرق بين بداية ونهاية خط  T/B]]+TABL123[[#This Row],[الفرق بين بداية ونهاية خط  S/S]]</f>
        <v>162</v>
      </c>
      <c r="T249" s="9">
        <f>TABL123[[#This Row],[(S/S TOT) AJD]]+TABL123[[#This Row],[(T/B TOT) AJD]]</f>
        <v>843</v>
      </c>
      <c r="U249" s="41">
        <v>568</v>
      </c>
      <c r="V249" s="41">
        <v>267</v>
      </c>
      <c r="W249" s="9">
        <f>TABL123[[#This Row],[(A/B TOT) AJD]]+TABL123[[#This Row],[(A/S TOT)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91">
        <f>TABL123[[#This Row],[( S/S+T/B) AJD]]-(TABL123[[#This Row],[(A/B + A/S) AJD]]+(TABL123[[#This Row],[(STORGE DIFF.) AJD]]*1000)+TABL123[[#This Row],[البخر  AJD]])</f>
        <v>8765</v>
      </c>
      <c r="AE249" s="75">
        <v>50</v>
      </c>
      <c r="AF249" s="75">
        <v>58.738</v>
      </c>
      <c r="AG249" s="75">
        <v>1450973</v>
      </c>
      <c r="AH249" s="43">
        <v>3227</v>
      </c>
      <c r="AI249" s="43">
        <v>3227</v>
      </c>
      <c r="AJ249" s="86">
        <f>TABL123[[#This Row],[(A/B TOT) AJD]]-TABL123[[#This Row],[BER_ IN]]</f>
        <v>518</v>
      </c>
      <c r="AK249" s="75">
        <v>0</v>
      </c>
      <c r="AL249" s="96">
        <v>43.034500000000001</v>
      </c>
      <c r="AM249" s="96">
        <v>3126610</v>
      </c>
      <c r="AN249" s="96">
        <f>TABL123[[#This Row],[ (RESV. STORGE) SER]]/10</f>
        <v>312661</v>
      </c>
      <c r="AO249" s="43">
        <v>2015</v>
      </c>
      <c r="AP249" s="32">
        <f>TABL123[[#This Row],[(A/S TOT) AJD]]-TABL123[[#This Row],[SER_ 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Row],[خط (T/B  TOT) SAR]]+TABL123[[#This Row],[خط (S/S  TOT) SAR2]]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Row],[خط (S/S  TOT) SAR2]]-TABL123[[#This Row],[(S/S TOT) AJD]]</f>
        <v>77</v>
      </c>
      <c r="Q250" s="40">
        <v>453</v>
      </c>
      <c r="R250" s="9">
        <f>TABL123[[#This Row],[خط (T/B  TOT) SAR]]-TABL123[[#This Row],[(T/B TOT) AJD]]</f>
        <v>57</v>
      </c>
      <c r="S250" s="9">
        <f>TABL123[[#This Row],[الفرق بين بداية ونهاية خط  T/B]]+TABL123[[#This Row],[الفرق بين بداية ونهاية خط  S/S]]</f>
        <v>134</v>
      </c>
      <c r="T250" s="9">
        <f>TABL123[[#This Row],[(S/S TOT) AJD]]+TABL123[[#This Row],[(T/B TOT) AJD]]</f>
        <v>871</v>
      </c>
      <c r="U250" s="44">
        <v>558</v>
      </c>
      <c r="V250" s="44">
        <v>250</v>
      </c>
      <c r="W250" s="9">
        <f>TABL123[[#This Row],[(A/B TOT) AJD]]+TABL123[[#This Row],[(A/S TOT)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91">
        <f>TABL123[[#This Row],[( S/S+T/B) AJD]]-(TABL123[[#This Row],[(A/B + A/S) AJD]]+(TABL123[[#This Row],[(STORGE DIFF.) AJD]]*1000)+TABL123[[#This Row],[البخر  AJD]])</f>
        <v>-34072</v>
      </c>
      <c r="AE250" s="75">
        <v>50</v>
      </c>
      <c r="AF250" s="75">
        <v>58.723999999999997</v>
      </c>
      <c r="AG250" s="75">
        <v>1441762</v>
      </c>
      <c r="AH250" s="45">
        <v>2770</v>
      </c>
      <c r="AI250" s="45">
        <v>2770</v>
      </c>
      <c r="AJ250" s="86">
        <f>TABL123[[#This Row],[(A/B TOT) AJD]]-TABL123[[#This Row],[BER_ IN]]</f>
        <v>508</v>
      </c>
      <c r="AK250" s="75">
        <v>0</v>
      </c>
      <c r="AL250" s="96">
        <v>42.995699999999999</v>
      </c>
      <c r="AM250" s="96">
        <v>3106040</v>
      </c>
      <c r="AN250" s="96">
        <f>TABL123[[#This Row],[ (RESV. STORGE) SER]]/10</f>
        <v>310604</v>
      </c>
      <c r="AO250" s="45">
        <v>2010</v>
      </c>
      <c r="AP250" s="32">
        <f>TABL123[[#This Row],[(A/S TOT) AJD]]-TABL123[[#This Row],[SER_ 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Row],[خط (T/B  TOT) SAR]]+TABL123[[#This Row],[خط (S/S  TOT) SAR2]]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Row],[خط (S/S  TOT) SAR2]]-TABL123[[#This Row],[(S/S TOT) AJD]]</f>
        <v>67</v>
      </c>
      <c r="Q251" s="39">
        <v>450</v>
      </c>
      <c r="R251" s="9">
        <f>TABL123[[#This Row],[خط (T/B  TOT) SAR]]-TABL123[[#This Row],[(T/B TOT) AJD]]</f>
        <v>62</v>
      </c>
      <c r="S251" s="9">
        <f>TABL123[[#This Row],[الفرق بين بداية ونهاية خط  T/B]]+TABL123[[#This Row],[الفرق بين بداية ونهاية خط  S/S]]</f>
        <v>129</v>
      </c>
      <c r="T251" s="9">
        <f>TABL123[[#This Row],[(S/S TOT) AJD]]+TABL123[[#This Row],[(T/B TOT) AJD]]</f>
        <v>881</v>
      </c>
      <c r="U251" s="41">
        <v>563</v>
      </c>
      <c r="V251" s="41">
        <v>257</v>
      </c>
      <c r="W251" s="9">
        <f>TABL123[[#This Row],[(A/B TOT) AJD]]+TABL123[[#This Row],[(A/S TOT)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91">
        <f>TABL123[[#This Row],[( S/S+T/B) AJD]]-(TABL123[[#This Row],[(A/B + A/S) AJD]]+(TABL123[[#This Row],[(STORGE DIFF.) AJD]]*1000)+TABL123[[#This Row],[البخر  AJD]])</f>
        <v>-27434</v>
      </c>
      <c r="AE251" s="75">
        <v>50</v>
      </c>
      <c r="AF251" s="75">
        <v>58.701000000000001</v>
      </c>
      <c r="AG251" s="75">
        <v>1426635</v>
      </c>
      <c r="AH251" s="43">
        <v>2877</v>
      </c>
      <c r="AI251" s="43">
        <v>2877</v>
      </c>
      <c r="AJ251" s="86">
        <f>TABL123[[#This Row],[(A/B TOT) AJD]]-TABL123[[#This Row],[BER_ IN]]</f>
        <v>513</v>
      </c>
      <c r="AK251" s="75">
        <v>0</v>
      </c>
      <c r="AL251" s="96">
        <v>42.906399999999998</v>
      </c>
      <c r="AM251" s="96">
        <v>3057400</v>
      </c>
      <c r="AN251" s="96">
        <f>TABL123[[#This Row],[ (RESV. STORGE) SER]]/10</f>
        <v>305740</v>
      </c>
      <c r="AO251" s="43">
        <v>2015</v>
      </c>
      <c r="AP251" s="32">
        <f>TABL123[[#This Row],[(A/S TOT) AJD]]-TABL123[[#This Row],[SER_ 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Row],[خط (T/B  TOT) SAR]]+TABL123[[#This Row],[خط (S/S  TOT) SAR2]]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Row],[خط (S/S  TOT) SAR2]]-TABL123[[#This Row],[(S/S TOT) AJD]]</f>
        <v>79</v>
      </c>
      <c r="Q252" s="40">
        <v>458</v>
      </c>
      <c r="R252" s="9">
        <f>TABL123[[#This Row],[خط (T/B  TOT) SAR]]-TABL123[[#This Row],[(T/B TOT) AJD]]</f>
        <v>57</v>
      </c>
      <c r="S252" s="9">
        <f>TABL123[[#This Row],[الفرق بين بداية ونهاية خط  T/B]]+TABL123[[#This Row],[الفرق بين بداية ونهاية خط  S/S]]</f>
        <v>136</v>
      </c>
      <c r="T252" s="9">
        <f>TABL123[[#This Row],[(S/S TOT) AJD]]+TABL123[[#This Row],[(T/B TOT) AJD]]</f>
        <v>884</v>
      </c>
      <c r="U252" s="44">
        <v>581</v>
      </c>
      <c r="V252" s="44">
        <v>273</v>
      </c>
      <c r="W252" s="9">
        <f>TABL123[[#This Row],[(A/B TOT) AJD]]+TABL123[[#This Row],[(A/S TOT)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91">
        <f>TABL123[[#This Row],[( S/S+T/B) AJD]]-(TABL123[[#This Row],[(A/B + A/S) AJD]]+(TABL123[[#This Row],[(STORGE DIFF.) AJD]]*1000)+TABL123[[#This Row],[البخر  AJD]])</f>
        <v>-852</v>
      </c>
      <c r="AE252" s="75">
        <v>50</v>
      </c>
      <c r="AF252" s="75">
        <v>58.651000000000003</v>
      </c>
      <c r="AG252" s="75">
        <v>1393764</v>
      </c>
      <c r="AH252" s="45">
        <v>3190</v>
      </c>
      <c r="AI252" s="45">
        <v>3190</v>
      </c>
      <c r="AJ252" s="86">
        <f>TABL123[[#This Row],[(A/B TOT) AJD]]-TABL123[[#This Row],[BER_ IN]]</f>
        <v>531</v>
      </c>
      <c r="AK252" s="75">
        <v>0</v>
      </c>
      <c r="AL252" s="96">
        <v>42.828499999999998</v>
      </c>
      <c r="AM252" s="96">
        <v>3015620</v>
      </c>
      <c r="AN252" s="96">
        <f>TABL123[[#This Row],[ (RESV. STORGE) SER]]/10</f>
        <v>301562</v>
      </c>
      <c r="AO252" s="45">
        <v>2018</v>
      </c>
      <c r="AP252" s="32">
        <f>TABL123[[#This Row],[(A/S TOT) AJD]]-TABL123[[#This Row],[SER_ 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Row],[خط (T/B  TOT) SAR]]+TABL123[[#This Row],[خط (S/S  TOT) SAR2]]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Row],[خط (S/S  TOT) SAR2]]-TABL123[[#This Row],[(S/S TOT) AJD]]</f>
        <v>78</v>
      </c>
      <c r="Q253" s="39">
        <v>458</v>
      </c>
      <c r="R253" s="9">
        <f>TABL123[[#This Row],[خط (T/B  TOT) SAR]]-TABL123[[#This Row],[(T/B TOT) AJD]]</f>
        <v>57</v>
      </c>
      <c r="S253" s="9">
        <f>TABL123[[#This Row],[الفرق بين بداية ونهاية خط  T/B]]+TABL123[[#This Row],[الفرق بين بداية ونهاية خط  S/S]]</f>
        <v>135</v>
      </c>
      <c r="T253" s="9">
        <f>TABL123[[#This Row],[(S/S TOT) AJD]]+TABL123[[#This Row],[(T/B TOT) AJD]]</f>
        <v>885</v>
      </c>
      <c r="U253" s="41">
        <v>558</v>
      </c>
      <c r="V253" s="41">
        <v>260</v>
      </c>
      <c r="W253" s="9">
        <f>TABL123[[#This Row],[(A/B TOT) AJD]]+TABL123[[#This Row],[(A/S TOT)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91">
        <f>TABL123[[#This Row],[( S/S+T/B) AJD]]-(TABL123[[#This Row],[(A/B + A/S) AJD]]+(TABL123[[#This Row],[(STORGE DIFF.) AJD]]*1000)+TABL123[[#This Row],[البخر  AJD]])</f>
        <v>-45094</v>
      </c>
      <c r="AE253" s="75">
        <v>50</v>
      </c>
      <c r="AF253" s="75">
        <v>58.607999999999997</v>
      </c>
      <c r="AG253" s="75">
        <v>1365513</v>
      </c>
      <c r="AH253" s="43">
        <v>2721</v>
      </c>
      <c r="AI253" s="43">
        <v>2721</v>
      </c>
      <c r="AJ253" s="86">
        <f>TABL123[[#This Row],[(A/B TOT) AJD]]-TABL123[[#This Row],[BER_ IN]]</f>
        <v>508</v>
      </c>
      <c r="AK253" s="75">
        <v>0</v>
      </c>
      <c r="AL253" s="96">
        <v>42.805300000000003</v>
      </c>
      <c r="AM253" s="96">
        <v>3002832</v>
      </c>
      <c r="AN253" s="96">
        <f>TABL123[[#This Row],[ (RESV. STORGE) SER]]/10</f>
        <v>300283.2</v>
      </c>
      <c r="AO253" s="43">
        <v>2000</v>
      </c>
      <c r="AP253" s="32">
        <f>TABL123[[#This Row],[(A/S TOT) AJD]]-TABL123[[#This Row],[SER_ 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Row],[خط (T/B  TOT) SAR]]+TABL123[[#This Row],[خط (S/S  TOT) SAR2]]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Row],[خط (S/S  TOT) SAR2]]-TABL123[[#This Row],[(S/S TOT) AJD]]</f>
        <v>75</v>
      </c>
      <c r="Q254" s="40">
        <v>455</v>
      </c>
      <c r="R254" s="9">
        <f>TABL123[[#This Row],[خط (T/B  TOT) SAR]]-TABL123[[#This Row],[(T/B TOT) AJD]]</f>
        <v>55</v>
      </c>
      <c r="S254" s="9">
        <f>TABL123[[#This Row],[الفرق بين بداية ونهاية خط  T/B]]+TABL123[[#This Row],[الفرق بين بداية ونهاية خط  S/S]]</f>
        <v>130</v>
      </c>
      <c r="T254" s="9">
        <f>TABL123[[#This Row],[(S/S TOT) AJD]]+TABL123[[#This Row],[(T/B TOT) AJD]]</f>
        <v>877</v>
      </c>
      <c r="U254" s="44">
        <v>557</v>
      </c>
      <c r="V254" s="44">
        <v>225</v>
      </c>
      <c r="W254" s="9">
        <f>TABL123[[#This Row],[(A/B TOT) AJD]]+TABL123[[#This Row],[(A/S TOT)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91">
        <f>TABL123[[#This Row],[( S/S+T/B) AJD]]-(TABL123[[#This Row],[(A/B + A/S) AJD]]+(TABL123[[#This Row],[(STORGE DIFF.) AJD]]*1000)+TABL123[[#This Row],[البخر  AJD]])</f>
        <v>-76704</v>
      </c>
      <c r="AE254" s="75">
        <v>50</v>
      </c>
      <c r="AF254" s="75">
        <v>58.573999999999998</v>
      </c>
      <c r="AG254" s="75">
        <v>1343186</v>
      </c>
      <c r="AH254" s="45">
        <v>2646</v>
      </c>
      <c r="AI254" s="45">
        <v>2646</v>
      </c>
      <c r="AJ254" s="86">
        <f>TABL123[[#This Row],[(A/B TOT) AJD]]-TABL123[[#This Row],[BER_ IN]]</f>
        <v>507</v>
      </c>
      <c r="AK254" s="75">
        <v>0</v>
      </c>
      <c r="AL254" s="96">
        <v>42.728099999999998</v>
      </c>
      <c r="AM254" s="96">
        <v>2961303</v>
      </c>
      <c r="AN254" s="96">
        <f>TABL123[[#This Row],[ (RESV. STORGE) SER]]/10</f>
        <v>296130.3</v>
      </c>
      <c r="AO254" s="45">
        <v>2010</v>
      </c>
      <c r="AP254" s="32">
        <f>TABL123[[#This Row],[(A/S TOT) AJD]]-TABL123[[#This Row],[SER_ 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Row],[خط (T/B  TOT) SAR]]+TABL123[[#This Row],[خط (S/S  TOT) SAR2]]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Row],[خط (S/S  TOT) SAR2]]-TABL123[[#This Row],[(S/S TOT) AJD]]</f>
        <v>55</v>
      </c>
      <c r="Q255" s="39">
        <v>448</v>
      </c>
      <c r="R255" s="9">
        <f>TABL123[[#This Row],[خط (T/B  TOT) SAR]]-TABL123[[#This Row],[(T/B TOT) AJD]]</f>
        <v>37</v>
      </c>
      <c r="S255" s="9">
        <f>TABL123[[#This Row],[الفرق بين بداية ونهاية خط  T/B]]+TABL123[[#This Row],[الفرق بين بداية ونهاية خط  S/S]]</f>
        <v>92</v>
      </c>
      <c r="T255" s="9">
        <f>TABL123[[#This Row],[(S/S TOT) AJD]]+TABL123[[#This Row],[(T/B TOT) AJD]]</f>
        <v>863</v>
      </c>
      <c r="U255" s="41">
        <v>573</v>
      </c>
      <c r="V255" s="41">
        <v>236</v>
      </c>
      <c r="W255" s="9">
        <f>TABL123[[#This Row],[(A/B TOT) AJD]]+TABL123[[#This Row],[(A/S TOT)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91">
        <f>TABL123[[#This Row],[( S/S+T/B) AJD]]-(TABL123[[#This Row],[(A/B + A/S) AJD]]+(TABL123[[#This Row],[(STORGE DIFF.) AJD]]*1000)+TABL123[[#This Row],[البخر  AJD]])</f>
        <v>-29146</v>
      </c>
      <c r="AE255" s="75">
        <v>50</v>
      </c>
      <c r="AF255" s="75">
        <v>58.524000000000001</v>
      </c>
      <c r="AG255" s="75">
        <v>1310371</v>
      </c>
      <c r="AH255" s="43">
        <v>3135</v>
      </c>
      <c r="AI255" s="43">
        <v>3135</v>
      </c>
      <c r="AJ255" s="86">
        <f>TABL123[[#This Row],[(A/B TOT) AJD]]-TABL123[[#This Row],[BER_ IN]]</f>
        <v>523</v>
      </c>
      <c r="AK255" s="75">
        <v>0</v>
      </c>
      <c r="AL255" s="96">
        <v>42.695999999999998</v>
      </c>
      <c r="AM255" s="96">
        <v>2945137</v>
      </c>
      <c r="AN255" s="96">
        <f>TABL123[[#This Row],[ (RESV. STORGE) SER]]/10</f>
        <v>294513.7</v>
      </c>
      <c r="AO255" s="43">
        <v>1980</v>
      </c>
      <c r="AP255" s="32">
        <f>TABL123[[#This Row],[(A/S TOT) AJD]]-TABL123[[#This Row],[SER_ 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Row],[خط (T/B  TOT) SAR]]+TABL123[[#This Row],[خط (S/S  TOT) SAR2]]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Row],[خط (S/S  TOT) SAR2]]-TABL123[[#This Row],[(S/S TOT) AJD]]</f>
        <v>85</v>
      </c>
      <c r="Q256" s="40">
        <v>423</v>
      </c>
      <c r="R256" s="9">
        <f>TABL123[[#This Row],[خط (T/B  TOT) SAR]]-TABL123[[#This Row],[(T/B TOT) AJD]]</f>
        <v>62</v>
      </c>
      <c r="S256" s="9">
        <f>TABL123[[#This Row],[الفرق بين بداية ونهاية خط  T/B]]+TABL123[[#This Row],[الفرق بين بداية ونهاية خط  S/S]]</f>
        <v>147</v>
      </c>
      <c r="T256" s="9">
        <f>TABL123[[#This Row],[(S/S TOT) AJD]]+TABL123[[#This Row],[(T/B TOT) AJD]]</f>
        <v>813</v>
      </c>
      <c r="U256" s="44">
        <v>564</v>
      </c>
      <c r="V256" s="44">
        <v>236</v>
      </c>
      <c r="W256" s="9">
        <f>TABL123[[#This Row],[(A/B TOT) AJD]]+TABL123[[#This Row],[(A/S TOT)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91">
        <f>TABL123[[#This Row],[( S/S+T/B) AJD]]-(TABL123[[#This Row],[(A/B + A/S) AJD]]+(TABL123[[#This Row],[(STORGE DIFF.) AJD]]*1000)+TABL123[[#This Row],[البخر  AJD]])</f>
        <v>7719</v>
      </c>
      <c r="AE256" s="75">
        <v>50</v>
      </c>
      <c r="AF256" s="75">
        <v>58.473999999999997</v>
      </c>
      <c r="AG256" s="75">
        <v>1277577</v>
      </c>
      <c r="AH256" s="45">
        <v>3114</v>
      </c>
      <c r="AI256" s="45">
        <v>3114</v>
      </c>
      <c r="AJ256" s="86">
        <f>TABL123[[#This Row],[(A/B TOT) AJD]]-TABL123[[#This Row],[BER_ IN]]</f>
        <v>514</v>
      </c>
      <c r="AK256" s="75">
        <v>0</v>
      </c>
      <c r="AL256" s="96">
        <v>42.651800000000001</v>
      </c>
      <c r="AM256" s="96">
        <v>2920698</v>
      </c>
      <c r="AN256" s="96">
        <f>TABL123[[#This Row],[ (RESV. STORGE) SER]]/10</f>
        <v>292069.8</v>
      </c>
      <c r="AO256" s="45">
        <v>1935</v>
      </c>
      <c r="AP256" s="32">
        <f>TABL123[[#This Row],[(A/S TOT) AJD]]-TABL123[[#This Row],[SER_ 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Row],[خط (T/B  TOT) SAR]]+TABL123[[#This Row],[خط (S/S  TOT) SAR2]]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Row],[خط (S/S  TOT) SAR2]]-TABL123[[#This Row],[(S/S TOT) AJD]]</f>
        <v>52</v>
      </c>
      <c r="Q257" s="39">
        <v>389</v>
      </c>
      <c r="R257" s="9">
        <f>TABL123[[#This Row],[خط (T/B  TOT) SAR]]-TABL123[[#This Row],[(T/B TOT) AJD]]</f>
        <v>93</v>
      </c>
      <c r="S257" s="9">
        <f>TABL123[[#This Row],[الفرق بين بداية ونهاية خط  T/B]]+TABL123[[#This Row],[الفرق بين بداية ونهاية خط  S/S]]</f>
        <v>145</v>
      </c>
      <c r="T257" s="9">
        <f>TABL123[[#This Row],[(S/S TOT) AJD]]+TABL123[[#This Row],[(T/B TOT) AJD]]</f>
        <v>809</v>
      </c>
      <c r="U257" s="41">
        <v>534</v>
      </c>
      <c r="V257" s="41">
        <v>209</v>
      </c>
      <c r="W257" s="9">
        <f>TABL123[[#This Row],[(A/B TOT) AJD]]+TABL123[[#This Row],[(A/S TOT)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91">
        <f>TABL123[[#This Row],[( S/S+T/B) AJD]]-(TABL123[[#This Row],[(A/B + A/S) AJD]]+(TABL123[[#This Row],[(STORGE DIFF.) AJD]]*1000)+TABL123[[#This Row],[البخر  AJD]])</f>
        <v>-41814</v>
      </c>
      <c r="AE257" s="75">
        <v>50</v>
      </c>
      <c r="AF257" s="75">
        <v>58.454999999999998</v>
      </c>
      <c r="AG257" s="75">
        <v>1265121</v>
      </c>
      <c r="AH257" s="43">
        <v>2696</v>
      </c>
      <c r="AI257" s="43">
        <v>2696</v>
      </c>
      <c r="AJ257" s="86">
        <f>TABL123[[#This Row],[(A/B TOT) AJD]]-TABL123[[#This Row],[BER_ IN]]</f>
        <v>484</v>
      </c>
      <c r="AK257" s="75">
        <v>0</v>
      </c>
      <c r="AL257" s="96">
        <v>42.598100000000002</v>
      </c>
      <c r="AM257" s="96">
        <v>2891290</v>
      </c>
      <c r="AN257" s="96">
        <f>TABL123[[#This Row],[ (RESV. STORGE) SER]]/10</f>
        <v>289129</v>
      </c>
      <c r="AO257" s="43">
        <v>1955</v>
      </c>
      <c r="AP257" s="32">
        <f>TABL123[[#This Row],[(A/S TOT) AJD]]-TABL123[[#This Row],[SER_ 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Row],[خط (T/B  TOT) SAR]]+TABL123[[#This Row],[خط (S/S  TOT) SAR2]]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Row],[خط (S/S  TOT) SAR2]]-TABL123[[#This Row],[(S/S TOT) AJD]]</f>
        <v>98</v>
      </c>
      <c r="Q258" s="40">
        <v>420</v>
      </c>
      <c r="R258" s="9">
        <f>TABL123[[#This Row],[خط (T/B  TOT) SAR]]-TABL123[[#This Row],[(T/B TOT) AJD]]</f>
        <v>58</v>
      </c>
      <c r="S258" s="9">
        <f>TABL123[[#This Row],[الفرق بين بداية ونهاية خط  T/B]]+TABL123[[#This Row],[الفرق بين بداية ونهاية خط  S/S]]</f>
        <v>156</v>
      </c>
      <c r="T258" s="9">
        <f>TABL123[[#This Row],[(S/S TOT) AJD]]+TABL123[[#This Row],[(T/B TOT) AJD]]</f>
        <v>808</v>
      </c>
      <c r="U258" s="44">
        <v>570</v>
      </c>
      <c r="V258" s="44">
        <v>201</v>
      </c>
      <c r="W258" s="9">
        <f>TABL123[[#This Row],[(A/B TOT) AJD]]+TABL123[[#This Row],[(A/S TOT)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91">
        <f>TABL123[[#This Row],[( S/S+T/B) AJD]]-(TABL123[[#This Row],[(A/B + A/S) AJD]]+(TABL123[[#This Row],[(STORGE DIFF.) AJD]]*1000)+TABL123[[#This Row],[البخر  AJD]])</f>
        <v>-10441</v>
      </c>
      <c r="AE258" s="75">
        <v>50</v>
      </c>
      <c r="AF258" s="75">
        <v>58.405999999999999</v>
      </c>
      <c r="AG258" s="75">
        <v>1233011</v>
      </c>
      <c r="AH258" s="45">
        <v>2429</v>
      </c>
      <c r="AI258" s="45">
        <v>2429</v>
      </c>
      <c r="AJ258" s="86">
        <f>TABL123[[#This Row],[(A/B TOT) AJD]]-TABL123[[#This Row],[BER_ IN]]</f>
        <v>520</v>
      </c>
      <c r="AK258" s="75">
        <v>0</v>
      </c>
      <c r="AL258" s="96">
        <v>42.539400000000001</v>
      </c>
      <c r="AM258" s="96">
        <v>2860540</v>
      </c>
      <c r="AN258" s="96">
        <f>TABL123[[#This Row],[ (RESV. STORGE) SER]]/10</f>
        <v>286054</v>
      </c>
      <c r="AO258" s="45">
        <v>1960</v>
      </c>
      <c r="AP258" s="32">
        <f>TABL123[[#This Row],[(A/S TOT) AJD]]-TABL123[[#This Row],[SER_ 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Row],[خط (T/B  TOT) SAR]]+TABL123[[#This Row],[خط (S/S  TOT) SAR2]]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Row],[خط (S/S  TOT) SAR2]]-TABL123[[#This Row],[(S/S TOT) AJD]]</f>
        <v>-118</v>
      </c>
      <c r="Q259" s="39">
        <v>421</v>
      </c>
      <c r="R259" s="9">
        <f>TABL123[[#This Row],[خط (T/B  TOT) SAR]]-TABL123[[#This Row],[(T/B TOT) AJD]]</f>
        <v>-141</v>
      </c>
      <c r="S259" s="9">
        <f>TABL123[[#This Row],[الفرق بين بداية ونهاية خط  T/B]]+TABL123[[#This Row],[الفرق بين بداية ونهاية خط  S/S]]</f>
        <v>-259</v>
      </c>
      <c r="T259" s="9">
        <f>TABL123[[#This Row],[(S/S TOT) AJD]]+TABL123[[#This Row],[(T/B TOT) AJD]]</f>
        <v>809</v>
      </c>
      <c r="U259" s="41">
        <v>522</v>
      </c>
      <c r="V259" s="41">
        <v>192</v>
      </c>
      <c r="W259" s="9">
        <f>TABL123[[#This Row],[(A/B TOT) AJD]]+TABL123[[#This Row],[(A/S TOT)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91">
        <f>TABL123[[#This Row],[( S/S+T/B) AJD]]-(TABL123[[#This Row],[(A/B + A/S) AJD]]+(TABL123[[#This Row],[(STORGE DIFF.) AJD]]*1000)+TABL123[[#This Row],[البخر  AJD]])</f>
        <v>-68818</v>
      </c>
      <c r="AE259" s="75">
        <v>50</v>
      </c>
      <c r="AF259" s="75">
        <v>58.433</v>
      </c>
      <c r="AG259" s="75">
        <v>1250702</v>
      </c>
      <c r="AH259" s="43">
        <v>2706</v>
      </c>
      <c r="AI259" s="43">
        <v>2706</v>
      </c>
      <c r="AJ259" s="86">
        <f>TABL123[[#This Row],[(A/B TOT) AJD]]-TABL123[[#This Row],[BER_ IN]]</f>
        <v>472</v>
      </c>
      <c r="AK259" s="75">
        <v>0</v>
      </c>
      <c r="AL259" s="96">
        <v>42.4998</v>
      </c>
      <c r="AM259" s="96">
        <v>2838760</v>
      </c>
      <c r="AN259" s="96">
        <f>TABL123[[#This Row],[ (RESV. STORGE) SER]]/10</f>
        <v>283876</v>
      </c>
      <c r="AO259" s="43">
        <v>1900</v>
      </c>
      <c r="AP259" s="32">
        <f>TABL123[[#This Row],[(A/S TOT) AJD]]-TABL123[[#This Row],[SER_ 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Row],[خط (T/B  TOT) SAR]]+TABL123[[#This Row],[خط (S/S  TOT) SAR2]]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Row],[خط (S/S  TOT) SAR2]]-TABL123[[#This Row],[(S/S TOT) AJD]]</f>
        <v>111</v>
      </c>
      <c r="Q260" s="40">
        <v>382</v>
      </c>
      <c r="R260" s="9">
        <f>TABL123[[#This Row],[خط (T/B  TOT) SAR]]-TABL123[[#This Row],[(T/B TOT) AJD]]</f>
        <v>83</v>
      </c>
      <c r="S260" s="9">
        <f>TABL123[[#This Row],[الفرق بين بداية ونهاية خط  T/B]]+TABL123[[#This Row],[الفرق بين بداية ونهاية خط  S/S]]</f>
        <v>194</v>
      </c>
      <c r="T260" s="9">
        <f>TABL123[[#This Row],[(S/S TOT) AJD]]+TABL123[[#This Row],[(T/B TOT) AJD]]</f>
        <v>731</v>
      </c>
      <c r="U260" s="44">
        <v>536</v>
      </c>
      <c r="V260" s="44">
        <v>237</v>
      </c>
      <c r="W260" s="9">
        <f>TABL123[[#This Row],[(A/B TOT) AJD]]+TABL123[[#This Row],[(A/S TOT)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91">
        <f>TABL123[[#This Row],[( S/S+T/B) AJD]]-(TABL123[[#This Row],[(A/B + A/S) AJD]]+(TABL123[[#This Row],[(STORGE DIFF.) AJD]]*1000)+TABL123[[#This Row],[البخر  AJD]])</f>
        <v>64142</v>
      </c>
      <c r="AE260" s="75">
        <v>50</v>
      </c>
      <c r="AF260" s="75">
        <v>58.445999999999998</v>
      </c>
      <c r="AG260" s="75">
        <v>1259222</v>
      </c>
      <c r="AH260" s="45">
        <v>2470</v>
      </c>
      <c r="AI260" s="45">
        <v>2470</v>
      </c>
      <c r="AJ260" s="86">
        <f>TABL123[[#This Row],[(A/B TOT) AJD]]-TABL123[[#This Row],[BER_ IN]]</f>
        <v>486</v>
      </c>
      <c r="AK260" s="75">
        <v>0</v>
      </c>
      <c r="AL260" s="96">
        <v>42.476199999999999</v>
      </c>
      <c r="AM260" s="96">
        <v>2825714</v>
      </c>
      <c r="AN260" s="96">
        <f>TABL123[[#This Row],[ (RESV. STORGE) SER]]/10</f>
        <v>282571.40000000002</v>
      </c>
      <c r="AO260" s="45">
        <v>1870</v>
      </c>
      <c r="AP260" s="32">
        <f>TABL123[[#This Row],[(A/S TOT) AJD]]-TABL123[[#This Row],[SER_ 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Row],[خط (T/B  TOT) SAR]]+TABL123[[#This Row],[خط (S/S  TOT) SAR2]]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Row],[خط (S/S  TOT) SAR2]]-TABL123[[#This Row],[(S/S TOT) AJD]]</f>
        <v>94</v>
      </c>
      <c r="Q261" s="39">
        <v>425</v>
      </c>
      <c r="R261" s="9">
        <f>TABL123[[#This Row],[خط (T/B  TOT) SAR]]-TABL123[[#This Row],[(T/B TOT) AJD]]</f>
        <v>71</v>
      </c>
      <c r="S261" s="9">
        <f>TABL123[[#This Row],[الفرق بين بداية ونهاية خط  T/B]]+TABL123[[#This Row],[الفرق بين بداية ونهاية خط  S/S]]</f>
        <v>165</v>
      </c>
      <c r="T261" s="9">
        <f>TABL123[[#This Row],[(S/S TOT) AJD]]+TABL123[[#This Row],[(T/B TOT) AJD]]</f>
        <v>821</v>
      </c>
      <c r="U261" s="41">
        <v>570</v>
      </c>
      <c r="V261" s="41">
        <v>259</v>
      </c>
      <c r="W261" s="9">
        <f>TABL123[[#This Row],[(A/B TOT) AJD]]+TABL123[[#This Row],[(A/S TOT)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91">
        <f>TABL123[[#This Row],[( S/S+T/B) AJD]]-(TABL123[[#This Row],[(A/B + A/S) AJD]]+(TABL123[[#This Row],[(STORGE DIFF.) AJD]]*1000)+TABL123[[#This Row],[البخر  AJD]])</f>
        <v>35350</v>
      </c>
      <c r="AE261" s="75">
        <v>50</v>
      </c>
      <c r="AF261" s="75">
        <v>58.462000000000003</v>
      </c>
      <c r="AG261" s="75">
        <v>1259709</v>
      </c>
      <c r="AH261" s="43">
        <v>2992</v>
      </c>
      <c r="AI261" s="43">
        <v>2992</v>
      </c>
      <c r="AJ261" s="86">
        <f>TABL123[[#This Row],[(A/B TOT) AJD]]-TABL123[[#This Row],[BER_ IN]]</f>
        <v>520</v>
      </c>
      <c r="AK261" s="75">
        <v>8</v>
      </c>
      <c r="AL261" s="96">
        <v>42.4602</v>
      </c>
      <c r="AM261" s="96">
        <v>2817110</v>
      </c>
      <c r="AN261" s="96">
        <f>TABL123[[#This Row],[ (RESV. STORGE) SER]]/10</f>
        <v>281711</v>
      </c>
      <c r="AO261" s="43">
        <v>1804</v>
      </c>
      <c r="AP261" s="32">
        <f>TABL123[[#This Row],[(A/S TOT) AJD]]-TABL123[[#This Row],[SER_ 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Row],[خط (T/B  TOT) SAR]]+TABL123[[#This Row],[خط (S/S  TOT) SAR2]]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Row],[خط (S/S  TOT) SAR2]]-TABL123[[#This Row],[(S/S TOT) AJD]]</f>
        <v>82</v>
      </c>
      <c r="Q262" s="40">
        <v>441</v>
      </c>
      <c r="R262" s="9">
        <f>TABL123[[#This Row],[خط (T/B  TOT) SAR]]-TABL123[[#This Row],[(T/B TOT) AJD]]</f>
        <v>58</v>
      </c>
      <c r="S262" s="9">
        <f>TABL123[[#This Row],[الفرق بين بداية ونهاية خط  T/B]]+TABL123[[#This Row],[الفرق بين بداية ونهاية خط  S/S]]</f>
        <v>140</v>
      </c>
      <c r="T262" s="9">
        <f>TABL123[[#This Row],[(S/S TOT) AJD]]+TABL123[[#This Row],[(T/B TOT) AJD]]</f>
        <v>851</v>
      </c>
      <c r="U262" s="44">
        <v>566</v>
      </c>
      <c r="V262" s="44">
        <v>294</v>
      </c>
      <c r="W262" s="9">
        <f>TABL123[[#This Row],[(A/B TOT) AJD]]+TABL123[[#This Row],[(A/S TOT)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91">
        <f>TABL123[[#This Row],[( S/S+T/B) AJD]]-(TABL123[[#This Row],[(A/B + A/S) AJD]]+(TABL123[[#This Row],[(STORGE DIFF.) AJD]]*1000)+TABL123[[#This Row],[البخر  AJD]])</f>
        <v>40420</v>
      </c>
      <c r="AE262" s="75">
        <v>50</v>
      </c>
      <c r="AF262" s="75">
        <v>58474</v>
      </c>
      <c r="AG262" s="75">
        <v>1277577</v>
      </c>
      <c r="AH262" s="45">
        <v>2292</v>
      </c>
      <c r="AI262" s="45">
        <v>2292</v>
      </c>
      <c r="AJ262" s="86">
        <f>TABL123[[#This Row],[(A/B TOT) AJD]]-TABL123[[#This Row],[BER_ IN]]</f>
        <v>516</v>
      </c>
      <c r="AK262" s="75">
        <v>48</v>
      </c>
      <c r="AL262" s="96">
        <v>42.494900000000001</v>
      </c>
      <c r="AM262" s="96">
        <v>2835450</v>
      </c>
      <c r="AN262" s="96">
        <f>TABL123[[#This Row],[ (RESV. STORGE) SER]]/10</f>
        <v>283545</v>
      </c>
      <c r="AO262" s="45">
        <v>1860</v>
      </c>
      <c r="AP262" s="32">
        <f>TABL123[[#This Row],[(A/S TOT) AJD]]-TABL123[[#This Row],[SER_ 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Row],[خط (T/B  TOT) SAR]]+TABL123[[#This Row],[خط (S/S  TOT) SAR2]]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Row],[خط (S/S  TOT) SAR2]]-TABL123[[#This Row],[(S/S TOT) AJD]]</f>
        <v>79</v>
      </c>
      <c r="Q263" s="39">
        <v>442</v>
      </c>
      <c r="R263" s="9">
        <f>TABL123[[#This Row],[خط (T/B  TOT) SAR]]-TABL123[[#This Row],[(T/B TOT) AJD]]</f>
        <v>50</v>
      </c>
      <c r="S263" s="9">
        <f>TABL123[[#This Row],[الفرق بين بداية ونهاية خط  T/B]]+TABL123[[#This Row],[الفرق بين بداية ونهاية خط  S/S]]</f>
        <v>129</v>
      </c>
      <c r="T263" s="9">
        <f>TABL123[[#This Row],[(S/S TOT) AJD]]+TABL123[[#This Row],[(T/B TOT) AJD]]</f>
        <v>850</v>
      </c>
      <c r="U263" s="41">
        <v>571</v>
      </c>
      <c r="V263" s="41">
        <v>257</v>
      </c>
      <c r="W263" s="9">
        <f>TABL123[[#This Row],[(A/B TOT) AJD]]+TABL123[[#This Row],[(A/S TOT)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91">
        <f>TABL123[[#This Row],[( S/S+T/B) AJD]]-(TABL123[[#This Row],[(A/B + A/S) AJD]]+(TABL123[[#This Row],[(STORGE DIFF.) AJD]]*1000)+TABL123[[#This Row],[البخر  AJD]])</f>
        <v>1837</v>
      </c>
      <c r="AE263" s="75">
        <v>50</v>
      </c>
      <c r="AF263" s="75">
        <v>58.484999999999999</v>
      </c>
      <c r="AG263" s="75">
        <v>1284790</v>
      </c>
      <c r="AH263" s="43">
        <v>2947</v>
      </c>
      <c r="AI263" s="43">
        <v>2947</v>
      </c>
      <c r="AJ263" s="86">
        <f>TABL123[[#This Row],[(A/B TOT) AJD]]-TABL123[[#This Row],[BER_ IN]]</f>
        <v>521</v>
      </c>
      <c r="AK263" s="75">
        <v>27</v>
      </c>
      <c r="AL263" s="96">
        <v>42.5002</v>
      </c>
      <c r="AM263" s="96">
        <v>2839080</v>
      </c>
      <c r="AN263" s="96">
        <f>TABL123[[#This Row],[ (RESV. STORGE) SER]]/10</f>
        <v>283908</v>
      </c>
      <c r="AO263" s="43">
        <v>1870</v>
      </c>
      <c r="AP263" s="32">
        <f>TABL123[[#This Row],[(A/S TOT) AJD]]-TABL123[[#This Row],[SER_ 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Row],[خط (T/B  TOT) SAR]]+TABL123[[#This Row],[خط (S/S  TOT) SAR2]]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Row],[خط (S/S  TOT) SAR2]]-TABL123[[#This Row],[(S/S TOT) AJD]]</f>
        <v>86</v>
      </c>
      <c r="Q264" s="40">
        <v>433</v>
      </c>
      <c r="R264" s="9">
        <f>TABL123[[#This Row],[خط (T/B  TOT) SAR]]-TABL123[[#This Row],[(T/B TOT) AJD]]</f>
        <v>58</v>
      </c>
      <c r="S264" s="9">
        <f>TABL123[[#This Row],[الفرق بين بداية ونهاية خط  T/B]]+TABL123[[#This Row],[الفرق بين بداية ونهاية خط  S/S]]</f>
        <v>144</v>
      </c>
      <c r="T264" s="9">
        <f>TABL123[[#This Row],[(S/S TOT) AJD]]+TABL123[[#This Row],[(T/B TOT) AJD]]</f>
        <v>831</v>
      </c>
      <c r="U264" s="44">
        <v>568</v>
      </c>
      <c r="V264" s="44">
        <v>233</v>
      </c>
      <c r="W264" s="9">
        <f>TABL123[[#This Row],[(A/B TOT) AJD]]+TABL123[[#This Row],[(A/S TOT)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91">
        <f>TABL123[[#This Row],[( S/S+T/B) AJD]]-(TABL123[[#This Row],[(A/B + A/S) AJD]]+(TABL123[[#This Row],[(STORGE DIFF.) AJD]]*1000)+TABL123[[#This Row],[البخر  AJD]])</f>
        <v>-11009</v>
      </c>
      <c r="AE264" s="75">
        <v>50</v>
      </c>
      <c r="AF264" s="75">
        <v>58.494999999999997</v>
      </c>
      <c r="AG264" s="75">
        <v>1291348</v>
      </c>
      <c r="AH264" s="45">
        <v>3601</v>
      </c>
      <c r="AI264" s="45">
        <v>3601</v>
      </c>
      <c r="AJ264" s="86">
        <f>TABL123[[#This Row],[(A/B TOT) AJD]]-TABL123[[#This Row],[BER_ IN]]</f>
        <v>518</v>
      </c>
      <c r="AK264" s="75">
        <v>0</v>
      </c>
      <c r="AL264" s="96">
        <v>42.4604</v>
      </c>
      <c r="AM264" s="96">
        <v>2817120</v>
      </c>
      <c r="AN264" s="96">
        <f>TABL123[[#This Row],[ (RESV. STORGE) SER]]/10</f>
        <v>281712</v>
      </c>
      <c r="AO264" s="45">
        <v>1860</v>
      </c>
      <c r="AP264" s="32">
        <f>TABL123[[#This Row],[(A/S TOT) AJD]]-TABL123[[#This Row],[SER_ 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Row],[خط (T/B  TOT) SAR]]+TABL123[[#This Row],[خط (S/S  TOT) SAR2]]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Row],[خط (S/S  TOT) SAR2]]-TABL123[[#This Row],[(S/S TOT) AJD]]</f>
        <v>82</v>
      </c>
      <c r="Q265" s="39">
        <v>430</v>
      </c>
      <c r="R265" s="9">
        <f>TABL123[[#This Row],[خط (T/B  TOT) SAR]]-TABL123[[#This Row],[(T/B TOT) AJD]]</f>
        <v>59</v>
      </c>
      <c r="S265" s="9">
        <f>TABL123[[#This Row],[الفرق بين بداية ونهاية خط  T/B]]+TABL123[[#This Row],[الفرق بين بداية ونهاية خط  S/S]]</f>
        <v>141</v>
      </c>
      <c r="T265" s="9">
        <f>TABL123[[#This Row],[(S/S TOT) AJD]]+TABL123[[#This Row],[(T/B TOT) AJD]]</f>
        <v>828</v>
      </c>
      <c r="U265" s="41">
        <v>568</v>
      </c>
      <c r="V265" s="41">
        <v>210</v>
      </c>
      <c r="W265" s="9">
        <f>TABL123[[#This Row],[(A/B TOT) AJD]]+TABL123[[#This Row],[(A/S TOT)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91">
        <f>TABL123[[#This Row],[( S/S+T/B) AJD]]-(TABL123[[#This Row],[(A/B + A/S) AJD]]+(TABL123[[#This Row],[(STORGE DIFF.) AJD]]*1000)+TABL123[[#This Row],[البخر  AJD]])</f>
        <v>-32362</v>
      </c>
      <c r="AE265" s="75">
        <v>50</v>
      </c>
      <c r="AF265" s="75">
        <v>58.514000000000003</v>
      </c>
      <c r="AG265" s="75">
        <v>1303810</v>
      </c>
      <c r="AH265" s="43">
        <v>3092</v>
      </c>
      <c r="AI265" s="43">
        <v>3092</v>
      </c>
      <c r="AJ265" s="86">
        <f>TABL123[[#This Row],[(A/B TOT) AJD]]-TABL123[[#This Row],[BER_ IN]]</f>
        <v>518</v>
      </c>
      <c r="AK265" s="75">
        <v>0</v>
      </c>
      <c r="AL265" s="96">
        <v>42.416400000000003</v>
      </c>
      <c r="AM265" s="96">
        <v>2793280</v>
      </c>
      <c r="AN265" s="96">
        <f>TABL123[[#This Row],[ (RESV. STORGE) SER]]/10</f>
        <v>279328</v>
      </c>
      <c r="AO265" s="43">
        <v>1840</v>
      </c>
      <c r="AP265" s="32">
        <f>TABL123[[#This Row],[(A/S TOT) AJD]]-TABL123[[#This Row],[SER_ 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Row],[خط (T/B  TOT) SAR]]+TABL123[[#This Row],[خط (S/S  TOT) SAR2]]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Row],[خط (S/S  TOT) SAR2]]-TABL123[[#This Row],[(S/S TOT) AJD]]</f>
        <v>82</v>
      </c>
      <c r="Q266" s="40">
        <v>431</v>
      </c>
      <c r="R266" s="9">
        <f>TABL123[[#This Row],[خط (T/B  TOT) SAR]]-TABL123[[#This Row],[(T/B TOT) AJD]]</f>
        <v>63</v>
      </c>
      <c r="S266" s="9">
        <f>TABL123[[#This Row],[الفرق بين بداية ونهاية خط  T/B]]+TABL123[[#This Row],[الفرق بين بداية ونهاية خط  S/S]]</f>
        <v>145</v>
      </c>
      <c r="T266" s="9">
        <f>TABL123[[#This Row],[(S/S TOT) AJD]]+TABL123[[#This Row],[(T/B TOT) AJD]]</f>
        <v>833</v>
      </c>
      <c r="U266" s="44">
        <v>565</v>
      </c>
      <c r="V266" s="44">
        <v>201</v>
      </c>
      <c r="W266" s="9">
        <f>TABL123[[#This Row],[(A/B TOT) AJD]]+TABL123[[#This Row],[(A/S TOT)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91">
        <f>TABL123[[#This Row],[( S/S+T/B) AJD]]-(TABL123[[#This Row],[(A/B + A/S) AJD]]+(TABL123[[#This Row],[(STORGE DIFF.) AJD]]*1000)+TABL123[[#This Row],[البخر  AJD]])</f>
        <v>-44279</v>
      </c>
      <c r="AE266" s="75">
        <v>52</v>
      </c>
      <c r="AF266" s="75">
        <v>58.526000000000003</v>
      </c>
      <c r="AG266" s="75">
        <v>1311683</v>
      </c>
      <c r="AH266" s="45">
        <v>3287</v>
      </c>
      <c r="AI266" s="45">
        <v>3287</v>
      </c>
      <c r="AJ266" s="86">
        <f>TABL123[[#This Row],[(A/B TOT) AJD]]-TABL123[[#This Row],[BER_ IN]]</f>
        <v>513</v>
      </c>
      <c r="AK266" s="75">
        <v>0</v>
      </c>
      <c r="AL266" s="96">
        <v>42.380800000000001</v>
      </c>
      <c r="AM266" s="96">
        <v>2774470</v>
      </c>
      <c r="AN266" s="96">
        <f>TABL123[[#This Row],[ (RESV. STORGE) SER]]/10</f>
        <v>277447</v>
      </c>
      <c r="AO266" s="45">
        <v>1810</v>
      </c>
      <c r="AP266" s="32">
        <f>TABL123[[#This Row],[(A/S TOT) AJD]]-TABL123[[#This Row],[SER_ 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Row],[خط (T/B  TOT) SAR]]+TABL123[[#This Row],[خط (S/S  TOT) SAR2]]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Row],[خط (S/S  TOT) SAR2]]-TABL123[[#This Row],[(S/S TOT) AJD]]</f>
        <v>83</v>
      </c>
      <c r="Q267" s="39">
        <v>435</v>
      </c>
      <c r="R267" s="9">
        <f>TABL123[[#This Row],[خط (T/B  TOT) SAR]]-TABL123[[#This Row],[(T/B TOT) AJD]]</f>
        <v>63</v>
      </c>
      <c r="S267" s="9">
        <f>TABL123[[#This Row],[الفرق بين بداية ونهاية خط  T/B]]+TABL123[[#This Row],[الفرق بين بداية ونهاية خط  S/S]]</f>
        <v>146</v>
      </c>
      <c r="T267" s="9">
        <f>TABL123[[#This Row],[(S/S TOT) AJD]]+TABL123[[#This Row],[(T/B TOT) AJD]]</f>
        <v>840</v>
      </c>
      <c r="U267" s="41">
        <v>565</v>
      </c>
      <c r="V267" s="41">
        <v>205</v>
      </c>
      <c r="W267" s="9">
        <f>TABL123[[#This Row],[(A/B TOT) AJD]]+TABL123[[#This Row],[(A/S TOT)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91">
        <f>TABL123[[#This Row],[( S/S+T/B) AJD]]-(TABL123[[#This Row],[(A/B + A/S) AJD]]+(TABL123[[#This Row],[(STORGE DIFF.) AJD]]*1000)+TABL123[[#This Row],[البخر  AJD]])</f>
        <v>-46961</v>
      </c>
      <c r="AE267" s="75">
        <v>51</v>
      </c>
      <c r="AF267" s="75">
        <v>58.558999999999997</v>
      </c>
      <c r="AG267" s="75">
        <v>1333339</v>
      </c>
      <c r="AH267" s="43">
        <v>2389</v>
      </c>
      <c r="AI267" s="43">
        <v>2389</v>
      </c>
      <c r="AJ267" s="86">
        <f>TABL123[[#This Row],[(A/B TOT) AJD]]-TABL123[[#This Row],[BER_ IN]]</f>
        <v>514</v>
      </c>
      <c r="AK267" s="75">
        <v>0</v>
      </c>
      <c r="AL267" s="96">
        <v>42.315600000000003</v>
      </c>
      <c r="AM267" s="96">
        <v>2739880</v>
      </c>
      <c r="AN267" s="96">
        <f>TABL123[[#This Row],[ (RESV. STORGE) SER]]/10</f>
        <v>273988</v>
      </c>
      <c r="AO267" s="43">
        <v>1890</v>
      </c>
      <c r="AP267" s="32">
        <f>TABL123[[#This Row],[(A/S TOT) AJD]]-TABL123[[#This Row],[SER_ 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Row],[خط (T/B  TOT) SAR]]+TABL123[[#This Row],[خط (S/S  TOT) SAR2]]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Row],[خط (S/S  TOT) SAR2]]-TABL123[[#This Row],[(S/S TOT) AJD]]</f>
        <v>71</v>
      </c>
      <c r="Q268" s="40">
        <v>436</v>
      </c>
      <c r="R268" s="9">
        <f>TABL123[[#This Row],[خط (T/B  TOT) SAR]]-TABL123[[#This Row],[(T/B TOT) AJD]]</f>
        <v>49</v>
      </c>
      <c r="S268" s="9">
        <f>TABL123[[#This Row],[الفرق بين بداية ونهاية خط  T/B]]+TABL123[[#This Row],[الفرق بين بداية ونهاية خط  S/S]]</f>
        <v>120</v>
      </c>
      <c r="T268" s="9">
        <f>TABL123[[#This Row],[(S/S TOT) AJD]]+TABL123[[#This Row],[(T/B TOT) AJD]]</f>
        <v>841</v>
      </c>
      <c r="U268" s="44">
        <v>572</v>
      </c>
      <c r="V268" s="44">
        <v>254</v>
      </c>
      <c r="W268" s="9">
        <f>TABL123[[#This Row],[(A/B TOT) AJD]]+TABL123[[#This Row],[(A/S TOT)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91">
        <f>TABL123[[#This Row],[( S/S+T/B) AJD]]-(TABL123[[#This Row],[(A/B + A/S) AJD]]+(TABL123[[#This Row],[(STORGE DIFF.) AJD]]*1000)+TABL123[[#This Row],[البخر  AJD]])</f>
        <v>14244</v>
      </c>
      <c r="AE268" s="75">
        <v>51</v>
      </c>
      <c r="AF268" s="75">
        <v>58.558999999999997</v>
      </c>
      <c r="AG268" s="75">
        <v>1333339</v>
      </c>
      <c r="AH268" s="45">
        <v>2389</v>
      </c>
      <c r="AI268" s="45">
        <v>2389</v>
      </c>
      <c r="AJ268" s="86">
        <f>TABL123[[#This Row],[(A/B TOT) AJD]]-TABL123[[#This Row],[BER_ IN]]</f>
        <v>521</v>
      </c>
      <c r="AK268" s="75">
        <v>0</v>
      </c>
      <c r="AL268" s="96">
        <v>42.254800000000003</v>
      </c>
      <c r="AM268" s="96">
        <v>2707210</v>
      </c>
      <c r="AN268" s="96">
        <f>TABL123[[#This Row],[ (RESV. STORGE) SER]]/10</f>
        <v>270721</v>
      </c>
      <c r="AO268" s="45">
        <v>1870</v>
      </c>
      <c r="AP268" s="32">
        <f>TABL123[[#This Row],[(A/S TOT) AJD]]-TABL123[[#This Row],[SER_ 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Row],[خط (T/B  TOT) SAR]]+TABL123[[#This Row],[خط (S/S  TOT) SAR2]]</f>
        <v>0</v>
      </c>
      <c r="L269" s="41"/>
      <c r="M269" s="42"/>
      <c r="N269" s="42"/>
      <c r="O269" s="14">
        <v>395</v>
      </c>
      <c r="P269" s="9">
        <f>TABL123[[#This Row],[خط (S/S  TOT) SAR2]]-TABL123[[#This Row],[(S/S TOT) AJD]]</f>
        <v>-395</v>
      </c>
      <c r="Q269" s="14">
        <v>425</v>
      </c>
      <c r="R269" s="9">
        <f>TABL123[[#This Row],[خط (T/B  TOT) SAR]]-TABL123[[#This Row],[(T/B TOT) AJD]]</f>
        <v>-425</v>
      </c>
      <c r="S269" s="9">
        <f>TABL123[[#This Row],[الفرق بين بداية ونهاية خط  T/B]]+TABL123[[#This Row],[الفرق بين بداية ونهاية خط  S/S]]</f>
        <v>-820</v>
      </c>
      <c r="T269" s="9">
        <f>TABL123[[#This Row],[(S/S TOT) AJD]]+TABL123[[#This Row],[(T/B TOT) AJD]]</f>
        <v>820</v>
      </c>
      <c r="U269" s="14">
        <v>570</v>
      </c>
      <c r="V269" s="14">
        <v>245</v>
      </c>
      <c r="W269" s="9">
        <f>TABL123[[#This Row],[(A/B TOT) AJD]]+TABL123[[#This Row],[(A/S TOT)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91">
        <f>TABL123[[#This Row],[( S/S+T/B) AJD]]-(TABL123[[#This Row],[(A/B + A/S) AJD]]+(TABL123[[#This Row],[(STORGE DIFF.) AJD]]*1000)+TABL123[[#This Row],[البخر  AJD]])</f>
        <v>25031</v>
      </c>
      <c r="AE269" s="75"/>
      <c r="AF269" s="75"/>
      <c r="AG269" s="75"/>
      <c r="AH269" s="43"/>
      <c r="AI269" s="86"/>
      <c r="AJ269" s="86">
        <f>TABL123[[#This Row],[(A/B TOT) AJD]]-TABL123[[#This Row],[BER_ IN]]</f>
        <v>570</v>
      </c>
      <c r="AK269" s="86"/>
      <c r="AL269" s="75"/>
      <c r="AM269" s="96"/>
      <c r="AN269" s="96">
        <f>TABL123[[#This Row],[ (RESV. STORGE) SER]]/10</f>
        <v>0</v>
      </c>
      <c r="AO269" s="43"/>
      <c r="AP269" s="32">
        <f>TABL123[[#This Row],[(A/S TOT) AJD]]-TABL123[[#This Row],[SER_ 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Row],[خط (T/B  TOT) SAR]]+TABL123[[#This Row],[خط (S/S  TOT) SAR2]]</f>
        <v>0</v>
      </c>
      <c r="L270" s="45"/>
      <c r="M270" s="46"/>
      <c r="N270" s="46"/>
      <c r="O270" s="14">
        <v>389</v>
      </c>
      <c r="P270" s="9">
        <f>TABL123[[#This Row],[خط (S/S  TOT) SAR2]]-TABL123[[#This Row],[(S/S TOT) AJD]]</f>
        <v>-389</v>
      </c>
      <c r="Q270" s="14">
        <v>420</v>
      </c>
      <c r="R270" s="9">
        <f>TABL123[[#This Row],[خط (T/B  TOT) SAR]]-TABL123[[#This Row],[(T/B TOT) AJD]]</f>
        <v>-420</v>
      </c>
      <c r="S270" s="9">
        <f>TABL123[[#This Row],[الفرق بين بداية ونهاية خط  T/B]]+TABL123[[#This Row],[الفرق بين بداية ونهاية خط  S/S]]</f>
        <v>-809</v>
      </c>
      <c r="T270" s="9">
        <f>TABL123[[#This Row],[(S/S TOT) AJD]]+TABL123[[#This Row],[(T/B TOT) AJD]]</f>
        <v>809</v>
      </c>
      <c r="U270" s="14">
        <v>549</v>
      </c>
      <c r="V270" s="14">
        <v>244</v>
      </c>
      <c r="W270" s="9">
        <f>TABL123[[#This Row],[(A/B TOT) AJD]]+TABL123[[#This Row],[(A/S TOT)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91">
        <f>TABL123[[#This Row],[( S/S+T/B) AJD]]-(TABL123[[#This Row],[(A/B + A/S) AJD]]+(TABL123[[#This Row],[(STORGE DIFF.) AJD]]*1000)+TABL123[[#This Row],[البخر  AJD]])</f>
        <v>8950</v>
      </c>
      <c r="AE270" s="75"/>
      <c r="AF270" s="75"/>
      <c r="AG270" s="75"/>
      <c r="AH270" s="45"/>
      <c r="AI270" s="86"/>
      <c r="AJ270" s="86">
        <f>TABL123[[#This Row],[(A/B TOT) AJD]]-TABL123[[#This Row],[BER_ IN]]</f>
        <v>549</v>
      </c>
      <c r="AK270" s="86"/>
      <c r="AL270" s="75"/>
      <c r="AM270" s="96"/>
      <c r="AN270" s="96">
        <f>TABL123[[#This Row],[ (RESV. STORGE) SER]]/10</f>
        <v>0</v>
      </c>
      <c r="AO270" s="45"/>
      <c r="AP270" s="32">
        <f>TABL123[[#This Row],[(A/S TOT) AJD]]-TABL123[[#This Row],[SER_ 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Row],[خط (T/B  TOT) SAR]]+TABL123[[#This Row],[خط (S/S  TOT) SAR2]]</f>
        <v>0</v>
      </c>
      <c r="L271" s="41"/>
      <c r="M271" s="42"/>
      <c r="N271" s="42"/>
      <c r="O271" s="14">
        <v>376</v>
      </c>
      <c r="P271" s="9">
        <f>TABL123[[#This Row],[خط (S/S  TOT) SAR2]]-TABL123[[#This Row],[(S/S TOT) AJD]]</f>
        <v>-376</v>
      </c>
      <c r="Q271" s="14">
        <v>409</v>
      </c>
      <c r="R271" s="9">
        <f>TABL123[[#This Row],[خط (T/B  TOT) SAR]]-TABL123[[#This Row],[(T/B TOT) AJD]]</f>
        <v>-409</v>
      </c>
      <c r="S271" s="9">
        <f>TABL123[[#This Row],[الفرق بين بداية ونهاية خط  T/B]]+TABL123[[#This Row],[الفرق بين بداية ونهاية خط  S/S]]</f>
        <v>-785</v>
      </c>
      <c r="T271" s="9">
        <f>TABL123[[#This Row],[(S/S TOT) AJD]]+TABL123[[#This Row],[(T/B TOT) AJD]]</f>
        <v>785</v>
      </c>
      <c r="U271" s="14">
        <v>543</v>
      </c>
      <c r="V271" s="14">
        <v>236</v>
      </c>
      <c r="W271" s="9">
        <f>TABL123[[#This Row],[(A/B TOT) AJD]]+TABL123[[#This Row],[(A/S TOT)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91">
        <f>TABL123[[#This Row],[( S/S+T/B) AJD]]-(TABL123[[#This Row],[(A/B + A/S) AJD]]+(TABL123[[#This Row],[(STORGE DIFF.) AJD]]*1000)+TABL123[[#This Row],[البخر  AJD]])</f>
        <v>16084</v>
      </c>
      <c r="AE271" s="75"/>
      <c r="AF271" s="75"/>
      <c r="AG271" s="75"/>
      <c r="AH271" s="43"/>
      <c r="AI271" s="86"/>
      <c r="AJ271" s="86">
        <f>TABL123[[#This Row],[(A/B TOT) AJD]]-TABL123[[#This Row],[BER_ IN]]</f>
        <v>543</v>
      </c>
      <c r="AK271" s="86"/>
      <c r="AL271" s="75"/>
      <c r="AM271" s="96"/>
      <c r="AN271" s="96">
        <f>TABL123[[#This Row],[ (RESV. STORGE) SER]]/10</f>
        <v>0</v>
      </c>
      <c r="AO271" s="43"/>
      <c r="AP271" s="32">
        <f>TABL123[[#This Row],[(A/S TOT) AJD]]-TABL123[[#This Row],[SER_ 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Row],[خط (T/B  TOT) SAR]]+TABL123[[#This Row],[خط (S/S  TOT) SAR2]]</f>
        <v>0</v>
      </c>
      <c r="L272" s="45"/>
      <c r="M272" s="46"/>
      <c r="N272" s="46"/>
      <c r="O272" s="14">
        <v>383</v>
      </c>
      <c r="P272" s="9">
        <f>TABL123[[#This Row],[خط (S/S  TOT) SAR2]]-TABL123[[#This Row],[(S/S TOT) AJD]]</f>
        <v>-383</v>
      </c>
      <c r="Q272" s="14">
        <v>414</v>
      </c>
      <c r="R272" s="9">
        <f>TABL123[[#This Row],[خط (T/B  TOT) SAR]]-TABL123[[#This Row],[(T/B TOT) AJD]]</f>
        <v>-414</v>
      </c>
      <c r="S272" s="9">
        <f>TABL123[[#This Row],[الفرق بين بداية ونهاية خط  T/B]]+TABL123[[#This Row],[الفرق بين بداية ونهاية خط  S/S]]</f>
        <v>-797</v>
      </c>
      <c r="T272" s="9">
        <f>TABL123[[#This Row],[(S/S TOT) AJD]]+TABL123[[#This Row],[(T/B TOT) AJD]]</f>
        <v>797</v>
      </c>
      <c r="U272" s="14">
        <v>545</v>
      </c>
      <c r="V272" s="14">
        <v>216</v>
      </c>
      <c r="W272" s="9">
        <f>TABL123[[#This Row],[(A/B TOT) AJD]]+TABL123[[#This Row],[(A/S TOT)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91">
        <f>TABL123[[#This Row],[( S/S+T/B) AJD]]-(TABL123[[#This Row],[(A/B + A/S) AJD]]+(TABL123[[#This Row],[(STORGE DIFF.) AJD]]*1000)+TABL123[[#This Row],[البخر  AJD]])</f>
        <v>-5920</v>
      </c>
      <c r="AE272" s="75"/>
      <c r="AF272" s="75"/>
      <c r="AG272" s="75"/>
      <c r="AH272" s="45"/>
      <c r="AI272" s="86"/>
      <c r="AJ272" s="86">
        <f>TABL123[[#This Row],[(A/B TOT) AJD]]-TABL123[[#This Row],[BER_ IN]]</f>
        <v>545</v>
      </c>
      <c r="AK272" s="86"/>
      <c r="AL272" s="75"/>
      <c r="AM272" s="96"/>
      <c r="AN272" s="96">
        <f>TABL123[[#This Row],[ (RESV. STORGE) SER]]/10</f>
        <v>0</v>
      </c>
      <c r="AO272" s="6"/>
      <c r="AP272" s="32">
        <f>TABL123[[#This Row],[(A/S TOT) AJD]]-TABL123[[#This Row],[SER_ 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Row],[خط (T/B  TOT) SAR]]+TABL123[[#This Row],[خط (S/S  TOT) SAR2]]</f>
        <v>0</v>
      </c>
      <c r="L273" s="28"/>
      <c r="M273" s="29"/>
      <c r="N273" s="30"/>
      <c r="O273" s="14">
        <v>393</v>
      </c>
      <c r="P273" s="9">
        <f>TABL123[[#This Row],[خط (S/S  TOT) SAR2]]-TABL123[[#This Row],[(S/S TOT) AJD]]</f>
        <v>-393</v>
      </c>
      <c r="Q273" s="14">
        <v>423</v>
      </c>
      <c r="R273" s="9">
        <f>TABL123[[#This Row],[خط (T/B  TOT) SAR]]-TABL123[[#This Row],[(T/B TOT) AJD]]</f>
        <v>-423</v>
      </c>
      <c r="S273" s="9">
        <f>TABL123[[#This Row],[الفرق بين بداية ونهاية خط  T/B]]+TABL123[[#This Row],[الفرق بين بداية ونهاية خط  S/S]]</f>
        <v>-816</v>
      </c>
      <c r="T273" s="9">
        <f>TABL123[[#This Row],[(S/S TOT) AJD]]+TABL123[[#This Row],[(T/B TOT) AJD]]</f>
        <v>816</v>
      </c>
      <c r="U273" s="14">
        <v>538</v>
      </c>
      <c r="V273" s="14">
        <v>213</v>
      </c>
      <c r="W273" s="9">
        <f>TABL123[[#This Row],[(A/B TOT) AJD]]+TABL123[[#This Row],[(A/S TOT)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91">
        <f>TABL123[[#This Row],[( S/S+T/B) AJD]]-(TABL123[[#This Row],[(A/B + A/S) AJD]]+(TABL123[[#This Row],[(STORGE DIFF.) AJD]]*1000)+TABL123[[#This Row],[البخر  AJD]])</f>
        <v>-42826</v>
      </c>
      <c r="AE273" s="75"/>
      <c r="AF273" s="75"/>
      <c r="AG273" s="75"/>
      <c r="AH273" s="43"/>
      <c r="AI273" s="86"/>
      <c r="AJ273" s="86">
        <f>TABL123[[#This Row],[(A/B TOT) AJD]]-TABL123[[#This Row],[BER_ IN]]</f>
        <v>538</v>
      </c>
      <c r="AK273" s="86"/>
      <c r="AL273" s="75"/>
      <c r="AM273" s="96"/>
      <c r="AN273" s="96">
        <f>TABL123[[#This Row],[ (RESV. STORGE) SER]]/10</f>
        <v>0</v>
      </c>
      <c r="AO273" s="6"/>
      <c r="AP273" s="32">
        <f>TABL123[[#This Row],[(A/S TOT) AJD]]-TABL123[[#This Row],[SER_ 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Row],[خط (T/B  TOT) SAR]]+TABL123[[#This Row],[خط (S/S  TOT) SAR2]]</f>
        <v>0</v>
      </c>
      <c r="L274" s="28"/>
      <c r="M274" s="29"/>
      <c r="N274" s="30"/>
      <c r="O274" s="85">
        <v>395</v>
      </c>
      <c r="P274" s="9">
        <f>TABL123[[#This Row],[خط (S/S  TOT) SAR2]]-TABL123[[#This Row],[(S/S TOT) AJD]]</f>
        <v>-395</v>
      </c>
      <c r="Q274" s="85">
        <v>428</v>
      </c>
      <c r="R274" s="9">
        <f>TABL123[[#This Row],[خط (T/B  TOT) SAR]]-TABL123[[#This Row],[(T/B TOT) AJD]]</f>
        <v>-428</v>
      </c>
      <c r="S274" s="9">
        <f>TABL123[[#This Row],[الفرق بين بداية ونهاية خط  T/B]]+TABL123[[#This Row],[الفرق بين بداية ونهاية خط  S/S]]</f>
        <v>-823</v>
      </c>
      <c r="T274" s="9">
        <f>TABL123[[#This Row],[(S/S TOT) AJD]]+TABL123[[#This Row],[(T/B TOT) AJD]]</f>
        <v>823</v>
      </c>
      <c r="U274" s="85">
        <v>536</v>
      </c>
      <c r="V274" s="85">
        <v>212</v>
      </c>
      <c r="W274" s="9">
        <f>TABL123[[#This Row],[(A/B TOT) AJD]]+TABL123[[#This Row],[(A/S TOT) AJD]]</f>
        <v>748</v>
      </c>
      <c r="X274" s="9">
        <f>TABL123[[#This Row],[( S/S+T/B) AJD]]-TABL123[[#This Row],[(A/B + A/S) AJD]]</f>
        <v>75</v>
      </c>
      <c r="Y274" s="93">
        <v>92.617000000000004</v>
      </c>
      <c r="Z274" s="94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91">
        <f>TABL123[[#This Row],[( S/S+T/B) AJD]]-(TABL123[[#This Row],[(A/B + A/S) AJD]]+(TABL123[[#This Row],[(STORGE DIFF.) AJD]]*1000)+TABL123[[#This Row],[البخر  AJD]])</f>
        <v>-44648</v>
      </c>
      <c r="AE274" s="75"/>
      <c r="AF274" s="75"/>
      <c r="AG274" s="75"/>
      <c r="AH274" s="6"/>
      <c r="AI274" s="86"/>
      <c r="AJ274" s="86">
        <f>TABL123[[#This Row],[(A/B TOT) AJD]]-TABL123[[#This Row],[BER_ IN]]</f>
        <v>536</v>
      </c>
      <c r="AK274" s="86"/>
      <c r="AL274" s="75"/>
      <c r="AM274" s="96"/>
      <c r="AN274" s="96">
        <f>TABL123[[#This Row],[ (RESV. STORGE) SER]]/10</f>
        <v>0</v>
      </c>
      <c r="AO274" s="6"/>
      <c r="AP274" s="32">
        <f>TABL123[[#This Row],[(A/S TOT) AJD]]-TABL123[[#This Row],[SER_ 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Row],[خط (T/B  TOT) SAR]]+TABL123[[#This Row],[خط (S/S  TOT) SAR2]]</f>
        <v>0</v>
      </c>
      <c r="L275" s="28"/>
      <c r="M275" s="29"/>
      <c r="N275" s="30"/>
      <c r="O275" s="14">
        <v>395</v>
      </c>
      <c r="P275" s="9">
        <f>TABL123[[#This Row],[خط (S/S  TOT) SAR2]]-TABL123[[#This Row],[(S/S TOT) AJD]]</f>
        <v>-395</v>
      </c>
      <c r="Q275" s="14">
        <v>427</v>
      </c>
      <c r="R275" s="9">
        <f>TABL123[[#This Row],[خط (T/B  TOT) SAR]]-TABL123[[#This Row],[(T/B TOT) AJD]]</f>
        <v>-427</v>
      </c>
      <c r="S275" s="9">
        <f>TABL123[[#This Row],[الفرق بين بداية ونهاية خط  T/B]]+TABL123[[#This Row],[الفرق بين بداية ونهاية خط  S/S]]</f>
        <v>-822</v>
      </c>
      <c r="T275" s="9">
        <f>TABL123[[#This Row],[(S/S TOT) AJD]]+TABL123[[#This Row],[(T/B TOT) AJD]]</f>
        <v>822</v>
      </c>
      <c r="U275" s="14">
        <v>538</v>
      </c>
      <c r="V275" s="14">
        <v>222</v>
      </c>
      <c r="W275" s="9">
        <f>TABL123[[#This Row],[(A/B TOT) AJD]]+TABL123[[#This Row],[(A/S TOT)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91">
        <f>TABL123[[#This Row],[( S/S+T/B) AJD]]-(TABL123[[#This Row],[(A/B + A/S) AJD]]+(TABL123[[#This Row],[(STORGE DIFF.) AJD]]*1000)+TABL123[[#This Row],[البخر  AJD]])</f>
        <v>-33964</v>
      </c>
      <c r="AE275" s="75"/>
      <c r="AF275" s="75"/>
      <c r="AG275" s="75"/>
      <c r="AH275" s="6"/>
      <c r="AI275" s="86"/>
      <c r="AJ275" s="86">
        <f>TABL123[[#This Row],[(A/B TOT) AJD]]-TABL123[[#This Row],[BER_ IN]]</f>
        <v>538</v>
      </c>
      <c r="AK275" s="86"/>
      <c r="AL275" s="75"/>
      <c r="AM275" s="96"/>
      <c r="AN275" s="96">
        <f>TABL123[[#This Row],[ (RESV. STORGE) SER]]/10</f>
        <v>0</v>
      </c>
      <c r="AO275" s="6"/>
      <c r="AP275" s="32">
        <f>TABL123[[#This Row],[(A/S TOT) AJD]]-TABL123[[#This Row],[SER_ 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Row],[خط (T/B  TOT) SAR]]+TABL123[[#This Row],[خط (S/S  TOT) SAR2]]</f>
        <v>0</v>
      </c>
      <c r="L276" s="28"/>
      <c r="M276" s="29"/>
      <c r="N276" s="30"/>
      <c r="O276" s="14">
        <v>396</v>
      </c>
      <c r="P276" s="9">
        <f>TABL123[[#This Row],[خط (S/S  TOT) SAR2]]-TABL123[[#This Row],[(S/S TOT) AJD]]</f>
        <v>-396</v>
      </c>
      <c r="Q276" s="14">
        <v>427</v>
      </c>
      <c r="R276" s="9">
        <f>TABL123[[#This Row],[خط (T/B  TOT) SAR]]-TABL123[[#This Row],[(T/B TOT) AJD]]</f>
        <v>-427</v>
      </c>
      <c r="S276" s="9">
        <f>TABL123[[#This Row],[الفرق بين بداية ونهاية خط  T/B]]+TABL123[[#This Row],[الفرق بين بداية ونهاية خط  S/S]]</f>
        <v>-823</v>
      </c>
      <c r="T276" s="9">
        <f>TABL123[[#This Row],[(S/S TOT) AJD]]+TABL123[[#This Row],[(T/B TOT) AJD]]</f>
        <v>823</v>
      </c>
      <c r="U276" s="14">
        <v>529</v>
      </c>
      <c r="V276" s="14">
        <v>260</v>
      </c>
      <c r="W276" s="9">
        <f>TABL123[[#This Row],[(A/B TOT) AJD]]+TABL123[[#This Row],[(A/S TOT)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91">
        <f>TABL123[[#This Row],[( S/S+T/B) AJD]]-(TABL123[[#This Row],[(A/B + A/S) AJD]]+(TABL123[[#This Row],[(STORGE DIFF.) AJD]]*1000)+TABL123[[#This Row],[البخر  AJD]])</f>
        <v>-13698</v>
      </c>
      <c r="AE276" s="75"/>
      <c r="AF276" s="75"/>
      <c r="AG276" s="75"/>
      <c r="AH276" s="6"/>
      <c r="AI276" s="86"/>
      <c r="AJ276" s="86">
        <f>TABL123[[#This Row],[(A/B TOT) AJD]]-TABL123[[#This Row],[BER_ IN]]</f>
        <v>529</v>
      </c>
      <c r="AK276" s="86"/>
      <c r="AL276" s="75"/>
      <c r="AM276" s="96"/>
      <c r="AN276" s="96">
        <f>TABL123[[#This Row],[ (RESV. STORGE) SER]]/10</f>
        <v>0</v>
      </c>
      <c r="AO276" s="6"/>
      <c r="AP276" s="32">
        <f>TABL123[[#This Row],[(A/S TOT) AJD]]-TABL123[[#This Row],[SER_ 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Row],[خط (T/B  TOT) SAR]]+TABL123[[#This Row],[خط (S/S  TOT) SAR2]]</f>
        <v>0</v>
      </c>
      <c r="L277" s="28"/>
      <c r="M277" s="29"/>
      <c r="N277" s="30"/>
      <c r="O277" s="14">
        <v>397</v>
      </c>
      <c r="P277" s="9">
        <f>TABL123[[#This Row],[خط (S/S  TOT) SAR2]]-TABL123[[#This Row],[(S/S TOT) AJD]]</f>
        <v>-397</v>
      </c>
      <c r="Q277" s="14">
        <v>431</v>
      </c>
      <c r="R277" s="9">
        <f>TABL123[[#This Row],[خط (T/B  TOT) SAR]]-TABL123[[#This Row],[(T/B TOT) AJD]]</f>
        <v>-431</v>
      </c>
      <c r="S277" s="9">
        <f>TABL123[[#This Row],[الفرق بين بداية ونهاية خط  T/B]]+TABL123[[#This Row],[الفرق بين بداية ونهاية خط  S/S]]</f>
        <v>-828</v>
      </c>
      <c r="T277" s="9">
        <f>TABL123[[#This Row],[(S/S TOT) AJD]]+TABL123[[#This Row],[(T/B TOT) AJD]]</f>
        <v>828</v>
      </c>
      <c r="U277" s="14">
        <v>538</v>
      </c>
      <c r="V277" s="14">
        <v>261</v>
      </c>
      <c r="W277" s="9">
        <f>TABL123[[#This Row],[(A/B TOT) AJD]]+TABL123[[#This Row],[(A/S TOT)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91">
        <f>TABL123[[#This Row],[( S/S+T/B) AJD]]-(TABL123[[#This Row],[(A/B + A/S) AJD]]+(TABL123[[#This Row],[(STORGE DIFF.) AJD]]*1000)+TABL123[[#This Row],[البخر  AJD]])</f>
        <v>3023</v>
      </c>
      <c r="AE277" s="75"/>
      <c r="AF277" s="75"/>
      <c r="AG277" s="75"/>
      <c r="AH277" s="6"/>
      <c r="AI277" s="86"/>
      <c r="AJ277" s="86">
        <f>TABL123[[#This Row],[(A/B TOT) AJD]]-TABL123[[#This Row],[BER_ IN]]</f>
        <v>538</v>
      </c>
      <c r="AK277" s="86"/>
      <c r="AL277" s="75"/>
      <c r="AM277" s="96"/>
      <c r="AN277" s="96">
        <f>TABL123[[#This Row],[ (RESV. STORGE) SER]]/10</f>
        <v>0</v>
      </c>
      <c r="AO277" s="6"/>
      <c r="AP277" s="32">
        <f>TABL123[[#This Row],[(A/S TOT) AJD]]-TABL123[[#This Row],[SER_ 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Row],[خط (T/B  TOT) SAR]]+TABL123[[#This Row],[خط (S/S  TOT) SAR2]]</f>
        <v>0</v>
      </c>
      <c r="L278" s="28"/>
      <c r="M278" s="29"/>
      <c r="N278" s="30"/>
      <c r="O278" s="14">
        <v>402</v>
      </c>
      <c r="P278" s="9">
        <f>TABL123[[#This Row],[خط (S/S  TOT) SAR2]]-TABL123[[#This Row],[(S/S TOT) AJD]]</f>
        <v>-402</v>
      </c>
      <c r="Q278" s="14">
        <v>436</v>
      </c>
      <c r="R278" s="9">
        <f>TABL123[[#This Row],[خط (T/B  TOT) SAR]]-TABL123[[#This Row],[(T/B TOT) AJD]]</f>
        <v>-436</v>
      </c>
      <c r="S278" s="9">
        <f>TABL123[[#This Row],[الفرق بين بداية ونهاية خط  T/B]]+TABL123[[#This Row],[الفرق بين بداية ونهاية خط  S/S]]</f>
        <v>-838</v>
      </c>
      <c r="T278" s="9">
        <f>TABL123[[#This Row],[(S/S TOT) AJD]]+TABL123[[#This Row],[(T/B TOT) AJD]]</f>
        <v>838</v>
      </c>
      <c r="U278" s="14">
        <v>539</v>
      </c>
      <c r="V278" s="14">
        <v>263</v>
      </c>
      <c r="W278" s="9">
        <f>TABL123[[#This Row],[(A/B TOT) AJD]]+TABL123[[#This Row],[(A/S TOT)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91">
        <f>TABL123[[#This Row],[( S/S+T/B) AJD]]-(TABL123[[#This Row],[(A/B + A/S) AJD]]+(TABL123[[#This Row],[(STORGE DIFF.) AJD]]*1000)+TABL123[[#This Row],[البخر  AJD]])</f>
        <v>-2958</v>
      </c>
      <c r="AE278" s="75"/>
      <c r="AF278" s="75"/>
      <c r="AG278" s="75"/>
      <c r="AH278" s="6"/>
      <c r="AI278" s="86"/>
      <c r="AJ278" s="86">
        <f>TABL123[[#This Row],[(A/B TOT) AJD]]-TABL123[[#This Row],[BER_ IN]]</f>
        <v>539</v>
      </c>
      <c r="AK278" s="86"/>
      <c r="AL278" s="75"/>
      <c r="AM278" s="96"/>
      <c r="AN278" s="96">
        <f>TABL123[[#This Row],[ (RESV. STORGE) SER]]/10</f>
        <v>0</v>
      </c>
      <c r="AO278" s="6"/>
      <c r="AP278" s="32">
        <f>TABL123[[#This Row],[(A/S TOT) AJD]]-TABL123[[#This Row],[SER_ 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Row],[خط (T/B  TOT) SAR]]+TABL123[[#This Row],[خط (S/S  TOT) SAR2]]</f>
        <v>0</v>
      </c>
      <c r="L279" s="28"/>
      <c r="M279" s="29"/>
      <c r="N279" s="30"/>
      <c r="O279" s="14">
        <v>406</v>
      </c>
      <c r="P279" s="9">
        <f>TABL123[[#This Row],[خط (S/S  TOT) SAR2]]-TABL123[[#This Row],[(S/S TOT) AJD]]</f>
        <v>-406</v>
      </c>
      <c r="Q279" s="14">
        <v>440</v>
      </c>
      <c r="R279" s="9">
        <f>TABL123[[#This Row],[خط (T/B  TOT) SAR]]-TABL123[[#This Row],[(T/B TOT) AJD]]</f>
        <v>-440</v>
      </c>
      <c r="S279" s="9">
        <f>TABL123[[#This Row],[الفرق بين بداية ونهاية خط  T/B]]+TABL123[[#This Row],[الفرق بين بداية ونهاية خط  S/S]]</f>
        <v>-846</v>
      </c>
      <c r="T279" s="9">
        <f>TABL123[[#This Row],[(S/S TOT) AJD]]+TABL123[[#This Row],[(T/B TOT) AJD]]</f>
        <v>846</v>
      </c>
      <c r="U279" s="14">
        <v>542</v>
      </c>
      <c r="V279" s="14">
        <v>262</v>
      </c>
      <c r="W279" s="9">
        <f>TABL123[[#This Row],[(A/B TOT) AJD]]+TABL123[[#This Row],[(A/S TOT)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91">
        <f>TABL123[[#This Row],[( S/S+T/B) AJD]]-(TABL123[[#This Row],[(A/B + A/S) AJD]]+(TABL123[[#This Row],[(STORGE DIFF.) AJD]]*1000)+TABL123[[#This Row],[البخر  AJD]])</f>
        <v>-8918</v>
      </c>
      <c r="AE279" s="75"/>
      <c r="AF279" s="75"/>
      <c r="AG279" s="75"/>
      <c r="AH279" s="6"/>
      <c r="AI279" s="86"/>
      <c r="AJ279" s="86">
        <f>TABL123[[#This Row],[(A/B TOT) AJD]]-TABL123[[#This Row],[BER_ IN]]</f>
        <v>542</v>
      </c>
      <c r="AK279" s="86"/>
      <c r="AL279" s="75"/>
      <c r="AM279" s="96"/>
      <c r="AN279" s="96">
        <f>TABL123[[#This Row],[ (RESV. STORGE) SER]]/10</f>
        <v>0</v>
      </c>
      <c r="AO279" s="6"/>
      <c r="AP279" s="32">
        <f>TABL123[[#This Row],[(A/S TOT) AJD]]-TABL123[[#This Row],[SER_ 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Row],[خط (T/B  TOT) SAR]]+TABL123[[#This Row],[خط (S/S  TOT) SAR2]]</f>
        <v>0</v>
      </c>
      <c r="L280" s="28"/>
      <c r="M280" s="29"/>
      <c r="N280" s="30"/>
      <c r="O280" s="14">
        <v>404</v>
      </c>
      <c r="P280" s="9">
        <f>TABL123[[#This Row],[خط (S/S  TOT) SAR2]]-TABL123[[#This Row],[(S/S TOT) AJD]]</f>
        <v>-404</v>
      </c>
      <c r="Q280" s="14">
        <v>437</v>
      </c>
      <c r="R280" s="9">
        <f>TABL123[[#This Row],[خط (T/B  TOT) SAR]]-TABL123[[#This Row],[(T/B TOT) AJD]]</f>
        <v>-437</v>
      </c>
      <c r="S280" s="9">
        <f>TABL123[[#This Row],[الفرق بين بداية ونهاية خط  T/B]]+TABL123[[#This Row],[الفرق بين بداية ونهاية خط  S/S]]</f>
        <v>-841</v>
      </c>
      <c r="T280" s="9">
        <f>TABL123[[#This Row],[(S/S TOT) AJD]]+TABL123[[#This Row],[(T/B TOT) AJD]]</f>
        <v>841</v>
      </c>
      <c r="U280" s="14">
        <v>551</v>
      </c>
      <c r="V280" s="14">
        <v>263</v>
      </c>
      <c r="W280" s="9">
        <f>TABL123[[#This Row],[(A/B TOT) AJD]]+TABL123[[#This Row],[(A/S TOT)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91">
        <f>TABL123[[#This Row],[( S/S+T/B) AJD]]-(TABL123[[#This Row],[(A/B + A/S) AJD]]+(TABL123[[#This Row],[(STORGE DIFF.) AJD]]*1000)+TABL123[[#This Row],[البخر  AJD]])</f>
        <v>-4158</v>
      </c>
      <c r="AE280" s="75"/>
      <c r="AF280" s="75"/>
      <c r="AG280" s="75"/>
      <c r="AH280" s="6"/>
      <c r="AI280" s="86"/>
      <c r="AJ280" s="86">
        <f>TABL123[[#This Row],[(A/B TOT) AJD]]-TABL123[[#This Row],[BER_ IN]]</f>
        <v>551</v>
      </c>
      <c r="AK280" s="86"/>
      <c r="AL280" s="75"/>
      <c r="AM280" s="96"/>
      <c r="AN280" s="96">
        <f>TABL123[[#This Row],[ (RESV. STORGE) SER]]/10</f>
        <v>0</v>
      </c>
      <c r="AO280" s="6"/>
      <c r="AP280" s="32">
        <f>TABL123[[#This Row],[(A/S TOT) AJD]]-TABL123[[#This Row],[SER_ 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Row],[خط (T/B  TOT) SAR]]+TABL123[[#This Row],[خط (S/S  TOT) SAR2]]</f>
        <v>0</v>
      </c>
      <c r="L281" s="28"/>
      <c r="M281" s="29"/>
      <c r="N281" s="30"/>
      <c r="O281" s="14">
        <v>402</v>
      </c>
      <c r="P281" s="9">
        <f>TABL123[[#This Row],[خط (S/S  TOT) SAR2]]-TABL123[[#This Row],[(S/S TOT) AJD]]</f>
        <v>-402</v>
      </c>
      <c r="Q281" s="14">
        <v>435</v>
      </c>
      <c r="R281" s="9">
        <f>TABL123[[#This Row],[خط (T/B  TOT) SAR]]-TABL123[[#This Row],[(T/B TOT) AJD]]</f>
        <v>-435</v>
      </c>
      <c r="S281" s="9">
        <f>TABL123[[#This Row],[الفرق بين بداية ونهاية خط  T/B]]+TABL123[[#This Row],[الفرق بين بداية ونهاية خط  S/S]]</f>
        <v>-837</v>
      </c>
      <c r="T281" s="9">
        <f>TABL123[[#This Row],[(S/S TOT) AJD]]+TABL123[[#This Row],[(T/B TOT) AJD]]</f>
        <v>837</v>
      </c>
      <c r="U281" s="14">
        <v>545</v>
      </c>
      <c r="V281" s="14">
        <v>257</v>
      </c>
      <c r="W281" s="9">
        <f>TABL123[[#This Row],[(A/B TOT) AJD]]+TABL123[[#This Row],[(A/S TOT)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91">
        <f>TABL123[[#This Row],[( S/S+T/B) AJD]]-(TABL123[[#This Row],[(A/B + A/S) AJD]]+(TABL123[[#This Row],[(STORGE DIFF.) AJD]]*1000)+TABL123[[#This Row],[البخر  AJD]])</f>
        <v>35</v>
      </c>
      <c r="AE281" s="75"/>
      <c r="AF281" s="75"/>
      <c r="AG281" s="75"/>
      <c r="AH281" s="6"/>
      <c r="AI281" s="86"/>
      <c r="AJ281" s="86">
        <f>TABL123[[#This Row],[(A/B TOT) AJD]]-TABL123[[#This Row],[BER_ IN]]</f>
        <v>545</v>
      </c>
      <c r="AK281" s="86"/>
      <c r="AL281" s="75"/>
      <c r="AM281" s="96"/>
      <c r="AN281" s="96">
        <f>TABL123[[#This Row],[ (RESV. STORGE) SER]]/10</f>
        <v>0</v>
      </c>
      <c r="AO281" s="6"/>
      <c r="AP281" s="32">
        <f>TABL123[[#This Row],[(A/S TOT) AJD]]-TABL123[[#This Row],[SER_ 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Row],[خط (T/B  TOT) SAR]]+TABL123[[#This Row],[خط (S/S  TOT) SAR2]]</f>
        <v>0</v>
      </c>
      <c r="L282" s="28"/>
      <c r="M282" s="29"/>
      <c r="N282" s="30"/>
      <c r="O282" s="14">
        <v>402</v>
      </c>
      <c r="P282" s="9">
        <f>TABL123[[#This Row],[خط (S/S  TOT) SAR2]]-TABL123[[#This Row],[(S/S TOT) AJD]]</f>
        <v>-402</v>
      </c>
      <c r="Q282" s="14">
        <v>433</v>
      </c>
      <c r="R282" s="9">
        <f>TABL123[[#This Row],[خط (T/B  TOT) SAR]]-TABL123[[#This Row],[(T/B TOT) AJD]]</f>
        <v>-433</v>
      </c>
      <c r="S282" s="9">
        <f>TABL123[[#This Row],[الفرق بين بداية ونهاية خط  T/B]]+TABL123[[#This Row],[الفرق بين بداية ونهاية خط  S/S]]</f>
        <v>-835</v>
      </c>
      <c r="T282" s="9">
        <f>TABL123[[#This Row],[(S/S TOT) AJD]]+TABL123[[#This Row],[(T/B TOT) AJD]]</f>
        <v>835</v>
      </c>
      <c r="U282" s="14">
        <v>543</v>
      </c>
      <c r="V282" s="14">
        <v>254</v>
      </c>
      <c r="W282" s="9">
        <f>TABL123[[#This Row],[(A/B TOT) AJD]]+TABL123[[#This Row],[(A/S TOT)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91">
        <f>TABL123[[#This Row],[( S/S+T/B) AJD]]-(TABL123[[#This Row],[(A/B + A/S) AJD]]+(TABL123[[#This Row],[(STORGE DIFF.) AJD]]*1000)+TABL123[[#This Row],[البخر  AJD]])</f>
        <v>1232</v>
      </c>
      <c r="AE282" s="75"/>
      <c r="AF282" s="75"/>
      <c r="AG282" s="75"/>
      <c r="AH282" s="6"/>
      <c r="AI282" s="86"/>
      <c r="AJ282" s="86">
        <f>TABL123[[#This Row],[(A/B TOT) AJD]]-TABL123[[#This Row],[BER_ IN]]</f>
        <v>543</v>
      </c>
      <c r="AK282" s="86"/>
      <c r="AL282" s="75"/>
      <c r="AM282" s="96"/>
      <c r="AN282" s="96">
        <f>TABL123[[#This Row],[ (RESV. STORGE) SER]]/10</f>
        <v>0</v>
      </c>
      <c r="AO282" s="6"/>
      <c r="AP282" s="32">
        <f>TABL123[[#This Row],[(A/S TOT) AJD]]-TABL123[[#This Row],[SER_ 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Row],[خط (T/B  TOT) SAR]]+TABL123[[#This Row],[خط (S/S  TOT) SAR2]]</f>
        <v>0</v>
      </c>
      <c r="L283" s="28"/>
      <c r="M283" s="29"/>
      <c r="N283" s="30"/>
      <c r="O283" s="14">
        <v>401</v>
      </c>
      <c r="P283" s="9">
        <f>TABL123[[#This Row],[خط (S/S  TOT) SAR2]]-TABL123[[#This Row],[(S/S TOT) AJD]]</f>
        <v>-401</v>
      </c>
      <c r="Q283" s="14">
        <v>432</v>
      </c>
      <c r="R283" s="9">
        <f>TABL123[[#This Row],[خط (T/B  TOT) SAR]]-TABL123[[#This Row],[(T/B TOT) AJD]]</f>
        <v>-432</v>
      </c>
      <c r="S283" s="9">
        <f>TABL123[[#This Row],[الفرق بين بداية ونهاية خط  T/B]]+TABL123[[#This Row],[الفرق بين بداية ونهاية خط  S/S]]</f>
        <v>-833</v>
      </c>
      <c r="T283" s="9">
        <f>TABL123[[#This Row],[(S/S TOT) AJD]]+TABL123[[#This Row],[(T/B TOT) AJD]]</f>
        <v>833</v>
      </c>
      <c r="U283" s="14">
        <v>552</v>
      </c>
      <c r="V283" s="14">
        <v>248</v>
      </c>
      <c r="W283" s="9">
        <f>TABL123[[#This Row],[(A/B TOT) AJD]]+TABL123[[#This Row],[(A/S TOT)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91">
        <f>TABL123[[#This Row],[( S/S+T/B) AJD]]-(TABL123[[#This Row],[(A/B + A/S) AJD]]+(TABL123[[#This Row],[(STORGE DIFF.) AJD]]*1000)+TABL123[[#This Row],[البخر  AJD]])</f>
        <v>-8929</v>
      </c>
      <c r="AE283" s="75"/>
      <c r="AF283" s="75"/>
      <c r="AG283" s="75"/>
      <c r="AH283" s="6"/>
      <c r="AI283" s="86"/>
      <c r="AJ283" s="86">
        <f>TABL123[[#This Row],[(A/B TOT) AJD]]-TABL123[[#This Row],[BER_ IN]]</f>
        <v>552</v>
      </c>
      <c r="AK283" s="86"/>
      <c r="AL283" s="75"/>
      <c r="AM283" s="96"/>
      <c r="AN283" s="96">
        <f>TABL123[[#This Row],[ (RESV. STORGE) SER]]/10</f>
        <v>0</v>
      </c>
      <c r="AO283" s="6"/>
      <c r="AP283" s="32">
        <f>TABL123[[#This Row],[(A/S TOT) AJD]]-TABL123[[#This Row],[SER_ 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Row],[خط (T/B  TOT) SAR]]+TABL123[[#This Row],[خط (S/S  TOT) SAR2]]</f>
        <v>0</v>
      </c>
      <c r="L284" s="28"/>
      <c r="M284" s="29"/>
      <c r="N284" s="30"/>
      <c r="O284" s="14">
        <v>399</v>
      </c>
      <c r="P284" s="9">
        <f>TABL123[[#This Row],[خط (S/S  TOT) SAR2]]-TABL123[[#This Row],[(S/S TOT) AJD]]</f>
        <v>-399</v>
      </c>
      <c r="Q284" s="14">
        <v>432</v>
      </c>
      <c r="R284" s="9">
        <f>TABL123[[#This Row],[خط (T/B  TOT) SAR]]-TABL123[[#This Row],[(T/B TOT) AJD]]</f>
        <v>-432</v>
      </c>
      <c r="S284" s="9">
        <f>TABL123[[#This Row],[الفرق بين بداية ونهاية خط  T/B]]+TABL123[[#This Row],[الفرق بين بداية ونهاية خط  S/S]]</f>
        <v>-831</v>
      </c>
      <c r="T284" s="9">
        <f>TABL123[[#This Row],[(S/S TOT) AJD]]+TABL123[[#This Row],[(T/B TOT) AJD]]</f>
        <v>831</v>
      </c>
      <c r="U284" s="14">
        <v>549</v>
      </c>
      <c r="V284" s="14">
        <v>241</v>
      </c>
      <c r="W284" s="9">
        <f>TABL123[[#This Row],[(A/B TOT) AJD]]+TABL123[[#This Row],[(A/S TOT)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91">
        <f>TABL123[[#This Row],[( S/S+T/B) AJD]]-(TABL123[[#This Row],[(A/B + A/S) AJD]]+(TABL123[[#This Row],[(STORGE DIFF.) AJD]]*1000)+TABL123[[#This Row],[البخر  AJD]])</f>
        <v>-7131</v>
      </c>
      <c r="AE284" s="75"/>
      <c r="AF284" s="75"/>
      <c r="AG284" s="75"/>
      <c r="AH284" s="6"/>
      <c r="AI284" s="86"/>
      <c r="AJ284" s="86">
        <f>TABL123[[#This Row],[(A/B TOT) AJD]]-TABL123[[#This Row],[BER_ IN]]</f>
        <v>549</v>
      </c>
      <c r="AK284" s="86"/>
      <c r="AL284" s="75"/>
      <c r="AM284" s="96"/>
      <c r="AN284" s="96">
        <f>TABL123[[#This Row],[ (RESV. STORGE) SER]]/10</f>
        <v>0</v>
      </c>
      <c r="AO284" s="6"/>
      <c r="AP284" s="32">
        <f>TABL123[[#This Row],[(A/S TOT) AJD]]-TABL123[[#This Row],[SER_ 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Row],[خط (T/B  TOT) SAR]]+TABL123[[#This Row],[خط (S/S  TOT) SAR2]]</f>
        <v>0</v>
      </c>
      <c r="L285" s="28"/>
      <c r="M285" s="29"/>
      <c r="N285" s="30"/>
      <c r="O285" s="14">
        <v>395</v>
      </c>
      <c r="P285" s="9">
        <f>TABL123[[#This Row],[خط (S/S  TOT) SAR2]]-TABL123[[#This Row],[(S/S TOT) AJD]]</f>
        <v>-395</v>
      </c>
      <c r="Q285" s="14">
        <v>429</v>
      </c>
      <c r="R285" s="9">
        <f>TABL123[[#This Row],[خط (T/B  TOT) SAR]]-TABL123[[#This Row],[(T/B TOT) AJD]]</f>
        <v>-429</v>
      </c>
      <c r="S285" s="9">
        <f>TABL123[[#This Row],[الفرق بين بداية ونهاية خط  T/B]]+TABL123[[#This Row],[الفرق بين بداية ونهاية خط  S/S]]</f>
        <v>-824</v>
      </c>
      <c r="T285" s="9">
        <f>TABL123[[#This Row],[(S/S TOT) AJD]]+TABL123[[#This Row],[(T/B TOT) AJD]]</f>
        <v>824</v>
      </c>
      <c r="U285" s="14">
        <v>548</v>
      </c>
      <c r="V285" s="14">
        <v>237</v>
      </c>
      <c r="W285" s="9">
        <f>TABL123[[#This Row],[(A/B TOT) AJD]]+TABL123[[#This Row],[(A/S TOT)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91">
        <f>TABL123[[#This Row],[( S/S+T/B) AJD]]-(TABL123[[#This Row],[(A/B + A/S) AJD]]+(TABL123[[#This Row],[(STORGE DIFF.) AJD]]*1000)+TABL123[[#This Row],[البخر  AJD]])</f>
        <v>-13707</v>
      </c>
      <c r="AE285" s="75"/>
      <c r="AF285" s="75"/>
      <c r="AG285" s="75"/>
      <c r="AH285" s="6"/>
      <c r="AI285" s="86"/>
      <c r="AJ285" s="86">
        <f>TABL123[[#This Row],[(A/B TOT) AJD]]-TABL123[[#This Row],[BER_ IN]]</f>
        <v>548</v>
      </c>
      <c r="AK285" s="86"/>
      <c r="AL285" s="75"/>
      <c r="AM285" s="96"/>
      <c r="AN285" s="96">
        <f>TABL123[[#This Row],[ (RESV. STORGE) SER]]/10</f>
        <v>0</v>
      </c>
      <c r="AO285" s="6"/>
      <c r="AP285" s="32">
        <f>TABL123[[#This Row],[(A/S TOT) AJD]]-TABL123[[#This Row],[SER_ 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Row],[خط (T/B  TOT) SAR]]+TABL123[[#This Row],[خط (S/S  TOT) SAR2]]</f>
        <v>0</v>
      </c>
      <c r="L286" s="28"/>
      <c r="M286" s="29"/>
      <c r="N286" s="30"/>
      <c r="O286" s="14">
        <v>395</v>
      </c>
      <c r="P286" s="9">
        <f>TABL123[[#This Row],[خط (S/S  TOT) SAR2]]-TABL123[[#This Row],[(S/S TOT) AJD]]</f>
        <v>-395</v>
      </c>
      <c r="Q286" s="14">
        <v>428</v>
      </c>
      <c r="R286" s="9">
        <f>TABL123[[#This Row],[خط (T/B  TOT) SAR]]-TABL123[[#This Row],[(T/B TOT) AJD]]</f>
        <v>-428</v>
      </c>
      <c r="S286" s="9">
        <f>TABL123[[#This Row],[الفرق بين بداية ونهاية خط  T/B]]+TABL123[[#This Row],[الفرق بين بداية ونهاية خط  S/S]]</f>
        <v>-823</v>
      </c>
      <c r="T286" s="9">
        <f>TABL123[[#This Row],[(S/S TOT) AJD]]+TABL123[[#This Row],[(T/B TOT) AJD]]</f>
        <v>823</v>
      </c>
      <c r="U286" s="14">
        <v>548</v>
      </c>
      <c r="V286" s="14">
        <v>244</v>
      </c>
      <c r="W286" s="9">
        <f>TABL123[[#This Row],[(A/B TOT) AJD]]+TABL123[[#This Row],[(A/S TOT)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91">
        <f>TABL123[[#This Row],[( S/S+T/B) AJD]]-(TABL123[[#This Row],[(A/B + A/S) AJD]]+(TABL123[[#This Row],[(STORGE DIFF.) AJD]]*1000)+TABL123[[#This Row],[البخر  AJD]])</f>
        <v>-5950</v>
      </c>
      <c r="AE286" s="75"/>
      <c r="AF286" s="75"/>
      <c r="AG286" s="75"/>
      <c r="AH286" s="6"/>
      <c r="AI286" s="86"/>
      <c r="AJ286" s="86">
        <f>TABL123[[#This Row],[(A/B TOT) AJD]]-TABL123[[#This Row],[BER_ IN]]</f>
        <v>548</v>
      </c>
      <c r="AK286" s="86"/>
      <c r="AL286" s="75"/>
      <c r="AM286" s="96"/>
      <c r="AN286" s="96">
        <f>TABL123[[#This Row],[ (RESV. STORGE) SER]]/10</f>
        <v>0</v>
      </c>
      <c r="AO286" s="6"/>
      <c r="AP286" s="32">
        <f>TABL123[[#This Row],[(A/S TOT) AJD]]-TABL123[[#This Row],[SER_ 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Row],[خط (T/B  TOT) SAR]]+TABL123[[#This Row],[خط (S/S  TOT) SAR2]]</f>
        <v>0</v>
      </c>
      <c r="L287" s="28"/>
      <c r="M287" s="29"/>
      <c r="N287" s="30"/>
      <c r="O287" s="14">
        <v>397</v>
      </c>
      <c r="P287" s="9">
        <f>TABL123[[#This Row],[خط (S/S  TOT) SAR2]]-TABL123[[#This Row],[(S/S TOT) AJD]]</f>
        <v>-397</v>
      </c>
      <c r="Q287" s="14">
        <v>428</v>
      </c>
      <c r="R287" s="9">
        <f>TABL123[[#This Row],[خط (T/B  TOT) SAR]]-TABL123[[#This Row],[(T/B TOT) AJD]]</f>
        <v>-428</v>
      </c>
      <c r="S287" s="9">
        <f>TABL123[[#This Row],[الفرق بين بداية ونهاية خط  T/B]]+TABL123[[#This Row],[الفرق بين بداية ونهاية خط  S/S]]</f>
        <v>-825</v>
      </c>
      <c r="T287" s="9">
        <f>TABL123[[#This Row],[(S/S TOT) AJD]]+TABL123[[#This Row],[(T/B TOT) AJD]]</f>
        <v>825</v>
      </c>
      <c r="U287" s="14">
        <v>561</v>
      </c>
      <c r="V287" s="14">
        <v>261</v>
      </c>
      <c r="W287" s="9">
        <f>TABL123[[#This Row],[(A/B TOT) AJD]]+TABL123[[#This Row],[(A/S TOT)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91">
        <f>TABL123[[#This Row],[( S/S+T/B) AJD]]-(TABL123[[#This Row],[(A/B + A/S) AJD]]+(TABL123[[#This Row],[(STORGE DIFF.) AJD]]*1000)+TABL123[[#This Row],[البخر  AJD]])</f>
        <v>31694</v>
      </c>
      <c r="AE287" s="75"/>
      <c r="AF287" s="75"/>
      <c r="AG287" s="75"/>
      <c r="AH287" s="6"/>
      <c r="AI287" s="86"/>
      <c r="AJ287" s="86">
        <f>TABL123[[#This Row],[(A/B TOT) AJD]]-TABL123[[#This Row],[BER_ IN]]</f>
        <v>561</v>
      </c>
      <c r="AK287" s="86"/>
      <c r="AL287" s="75"/>
      <c r="AM287" s="96"/>
      <c r="AN287" s="96">
        <f>TABL123[[#This Row],[ (RESV. STORGE) SER]]/10</f>
        <v>0</v>
      </c>
      <c r="AO287" s="6"/>
      <c r="AP287" s="32">
        <f>TABL123[[#This Row],[(A/S TOT) AJD]]-TABL123[[#This Row],[SER_ 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Row],[خط (T/B  TOT) SAR]]+TABL123[[#This Row],[خط (S/S  TOT) SAR2]]</f>
        <v>0</v>
      </c>
      <c r="L288" s="28"/>
      <c r="M288" s="29"/>
      <c r="N288" s="30"/>
      <c r="O288" s="14">
        <v>398</v>
      </c>
      <c r="P288" s="9">
        <f>TABL123[[#This Row],[خط (S/S  TOT) SAR2]]-TABL123[[#This Row],[(S/S TOT) AJD]]</f>
        <v>-398</v>
      </c>
      <c r="Q288" s="14">
        <v>428</v>
      </c>
      <c r="R288" s="9">
        <f>TABL123[[#This Row],[خط (T/B  TOT) SAR]]-TABL123[[#This Row],[(T/B TOT) AJD]]</f>
        <v>-428</v>
      </c>
      <c r="S288" s="9">
        <f>TABL123[[#This Row],[الفرق بين بداية ونهاية خط  T/B]]+TABL123[[#This Row],[الفرق بين بداية ونهاية خط  S/S]]</f>
        <v>-826</v>
      </c>
      <c r="T288" s="9">
        <f>TABL123[[#This Row],[(S/S TOT) AJD]]+TABL123[[#This Row],[(T/B TOT) AJD]]</f>
        <v>826</v>
      </c>
      <c r="U288" s="14">
        <v>561</v>
      </c>
      <c r="V288" s="14">
        <v>266</v>
      </c>
      <c r="W288" s="9">
        <f>TABL123[[#This Row],[(A/B TOT) AJD]]+TABL123[[#This Row],[(A/S TOT)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91">
        <f>TABL123[[#This Row],[( S/S+T/B) AJD]]-(TABL123[[#This Row],[(A/B + A/S) AJD]]+(TABL123[[#This Row],[(STORGE DIFF.) AJD]]*1000)+TABL123[[#This Row],[البخر  AJD]])</f>
        <v>16128.999999999998</v>
      </c>
      <c r="AE288" s="75"/>
      <c r="AF288" s="75"/>
      <c r="AG288" s="75"/>
      <c r="AH288" s="6"/>
      <c r="AI288" s="86"/>
      <c r="AJ288" s="86">
        <f>TABL123[[#This Row],[(A/B TOT) AJD]]-TABL123[[#This Row],[BER_ IN]]</f>
        <v>561</v>
      </c>
      <c r="AK288" s="86"/>
      <c r="AL288" s="75"/>
      <c r="AM288" s="96"/>
      <c r="AN288" s="96">
        <f>TABL123[[#This Row],[ (RESV. STORGE) SER]]/10</f>
        <v>0</v>
      </c>
      <c r="AO288" s="6"/>
      <c r="AP288" s="32">
        <f>TABL123[[#This Row],[(A/S TOT) AJD]]-TABL123[[#This Row],[SER_ 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Row],[خط (T/B  TOT) SAR]]+TABL123[[#This Row],[خط (S/S  TOT) SAR2]]</f>
        <v>0</v>
      </c>
      <c r="L289" s="28"/>
      <c r="M289" s="29"/>
      <c r="N289" s="30"/>
      <c r="O289" s="14">
        <v>402</v>
      </c>
      <c r="P289" s="9">
        <f>TABL123[[#This Row],[خط (S/S  TOT) SAR2]]-TABL123[[#This Row],[(S/S TOT) AJD]]</f>
        <v>-402</v>
      </c>
      <c r="Q289" s="14">
        <v>430</v>
      </c>
      <c r="R289" s="9">
        <f>TABL123[[#This Row],[خط (T/B  TOT) SAR]]-TABL123[[#This Row],[(T/B TOT) AJD]]</f>
        <v>-430</v>
      </c>
      <c r="S289" s="9">
        <f>TABL123[[#This Row],[الفرق بين بداية ونهاية خط  T/B]]+TABL123[[#This Row],[الفرق بين بداية ونهاية خط  S/S]]</f>
        <v>-832</v>
      </c>
      <c r="T289" s="9">
        <f>TABL123[[#This Row],[(S/S TOT) AJD]]+TABL123[[#This Row],[(T/B TOT) AJD]]</f>
        <v>832</v>
      </c>
      <c r="U289" s="14">
        <v>563</v>
      </c>
      <c r="V289" s="14">
        <v>278</v>
      </c>
      <c r="W289" s="9">
        <f>TABL123[[#This Row],[(A/B TOT) AJD]]+TABL123[[#This Row],[(A/S TOT)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91">
        <f>TABL123[[#This Row],[( S/S+T/B) AJD]]-(TABL123[[#This Row],[(A/B + A/S) AJD]]+(TABL123[[#This Row],[(STORGE DIFF.) AJD]]*1000)+TABL123[[#This Row],[البخر  AJD]])</f>
        <v>47740</v>
      </c>
      <c r="AE289" s="75"/>
      <c r="AF289" s="75"/>
      <c r="AG289" s="75"/>
      <c r="AH289" s="6"/>
      <c r="AI289" s="86"/>
      <c r="AJ289" s="86">
        <f>TABL123[[#This Row],[(A/B TOT) AJD]]-TABL123[[#This Row],[BER_ IN]]</f>
        <v>563</v>
      </c>
      <c r="AK289" s="86"/>
      <c r="AL289" s="75"/>
      <c r="AM289" s="96"/>
      <c r="AN289" s="96">
        <f>TABL123[[#This Row],[ (RESV. STORGE) SER]]/10</f>
        <v>0</v>
      </c>
      <c r="AO289" s="6"/>
      <c r="AP289" s="32">
        <f>TABL123[[#This Row],[(A/S TOT) AJD]]-TABL123[[#This Row],[SER_ 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Row],[خط (T/B  TOT) SAR]]+TABL123[[#This Row],[خط (S/S  TOT) SAR2]]</f>
        <v>0</v>
      </c>
      <c r="L290" s="28"/>
      <c r="M290" s="29"/>
      <c r="N290" s="30"/>
      <c r="O290" s="14">
        <v>398</v>
      </c>
      <c r="P290" s="9">
        <f>TABL123[[#This Row],[خط (S/S  TOT) SAR2]]-TABL123[[#This Row],[(S/S TOT) AJD]]</f>
        <v>-398</v>
      </c>
      <c r="Q290" s="14">
        <v>429</v>
      </c>
      <c r="R290" s="9">
        <f>TABL123[[#This Row],[خط (T/B  TOT) SAR]]-TABL123[[#This Row],[(T/B TOT) AJD]]</f>
        <v>-429</v>
      </c>
      <c r="S290" s="9">
        <f>TABL123[[#This Row],[الفرق بين بداية ونهاية خط  T/B]]+TABL123[[#This Row],[الفرق بين بداية ونهاية خط  S/S]]</f>
        <v>-827</v>
      </c>
      <c r="T290" s="9">
        <f>TABL123[[#This Row],[(S/S TOT) AJD]]+TABL123[[#This Row],[(T/B TOT) AJD]]</f>
        <v>827</v>
      </c>
      <c r="U290" s="14">
        <v>558</v>
      </c>
      <c r="V290" s="14">
        <v>253</v>
      </c>
      <c r="W290" s="9">
        <f>TABL123[[#This Row],[(A/B TOT) AJD]]+TABL123[[#This Row],[(A/S TOT)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91">
        <f>TABL123[[#This Row],[( S/S+T/B) AJD]]-(TABL123[[#This Row],[(A/B + A/S) AJD]]+(TABL123[[#This Row],[(STORGE DIFF.) AJD]]*1000)+TABL123[[#This Row],[البخر  AJD]])</f>
        <v>5979</v>
      </c>
      <c r="AE290" s="75"/>
      <c r="AF290" s="75"/>
      <c r="AG290" s="75"/>
      <c r="AH290" s="6"/>
      <c r="AI290" s="86"/>
      <c r="AJ290" s="86">
        <f>TABL123[[#This Row],[(A/B TOT) AJD]]-TABL123[[#This Row],[BER_ IN]]</f>
        <v>558</v>
      </c>
      <c r="AK290" s="86"/>
      <c r="AL290" s="75"/>
      <c r="AM290" s="96"/>
      <c r="AN290" s="96">
        <f>TABL123[[#This Row],[ (RESV. STORGE) SER]]/10</f>
        <v>0</v>
      </c>
      <c r="AO290" s="6"/>
      <c r="AP290" s="32">
        <f>TABL123[[#This Row],[(A/S TOT) AJD]]-TABL123[[#This Row],[SER_ 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Row],[خط (T/B  TOT) SAR]]+TABL123[[#This Row],[خط (S/S  TOT) SAR2]]</f>
        <v>0</v>
      </c>
      <c r="L291" s="28"/>
      <c r="M291" s="29"/>
      <c r="N291" s="30"/>
      <c r="O291" s="14">
        <v>397</v>
      </c>
      <c r="P291" s="9">
        <f>TABL123[[#This Row],[خط (S/S  TOT) SAR2]]-TABL123[[#This Row],[(S/S TOT) AJD]]</f>
        <v>-397</v>
      </c>
      <c r="Q291" s="14">
        <v>428</v>
      </c>
      <c r="R291" s="9">
        <f>TABL123[[#This Row],[خط (T/B  TOT) SAR]]-TABL123[[#This Row],[(T/B TOT) AJD]]</f>
        <v>-428</v>
      </c>
      <c r="S291" s="9">
        <f>TABL123[[#This Row],[الفرق بين بداية ونهاية خط  T/B]]+TABL123[[#This Row],[الفرق بين بداية ونهاية خط  S/S]]</f>
        <v>-825</v>
      </c>
      <c r="T291" s="9">
        <f>TABL123[[#This Row],[(S/S TOT) AJD]]+TABL123[[#This Row],[(T/B TOT) AJD]]</f>
        <v>825</v>
      </c>
      <c r="U291" s="14">
        <v>558</v>
      </c>
      <c r="V291" s="14">
        <v>224</v>
      </c>
      <c r="W291" s="9">
        <f>TABL123[[#This Row],[(A/B TOT) AJD]]+TABL123[[#This Row],[(A/S TOT)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91">
        <f>TABL123[[#This Row],[( S/S+T/B) AJD]]-(TABL123[[#This Row],[(A/B + A/S) AJD]]+(TABL123[[#This Row],[(STORGE DIFF.) AJD]]*1000)+TABL123[[#This Row],[البخر  AJD]])</f>
        <v>-10099</v>
      </c>
      <c r="AE291" s="75"/>
      <c r="AF291" s="75"/>
      <c r="AG291" s="75"/>
      <c r="AH291" s="6"/>
      <c r="AI291" s="86"/>
      <c r="AJ291" s="86">
        <f>TABL123[[#This Row],[(A/B TOT) AJD]]-TABL123[[#This Row],[BER_ IN]]</f>
        <v>558</v>
      </c>
      <c r="AK291" s="86"/>
      <c r="AL291" s="75"/>
      <c r="AM291" s="96"/>
      <c r="AN291" s="96">
        <f>TABL123[[#This Row],[ (RESV. STORGE) SER]]/10</f>
        <v>0</v>
      </c>
      <c r="AO291" s="6"/>
      <c r="AP291" s="32">
        <f>TABL123[[#This Row],[(A/S TOT) AJD]]-TABL123[[#This Row],[SER_ 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Row],[خط (T/B  TOT) SAR]]+TABL123[[#This Row],[خط (S/S  TOT) SAR2]]</f>
        <v>0</v>
      </c>
      <c r="L292" s="28"/>
      <c r="M292" s="29"/>
      <c r="N292" s="30"/>
      <c r="O292" s="14">
        <v>393</v>
      </c>
      <c r="P292" s="9">
        <f>TABL123[[#This Row],[خط (S/S  TOT) SAR2]]-TABL123[[#This Row],[(S/S TOT) AJD]]</f>
        <v>-393</v>
      </c>
      <c r="Q292" s="14">
        <v>426</v>
      </c>
      <c r="R292" s="9">
        <f>TABL123[[#This Row],[خط (T/B  TOT) SAR]]-TABL123[[#This Row],[(T/B TOT) AJD]]</f>
        <v>-426</v>
      </c>
      <c r="S292" s="9">
        <f>TABL123[[#This Row],[الفرق بين بداية ونهاية خط  T/B]]+TABL123[[#This Row],[الفرق بين بداية ونهاية خط  S/S]]</f>
        <v>-819</v>
      </c>
      <c r="T292" s="9">
        <f>TABL123[[#This Row],[(S/S TOT) AJD]]+TABL123[[#This Row],[(T/B TOT) AJD]]</f>
        <v>819</v>
      </c>
      <c r="U292" s="14">
        <v>565</v>
      </c>
      <c r="V292" s="14">
        <v>217</v>
      </c>
      <c r="W292" s="9">
        <f>TABL123[[#This Row],[(A/B TOT) AJD]]+TABL123[[#This Row],[(A/S TOT)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91">
        <f>TABL123[[#This Row],[( S/S+T/B) AJD]]-(TABL123[[#This Row],[(A/B + A/S) AJD]]+(TABL123[[#This Row],[(STORGE DIFF.) AJD]]*1000)+TABL123[[#This Row],[البخر  AJD]])</f>
        <v>-16673</v>
      </c>
      <c r="AE292" s="75"/>
      <c r="AF292" s="75"/>
      <c r="AG292" s="75"/>
      <c r="AH292" s="6"/>
      <c r="AI292" s="86"/>
      <c r="AJ292" s="86">
        <f>TABL123[[#This Row],[(A/B TOT) AJD]]-TABL123[[#This Row],[BER_ IN]]</f>
        <v>565</v>
      </c>
      <c r="AK292" s="86"/>
      <c r="AL292" s="75"/>
      <c r="AM292" s="96"/>
      <c r="AN292" s="96">
        <f>TABL123[[#This Row],[ (RESV. STORGE) SER]]/10</f>
        <v>0</v>
      </c>
      <c r="AO292" s="6"/>
      <c r="AP292" s="32">
        <f>TABL123[[#This Row],[(A/S TOT) AJD]]-TABL123[[#This Row],[SER_ 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Row],[خط (T/B  TOT) SAR]]+TABL123[[#This Row],[خط (S/S  TOT) SAR2]]</f>
        <v>0</v>
      </c>
      <c r="L293" s="28"/>
      <c r="M293" s="29"/>
      <c r="N293" s="30"/>
      <c r="O293" s="14">
        <v>387</v>
      </c>
      <c r="P293" s="9">
        <f>TABL123[[#This Row],[خط (S/S  TOT) SAR2]]-TABL123[[#This Row],[(S/S TOT) AJD]]</f>
        <v>-387</v>
      </c>
      <c r="Q293" s="14">
        <v>417</v>
      </c>
      <c r="R293" s="9">
        <f>TABL123[[#This Row],[خط (T/B  TOT) SAR]]-TABL123[[#This Row],[(T/B TOT) AJD]]</f>
        <v>-417</v>
      </c>
      <c r="S293" s="9">
        <f>TABL123[[#This Row],[الفرق بين بداية ونهاية خط  T/B]]+TABL123[[#This Row],[الفرق بين بداية ونهاية خط  S/S]]</f>
        <v>-804</v>
      </c>
      <c r="T293" s="9">
        <f>TABL123[[#This Row],[(S/S TOT) AJD]]+TABL123[[#This Row],[(T/B TOT) AJD]]</f>
        <v>804</v>
      </c>
      <c r="U293" s="14">
        <v>568</v>
      </c>
      <c r="V293" s="14">
        <v>216</v>
      </c>
      <c r="W293" s="9">
        <f>TABL123[[#This Row],[(A/B TOT) AJD]]+TABL123[[#This Row],[(A/S TOT)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91">
        <f>TABL123[[#This Row],[( S/S+T/B) AJD]]-(TABL123[[#This Row],[(A/B + A/S) AJD]]+(TABL123[[#This Row],[(STORGE DIFF.) AJD]]*1000)+TABL123[[#This Row],[البخر  AJD]])</f>
        <v>10761</v>
      </c>
      <c r="AE293" s="75"/>
      <c r="AF293" s="75"/>
      <c r="AG293" s="75"/>
      <c r="AH293" s="6"/>
      <c r="AI293" s="86"/>
      <c r="AJ293" s="86">
        <f>TABL123[[#This Row],[(A/B TOT) AJD]]-TABL123[[#This Row],[BER_ IN]]</f>
        <v>568</v>
      </c>
      <c r="AK293" s="86"/>
      <c r="AL293" s="75"/>
      <c r="AM293" s="96"/>
      <c r="AN293" s="96">
        <f>TABL123[[#This Row],[ (RESV. STORGE) SER]]/10</f>
        <v>0</v>
      </c>
      <c r="AO293" s="6"/>
      <c r="AP293" s="32">
        <f>TABL123[[#This Row],[(A/S TOT) AJD]]-TABL123[[#This Row],[SER_ 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Row],[خط (T/B  TOT) SAR]]+TABL123[[#This Row],[خط (S/S  TOT) SAR2]]</f>
        <v>0</v>
      </c>
      <c r="L294" s="28"/>
      <c r="M294" s="29"/>
      <c r="N294" s="30"/>
      <c r="O294" s="14">
        <v>379</v>
      </c>
      <c r="P294" s="9">
        <f>TABL123[[#This Row],[خط (S/S  TOT) SAR2]]-TABL123[[#This Row],[(S/S TOT) AJD]]</f>
        <v>-379</v>
      </c>
      <c r="Q294" s="14">
        <v>409</v>
      </c>
      <c r="R294" s="9">
        <f>TABL123[[#This Row],[خط (T/B  TOT) SAR]]-TABL123[[#This Row],[(T/B TOT) AJD]]</f>
        <v>-409</v>
      </c>
      <c r="S294" s="9">
        <f>TABL123[[#This Row],[الفرق بين بداية ونهاية خط  T/B]]+TABL123[[#This Row],[الفرق بين بداية ونهاية خط  S/S]]</f>
        <v>-788</v>
      </c>
      <c r="T294" s="9">
        <f>TABL123[[#This Row],[(S/S TOT) AJD]]+TABL123[[#This Row],[(T/B TOT) AJD]]</f>
        <v>788</v>
      </c>
      <c r="U294" s="14">
        <v>564</v>
      </c>
      <c r="V294" s="14">
        <v>227</v>
      </c>
      <c r="W294" s="9">
        <f>TABL123[[#This Row],[(A/B TOT) AJD]]+TABL123[[#This Row],[(A/S TOT)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91">
        <f>TABL123[[#This Row],[( S/S+T/B) AJD]]-(TABL123[[#This Row],[(A/B + A/S) AJD]]+(TABL123[[#This Row],[(STORGE DIFF.) AJD]]*1000)+TABL123[[#This Row],[البخر  AJD]])</f>
        <v>32808</v>
      </c>
      <c r="AE294" s="75"/>
      <c r="AF294" s="75"/>
      <c r="AG294" s="75"/>
      <c r="AH294" s="6"/>
      <c r="AI294" s="86"/>
      <c r="AJ294" s="86">
        <f>TABL123[[#This Row],[(A/B TOT) AJD]]-TABL123[[#This Row],[BER_ IN]]</f>
        <v>564</v>
      </c>
      <c r="AK294" s="86"/>
      <c r="AL294" s="75"/>
      <c r="AM294" s="96"/>
      <c r="AN294" s="96">
        <f>TABL123[[#This Row],[ (RESV. STORGE) SER]]/10</f>
        <v>0</v>
      </c>
      <c r="AO294" s="6"/>
      <c r="AP294" s="32">
        <f>TABL123[[#This Row],[(A/S TOT) AJD]]-TABL123[[#This Row],[SER_ 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Row],[خط (T/B  TOT) SAR]]+TABL123[[#This Row],[خط (S/S  TOT) SAR2]]</f>
        <v>0</v>
      </c>
      <c r="L295" s="28"/>
      <c r="M295" s="29"/>
      <c r="N295" s="30"/>
      <c r="O295" s="14">
        <v>381</v>
      </c>
      <c r="P295" s="9">
        <f>TABL123[[#This Row],[خط (S/S  TOT) SAR2]]-TABL123[[#This Row],[(S/S TOT) AJD]]</f>
        <v>-381</v>
      </c>
      <c r="Q295" s="14">
        <v>412</v>
      </c>
      <c r="R295" s="9">
        <f>TABL123[[#This Row],[خط (T/B  TOT) SAR]]-TABL123[[#This Row],[(T/B TOT) AJD]]</f>
        <v>-412</v>
      </c>
      <c r="S295" s="9">
        <f>TABL123[[#This Row],[الفرق بين بداية ونهاية خط  T/B]]+TABL123[[#This Row],[الفرق بين بداية ونهاية خط  S/S]]</f>
        <v>-793</v>
      </c>
      <c r="T295" s="9">
        <f>TABL123[[#This Row],[(S/S TOT) AJD]]+TABL123[[#This Row],[(T/B TOT) AJD]]</f>
        <v>793</v>
      </c>
      <c r="U295" s="14">
        <v>565</v>
      </c>
      <c r="V295" s="14">
        <v>225</v>
      </c>
      <c r="W295" s="9">
        <f>TABL123[[#This Row],[(A/B TOT) AJD]]+TABL123[[#This Row],[(A/S TOT)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91">
        <f>TABL123[[#This Row],[( S/S+T/B) AJD]]-(TABL123[[#This Row],[(A/B + A/S) AJD]]+(TABL123[[#This Row],[(STORGE DIFF.) AJD]]*1000)+TABL123[[#This Row],[البخر  AJD]])</f>
        <v>31002</v>
      </c>
      <c r="AE295" s="75"/>
      <c r="AF295" s="75"/>
      <c r="AG295" s="75"/>
      <c r="AH295" s="6"/>
      <c r="AI295" s="86"/>
      <c r="AJ295" s="86">
        <f>TABL123[[#This Row],[(A/B TOT) AJD]]-TABL123[[#This Row],[BER_ IN]]</f>
        <v>565</v>
      </c>
      <c r="AK295" s="86"/>
      <c r="AL295" s="75"/>
      <c r="AM295" s="96"/>
      <c r="AN295" s="96">
        <f>TABL123[[#This Row],[ (RESV. STORGE) SER]]/10</f>
        <v>0</v>
      </c>
      <c r="AO295" s="6"/>
      <c r="AP295" s="32">
        <f>TABL123[[#This Row],[(A/S TOT) AJD]]-TABL123[[#This Row],[SER_ 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Row],[خط (T/B  TOT) SAR]]+TABL123[[#This Row],[خط (S/S  TOT) SAR2]]</f>
        <v>0</v>
      </c>
      <c r="L296" s="28"/>
      <c r="M296" s="29"/>
      <c r="N296" s="30"/>
      <c r="O296" s="14">
        <v>382</v>
      </c>
      <c r="P296" s="9">
        <f>TABL123[[#This Row],[خط (S/S  TOT) SAR2]]-TABL123[[#This Row],[(S/S TOT) AJD]]</f>
        <v>-382</v>
      </c>
      <c r="Q296" s="14">
        <v>412</v>
      </c>
      <c r="R296" s="9">
        <f>TABL123[[#This Row],[خط (T/B  TOT) SAR]]-TABL123[[#This Row],[(T/B TOT) AJD]]</f>
        <v>-412</v>
      </c>
      <c r="S296" s="9">
        <f>TABL123[[#This Row],[الفرق بين بداية ونهاية خط  T/B]]+TABL123[[#This Row],[الفرق بين بداية ونهاية خط  S/S]]</f>
        <v>-794</v>
      </c>
      <c r="T296" s="9">
        <f>TABL123[[#This Row],[(S/S TOT) AJD]]+TABL123[[#This Row],[(T/B TOT) AJD]]</f>
        <v>794</v>
      </c>
      <c r="U296" s="14">
        <v>558</v>
      </c>
      <c r="V296" s="14">
        <v>263</v>
      </c>
      <c r="W296" s="9">
        <f>TABL123[[#This Row],[(A/B TOT) AJD]]+TABL123[[#This Row],[(A/S TOT)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91">
        <f>TABL123[[#This Row],[( S/S+T/B) AJD]]-(TABL123[[#This Row],[(A/B + A/S) AJD]]+(TABL123[[#This Row],[(STORGE DIFF.) AJD]]*1000)+TABL123[[#This Row],[البخر  AJD]])</f>
        <v>47620</v>
      </c>
      <c r="AE296" s="75"/>
      <c r="AF296" s="75"/>
      <c r="AG296" s="75"/>
      <c r="AH296" s="6"/>
      <c r="AI296" s="86"/>
      <c r="AJ296" s="86">
        <f>TABL123[[#This Row],[(A/B TOT) AJD]]-TABL123[[#This Row],[BER_ IN]]</f>
        <v>558</v>
      </c>
      <c r="AK296" s="86"/>
      <c r="AL296" s="75"/>
      <c r="AM296" s="96"/>
      <c r="AN296" s="96">
        <f>TABL123[[#This Row],[ (RESV. STORGE) SER]]/10</f>
        <v>0</v>
      </c>
      <c r="AO296" s="6"/>
      <c r="AP296" s="32">
        <f>TABL123[[#This Row],[(A/S TOT) AJD]]-TABL123[[#This Row],[SER_ 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Row],[خط (T/B  TOT) SAR]]+TABL123[[#This Row],[خط (S/S  TOT) SAR2]]</f>
        <v>0</v>
      </c>
      <c r="L297" s="28"/>
      <c r="M297" s="29"/>
      <c r="N297" s="30"/>
      <c r="O297" s="14">
        <v>383</v>
      </c>
      <c r="P297" s="9">
        <f>TABL123[[#This Row],[خط (S/S  TOT) SAR2]]-TABL123[[#This Row],[(S/S TOT) AJD]]</f>
        <v>-383</v>
      </c>
      <c r="Q297" s="14">
        <v>411</v>
      </c>
      <c r="R297" s="9">
        <f>TABL123[[#This Row],[خط (T/B  TOT) SAR]]-TABL123[[#This Row],[(T/B TOT) AJD]]</f>
        <v>-411</v>
      </c>
      <c r="S297" s="9">
        <f>TABL123[[#This Row],[الفرق بين بداية ونهاية خط  T/B]]+TABL123[[#This Row],[الفرق بين بداية ونهاية خط  S/S]]</f>
        <v>-794</v>
      </c>
      <c r="T297" s="9">
        <f>TABL123[[#This Row],[(S/S TOT) AJD]]+TABL123[[#This Row],[(T/B TOT) AJD]]</f>
        <v>794</v>
      </c>
      <c r="U297" s="14">
        <v>551</v>
      </c>
      <c r="V297" s="14">
        <v>260</v>
      </c>
      <c r="W297" s="9">
        <f>TABL123[[#This Row],[(A/B TOT) AJD]]+TABL123[[#This Row],[(A/S TOT)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91">
        <f>TABL123[[#This Row],[( S/S+T/B) AJD]]-(TABL123[[#This Row],[(A/B + A/S) AJD]]+(TABL123[[#This Row],[(STORGE DIFF.) AJD]]*1000)+TABL123[[#This Row],[البخر  AJD]])</f>
        <v>464624.77100000001</v>
      </c>
      <c r="AE297" s="75"/>
      <c r="AF297" s="75"/>
      <c r="AG297" s="75"/>
      <c r="AH297" s="6"/>
      <c r="AI297" s="86"/>
      <c r="AJ297" s="86">
        <f>TABL123[[#This Row],[(A/B TOT) AJD]]-TABL123[[#This Row],[BER_ IN]]</f>
        <v>551</v>
      </c>
      <c r="AK297" s="86"/>
      <c r="AL297" s="75"/>
      <c r="AM297" s="96"/>
      <c r="AN297" s="96">
        <f>TABL123[[#This Row],[ (RESV. STORGE) SER]]/10</f>
        <v>0</v>
      </c>
      <c r="AO297" s="6"/>
      <c r="AP297" s="32">
        <f>TABL123[[#This Row],[(A/S TOT) AJD]]-TABL123[[#This Row],[SER_ 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Row],[خط (T/B  TOT) SAR]]+TABL123[[#This Row],[خط (S/S  TOT) SAR2]]</f>
        <v>0</v>
      </c>
      <c r="L298" s="28"/>
      <c r="M298" s="29"/>
      <c r="N298" s="30"/>
      <c r="O298" s="9"/>
      <c r="P298" s="9">
        <f>TABL123[[#This Row],[خط (S/S  TOT) SAR2]]-TABL123[[#This Row],[(S/S TOT) AJD]]</f>
        <v>0</v>
      </c>
      <c r="Q298" s="9"/>
      <c r="R298" s="9">
        <f>TABL123[[#This Row],[خط (T/B  TOT) SAR]]-TABL123[[#This Row],[(T/B TOT) AJD]]</f>
        <v>0</v>
      </c>
      <c r="S298" s="9">
        <f>TABL123[[#This Row],[الفرق بين بداية ونهاية خط  T/B]]+TABL123[[#This Row],[الفرق بين بداية ونهاية خط  S/S]]</f>
        <v>0</v>
      </c>
      <c r="T298" s="9">
        <f>TABL123[[#This Row],[(S/S TOT) AJD]]+TABL123[[#This Row],[(T/B TOT) AJD]]</f>
        <v>0</v>
      </c>
      <c r="U298" s="9"/>
      <c r="V298" s="9"/>
      <c r="W298" s="9">
        <f>TABL123[[#This Row],[(A/B TOT) AJD]]+TABL123[[#This Row],[(A/S TOT)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91">
        <f>TABL123[[#This Row],[( S/S+T/B) AJD]]-(TABL123[[#This Row],[(A/B + A/S) AJD]]+(TABL123[[#This Row],[(STORGE DIFF.) AJD]]*1000)+TABL123[[#This Row],[البخر  AJD]])</f>
        <v>422.22899999999998</v>
      </c>
      <c r="AE298" s="75"/>
      <c r="AF298" s="75"/>
      <c r="AG298" s="75"/>
      <c r="AH298" s="6"/>
      <c r="AI298" s="86"/>
      <c r="AJ298" s="86">
        <f>TABL123[[#This Row],[(A/B TOT) AJD]]-TABL123[[#This Row],[BER_ IN]]</f>
        <v>0</v>
      </c>
      <c r="AK298" s="86"/>
      <c r="AL298" s="75"/>
      <c r="AM298" s="96"/>
      <c r="AN298" s="96">
        <f>TABL123[[#This Row],[ (RESV. STORGE) SER]]/10</f>
        <v>0</v>
      </c>
      <c r="AO298" s="6"/>
      <c r="AP298" s="32">
        <f>TABL123[[#This Row],[(A/S TOT) AJD]]-TABL123[[#This Row],[SER_ 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Row],[خط (T/B  TOT) SAR]]+TABL123[[#This Row],[خط (S/S  TOT) SAR2]]</f>
        <v>0</v>
      </c>
      <c r="L299" s="28"/>
      <c r="M299" s="29"/>
      <c r="N299" s="30"/>
      <c r="O299" s="9"/>
      <c r="P299" s="9">
        <f>TABL123[[#This Row],[خط (S/S  TOT) SAR2]]-TABL123[[#This Row],[(S/S TOT) AJD]]</f>
        <v>0</v>
      </c>
      <c r="Q299" s="9"/>
      <c r="R299" s="9">
        <f>TABL123[[#This Row],[خط (T/B  TOT) SAR]]-TABL123[[#This Row],[(T/B TOT) AJD]]</f>
        <v>0</v>
      </c>
      <c r="S299" s="9">
        <f>TABL123[[#This Row],[الفرق بين بداية ونهاية خط  T/B]]+TABL123[[#This Row],[الفرق بين بداية ونهاية خط  S/S]]</f>
        <v>0</v>
      </c>
      <c r="T299" s="9">
        <f>TABL123[[#This Row],[(S/S TOT) AJD]]+TABL123[[#This Row],[(T/B TOT) AJD]]</f>
        <v>0</v>
      </c>
      <c r="U299" s="9"/>
      <c r="V299" s="9"/>
      <c r="W299" s="9">
        <f>TABL123[[#This Row],[(A/B TOT) AJD]]+TABL123[[#This Row],[(A/S TOT)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91">
        <f>TABL123[[#This Row],[( S/S+T/B) AJD]]-(TABL123[[#This Row],[(A/B + A/S) AJD]]+(TABL123[[#This Row],[(STORGE DIFF.) AJD]]*1000)+TABL123[[#This Row],[البخر  AJD]])</f>
        <v>0</v>
      </c>
      <c r="AE299" s="75"/>
      <c r="AF299" s="75"/>
      <c r="AG299" s="75"/>
      <c r="AH299" s="6"/>
      <c r="AI299" s="86"/>
      <c r="AJ299" s="86">
        <f>TABL123[[#This Row],[(A/B TOT) AJD]]-TABL123[[#This Row],[BER_ IN]]</f>
        <v>0</v>
      </c>
      <c r="AK299" s="86"/>
      <c r="AL299" s="75"/>
      <c r="AM299" s="96"/>
      <c r="AN299" s="96">
        <f>TABL123[[#This Row],[ (RESV. STORGE) SER]]/10</f>
        <v>0</v>
      </c>
      <c r="AO299" s="6"/>
      <c r="AP299" s="32">
        <f>TABL123[[#This Row],[(A/S TOT) AJD]]-TABL123[[#This Row],[SER_ 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Row],[خط (T/B  TOT) SAR]]+TABL123[[#This Row],[خط (S/S  TOT) SAR2]]</f>
        <v>0</v>
      </c>
      <c r="L300" s="28"/>
      <c r="M300" s="29"/>
      <c r="N300" s="30"/>
      <c r="O300" s="9"/>
      <c r="P300" s="9">
        <f>TABL123[[#This Row],[خط (S/S  TOT) SAR2]]-TABL123[[#This Row],[(S/S TOT) AJD]]</f>
        <v>0</v>
      </c>
      <c r="Q300" s="9"/>
      <c r="R300" s="9">
        <f>TABL123[[#This Row],[خط (T/B  TOT) SAR]]-TABL123[[#This Row],[(T/B TOT) AJD]]</f>
        <v>0</v>
      </c>
      <c r="S300" s="9">
        <f>TABL123[[#This Row],[الفرق بين بداية ونهاية خط  T/B]]+TABL123[[#This Row],[الفرق بين بداية ونهاية خط  S/S]]</f>
        <v>0</v>
      </c>
      <c r="T300" s="9">
        <f>TABL123[[#This Row],[(S/S TOT) AJD]]+TABL123[[#This Row],[(T/B TOT) AJD]]</f>
        <v>0</v>
      </c>
      <c r="U300" s="9"/>
      <c r="V300" s="9"/>
      <c r="W300" s="9">
        <f>TABL123[[#This Row],[(A/B TOT) AJD]]+TABL123[[#This Row],[(A/S TOT)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91">
        <f>TABL123[[#This Row],[( S/S+T/B) AJD]]-(TABL123[[#This Row],[(A/B + A/S) AJD]]+(TABL123[[#This Row],[(STORGE DIFF.) AJD]]*1000)+TABL123[[#This Row],[البخر  AJD]])</f>
        <v>0</v>
      </c>
      <c r="AE300" s="75"/>
      <c r="AF300" s="75"/>
      <c r="AG300" s="75"/>
      <c r="AH300" s="6"/>
      <c r="AI300" s="86"/>
      <c r="AJ300" s="86">
        <f>TABL123[[#This Row],[(A/B TOT) AJD]]-TABL123[[#This Row],[BER_ IN]]</f>
        <v>0</v>
      </c>
      <c r="AK300" s="86"/>
      <c r="AL300" s="75"/>
      <c r="AM300" s="96"/>
      <c r="AN300" s="96">
        <f>TABL123[[#This Row],[ (RESV. STORGE) SER]]/10</f>
        <v>0</v>
      </c>
      <c r="AO300" s="6"/>
      <c r="AP300" s="32">
        <f>TABL123[[#This Row],[(A/S TOT) AJD]]-TABL123[[#This Row],[SER_ 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Row],[خط (T/B  TOT) SAR]]+TABL123[[#This Row],[خط (S/S  TOT) SAR2]]</f>
        <v>0</v>
      </c>
      <c r="L301" s="28"/>
      <c r="M301" s="29"/>
      <c r="N301" s="30"/>
      <c r="O301" s="9"/>
      <c r="P301" s="9">
        <f>TABL123[[#This Row],[خط (S/S  TOT) SAR2]]-TABL123[[#This Row],[(S/S TOT) AJD]]</f>
        <v>0</v>
      </c>
      <c r="Q301" s="9"/>
      <c r="R301" s="9">
        <f>TABL123[[#This Row],[خط (T/B  TOT) SAR]]-TABL123[[#This Row],[(T/B TOT) AJD]]</f>
        <v>0</v>
      </c>
      <c r="S301" s="9">
        <f>TABL123[[#This Row],[الفرق بين بداية ونهاية خط  T/B]]+TABL123[[#This Row],[الفرق بين بداية ونهاية خط  S/S]]</f>
        <v>0</v>
      </c>
      <c r="T301" s="9">
        <f>TABL123[[#This Row],[(S/S TOT) AJD]]+TABL123[[#This Row],[(T/B TOT) AJD]]</f>
        <v>0</v>
      </c>
      <c r="U301" s="9"/>
      <c r="V301" s="9"/>
      <c r="W301" s="9">
        <f>TABL123[[#This Row],[(A/B TOT) AJD]]+TABL123[[#This Row],[(A/S TOT)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91">
        <f>TABL123[[#This Row],[( S/S+T/B) AJD]]-(TABL123[[#This Row],[(A/B + A/S) AJD]]+(TABL123[[#This Row],[(STORGE DIFF.) AJD]]*1000)+TABL123[[#This Row],[البخر  AJD]])</f>
        <v>0</v>
      </c>
      <c r="AE301" s="75"/>
      <c r="AF301" s="75"/>
      <c r="AG301" s="75"/>
      <c r="AH301" s="6"/>
      <c r="AI301" s="86"/>
      <c r="AJ301" s="86">
        <f>TABL123[[#This Row],[(A/B TOT) AJD]]-TABL123[[#This Row],[BER_ IN]]</f>
        <v>0</v>
      </c>
      <c r="AK301" s="86"/>
      <c r="AL301" s="75"/>
      <c r="AM301" s="96"/>
      <c r="AN301" s="96">
        <f>TABL123[[#This Row],[ (RESV. STORGE) SER]]/10</f>
        <v>0</v>
      </c>
      <c r="AO301" s="6"/>
      <c r="AP301" s="32">
        <f>TABL123[[#This Row],[(A/S TOT) AJD]]-TABL123[[#This Row],[SER_ 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Row],[خط (T/B  TOT) SAR]]+TABL123[[#This Row],[خط (S/S  TOT) SAR2]]</f>
        <v>0</v>
      </c>
      <c r="L302" s="28"/>
      <c r="M302" s="29"/>
      <c r="N302" s="30"/>
      <c r="O302" s="9"/>
      <c r="P302" s="9">
        <f>TABL123[[#This Row],[خط (S/S  TOT) SAR2]]-TABL123[[#This Row],[(S/S TOT) AJD]]</f>
        <v>0</v>
      </c>
      <c r="Q302" s="9"/>
      <c r="R302" s="9">
        <f>TABL123[[#This Row],[خط (T/B  TOT) SAR]]-TABL123[[#This Row],[(T/B TOT) AJD]]</f>
        <v>0</v>
      </c>
      <c r="S302" s="9">
        <f>TABL123[[#This Row],[الفرق بين بداية ونهاية خط  T/B]]+TABL123[[#This Row],[الفرق بين بداية ونهاية خط  S/S]]</f>
        <v>0</v>
      </c>
      <c r="T302" s="9">
        <f>TABL123[[#This Row],[(S/S TOT) AJD]]+TABL123[[#This Row],[(T/B TOT) AJD]]</f>
        <v>0</v>
      </c>
      <c r="U302" s="9"/>
      <c r="V302" s="9"/>
      <c r="W302" s="9">
        <f>TABL123[[#This Row],[(A/B TOT) AJD]]+TABL123[[#This Row],[(A/S TOT)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91">
        <f>TABL123[[#This Row],[( S/S+T/B) AJD]]-(TABL123[[#This Row],[(A/B + A/S) AJD]]+(TABL123[[#This Row],[(STORGE DIFF.) AJD]]*1000)+TABL123[[#This Row],[البخر  AJD]])</f>
        <v>0</v>
      </c>
      <c r="AE302" s="75"/>
      <c r="AF302" s="75"/>
      <c r="AG302" s="75"/>
      <c r="AH302" s="6"/>
      <c r="AI302" s="86"/>
      <c r="AJ302" s="86">
        <f>TABL123[[#This Row],[(A/B TOT) AJD]]-TABL123[[#This Row],[BER_ IN]]</f>
        <v>0</v>
      </c>
      <c r="AK302" s="86"/>
      <c r="AL302" s="75"/>
      <c r="AM302" s="96"/>
      <c r="AN302" s="96">
        <f>TABL123[[#This Row],[ (RESV. STORGE) SER]]/10</f>
        <v>0</v>
      </c>
      <c r="AO302" s="6"/>
      <c r="AP302" s="32">
        <f>TABL123[[#This Row],[(A/S TOT) AJD]]-TABL123[[#This Row],[SER_ 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Row],[خط (T/B  TOT) SAR]]+TABL123[[#This Row],[خط (S/S  TOT) SAR2]]</f>
        <v>0</v>
      </c>
      <c r="L303" s="28"/>
      <c r="M303" s="29"/>
      <c r="N303" s="30"/>
      <c r="O303" s="9"/>
      <c r="P303" s="9">
        <f>TABL123[[#This Row],[خط (S/S  TOT) SAR2]]-TABL123[[#This Row],[(S/S TOT) AJD]]</f>
        <v>0</v>
      </c>
      <c r="Q303" s="9"/>
      <c r="R303" s="9">
        <f>TABL123[[#This Row],[خط (T/B  TOT) SAR]]-TABL123[[#This Row],[(T/B TOT) AJD]]</f>
        <v>0</v>
      </c>
      <c r="S303" s="9">
        <f>TABL123[[#This Row],[الفرق بين بداية ونهاية خط  T/B]]+TABL123[[#This Row],[الفرق بين بداية ونهاية خط  S/S]]</f>
        <v>0</v>
      </c>
      <c r="T303" s="9">
        <f>TABL123[[#This Row],[(S/S TOT) AJD]]+TABL123[[#This Row],[(T/B TOT) AJD]]</f>
        <v>0</v>
      </c>
      <c r="U303" s="9"/>
      <c r="V303" s="9"/>
      <c r="W303" s="9">
        <f>TABL123[[#This Row],[(A/B TOT) AJD]]+TABL123[[#This Row],[(A/S TOT)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91">
        <f>TABL123[[#This Row],[( S/S+T/B) AJD]]-(TABL123[[#This Row],[(A/B + A/S) AJD]]+(TABL123[[#This Row],[(STORGE DIFF.) AJD]]*1000)+TABL123[[#This Row],[البخر  AJD]])</f>
        <v>0</v>
      </c>
      <c r="AE303" s="75"/>
      <c r="AF303" s="75"/>
      <c r="AG303" s="75"/>
      <c r="AH303" s="6"/>
      <c r="AI303" s="86"/>
      <c r="AJ303" s="86">
        <f>TABL123[[#This Row],[(A/B TOT) AJD]]-TABL123[[#This Row],[BER_ IN]]</f>
        <v>0</v>
      </c>
      <c r="AK303" s="86"/>
      <c r="AL303" s="75"/>
      <c r="AM303" s="96"/>
      <c r="AN303" s="96">
        <f>TABL123[[#This Row],[ (RESV. STORGE) SER]]/10</f>
        <v>0</v>
      </c>
      <c r="AO303" s="6"/>
      <c r="AP303" s="32">
        <f>TABL123[[#This Row],[(A/S TOT) AJD]]-TABL123[[#This Row],[SER_ 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Row],[خط (T/B  TOT) SAR]]+TABL123[[#This Row],[خط (S/S  TOT) SAR2]]</f>
        <v>0</v>
      </c>
      <c r="L304" s="28"/>
      <c r="M304" s="29"/>
      <c r="N304" s="30"/>
      <c r="O304" s="9"/>
      <c r="P304" s="9">
        <f>TABL123[[#This Row],[خط (S/S  TOT) SAR2]]-TABL123[[#This Row],[(S/S TOT) AJD]]</f>
        <v>0</v>
      </c>
      <c r="Q304" s="9"/>
      <c r="R304" s="9">
        <f>TABL123[[#This Row],[خط (T/B  TOT) SAR]]-TABL123[[#This Row],[(T/B TOT) AJD]]</f>
        <v>0</v>
      </c>
      <c r="S304" s="9">
        <f>TABL123[[#This Row],[الفرق بين بداية ونهاية خط  T/B]]+TABL123[[#This Row],[الفرق بين بداية ونهاية خط  S/S]]</f>
        <v>0</v>
      </c>
      <c r="T304" s="9">
        <f>TABL123[[#This Row],[(S/S TOT) AJD]]+TABL123[[#This Row],[(T/B TOT) AJD]]</f>
        <v>0</v>
      </c>
      <c r="U304" s="9"/>
      <c r="V304" s="9"/>
      <c r="W304" s="9">
        <f>TABL123[[#This Row],[(A/B TOT) AJD]]+TABL123[[#This Row],[(A/S TOT)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91">
        <f>TABL123[[#This Row],[( S/S+T/B) AJD]]-(TABL123[[#This Row],[(A/B + A/S) AJD]]+(TABL123[[#This Row],[(STORGE DIFF.) AJD]]*1000)+TABL123[[#This Row],[البخر  AJD]])</f>
        <v>0</v>
      </c>
      <c r="AE304" s="75"/>
      <c r="AF304" s="75"/>
      <c r="AG304" s="75"/>
      <c r="AH304" s="6"/>
      <c r="AI304" s="86"/>
      <c r="AJ304" s="86">
        <f>TABL123[[#This Row],[(A/B TOT) AJD]]-TABL123[[#This Row],[BER_ IN]]</f>
        <v>0</v>
      </c>
      <c r="AK304" s="86"/>
      <c r="AL304" s="75"/>
      <c r="AM304" s="96"/>
      <c r="AN304" s="96">
        <f>TABL123[[#This Row],[ (RESV. STORGE) SER]]/10</f>
        <v>0</v>
      </c>
      <c r="AO304" s="6"/>
      <c r="AP304" s="32">
        <f>TABL123[[#This Row],[(A/S TOT) AJD]]-TABL123[[#This Row],[SER_ 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Row],[خط (T/B  TOT) SAR]]+TABL123[[#This Row],[خط (S/S  TOT) SAR2]]</f>
        <v>0</v>
      </c>
      <c r="L305" s="28"/>
      <c r="M305" s="29"/>
      <c r="N305" s="30"/>
      <c r="O305" s="9"/>
      <c r="P305" s="9">
        <f>TABL123[[#This Row],[خط (S/S  TOT) SAR2]]-TABL123[[#This Row],[(S/S TOT) AJD]]</f>
        <v>0</v>
      </c>
      <c r="Q305" s="9"/>
      <c r="R305" s="9">
        <f>TABL123[[#This Row],[خط (T/B  TOT) SAR]]-TABL123[[#This Row],[(T/B TOT) AJD]]</f>
        <v>0</v>
      </c>
      <c r="S305" s="9">
        <f>TABL123[[#This Row],[الفرق بين بداية ونهاية خط  T/B]]+TABL123[[#This Row],[الفرق بين بداية ونهاية خط  S/S]]</f>
        <v>0</v>
      </c>
      <c r="T305" s="9">
        <f>TABL123[[#This Row],[(S/S TOT) AJD]]+TABL123[[#This Row],[(T/B TOT) AJD]]</f>
        <v>0</v>
      </c>
      <c r="U305" s="9"/>
      <c r="V305" s="9"/>
      <c r="W305" s="9">
        <f>TABL123[[#This Row],[(A/B TOT) AJD]]+TABL123[[#This Row],[(A/S TOT)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91">
        <f>TABL123[[#This Row],[( S/S+T/B) AJD]]-(TABL123[[#This Row],[(A/B + A/S) AJD]]+(TABL123[[#This Row],[(STORGE DIFF.) AJD]]*1000)+TABL123[[#This Row],[البخر  AJD]])</f>
        <v>0</v>
      </c>
      <c r="AE305" s="75"/>
      <c r="AF305" s="75"/>
      <c r="AG305" s="75"/>
      <c r="AH305" s="6"/>
      <c r="AI305" s="86"/>
      <c r="AJ305" s="86">
        <f>TABL123[[#This Row],[(A/B TOT) AJD]]-TABL123[[#This Row],[BER_ IN]]</f>
        <v>0</v>
      </c>
      <c r="AK305" s="86"/>
      <c r="AL305" s="75"/>
      <c r="AM305" s="96"/>
      <c r="AN305" s="96">
        <f>TABL123[[#This Row],[ (RESV. STORGE) SER]]/10</f>
        <v>0</v>
      </c>
      <c r="AO305" s="6"/>
      <c r="AP305" s="32">
        <f>TABL123[[#This Row],[(A/S TOT) AJD]]-TABL123[[#This Row],[SER_ 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Row],[خط (T/B  TOT) SAR]]+TABL123[[#This Row],[خط (S/S  TOT) SAR2]]</f>
        <v>0</v>
      </c>
      <c r="L306" s="28"/>
      <c r="M306" s="29"/>
      <c r="N306" s="30"/>
      <c r="O306" s="39"/>
      <c r="P306" s="9">
        <f>TABL123[[#This Row],[خط (S/S  TOT) SAR2]]-TABL123[[#This Row],[(S/S TOT) AJD]]</f>
        <v>0</v>
      </c>
      <c r="Q306" s="9"/>
      <c r="R306" s="9">
        <f>TABL123[[#This Row],[خط (T/B  TOT) SAR]]-TABL123[[#This Row],[(T/B TOT) AJD]]</f>
        <v>0</v>
      </c>
      <c r="S306" s="9">
        <f>TABL123[[#This Row],[الفرق بين بداية ونهاية خط  T/B]]+TABL123[[#This Row],[الفرق بين بداية ونهاية خط  S/S]]</f>
        <v>0</v>
      </c>
      <c r="T306" s="9">
        <f>TABL123[[#This Row],[(S/S TOT) AJD]]+TABL123[[#This Row],[(T/B TOT) AJD]]</f>
        <v>0</v>
      </c>
      <c r="U306" s="9"/>
      <c r="V306" s="9"/>
      <c r="W306" s="9">
        <f>TABL123[[#This Row],[(A/B TOT) AJD]]+TABL123[[#This Row],[(A/S TOT)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91">
        <f>TABL123[[#This Row],[( S/S+T/B) AJD]]-(TABL123[[#This Row],[(A/B + A/S) AJD]]+(TABL123[[#This Row],[(STORGE DIFF.) AJD]]*1000)+TABL123[[#This Row],[البخر  AJD]])</f>
        <v>0</v>
      </c>
      <c r="AE306" s="75"/>
      <c r="AF306" s="75"/>
      <c r="AG306" s="75"/>
      <c r="AH306" s="6"/>
      <c r="AI306" s="86"/>
      <c r="AJ306" s="86">
        <f>TABL123[[#This Row],[(A/B TOT) AJD]]-TABL123[[#This Row],[BER_ IN]]</f>
        <v>0</v>
      </c>
      <c r="AK306" s="86"/>
      <c r="AL306" s="75"/>
      <c r="AM306" s="96"/>
      <c r="AN306" s="96">
        <f>TABL123[[#This Row],[ (RESV. STORGE) SER]]/10</f>
        <v>0</v>
      </c>
      <c r="AO306" s="6"/>
      <c r="AP306" s="32">
        <f>TABL123[[#This Row],[(A/S TOT) AJD]]-TABL123[[#This Row],[SER_ 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Row],[خط (T/B  TOT) SAR]]+TABL123[[#This Row],[خط (S/S  TOT) SAR2]]</f>
        <v>0</v>
      </c>
      <c r="L307" s="28"/>
      <c r="M307" s="29"/>
      <c r="N307" s="30"/>
      <c r="O307" s="40"/>
      <c r="P307" s="9">
        <f>TABL123[[#This Row],[خط (S/S  TOT) SAR2]]-TABL123[[#This Row],[(S/S TOT) AJD]]</f>
        <v>0</v>
      </c>
      <c r="Q307" s="9"/>
      <c r="R307" s="9">
        <f>TABL123[[#This Row],[خط (T/B  TOT) SAR]]-TABL123[[#This Row],[(T/B TOT) AJD]]</f>
        <v>0</v>
      </c>
      <c r="S307" s="9">
        <f>TABL123[[#This Row],[الفرق بين بداية ونهاية خط  T/B]]+TABL123[[#This Row],[الفرق بين بداية ونهاية خط  S/S]]</f>
        <v>0</v>
      </c>
      <c r="T307" s="9">
        <f>TABL123[[#This Row],[(S/S TOT) AJD]]+TABL123[[#This Row],[(T/B TOT) AJD]]</f>
        <v>0</v>
      </c>
      <c r="U307" s="9"/>
      <c r="V307" s="9"/>
      <c r="W307" s="9">
        <f>TABL123[[#This Row],[(A/B TOT) AJD]]+TABL123[[#This Row],[(A/S TOT)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91">
        <f>TABL123[[#This Row],[( S/S+T/B) AJD]]-(TABL123[[#This Row],[(A/B + A/S) AJD]]+(TABL123[[#This Row],[(STORGE DIFF.) AJD]]*1000)+TABL123[[#This Row],[البخر  AJD]])</f>
        <v>0</v>
      </c>
      <c r="AE307" s="75"/>
      <c r="AF307" s="75"/>
      <c r="AG307" s="75"/>
      <c r="AH307" s="6"/>
      <c r="AI307" s="86"/>
      <c r="AJ307" s="86">
        <f>TABL123[[#This Row],[(A/B TOT) AJD]]-TABL123[[#This Row],[BER_ IN]]</f>
        <v>0</v>
      </c>
      <c r="AK307" s="86"/>
      <c r="AL307" s="75"/>
      <c r="AM307" s="96"/>
      <c r="AN307" s="96">
        <f>TABL123[[#This Row],[ (RESV. STORGE) SER]]/10</f>
        <v>0</v>
      </c>
      <c r="AO307" s="6"/>
      <c r="AP307" s="32">
        <f>TABL123[[#This Row],[(A/S TOT) AJD]]-TABL123[[#This Row],[SER_ 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Row],[خط (T/B  TOT) SAR]]+TABL123[[#This Row],[خط (S/S  TOT) SAR2]]</f>
        <v>0</v>
      </c>
      <c r="L308" s="28"/>
      <c r="M308" s="29"/>
      <c r="N308" s="30"/>
      <c r="O308" s="39"/>
      <c r="P308" s="9">
        <f>TABL123[[#This Row],[خط (S/S  TOT) SAR2]]-TABL123[[#This Row],[(S/S TOT) AJD]]</f>
        <v>0</v>
      </c>
      <c r="Q308" s="9"/>
      <c r="R308" s="9">
        <f>TABL123[[#This Row],[خط (T/B  TOT) SAR]]-TABL123[[#This Row],[(T/B TOT) AJD]]</f>
        <v>0</v>
      </c>
      <c r="S308" s="9">
        <f>TABL123[[#This Row],[الفرق بين بداية ونهاية خط  T/B]]+TABL123[[#This Row],[الفرق بين بداية ونهاية خط  S/S]]</f>
        <v>0</v>
      </c>
      <c r="T308" s="9">
        <f>TABL123[[#This Row],[(S/S TOT) AJD]]+TABL123[[#This Row],[(T/B TOT) AJD]]</f>
        <v>0</v>
      </c>
      <c r="U308" s="9"/>
      <c r="V308" s="9"/>
      <c r="W308" s="9">
        <f>TABL123[[#This Row],[(A/B TOT) AJD]]+TABL123[[#This Row],[(A/S TOT)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91">
        <f>TABL123[[#This Row],[( S/S+T/B) AJD]]-(TABL123[[#This Row],[(A/B + A/S) AJD]]+(TABL123[[#This Row],[(STORGE DIFF.) AJD]]*1000)+TABL123[[#This Row],[البخر  AJD]])</f>
        <v>0</v>
      </c>
      <c r="AE308" s="75"/>
      <c r="AF308" s="75"/>
      <c r="AG308" s="75"/>
      <c r="AH308" s="6"/>
      <c r="AI308" s="86"/>
      <c r="AJ308" s="86">
        <f>TABL123[[#This Row],[(A/B TOT) AJD]]-TABL123[[#This Row],[BER_ IN]]</f>
        <v>0</v>
      </c>
      <c r="AK308" s="86"/>
      <c r="AL308" s="75"/>
      <c r="AM308" s="96"/>
      <c r="AN308" s="96">
        <f>TABL123[[#This Row],[ (RESV. STORGE) SER]]/10</f>
        <v>0</v>
      </c>
      <c r="AO308" s="6"/>
      <c r="AP308" s="32">
        <f>TABL123[[#This Row],[(A/S TOT) AJD]]-TABL123[[#This Row],[SER_ 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Row],[خط (T/B  TOT) SAR]]+TABL123[[#This Row],[خط (S/S  TOT) SAR2]]</f>
        <v>0</v>
      </c>
      <c r="L309" s="28"/>
      <c r="M309" s="29"/>
      <c r="N309" s="30"/>
      <c r="O309" s="40"/>
      <c r="P309" s="9">
        <f>TABL123[[#This Row],[خط (S/S  TOT) SAR2]]-TABL123[[#This Row],[(S/S TOT) AJD]]</f>
        <v>0</v>
      </c>
      <c r="Q309" s="9"/>
      <c r="R309" s="9">
        <f>TABL123[[#This Row],[خط (T/B  TOT) SAR]]-TABL123[[#This Row],[(T/B TOT) AJD]]</f>
        <v>0</v>
      </c>
      <c r="S309" s="9">
        <f>TABL123[[#This Row],[الفرق بين بداية ونهاية خط  T/B]]+TABL123[[#This Row],[الفرق بين بداية ونهاية خط  S/S]]</f>
        <v>0</v>
      </c>
      <c r="T309" s="9">
        <f>TABL123[[#This Row],[(S/S TOT) AJD]]+TABL123[[#This Row],[(T/B TOT) AJD]]</f>
        <v>0</v>
      </c>
      <c r="U309" s="9"/>
      <c r="V309" s="9"/>
      <c r="W309" s="9">
        <f>TABL123[[#This Row],[(A/B TOT) AJD]]+TABL123[[#This Row],[(A/S TOT)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91">
        <f>TABL123[[#This Row],[( S/S+T/B) AJD]]-(TABL123[[#This Row],[(A/B + A/S) AJD]]+(TABL123[[#This Row],[(STORGE DIFF.) AJD]]*1000)+TABL123[[#This Row],[البخر  AJD]])</f>
        <v>0</v>
      </c>
      <c r="AE309" s="75"/>
      <c r="AF309" s="75"/>
      <c r="AG309" s="75"/>
      <c r="AH309" s="6"/>
      <c r="AI309" s="86"/>
      <c r="AJ309" s="86">
        <f>TABL123[[#This Row],[(A/B TOT) AJD]]-TABL123[[#This Row],[BER_ IN]]</f>
        <v>0</v>
      </c>
      <c r="AK309" s="86"/>
      <c r="AL309" s="75"/>
      <c r="AM309" s="96"/>
      <c r="AN309" s="96">
        <f>TABL123[[#This Row],[ (RESV. STORGE) SER]]/10</f>
        <v>0</v>
      </c>
      <c r="AO309" s="6"/>
      <c r="AP309" s="32">
        <f>TABL123[[#This Row],[(A/S TOT) AJD]]-TABL123[[#This Row],[SER_ 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Row],[خط (T/B  TOT) SAR]]+TABL123[[#This Row],[خط (S/S  TOT) SAR2]]</f>
        <v>0</v>
      </c>
      <c r="L310" s="28"/>
      <c r="M310" s="29"/>
      <c r="N310" s="30"/>
      <c r="O310" s="39"/>
      <c r="P310" s="9">
        <f>TABL123[[#This Row],[خط (S/S  TOT) SAR2]]-TABL123[[#This Row],[(S/S TOT) AJD]]</f>
        <v>0</v>
      </c>
      <c r="Q310" s="9"/>
      <c r="R310" s="9">
        <f>TABL123[[#This Row],[خط (T/B  TOT) SAR]]-TABL123[[#This Row],[(T/B TOT) AJD]]</f>
        <v>0</v>
      </c>
      <c r="S310" s="9">
        <f>TABL123[[#This Row],[الفرق بين بداية ونهاية خط  T/B]]+TABL123[[#This Row],[الفرق بين بداية ونهاية خط  S/S]]</f>
        <v>0</v>
      </c>
      <c r="T310" s="9">
        <f>TABL123[[#This Row],[(S/S TOT) AJD]]+TABL123[[#This Row],[(T/B TOT) AJD]]</f>
        <v>0</v>
      </c>
      <c r="U310" s="9"/>
      <c r="V310" s="9"/>
      <c r="W310" s="9">
        <f>TABL123[[#This Row],[(A/B TOT) AJD]]+TABL123[[#This Row],[(A/S TOT)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91">
        <f>TABL123[[#This Row],[( S/S+T/B) AJD]]-(TABL123[[#This Row],[(A/B + A/S) AJD]]+(TABL123[[#This Row],[(STORGE DIFF.) AJD]]*1000)+TABL123[[#This Row],[البخر  AJD]])</f>
        <v>0</v>
      </c>
      <c r="AE310" s="75"/>
      <c r="AF310" s="75"/>
      <c r="AG310" s="75"/>
      <c r="AH310" s="6"/>
      <c r="AI310" s="86"/>
      <c r="AJ310" s="86">
        <f>TABL123[[#This Row],[(A/B TOT) AJD]]-TABL123[[#This Row],[BER_ IN]]</f>
        <v>0</v>
      </c>
      <c r="AK310" s="86"/>
      <c r="AL310" s="75"/>
      <c r="AM310" s="96"/>
      <c r="AN310" s="96">
        <f>TABL123[[#This Row],[ (RESV. STORGE) SER]]/10</f>
        <v>0</v>
      </c>
      <c r="AO310" s="6"/>
      <c r="AP310" s="32">
        <f>TABL123[[#This Row],[(A/S TOT) AJD]]-TABL123[[#This Row],[SER_ 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Row],[خط (T/B  TOT) SAR]]+TABL123[[#This Row],[خط (S/S  TOT) SAR2]]</f>
        <v>0</v>
      </c>
      <c r="L311" s="28"/>
      <c r="M311" s="29"/>
      <c r="N311" s="30"/>
      <c r="O311" s="40"/>
      <c r="P311" s="9">
        <f>TABL123[[#This Row],[خط (S/S  TOT) SAR2]]-TABL123[[#This Row],[(S/S TOT) AJD]]</f>
        <v>0</v>
      </c>
      <c r="Q311" s="9"/>
      <c r="R311" s="9">
        <f>TABL123[[#This Row],[خط (T/B  TOT) SAR]]-TABL123[[#This Row],[(T/B TOT) AJD]]</f>
        <v>0</v>
      </c>
      <c r="S311" s="9">
        <f>TABL123[[#This Row],[الفرق بين بداية ونهاية خط  T/B]]+TABL123[[#This Row],[الفرق بين بداية ونهاية خط  S/S]]</f>
        <v>0</v>
      </c>
      <c r="T311" s="9">
        <f>TABL123[[#This Row],[(S/S TOT) AJD]]+TABL123[[#This Row],[(T/B TOT) AJD]]</f>
        <v>0</v>
      </c>
      <c r="U311" s="9"/>
      <c r="V311" s="9"/>
      <c r="W311" s="9">
        <f>TABL123[[#This Row],[(A/B TOT) AJD]]+TABL123[[#This Row],[(A/S TOT)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91">
        <f>TABL123[[#This Row],[( S/S+T/B) AJD]]-(TABL123[[#This Row],[(A/B + A/S) AJD]]+(TABL123[[#This Row],[(STORGE DIFF.) AJD]]*1000)+TABL123[[#This Row],[البخر  AJD]])</f>
        <v>0</v>
      </c>
      <c r="AE311" s="75"/>
      <c r="AF311" s="75"/>
      <c r="AG311" s="75"/>
      <c r="AH311" s="6"/>
      <c r="AI311" s="86"/>
      <c r="AJ311" s="86">
        <f>TABL123[[#This Row],[(A/B TOT) AJD]]-TABL123[[#This Row],[BER_ IN]]</f>
        <v>0</v>
      </c>
      <c r="AK311" s="86"/>
      <c r="AL311" s="75"/>
      <c r="AM311" s="96"/>
      <c r="AN311" s="96">
        <f>TABL123[[#This Row],[ (RESV. STORGE) SER]]/10</f>
        <v>0</v>
      </c>
      <c r="AO311" s="6"/>
      <c r="AP311" s="32">
        <f>TABL123[[#This Row],[(A/S TOT) AJD]]-TABL123[[#This Row],[SER_ 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Row],[خط (T/B  TOT) SAR]]+TABL123[[#This Row],[خط (S/S  TOT) SAR2]]</f>
        <v>0</v>
      </c>
      <c r="L312" s="28"/>
      <c r="M312" s="29"/>
      <c r="N312" s="30"/>
      <c r="O312" s="39"/>
      <c r="P312" s="9">
        <f>TABL123[[#This Row],[خط (S/S  TOT) SAR2]]-TABL123[[#This Row],[(S/S TOT) AJD]]</f>
        <v>0</v>
      </c>
      <c r="Q312" s="9"/>
      <c r="R312" s="9">
        <f>TABL123[[#This Row],[خط (T/B  TOT) SAR]]-TABL123[[#This Row],[(T/B TOT) AJD]]</f>
        <v>0</v>
      </c>
      <c r="S312" s="9">
        <f>TABL123[[#This Row],[الفرق بين بداية ونهاية خط  T/B]]+TABL123[[#This Row],[الفرق بين بداية ونهاية خط  S/S]]</f>
        <v>0</v>
      </c>
      <c r="T312" s="9">
        <f>TABL123[[#This Row],[(S/S TOT) AJD]]+TABL123[[#This Row],[(T/B TOT) AJD]]</f>
        <v>0</v>
      </c>
      <c r="U312" s="9"/>
      <c r="V312" s="9"/>
      <c r="W312" s="9">
        <f>TABL123[[#This Row],[(A/B TOT) AJD]]+TABL123[[#This Row],[(A/S TOT)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91">
        <f>TABL123[[#This Row],[( S/S+T/B) AJD]]-(TABL123[[#This Row],[(A/B + A/S) AJD]]+(TABL123[[#This Row],[(STORGE DIFF.) AJD]]*1000)+TABL123[[#This Row],[البخر  AJD]])</f>
        <v>0</v>
      </c>
      <c r="AE312" s="75"/>
      <c r="AF312" s="75"/>
      <c r="AG312" s="75"/>
      <c r="AH312" s="6"/>
      <c r="AI312" s="86"/>
      <c r="AJ312" s="86">
        <f>TABL123[[#This Row],[(A/B TOT) AJD]]-TABL123[[#This Row],[BER_ IN]]</f>
        <v>0</v>
      </c>
      <c r="AK312" s="86"/>
      <c r="AL312" s="75"/>
      <c r="AM312" s="96"/>
      <c r="AN312" s="96">
        <f>TABL123[[#This Row],[ (RESV. STORGE) SER]]/10</f>
        <v>0</v>
      </c>
      <c r="AO312" s="6"/>
      <c r="AP312" s="32">
        <f>TABL123[[#This Row],[(A/S TOT) AJD]]-TABL123[[#This Row],[SER_ 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Row],[خط (T/B  TOT) SAR]]+TABL123[[#This Row],[خط (S/S  TOT) SAR2]]</f>
        <v>0</v>
      </c>
      <c r="L313" s="28"/>
      <c r="M313" s="29"/>
      <c r="N313" s="30"/>
      <c r="O313" s="40"/>
      <c r="P313" s="9">
        <f>TABL123[[#This Row],[خط (S/S  TOT) SAR2]]-TABL123[[#This Row],[(S/S TOT) AJD]]</f>
        <v>0</v>
      </c>
      <c r="Q313" s="9"/>
      <c r="R313" s="9">
        <f>TABL123[[#This Row],[خط (T/B  TOT) SAR]]-TABL123[[#This Row],[(T/B TOT) AJD]]</f>
        <v>0</v>
      </c>
      <c r="S313" s="9">
        <f>TABL123[[#This Row],[الفرق بين بداية ونهاية خط  T/B]]+TABL123[[#This Row],[الفرق بين بداية ونهاية خط  S/S]]</f>
        <v>0</v>
      </c>
      <c r="T313" s="9">
        <f>TABL123[[#This Row],[(S/S TOT) AJD]]+TABL123[[#This Row],[(T/B TOT) AJD]]</f>
        <v>0</v>
      </c>
      <c r="U313" s="9"/>
      <c r="V313" s="9"/>
      <c r="W313" s="9">
        <f>TABL123[[#This Row],[(A/B TOT) AJD]]+TABL123[[#This Row],[(A/S TOT)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91">
        <f>TABL123[[#This Row],[( S/S+T/B) AJD]]-(TABL123[[#This Row],[(A/B + A/S) AJD]]+(TABL123[[#This Row],[(STORGE DIFF.) AJD]]*1000)+TABL123[[#This Row],[البخر  AJD]])</f>
        <v>0</v>
      </c>
      <c r="AE313" s="75"/>
      <c r="AF313" s="75"/>
      <c r="AG313" s="75"/>
      <c r="AH313" s="6"/>
      <c r="AI313" s="86"/>
      <c r="AJ313" s="86">
        <f>TABL123[[#This Row],[(A/B TOT) AJD]]-TABL123[[#This Row],[BER_ IN]]</f>
        <v>0</v>
      </c>
      <c r="AK313" s="86"/>
      <c r="AL313" s="75"/>
      <c r="AM313" s="96"/>
      <c r="AN313" s="96">
        <f>TABL123[[#This Row],[ (RESV. STORGE) SER]]/10</f>
        <v>0</v>
      </c>
      <c r="AO313" s="6"/>
      <c r="AP313" s="32">
        <f>TABL123[[#This Row],[(A/S TOT) AJD]]-TABL123[[#This Row],[SER_ 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Row],[خط (T/B  TOT) SAR]]+TABL123[[#This Row],[خط (S/S  TOT) SAR2]]</f>
        <v>0</v>
      </c>
      <c r="L314" s="28"/>
      <c r="M314" s="29"/>
      <c r="N314" s="30"/>
      <c r="O314" s="39"/>
      <c r="P314" s="9">
        <f>TABL123[[#This Row],[خط (S/S  TOT) SAR2]]-TABL123[[#This Row],[(S/S TOT) AJD]]</f>
        <v>0</v>
      </c>
      <c r="Q314" s="9"/>
      <c r="R314" s="9">
        <f>TABL123[[#This Row],[خط (T/B  TOT) SAR]]-TABL123[[#This Row],[(T/B TOT) AJD]]</f>
        <v>0</v>
      </c>
      <c r="S314" s="9">
        <f>TABL123[[#This Row],[الفرق بين بداية ونهاية خط  T/B]]+TABL123[[#This Row],[الفرق بين بداية ونهاية خط  S/S]]</f>
        <v>0</v>
      </c>
      <c r="T314" s="9">
        <f>TABL123[[#This Row],[(S/S TOT) AJD]]+TABL123[[#This Row],[(T/B TOT) AJD]]</f>
        <v>0</v>
      </c>
      <c r="U314" s="9"/>
      <c r="V314" s="9"/>
      <c r="W314" s="9">
        <f>TABL123[[#This Row],[(A/B TOT) AJD]]+TABL123[[#This Row],[(A/S TOT)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91">
        <f>TABL123[[#This Row],[( S/S+T/B) AJD]]-(TABL123[[#This Row],[(A/B + A/S) AJD]]+(TABL123[[#This Row],[(STORGE DIFF.) AJD]]*1000)+TABL123[[#This Row],[البخر  AJD]])</f>
        <v>0</v>
      </c>
      <c r="AE314" s="75"/>
      <c r="AF314" s="75"/>
      <c r="AG314" s="75"/>
      <c r="AH314" s="6"/>
      <c r="AI314" s="86"/>
      <c r="AJ314" s="86">
        <f>TABL123[[#This Row],[(A/B TOT) AJD]]-TABL123[[#This Row],[BER_ IN]]</f>
        <v>0</v>
      </c>
      <c r="AK314" s="86"/>
      <c r="AL314" s="75"/>
      <c r="AM314" s="96"/>
      <c r="AN314" s="96">
        <f>TABL123[[#This Row],[ (RESV. STORGE) SER]]/10</f>
        <v>0</v>
      </c>
      <c r="AO314" s="6"/>
      <c r="AP314" s="32">
        <f>TABL123[[#This Row],[(A/S TOT) AJD]]-TABL123[[#This Row],[SER_ 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Row],[خط (T/B  TOT) SAR]]+TABL123[[#This Row],[خط (S/S  TOT) SAR2]]</f>
        <v>0</v>
      </c>
      <c r="L315" s="28"/>
      <c r="M315" s="29"/>
      <c r="N315" s="30"/>
      <c r="O315" s="40"/>
      <c r="P315" s="9">
        <f>TABL123[[#This Row],[خط (S/S  TOT) SAR2]]-TABL123[[#This Row],[(S/S TOT) AJD]]</f>
        <v>0</v>
      </c>
      <c r="Q315" s="9"/>
      <c r="R315" s="9">
        <f>TABL123[[#This Row],[خط (T/B  TOT) SAR]]-TABL123[[#This Row],[(T/B TOT) AJD]]</f>
        <v>0</v>
      </c>
      <c r="S315" s="9">
        <f>TABL123[[#This Row],[الفرق بين بداية ونهاية خط  T/B]]+TABL123[[#This Row],[الفرق بين بداية ونهاية خط  S/S]]</f>
        <v>0</v>
      </c>
      <c r="T315" s="9">
        <f>TABL123[[#This Row],[(S/S TOT) AJD]]+TABL123[[#This Row],[(T/B TOT) AJD]]</f>
        <v>0</v>
      </c>
      <c r="U315" s="9"/>
      <c r="V315" s="9"/>
      <c r="W315" s="9">
        <f>TABL123[[#This Row],[(A/B TOT) AJD]]+TABL123[[#This Row],[(A/S TOT)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91">
        <f>TABL123[[#This Row],[( S/S+T/B) AJD]]-(TABL123[[#This Row],[(A/B + A/S) AJD]]+(TABL123[[#This Row],[(STORGE DIFF.) AJD]]*1000)+TABL123[[#This Row],[البخر  AJD]])</f>
        <v>0</v>
      </c>
      <c r="AE315" s="75"/>
      <c r="AF315" s="75"/>
      <c r="AG315" s="75"/>
      <c r="AH315" s="6"/>
      <c r="AI315" s="86"/>
      <c r="AJ315" s="86">
        <f>TABL123[[#This Row],[(A/B TOT) AJD]]-TABL123[[#This Row],[BER_ IN]]</f>
        <v>0</v>
      </c>
      <c r="AK315" s="86"/>
      <c r="AL315" s="75"/>
      <c r="AM315" s="96"/>
      <c r="AN315" s="96">
        <f>TABL123[[#This Row],[ (RESV. STORGE) SER]]/10</f>
        <v>0</v>
      </c>
      <c r="AO315" s="6"/>
      <c r="AP315" s="32">
        <f>TABL123[[#This Row],[(A/S TOT) AJD]]-TABL123[[#This Row],[SER_ 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Row],[خط (T/B  TOT) SAR]]+TABL123[[#This Row],[خط (S/S  TOT) SAR2]]</f>
        <v>0</v>
      </c>
      <c r="L316" s="28"/>
      <c r="M316" s="29"/>
      <c r="N316" s="30"/>
      <c r="O316" s="39"/>
      <c r="P316" s="9">
        <f>TABL123[[#This Row],[خط (S/S  TOT) SAR2]]-TABL123[[#This Row],[(S/S TOT) AJD]]</f>
        <v>0</v>
      </c>
      <c r="Q316" s="9"/>
      <c r="R316" s="9">
        <f>TABL123[[#This Row],[خط (T/B  TOT) SAR]]-TABL123[[#This Row],[(T/B TOT) AJD]]</f>
        <v>0</v>
      </c>
      <c r="S316" s="9">
        <f>TABL123[[#This Row],[الفرق بين بداية ونهاية خط  T/B]]+TABL123[[#This Row],[الفرق بين بداية ونهاية خط  S/S]]</f>
        <v>0</v>
      </c>
      <c r="T316" s="9">
        <f>TABL123[[#This Row],[(S/S TOT) AJD]]+TABL123[[#This Row],[(T/B TOT) AJD]]</f>
        <v>0</v>
      </c>
      <c r="U316" s="9"/>
      <c r="V316" s="9"/>
      <c r="W316" s="9">
        <f>TABL123[[#This Row],[(A/B TOT) AJD]]+TABL123[[#This Row],[(A/S TOT)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91">
        <f>TABL123[[#This Row],[( S/S+T/B) AJD]]-(TABL123[[#This Row],[(A/B + A/S) AJD]]+(TABL123[[#This Row],[(STORGE DIFF.) AJD]]*1000)+TABL123[[#This Row],[البخر  AJD]])</f>
        <v>0</v>
      </c>
      <c r="AE316" s="75"/>
      <c r="AF316" s="75"/>
      <c r="AG316" s="75"/>
      <c r="AH316" s="6"/>
      <c r="AI316" s="86"/>
      <c r="AJ316" s="86">
        <f>TABL123[[#This Row],[(A/B TOT) AJD]]-TABL123[[#This Row],[BER_ IN]]</f>
        <v>0</v>
      </c>
      <c r="AK316" s="86"/>
      <c r="AL316" s="75"/>
      <c r="AM316" s="96"/>
      <c r="AN316" s="96">
        <f>TABL123[[#This Row],[ (RESV. STORGE) SER]]/10</f>
        <v>0</v>
      </c>
      <c r="AO316" s="6"/>
      <c r="AP316" s="32">
        <f>TABL123[[#This Row],[(A/S TOT) AJD]]-TABL123[[#This Row],[SER_ 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Row],[خط (T/B  TOT) SAR]]+TABL123[[#This Row],[خط (S/S  TOT) SAR2]]</f>
        <v>0</v>
      </c>
      <c r="L317" s="28"/>
      <c r="M317" s="29"/>
      <c r="N317" s="30"/>
      <c r="O317" s="40"/>
      <c r="P317" s="9">
        <f>TABL123[[#This Row],[خط (S/S  TOT) SAR2]]-TABL123[[#This Row],[(S/S TOT) AJD]]</f>
        <v>0</v>
      </c>
      <c r="Q317" s="9"/>
      <c r="R317" s="9">
        <f>TABL123[[#This Row],[خط (T/B  TOT) SAR]]-TABL123[[#This Row],[(T/B TOT) AJD]]</f>
        <v>0</v>
      </c>
      <c r="S317" s="9">
        <f>TABL123[[#This Row],[الفرق بين بداية ونهاية خط  T/B]]+TABL123[[#This Row],[الفرق بين بداية ونهاية خط  S/S]]</f>
        <v>0</v>
      </c>
      <c r="T317" s="9">
        <f>TABL123[[#This Row],[(S/S TOT) AJD]]+TABL123[[#This Row],[(T/B TOT) AJD]]</f>
        <v>0</v>
      </c>
      <c r="U317" s="9"/>
      <c r="V317" s="9"/>
      <c r="W317" s="9">
        <f>TABL123[[#This Row],[(A/B TOT) AJD]]+TABL123[[#This Row],[(A/S TOT)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91">
        <f>TABL123[[#This Row],[( S/S+T/B) AJD]]-(TABL123[[#This Row],[(A/B + A/S) AJD]]+(TABL123[[#This Row],[(STORGE DIFF.) AJD]]*1000)+TABL123[[#This Row],[البخر  AJD]])</f>
        <v>0</v>
      </c>
      <c r="AE317" s="75"/>
      <c r="AF317" s="75"/>
      <c r="AG317" s="75"/>
      <c r="AH317" s="6"/>
      <c r="AI317" s="86"/>
      <c r="AJ317" s="86">
        <f>TABL123[[#This Row],[(A/B TOT) AJD]]-TABL123[[#This Row],[BER_ IN]]</f>
        <v>0</v>
      </c>
      <c r="AK317" s="86"/>
      <c r="AL317" s="75"/>
      <c r="AM317" s="96"/>
      <c r="AN317" s="96">
        <f>TABL123[[#This Row],[ (RESV. STORGE) SER]]/10</f>
        <v>0</v>
      </c>
      <c r="AO317" s="6"/>
      <c r="AP317" s="32">
        <f>TABL123[[#This Row],[(A/S TOT) AJD]]-TABL123[[#This Row],[SER_ 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Row],[خط (T/B  TOT) SAR]]+TABL123[[#This Row],[خط (S/S  TOT) SAR2]]</f>
        <v>0</v>
      </c>
      <c r="L318" s="28"/>
      <c r="M318" s="29"/>
      <c r="N318" s="30"/>
      <c r="O318" s="39"/>
      <c r="P318" s="9">
        <f>TABL123[[#This Row],[خط (S/S  TOT) SAR2]]-TABL123[[#This Row],[(S/S TOT) AJD]]</f>
        <v>0</v>
      </c>
      <c r="Q318" s="9"/>
      <c r="R318" s="9">
        <f>TABL123[[#This Row],[خط (T/B  TOT) SAR]]-TABL123[[#This Row],[(T/B TOT) AJD]]</f>
        <v>0</v>
      </c>
      <c r="S318" s="9">
        <f>TABL123[[#This Row],[الفرق بين بداية ونهاية خط  T/B]]+TABL123[[#This Row],[الفرق بين بداية ونهاية خط  S/S]]</f>
        <v>0</v>
      </c>
      <c r="T318" s="9">
        <f>TABL123[[#This Row],[(S/S TOT) AJD]]+TABL123[[#This Row],[(T/B TOT) AJD]]</f>
        <v>0</v>
      </c>
      <c r="U318" s="9"/>
      <c r="V318" s="9"/>
      <c r="W318" s="9">
        <f>TABL123[[#This Row],[(A/B TOT) AJD]]+TABL123[[#This Row],[(A/S TOT)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91">
        <f>TABL123[[#This Row],[( S/S+T/B) AJD]]-(TABL123[[#This Row],[(A/B + A/S) AJD]]+(TABL123[[#This Row],[(STORGE DIFF.) AJD]]*1000)+TABL123[[#This Row],[البخر  AJD]])</f>
        <v>0</v>
      </c>
      <c r="AE318" s="75"/>
      <c r="AF318" s="75"/>
      <c r="AG318" s="75"/>
      <c r="AH318" s="6"/>
      <c r="AI318" s="86"/>
      <c r="AJ318" s="86">
        <f>TABL123[[#This Row],[(A/B TOT) AJD]]-TABL123[[#This Row],[BER_ IN]]</f>
        <v>0</v>
      </c>
      <c r="AK318" s="86"/>
      <c r="AL318" s="75"/>
      <c r="AM318" s="96"/>
      <c r="AN318" s="96">
        <f>TABL123[[#This Row],[ (RESV. STORGE) SER]]/10</f>
        <v>0</v>
      </c>
      <c r="AO318" s="6"/>
      <c r="AP318" s="32">
        <f>TABL123[[#This Row],[(A/S TOT) AJD]]-TABL123[[#This Row],[SER_ 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Row],[خط (T/B  TOT) SAR]]+TABL123[[#This Row],[خط (S/S  TOT) SAR2]]</f>
        <v>0</v>
      </c>
      <c r="L319" s="28"/>
      <c r="M319" s="29"/>
      <c r="N319" s="30"/>
      <c r="O319" s="40"/>
      <c r="P319" s="9">
        <f>TABL123[[#This Row],[خط (S/S  TOT) SAR2]]-TABL123[[#This Row],[(S/S TOT) AJD]]</f>
        <v>0</v>
      </c>
      <c r="Q319" s="9"/>
      <c r="R319" s="9">
        <f>TABL123[[#This Row],[خط (T/B  TOT) SAR]]-TABL123[[#This Row],[(T/B TOT) AJD]]</f>
        <v>0</v>
      </c>
      <c r="S319" s="9">
        <f>TABL123[[#This Row],[الفرق بين بداية ونهاية خط  T/B]]+TABL123[[#This Row],[الفرق بين بداية ونهاية خط  S/S]]</f>
        <v>0</v>
      </c>
      <c r="T319" s="9">
        <f>TABL123[[#This Row],[(S/S TOT) AJD]]+TABL123[[#This Row],[(T/B TOT) AJD]]</f>
        <v>0</v>
      </c>
      <c r="U319" s="9"/>
      <c r="V319" s="9"/>
      <c r="W319" s="9">
        <f>TABL123[[#This Row],[(A/B TOT) AJD]]+TABL123[[#This Row],[(A/S TOT)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91">
        <f>TABL123[[#This Row],[( S/S+T/B) AJD]]-(TABL123[[#This Row],[(A/B + A/S) AJD]]+(TABL123[[#This Row],[(STORGE DIFF.) AJD]]*1000)+TABL123[[#This Row],[البخر  AJD]])</f>
        <v>0</v>
      </c>
      <c r="AE319" s="75"/>
      <c r="AF319" s="75"/>
      <c r="AG319" s="75"/>
      <c r="AH319" s="6"/>
      <c r="AI319" s="86"/>
      <c r="AJ319" s="86">
        <f>TABL123[[#This Row],[(A/B TOT) AJD]]-TABL123[[#This Row],[BER_ IN]]</f>
        <v>0</v>
      </c>
      <c r="AK319" s="86"/>
      <c r="AL319" s="75"/>
      <c r="AM319" s="96"/>
      <c r="AN319" s="96">
        <f>TABL123[[#This Row],[ (RESV. STORGE) SER]]/10</f>
        <v>0</v>
      </c>
      <c r="AO319" s="6"/>
      <c r="AP319" s="32">
        <f>TABL123[[#This Row],[(A/S TOT) AJD]]-TABL123[[#This Row],[SER_ 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Row],[خط (T/B  TOT) SAR]]+TABL123[[#This Row],[خط (S/S  TOT) SAR2]]</f>
        <v>0</v>
      </c>
      <c r="L320" s="28"/>
      <c r="M320" s="29"/>
      <c r="N320" s="30"/>
      <c r="O320" s="39"/>
      <c r="P320" s="9">
        <f>TABL123[[#This Row],[خط (S/S  TOT) SAR2]]-TABL123[[#This Row],[(S/S TOT) AJD]]</f>
        <v>0</v>
      </c>
      <c r="Q320" s="9"/>
      <c r="R320" s="9">
        <f>TABL123[[#This Row],[خط (T/B  TOT) SAR]]-TABL123[[#This Row],[(T/B TOT) AJD]]</f>
        <v>0</v>
      </c>
      <c r="S320" s="9">
        <f>TABL123[[#This Row],[الفرق بين بداية ونهاية خط  T/B]]+TABL123[[#This Row],[الفرق بين بداية ونهاية خط  S/S]]</f>
        <v>0</v>
      </c>
      <c r="T320" s="9">
        <f>TABL123[[#This Row],[(S/S TOT) AJD]]+TABL123[[#This Row],[(T/B TOT) AJD]]</f>
        <v>0</v>
      </c>
      <c r="U320" s="9"/>
      <c r="V320" s="9"/>
      <c r="W320" s="9">
        <f>TABL123[[#This Row],[(A/B TOT) AJD]]+TABL123[[#This Row],[(A/S TOT)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91">
        <f>TABL123[[#This Row],[( S/S+T/B) AJD]]-(TABL123[[#This Row],[(A/B + A/S) AJD]]+(TABL123[[#This Row],[(STORGE DIFF.) AJD]]*1000)+TABL123[[#This Row],[البخر  AJD]])</f>
        <v>0</v>
      </c>
      <c r="AE320" s="75"/>
      <c r="AF320" s="75"/>
      <c r="AG320" s="75"/>
      <c r="AH320" s="6"/>
      <c r="AI320" s="86"/>
      <c r="AJ320" s="86">
        <f>TABL123[[#This Row],[(A/B TOT) AJD]]-TABL123[[#This Row],[BER_ IN]]</f>
        <v>0</v>
      </c>
      <c r="AK320" s="86"/>
      <c r="AL320" s="75"/>
      <c r="AM320" s="96"/>
      <c r="AN320" s="96">
        <f>TABL123[[#This Row],[ (RESV. STORGE) SER]]/10</f>
        <v>0</v>
      </c>
      <c r="AO320" s="6"/>
      <c r="AP320" s="32">
        <f>TABL123[[#This Row],[(A/S TOT) AJD]]-TABL123[[#This Row],[SER_ 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Row],[خط (T/B  TOT) SAR]]+TABL123[[#This Row],[خط (S/S  TOT) SAR2]]</f>
        <v>0</v>
      </c>
      <c r="L321" s="28"/>
      <c r="M321" s="29"/>
      <c r="N321" s="30"/>
      <c r="O321" s="40"/>
      <c r="P321" s="9">
        <f>TABL123[[#This Row],[خط (S/S  TOT) SAR2]]-TABL123[[#This Row],[(S/S TOT) AJD]]</f>
        <v>0</v>
      </c>
      <c r="Q321" s="9"/>
      <c r="R321" s="9">
        <f>TABL123[[#This Row],[خط (T/B  TOT) SAR]]-TABL123[[#This Row],[(T/B TOT) AJD]]</f>
        <v>0</v>
      </c>
      <c r="S321" s="9">
        <f>TABL123[[#This Row],[الفرق بين بداية ونهاية خط  T/B]]+TABL123[[#This Row],[الفرق بين بداية ونهاية خط  S/S]]</f>
        <v>0</v>
      </c>
      <c r="T321" s="9">
        <f>TABL123[[#This Row],[(S/S TOT) AJD]]+TABL123[[#This Row],[(T/B TOT) AJD]]</f>
        <v>0</v>
      </c>
      <c r="U321" s="9"/>
      <c r="V321" s="9"/>
      <c r="W321" s="9">
        <f>TABL123[[#This Row],[(A/B TOT) AJD]]+TABL123[[#This Row],[(A/S TOT)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91">
        <f>TABL123[[#This Row],[( S/S+T/B) AJD]]-(TABL123[[#This Row],[(A/B + A/S) AJD]]+(TABL123[[#This Row],[(STORGE DIFF.) AJD]]*1000)+TABL123[[#This Row],[البخر  AJD]])</f>
        <v>0</v>
      </c>
      <c r="AE321" s="75"/>
      <c r="AF321" s="75"/>
      <c r="AG321" s="75"/>
      <c r="AH321" s="6"/>
      <c r="AI321" s="86"/>
      <c r="AJ321" s="86">
        <f>TABL123[[#This Row],[(A/B TOT) AJD]]-TABL123[[#This Row],[BER_ IN]]</f>
        <v>0</v>
      </c>
      <c r="AK321" s="86"/>
      <c r="AL321" s="75"/>
      <c r="AM321" s="96"/>
      <c r="AN321" s="96">
        <f>TABL123[[#This Row],[ (RESV. STORGE) SER]]/10</f>
        <v>0</v>
      </c>
      <c r="AO321" s="6"/>
      <c r="AP321" s="32">
        <f>TABL123[[#This Row],[(A/S TOT) AJD]]-TABL123[[#This Row],[SER_ 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Row],[خط (T/B  TOT) SAR]]+TABL123[[#This Row],[خط (S/S  TOT) SAR2]]</f>
        <v>0</v>
      </c>
      <c r="L322" s="28"/>
      <c r="M322" s="29"/>
      <c r="N322" s="30"/>
      <c r="O322" s="39"/>
      <c r="P322" s="9">
        <f>TABL123[[#This Row],[خط (S/S  TOT) SAR2]]-TABL123[[#This Row],[(S/S TOT) AJD]]</f>
        <v>0</v>
      </c>
      <c r="Q322" s="9"/>
      <c r="R322" s="9">
        <f>TABL123[[#This Row],[خط (T/B  TOT) SAR]]-TABL123[[#This Row],[(T/B TOT) AJD]]</f>
        <v>0</v>
      </c>
      <c r="S322" s="9">
        <f>TABL123[[#This Row],[الفرق بين بداية ونهاية خط  T/B]]+TABL123[[#This Row],[الفرق بين بداية ونهاية خط  S/S]]</f>
        <v>0</v>
      </c>
      <c r="T322" s="9">
        <f>TABL123[[#This Row],[(S/S TOT) AJD]]+TABL123[[#This Row],[(T/B TOT) AJD]]</f>
        <v>0</v>
      </c>
      <c r="U322" s="9"/>
      <c r="V322" s="9"/>
      <c r="W322" s="9">
        <f>TABL123[[#This Row],[(A/B TOT) AJD]]+TABL123[[#This Row],[(A/S TOT)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91">
        <f>TABL123[[#This Row],[( S/S+T/B) AJD]]-(TABL123[[#This Row],[(A/B + A/S) AJD]]+(TABL123[[#This Row],[(STORGE DIFF.) AJD]]*1000)+TABL123[[#This Row],[البخر  AJD]])</f>
        <v>0</v>
      </c>
      <c r="AE322" s="75"/>
      <c r="AF322" s="75"/>
      <c r="AG322" s="75"/>
      <c r="AH322" s="6"/>
      <c r="AI322" s="86"/>
      <c r="AJ322" s="86">
        <f>TABL123[[#This Row],[(A/B TOT) AJD]]-TABL123[[#This Row],[BER_ IN]]</f>
        <v>0</v>
      </c>
      <c r="AK322" s="86"/>
      <c r="AL322" s="75"/>
      <c r="AM322" s="96"/>
      <c r="AN322" s="96">
        <f>TABL123[[#This Row],[ (RESV. STORGE) SER]]/10</f>
        <v>0</v>
      </c>
      <c r="AO322" s="6"/>
      <c r="AP322" s="32">
        <f>TABL123[[#This Row],[(A/S TOT) AJD]]-TABL123[[#This Row],[SER_ 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Row],[خط (T/B  TOT) SAR]]+TABL123[[#This Row],[خط (S/S  TOT) SAR2]]</f>
        <v>0</v>
      </c>
      <c r="L323" s="28"/>
      <c r="M323" s="29"/>
      <c r="N323" s="30"/>
      <c r="O323" s="40"/>
      <c r="P323" s="9">
        <f>TABL123[[#This Row],[خط (S/S  TOT) SAR2]]-TABL123[[#This Row],[(S/S TOT) AJD]]</f>
        <v>0</v>
      </c>
      <c r="Q323" s="9"/>
      <c r="R323" s="9">
        <f>TABL123[[#This Row],[خط (T/B  TOT) SAR]]-TABL123[[#This Row],[(T/B TOT) AJD]]</f>
        <v>0</v>
      </c>
      <c r="S323" s="9">
        <f>TABL123[[#This Row],[الفرق بين بداية ونهاية خط  T/B]]+TABL123[[#This Row],[الفرق بين بداية ونهاية خط  S/S]]</f>
        <v>0</v>
      </c>
      <c r="T323" s="9">
        <f>TABL123[[#This Row],[(S/S TOT) AJD]]+TABL123[[#This Row],[(T/B TOT) AJD]]</f>
        <v>0</v>
      </c>
      <c r="U323" s="9"/>
      <c r="V323" s="9"/>
      <c r="W323" s="9">
        <f>TABL123[[#This Row],[(A/B TOT) AJD]]+TABL123[[#This Row],[(A/S TOT)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91">
        <f>TABL123[[#This Row],[( S/S+T/B) AJD]]-(TABL123[[#This Row],[(A/B + A/S) AJD]]+(TABL123[[#This Row],[(STORGE DIFF.) AJD]]*1000)+TABL123[[#This Row],[البخر  AJD]])</f>
        <v>0</v>
      </c>
      <c r="AE323" s="75"/>
      <c r="AF323" s="75"/>
      <c r="AG323" s="75"/>
      <c r="AH323" s="6"/>
      <c r="AI323" s="86"/>
      <c r="AJ323" s="86">
        <f>TABL123[[#This Row],[(A/B TOT) AJD]]-TABL123[[#This Row],[BER_ IN]]</f>
        <v>0</v>
      </c>
      <c r="AK323" s="86"/>
      <c r="AL323" s="75"/>
      <c r="AM323" s="96"/>
      <c r="AN323" s="96">
        <f>TABL123[[#This Row],[ (RESV. STORGE) SER]]/10</f>
        <v>0</v>
      </c>
      <c r="AO323" s="6"/>
      <c r="AP323" s="32">
        <f>TABL123[[#This Row],[(A/S TOT) AJD]]-TABL123[[#This Row],[SER_ 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Row],[خط (T/B  TOT) SAR]]+TABL123[[#This Row],[خط (S/S  TOT) SAR2]]</f>
        <v>0</v>
      </c>
      <c r="L324" s="28"/>
      <c r="M324" s="29"/>
      <c r="N324" s="30"/>
      <c r="O324" s="39"/>
      <c r="P324" s="9">
        <f>TABL123[[#This Row],[خط (S/S  TOT) SAR2]]-TABL123[[#This Row],[(S/S TOT) AJD]]</f>
        <v>0</v>
      </c>
      <c r="Q324" s="9"/>
      <c r="R324" s="9">
        <f>TABL123[[#This Row],[خط (T/B  TOT) SAR]]-TABL123[[#This Row],[(T/B TOT) AJD]]</f>
        <v>0</v>
      </c>
      <c r="S324" s="9">
        <f>TABL123[[#This Row],[الفرق بين بداية ونهاية خط  T/B]]+TABL123[[#This Row],[الفرق بين بداية ونهاية خط  S/S]]</f>
        <v>0</v>
      </c>
      <c r="T324" s="9">
        <f>TABL123[[#This Row],[(S/S TOT) AJD]]+TABL123[[#This Row],[(T/B TOT) AJD]]</f>
        <v>0</v>
      </c>
      <c r="U324" s="9"/>
      <c r="V324" s="9"/>
      <c r="W324" s="9">
        <f>TABL123[[#This Row],[(A/B TOT) AJD]]+TABL123[[#This Row],[(A/S TOT)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91">
        <f>TABL123[[#This Row],[( S/S+T/B) AJD]]-(TABL123[[#This Row],[(A/B + A/S) AJD]]+(TABL123[[#This Row],[(STORGE DIFF.) AJD]]*1000)+TABL123[[#This Row],[البخر  AJD]])</f>
        <v>0</v>
      </c>
      <c r="AE324" s="75"/>
      <c r="AF324" s="75"/>
      <c r="AG324" s="75"/>
      <c r="AH324" s="6"/>
      <c r="AI324" s="86"/>
      <c r="AJ324" s="86">
        <f>TABL123[[#This Row],[(A/B TOT) AJD]]-TABL123[[#This Row],[BER_ IN]]</f>
        <v>0</v>
      </c>
      <c r="AK324" s="86"/>
      <c r="AL324" s="75"/>
      <c r="AM324" s="96"/>
      <c r="AN324" s="96">
        <f>TABL123[[#This Row],[ (RESV. STORGE) SER]]/10</f>
        <v>0</v>
      </c>
      <c r="AO324" s="6"/>
      <c r="AP324" s="32">
        <f>TABL123[[#This Row],[(A/S TOT) AJD]]-TABL123[[#This Row],[SER_ 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Row],[خط (T/B  TOT) SAR]]+TABL123[[#This Row],[خط (S/S  TOT) SAR2]]</f>
        <v>0</v>
      </c>
      <c r="L325" s="28"/>
      <c r="M325" s="29"/>
      <c r="N325" s="30"/>
      <c r="O325" s="40"/>
      <c r="P325" s="9">
        <f>TABL123[[#This Row],[خط (S/S  TOT) SAR2]]-TABL123[[#This Row],[(S/S TOT) AJD]]</f>
        <v>0</v>
      </c>
      <c r="Q325" s="9"/>
      <c r="R325" s="9">
        <f>TABL123[[#This Row],[خط (T/B  TOT) SAR]]-TABL123[[#This Row],[(T/B TOT) AJD]]</f>
        <v>0</v>
      </c>
      <c r="S325" s="9">
        <f>TABL123[[#This Row],[الفرق بين بداية ونهاية خط  T/B]]+TABL123[[#This Row],[الفرق بين بداية ونهاية خط  S/S]]</f>
        <v>0</v>
      </c>
      <c r="T325" s="9">
        <f>TABL123[[#This Row],[(S/S TOT) AJD]]+TABL123[[#This Row],[(T/B TOT) AJD]]</f>
        <v>0</v>
      </c>
      <c r="U325" s="9"/>
      <c r="V325" s="9"/>
      <c r="W325" s="9">
        <f>TABL123[[#This Row],[(A/B TOT) AJD]]+TABL123[[#This Row],[(A/S TOT)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91">
        <f>TABL123[[#This Row],[( S/S+T/B) AJD]]-(TABL123[[#This Row],[(A/B + A/S) AJD]]+(TABL123[[#This Row],[(STORGE DIFF.) AJD]]*1000)+TABL123[[#This Row],[البخر  AJD]])</f>
        <v>0</v>
      </c>
      <c r="AE325" s="75"/>
      <c r="AF325" s="75"/>
      <c r="AG325" s="75"/>
      <c r="AH325" s="6"/>
      <c r="AI325" s="86"/>
      <c r="AJ325" s="86">
        <f>TABL123[[#This Row],[(A/B TOT) AJD]]-TABL123[[#This Row],[BER_ IN]]</f>
        <v>0</v>
      </c>
      <c r="AK325" s="86"/>
      <c r="AL325" s="75"/>
      <c r="AM325" s="96"/>
      <c r="AN325" s="96">
        <f>TABL123[[#This Row],[ (RESV. STORGE) SER]]/10</f>
        <v>0</v>
      </c>
      <c r="AO325" s="6"/>
      <c r="AP325" s="32">
        <f>TABL123[[#This Row],[(A/S TOT) AJD]]-TABL123[[#This Row],[SER_ 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Row],[خط (T/B  TOT) SAR]]+TABL123[[#This Row],[خط (S/S  TOT) SAR2]]</f>
        <v>0</v>
      </c>
      <c r="L326" s="28"/>
      <c r="M326" s="29"/>
      <c r="N326" s="30"/>
      <c r="O326" s="39"/>
      <c r="P326" s="9">
        <f>TABL123[[#This Row],[خط (S/S  TOT) SAR2]]-TABL123[[#This Row],[(S/S TOT) AJD]]</f>
        <v>0</v>
      </c>
      <c r="Q326" s="9"/>
      <c r="R326" s="9">
        <f>TABL123[[#This Row],[خط (T/B  TOT) SAR]]-TABL123[[#This Row],[(T/B TOT) AJD]]</f>
        <v>0</v>
      </c>
      <c r="S326" s="9">
        <f>TABL123[[#This Row],[الفرق بين بداية ونهاية خط  T/B]]+TABL123[[#This Row],[الفرق بين بداية ونهاية خط  S/S]]</f>
        <v>0</v>
      </c>
      <c r="T326" s="9">
        <f>TABL123[[#This Row],[(S/S TOT) AJD]]+TABL123[[#This Row],[(T/B TOT) AJD]]</f>
        <v>0</v>
      </c>
      <c r="U326" s="9"/>
      <c r="V326" s="9"/>
      <c r="W326" s="9">
        <f>TABL123[[#This Row],[(A/B TOT) AJD]]+TABL123[[#This Row],[(A/S TOT)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91">
        <f>TABL123[[#This Row],[( S/S+T/B) AJD]]-(TABL123[[#This Row],[(A/B + A/S) AJD]]+(TABL123[[#This Row],[(STORGE DIFF.) AJD]]*1000)+TABL123[[#This Row],[البخر  AJD]])</f>
        <v>0</v>
      </c>
      <c r="AE326" s="75"/>
      <c r="AF326" s="75"/>
      <c r="AG326" s="75"/>
      <c r="AH326" s="6"/>
      <c r="AI326" s="86"/>
      <c r="AJ326" s="86">
        <f>TABL123[[#This Row],[(A/B TOT) AJD]]-TABL123[[#This Row],[BER_ IN]]</f>
        <v>0</v>
      </c>
      <c r="AK326" s="86"/>
      <c r="AL326" s="75"/>
      <c r="AM326" s="96"/>
      <c r="AN326" s="96">
        <f>TABL123[[#This Row],[ (RESV. STORGE) SER]]/10</f>
        <v>0</v>
      </c>
      <c r="AO326" s="6"/>
      <c r="AP326" s="32">
        <f>TABL123[[#This Row],[(A/S TOT) AJD]]-TABL123[[#This Row],[SER_ 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Row],[خط (T/B  TOT) SAR]]+TABL123[[#This Row],[خط (S/S  TOT) SAR2]]</f>
        <v>0</v>
      </c>
      <c r="L327" s="28"/>
      <c r="M327" s="29"/>
      <c r="N327" s="30"/>
      <c r="O327" s="40"/>
      <c r="P327" s="9">
        <f>TABL123[[#This Row],[خط (S/S  TOT) SAR2]]-TABL123[[#This Row],[(S/S TOT) AJD]]</f>
        <v>0</v>
      </c>
      <c r="Q327" s="9"/>
      <c r="R327" s="9">
        <f>TABL123[[#This Row],[خط (T/B  TOT) SAR]]-TABL123[[#This Row],[(T/B TOT) AJD]]</f>
        <v>0</v>
      </c>
      <c r="S327" s="9">
        <f>TABL123[[#This Row],[الفرق بين بداية ونهاية خط  T/B]]+TABL123[[#This Row],[الفرق بين بداية ونهاية خط  S/S]]</f>
        <v>0</v>
      </c>
      <c r="T327" s="9">
        <f>TABL123[[#This Row],[(S/S TOT) AJD]]+TABL123[[#This Row],[(T/B TOT) AJD]]</f>
        <v>0</v>
      </c>
      <c r="U327" s="9"/>
      <c r="V327" s="9"/>
      <c r="W327" s="9">
        <f>TABL123[[#This Row],[(A/B TOT) AJD]]+TABL123[[#This Row],[(A/S TOT)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91">
        <f>TABL123[[#This Row],[( S/S+T/B) AJD]]-(TABL123[[#This Row],[(A/B + A/S) AJD]]+(TABL123[[#This Row],[(STORGE DIFF.) AJD]]*1000)+TABL123[[#This Row],[البخر  AJD]])</f>
        <v>0</v>
      </c>
      <c r="AE327" s="75"/>
      <c r="AF327" s="75"/>
      <c r="AG327" s="75"/>
      <c r="AH327" s="6"/>
      <c r="AI327" s="86"/>
      <c r="AJ327" s="86">
        <f>TABL123[[#This Row],[(A/B TOT) AJD]]-TABL123[[#This Row],[BER_ IN]]</f>
        <v>0</v>
      </c>
      <c r="AK327" s="86"/>
      <c r="AL327" s="75"/>
      <c r="AM327" s="96"/>
      <c r="AN327" s="96">
        <f>TABL123[[#This Row],[ (RESV. STORGE) SER]]/10</f>
        <v>0</v>
      </c>
      <c r="AO327" s="6"/>
      <c r="AP327" s="32">
        <f>TABL123[[#This Row],[(A/S TOT) AJD]]-TABL123[[#This Row],[SER_ 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Row],[خط (T/B  TOT) SAR]]+TABL123[[#This Row],[خط (S/S  TOT) SAR2]]</f>
        <v>0</v>
      </c>
      <c r="L328" s="28"/>
      <c r="M328" s="29"/>
      <c r="N328" s="30"/>
      <c r="O328" s="39"/>
      <c r="P328" s="9">
        <f>TABL123[[#This Row],[خط (S/S  TOT) SAR2]]-TABL123[[#This Row],[(S/S TOT) AJD]]</f>
        <v>0</v>
      </c>
      <c r="Q328" s="9"/>
      <c r="R328" s="9">
        <f>TABL123[[#This Row],[خط (T/B  TOT) SAR]]-TABL123[[#This Row],[(T/B TOT) AJD]]</f>
        <v>0</v>
      </c>
      <c r="S328" s="9">
        <f>TABL123[[#This Row],[الفرق بين بداية ونهاية خط  T/B]]+TABL123[[#This Row],[الفرق بين بداية ونهاية خط  S/S]]</f>
        <v>0</v>
      </c>
      <c r="T328" s="9">
        <f>TABL123[[#This Row],[(S/S TOT) AJD]]+TABL123[[#This Row],[(T/B TOT) AJD]]</f>
        <v>0</v>
      </c>
      <c r="U328" s="9"/>
      <c r="V328" s="9"/>
      <c r="W328" s="9">
        <f>TABL123[[#This Row],[(A/B TOT) AJD]]+TABL123[[#This Row],[(A/S TOT)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91">
        <f>TABL123[[#This Row],[( S/S+T/B) AJD]]-(TABL123[[#This Row],[(A/B + A/S) AJD]]+(TABL123[[#This Row],[(STORGE DIFF.) AJD]]*1000)+TABL123[[#This Row],[البخر  AJD]])</f>
        <v>0</v>
      </c>
      <c r="AE328" s="75"/>
      <c r="AF328" s="75"/>
      <c r="AG328" s="75"/>
      <c r="AH328" s="6"/>
      <c r="AI328" s="86"/>
      <c r="AJ328" s="86">
        <f>TABL123[[#This Row],[(A/B TOT) AJD]]-TABL123[[#This Row],[BER_ IN]]</f>
        <v>0</v>
      </c>
      <c r="AK328" s="86"/>
      <c r="AL328" s="75"/>
      <c r="AM328" s="96"/>
      <c r="AN328" s="96">
        <f>TABL123[[#This Row],[ (RESV. STORGE) SER]]/10</f>
        <v>0</v>
      </c>
      <c r="AO328" s="6"/>
      <c r="AP328" s="32">
        <f>TABL123[[#This Row],[(A/S TOT) AJD]]-TABL123[[#This Row],[SER_ 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Row],[خط (T/B  TOT) SAR]]+TABL123[[#This Row],[خط (S/S  TOT) SAR2]]</f>
        <v>0</v>
      </c>
      <c r="L329" s="28"/>
      <c r="M329" s="29"/>
      <c r="N329" s="30"/>
      <c r="O329" s="40"/>
      <c r="P329" s="9">
        <f>TABL123[[#This Row],[خط (S/S  TOT) SAR2]]-TABL123[[#This Row],[(S/S TOT) AJD]]</f>
        <v>0</v>
      </c>
      <c r="Q329" s="9"/>
      <c r="R329" s="9">
        <f>TABL123[[#This Row],[خط (T/B  TOT) SAR]]-TABL123[[#This Row],[(T/B TOT) AJD]]</f>
        <v>0</v>
      </c>
      <c r="S329" s="9">
        <f>TABL123[[#This Row],[الفرق بين بداية ونهاية خط  T/B]]+TABL123[[#This Row],[الفرق بين بداية ونهاية خط  S/S]]</f>
        <v>0</v>
      </c>
      <c r="T329" s="9">
        <f>TABL123[[#This Row],[(S/S TOT) AJD]]+TABL123[[#This Row],[(T/B TOT) AJD]]</f>
        <v>0</v>
      </c>
      <c r="U329" s="9"/>
      <c r="V329" s="9"/>
      <c r="W329" s="9">
        <f>TABL123[[#This Row],[(A/B TOT) AJD]]+TABL123[[#This Row],[(A/S TOT)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91">
        <f>TABL123[[#This Row],[( S/S+T/B) AJD]]-(TABL123[[#This Row],[(A/B + A/S) AJD]]+(TABL123[[#This Row],[(STORGE DIFF.) AJD]]*1000)+TABL123[[#This Row],[البخر  AJD]])</f>
        <v>0</v>
      </c>
      <c r="AE329" s="75"/>
      <c r="AF329" s="75"/>
      <c r="AG329" s="75"/>
      <c r="AH329" s="6"/>
      <c r="AI329" s="86"/>
      <c r="AJ329" s="86">
        <f>TABL123[[#This Row],[(A/B TOT) AJD]]-TABL123[[#This Row],[BER_ IN]]</f>
        <v>0</v>
      </c>
      <c r="AK329" s="86"/>
      <c r="AL329" s="75"/>
      <c r="AM329" s="96"/>
      <c r="AN329" s="96">
        <f>TABL123[[#This Row],[ (RESV. STORGE) SER]]/10</f>
        <v>0</v>
      </c>
      <c r="AO329" s="6"/>
      <c r="AP329" s="32">
        <f>TABL123[[#This Row],[(A/S TOT) AJD]]-TABL123[[#This Row],[SER_ 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Row],[خط (T/B  TOT) SAR]]+TABL123[[#This Row],[خط (S/S  TOT) SAR2]]</f>
        <v>0</v>
      </c>
      <c r="L330" s="28"/>
      <c r="M330" s="29"/>
      <c r="N330" s="30"/>
      <c r="O330" s="39"/>
      <c r="P330" s="9">
        <f>TABL123[[#This Row],[خط (S/S  TOT) SAR2]]-TABL123[[#This Row],[(S/S TOT) AJD]]</f>
        <v>0</v>
      </c>
      <c r="Q330" s="9"/>
      <c r="R330" s="9">
        <f>TABL123[[#This Row],[خط (T/B  TOT) SAR]]-TABL123[[#This Row],[(T/B TOT) AJD]]</f>
        <v>0</v>
      </c>
      <c r="S330" s="9">
        <f>TABL123[[#This Row],[الفرق بين بداية ونهاية خط  T/B]]+TABL123[[#This Row],[الفرق بين بداية ونهاية خط  S/S]]</f>
        <v>0</v>
      </c>
      <c r="T330" s="9">
        <f>TABL123[[#This Row],[(S/S TOT) AJD]]+TABL123[[#This Row],[(T/B TOT) AJD]]</f>
        <v>0</v>
      </c>
      <c r="U330" s="9"/>
      <c r="V330" s="9"/>
      <c r="W330" s="9">
        <f>TABL123[[#This Row],[(A/B TOT) AJD]]+TABL123[[#This Row],[(A/S TOT)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91">
        <f>TABL123[[#This Row],[( S/S+T/B) AJD]]-(TABL123[[#This Row],[(A/B + A/S) AJD]]+(TABL123[[#This Row],[(STORGE DIFF.) AJD]]*1000)+TABL123[[#This Row],[البخر  AJD]])</f>
        <v>0</v>
      </c>
      <c r="AE330" s="75"/>
      <c r="AF330" s="75"/>
      <c r="AG330" s="75"/>
      <c r="AH330" s="6"/>
      <c r="AI330" s="86"/>
      <c r="AJ330" s="86">
        <f>TABL123[[#This Row],[(A/B TOT) AJD]]-TABL123[[#This Row],[BER_ IN]]</f>
        <v>0</v>
      </c>
      <c r="AK330" s="86"/>
      <c r="AL330" s="75"/>
      <c r="AM330" s="96"/>
      <c r="AN330" s="96">
        <f>TABL123[[#This Row],[ (RESV. STORGE) SER]]/10</f>
        <v>0</v>
      </c>
      <c r="AO330" s="6"/>
      <c r="AP330" s="32">
        <f>TABL123[[#This Row],[(A/S TOT) AJD]]-TABL123[[#This Row],[SER_ 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Row],[خط (T/B  TOT) SAR]]+TABL123[[#This Row],[خط (S/S  TOT) SAR2]]</f>
        <v>0</v>
      </c>
      <c r="L331" s="28"/>
      <c r="M331" s="29"/>
      <c r="N331" s="30"/>
      <c r="O331" s="40"/>
      <c r="P331" s="9">
        <f>TABL123[[#This Row],[خط (S/S  TOT) SAR2]]-TABL123[[#This Row],[(S/S TOT) AJD]]</f>
        <v>0</v>
      </c>
      <c r="Q331" s="9"/>
      <c r="R331" s="9">
        <f>TABL123[[#This Row],[خط (T/B  TOT) SAR]]-TABL123[[#This Row],[(T/B TOT) AJD]]</f>
        <v>0</v>
      </c>
      <c r="S331" s="9">
        <f>TABL123[[#This Row],[الفرق بين بداية ونهاية خط  T/B]]+TABL123[[#This Row],[الفرق بين بداية ونهاية خط  S/S]]</f>
        <v>0</v>
      </c>
      <c r="T331" s="9">
        <f>TABL123[[#This Row],[(S/S TOT) AJD]]+TABL123[[#This Row],[(T/B TOT) AJD]]</f>
        <v>0</v>
      </c>
      <c r="U331" s="9"/>
      <c r="V331" s="9"/>
      <c r="W331" s="9">
        <f>TABL123[[#This Row],[(A/B TOT) AJD]]+TABL123[[#This Row],[(A/S TOT)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91">
        <f>TABL123[[#This Row],[( S/S+T/B) AJD]]-(TABL123[[#This Row],[(A/B + A/S) AJD]]+(TABL123[[#This Row],[(STORGE DIFF.) AJD]]*1000)+TABL123[[#This Row],[البخر  AJD]])</f>
        <v>0</v>
      </c>
      <c r="AE331" s="75"/>
      <c r="AF331" s="75"/>
      <c r="AG331" s="75"/>
      <c r="AH331" s="6"/>
      <c r="AI331" s="86"/>
      <c r="AJ331" s="86">
        <f>TABL123[[#This Row],[(A/B TOT) AJD]]-TABL123[[#This Row],[BER_ IN]]</f>
        <v>0</v>
      </c>
      <c r="AK331" s="86"/>
      <c r="AL331" s="75"/>
      <c r="AM331" s="96"/>
      <c r="AN331" s="96">
        <f>TABL123[[#This Row],[ (RESV. STORGE) SER]]/10</f>
        <v>0</v>
      </c>
      <c r="AO331" s="6"/>
      <c r="AP331" s="32">
        <f>TABL123[[#This Row],[(A/S TOT) AJD]]-TABL123[[#This Row],[SER_ 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Row],[خط (T/B  TOT) SAR]]+TABL123[[#This Row],[خط (S/S  TOT) SAR2]]</f>
        <v>0</v>
      </c>
      <c r="L332" s="28"/>
      <c r="M332" s="29"/>
      <c r="N332" s="30"/>
      <c r="O332" s="39"/>
      <c r="P332" s="9">
        <f>TABL123[[#This Row],[خط (S/S  TOT) SAR2]]-TABL123[[#This Row],[(S/S TOT) AJD]]</f>
        <v>0</v>
      </c>
      <c r="Q332" s="9"/>
      <c r="R332" s="9">
        <f>TABL123[[#This Row],[خط (T/B  TOT) SAR]]-TABL123[[#This Row],[(T/B TOT) AJD]]</f>
        <v>0</v>
      </c>
      <c r="S332" s="9">
        <f>TABL123[[#This Row],[الفرق بين بداية ونهاية خط  T/B]]+TABL123[[#This Row],[الفرق بين بداية ونهاية خط  S/S]]</f>
        <v>0</v>
      </c>
      <c r="T332" s="9">
        <f>TABL123[[#This Row],[(S/S TOT) AJD]]+TABL123[[#This Row],[(T/B TOT) AJD]]</f>
        <v>0</v>
      </c>
      <c r="U332" s="9"/>
      <c r="V332" s="9"/>
      <c r="W332" s="9">
        <f>TABL123[[#This Row],[(A/B TOT) AJD]]+TABL123[[#This Row],[(A/S TOT)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91">
        <f>TABL123[[#This Row],[( S/S+T/B) AJD]]-(TABL123[[#This Row],[(A/B + A/S) AJD]]+(TABL123[[#This Row],[(STORGE DIFF.) AJD]]*1000)+TABL123[[#This Row],[البخر  AJD]])</f>
        <v>0</v>
      </c>
      <c r="AE332" s="75"/>
      <c r="AF332" s="75"/>
      <c r="AG332" s="75"/>
      <c r="AH332" s="6"/>
      <c r="AI332" s="86"/>
      <c r="AJ332" s="86">
        <f>TABL123[[#This Row],[(A/B TOT) AJD]]-TABL123[[#This Row],[BER_ IN]]</f>
        <v>0</v>
      </c>
      <c r="AK332" s="86"/>
      <c r="AL332" s="75"/>
      <c r="AM332" s="96"/>
      <c r="AN332" s="96">
        <f>TABL123[[#This Row],[ (RESV. STORGE) SER]]/10</f>
        <v>0</v>
      </c>
      <c r="AO332" s="6"/>
      <c r="AP332" s="32">
        <f>TABL123[[#This Row],[(A/S TOT) AJD]]-TABL123[[#This Row],[SER_ 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Row],[خط (T/B  TOT) SAR]]+TABL123[[#This Row],[خط (S/S  TOT) SAR2]]</f>
        <v>0</v>
      </c>
      <c r="L333" s="28"/>
      <c r="M333" s="29"/>
      <c r="N333" s="30"/>
      <c r="O333" s="40"/>
      <c r="P333" s="9">
        <f>TABL123[[#This Row],[خط (S/S  TOT) SAR2]]-TABL123[[#This Row],[(S/S TOT) AJD]]</f>
        <v>0</v>
      </c>
      <c r="Q333" s="9"/>
      <c r="R333" s="9">
        <f>TABL123[[#This Row],[خط (T/B  TOT) SAR]]-TABL123[[#This Row],[(T/B TOT) AJD]]</f>
        <v>0</v>
      </c>
      <c r="S333" s="9">
        <f>TABL123[[#This Row],[الفرق بين بداية ونهاية خط  T/B]]+TABL123[[#This Row],[الفرق بين بداية ونهاية خط  S/S]]</f>
        <v>0</v>
      </c>
      <c r="T333" s="9">
        <f>TABL123[[#This Row],[(S/S TOT) AJD]]+TABL123[[#This Row],[(T/B TOT) AJD]]</f>
        <v>0</v>
      </c>
      <c r="U333" s="9"/>
      <c r="V333" s="9"/>
      <c r="W333" s="9">
        <f>TABL123[[#This Row],[(A/B TOT) AJD]]+TABL123[[#This Row],[(A/S TOT)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91">
        <f>TABL123[[#This Row],[( S/S+T/B) AJD]]-(TABL123[[#This Row],[(A/B + A/S) AJD]]+(TABL123[[#This Row],[(STORGE DIFF.) AJD]]*1000)+TABL123[[#This Row],[البخر  AJD]])</f>
        <v>0</v>
      </c>
      <c r="AE333" s="75"/>
      <c r="AF333" s="75"/>
      <c r="AG333" s="75"/>
      <c r="AH333" s="6"/>
      <c r="AI333" s="86"/>
      <c r="AJ333" s="86">
        <f>TABL123[[#This Row],[(A/B TOT) AJD]]-TABL123[[#This Row],[BER_ IN]]</f>
        <v>0</v>
      </c>
      <c r="AK333" s="86"/>
      <c r="AL333" s="75"/>
      <c r="AM333" s="96"/>
      <c r="AN333" s="96">
        <f>TABL123[[#This Row],[ (RESV. STORGE) SER]]/10</f>
        <v>0</v>
      </c>
      <c r="AO333" s="6"/>
      <c r="AP333" s="32">
        <f>TABL123[[#This Row],[(A/S TOT) AJD]]-TABL123[[#This Row],[SER_ 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Row],[خط (T/B  TOT) SAR]]+TABL123[[#This Row],[خط (S/S  TOT) SAR2]]</f>
        <v>0</v>
      </c>
      <c r="L334" s="28"/>
      <c r="M334" s="29"/>
      <c r="N334" s="30"/>
      <c r="O334" s="39"/>
      <c r="P334" s="9">
        <f>TABL123[[#This Row],[خط (S/S  TOT) SAR2]]-TABL123[[#This Row],[(S/S TOT) AJD]]</f>
        <v>0</v>
      </c>
      <c r="Q334" s="9"/>
      <c r="R334" s="9">
        <f>TABL123[[#This Row],[خط (T/B  TOT) SAR]]-TABL123[[#This Row],[(T/B TOT) AJD]]</f>
        <v>0</v>
      </c>
      <c r="S334" s="9">
        <f>TABL123[[#This Row],[الفرق بين بداية ونهاية خط  T/B]]+TABL123[[#This Row],[الفرق بين بداية ونهاية خط  S/S]]</f>
        <v>0</v>
      </c>
      <c r="T334" s="9">
        <f>TABL123[[#This Row],[(S/S TOT) AJD]]+TABL123[[#This Row],[(T/B TOT) AJD]]</f>
        <v>0</v>
      </c>
      <c r="U334" s="9"/>
      <c r="V334" s="9"/>
      <c r="W334" s="9">
        <f>TABL123[[#This Row],[(A/B TOT) AJD]]+TABL123[[#This Row],[(A/S TOT)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91">
        <f>TABL123[[#This Row],[( S/S+T/B) AJD]]-(TABL123[[#This Row],[(A/B + A/S) AJD]]+(TABL123[[#This Row],[(STORGE DIFF.) AJD]]*1000)+TABL123[[#This Row],[البخر  AJD]])</f>
        <v>0</v>
      </c>
      <c r="AE334" s="75"/>
      <c r="AF334" s="75"/>
      <c r="AG334" s="75"/>
      <c r="AH334" s="6"/>
      <c r="AI334" s="86"/>
      <c r="AJ334" s="86">
        <f>TABL123[[#This Row],[(A/B TOT) AJD]]-TABL123[[#This Row],[BER_ IN]]</f>
        <v>0</v>
      </c>
      <c r="AK334" s="86"/>
      <c r="AL334" s="75"/>
      <c r="AM334" s="96"/>
      <c r="AN334" s="96">
        <f>TABL123[[#This Row],[ (RESV. STORGE) SER]]/10</f>
        <v>0</v>
      </c>
      <c r="AO334" s="6"/>
      <c r="AP334" s="32">
        <f>TABL123[[#This Row],[(A/S TOT) AJD]]-TABL123[[#This Row],[SER_ 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Row],[خط (T/B  TOT) SAR]]+TABL123[[#This Row],[خط (S/S  TOT) SAR2]]</f>
        <v>0</v>
      </c>
      <c r="L335" s="28"/>
      <c r="M335" s="29"/>
      <c r="N335" s="30"/>
      <c r="O335" s="40"/>
      <c r="P335" s="9">
        <f>TABL123[[#This Row],[خط (S/S  TOT) SAR2]]-TABL123[[#This Row],[(S/S TOT) AJD]]</f>
        <v>0</v>
      </c>
      <c r="Q335" s="9"/>
      <c r="R335" s="9">
        <f>TABL123[[#This Row],[خط (T/B  TOT) SAR]]-TABL123[[#This Row],[(T/B TOT) AJD]]</f>
        <v>0</v>
      </c>
      <c r="S335" s="9">
        <f>TABL123[[#This Row],[الفرق بين بداية ونهاية خط  T/B]]+TABL123[[#This Row],[الفرق بين بداية ونهاية خط  S/S]]</f>
        <v>0</v>
      </c>
      <c r="T335" s="9">
        <f>TABL123[[#This Row],[(S/S TOT) AJD]]+TABL123[[#This Row],[(T/B TOT) AJD]]</f>
        <v>0</v>
      </c>
      <c r="U335" s="9"/>
      <c r="V335" s="9"/>
      <c r="W335" s="9">
        <f>TABL123[[#This Row],[(A/B TOT) AJD]]+TABL123[[#This Row],[(A/S TOT)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91">
        <f>TABL123[[#This Row],[( S/S+T/B) AJD]]-(TABL123[[#This Row],[(A/B + A/S) AJD]]+(TABL123[[#This Row],[(STORGE DIFF.) AJD]]*1000)+TABL123[[#This Row],[البخر  AJD]])</f>
        <v>0</v>
      </c>
      <c r="AE335" s="75"/>
      <c r="AF335" s="75"/>
      <c r="AG335" s="75"/>
      <c r="AH335" s="6"/>
      <c r="AI335" s="86"/>
      <c r="AJ335" s="86">
        <f>TABL123[[#This Row],[(A/B TOT) AJD]]-TABL123[[#This Row],[BER_ IN]]</f>
        <v>0</v>
      </c>
      <c r="AK335" s="86"/>
      <c r="AL335" s="75"/>
      <c r="AM335" s="96"/>
      <c r="AN335" s="96">
        <f>TABL123[[#This Row],[ (RESV. STORGE) SER]]/10</f>
        <v>0</v>
      </c>
      <c r="AO335" s="6"/>
      <c r="AP335" s="32">
        <f>TABL123[[#This Row],[(A/S TOT) AJD]]-TABL123[[#This Row],[SER_ 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Row],[خط (T/B  TOT) SAR]]+TABL123[[#This Row],[خط (S/S  TOT) SAR2]]</f>
        <v>0</v>
      </c>
      <c r="L336" s="41"/>
      <c r="M336" s="42"/>
      <c r="N336" s="42"/>
      <c r="O336" s="39"/>
      <c r="P336" s="9">
        <f>TABL123[[#This Row],[خط (S/S  TOT) SAR2]]-TABL123[[#This Row],[(S/S TOT) AJD]]</f>
        <v>0</v>
      </c>
      <c r="Q336" s="39"/>
      <c r="R336" s="9">
        <f>TABL123[[#This Row],[خط (T/B  TOT) SAR]]-TABL123[[#This Row],[(T/B TOT) AJD]]</f>
        <v>0</v>
      </c>
      <c r="S336" s="9">
        <f>TABL123[[#This Row],[الفرق بين بداية ونهاية خط  T/B]]+TABL123[[#This Row],[الفرق بين بداية ونهاية خط  S/S]]</f>
        <v>0</v>
      </c>
      <c r="T336" s="9">
        <f>TABL123[[#This Row],[(S/S TOT) AJD]]+TABL123[[#This Row],[(T/B TOT) AJD]]</f>
        <v>0</v>
      </c>
      <c r="U336" s="41"/>
      <c r="V336" s="41"/>
      <c r="W336" s="9">
        <f>TABL123[[#This Row],[(A/B TOT) AJD]]+TABL123[[#This Row],[(A/S TOT)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91">
        <f>TABL123[[#This Row],[( S/S+T/B) AJD]]-(TABL123[[#This Row],[(A/B + A/S) AJD]]+(TABL123[[#This Row],[(STORGE DIFF.) AJD]]*1000)+TABL123[[#This Row],[البخر  AJD]])</f>
        <v>0</v>
      </c>
      <c r="AE336" s="75"/>
      <c r="AF336" s="75"/>
      <c r="AG336" s="75"/>
      <c r="AH336" s="43"/>
      <c r="AI336" s="86"/>
      <c r="AJ336" s="86">
        <f>TABL123[[#This Row],[(A/B TOT) AJD]]-TABL123[[#This Row],[BER_ IN]]</f>
        <v>0</v>
      </c>
      <c r="AK336" s="86"/>
      <c r="AL336" s="75"/>
      <c r="AM336" s="96"/>
      <c r="AN336" s="96">
        <f>TABL123[[#This Row],[ (RESV. STORGE) SER]]/10</f>
        <v>0</v>
      </c>
      <c r="AO336" s="43"/>
      <c r="AP336" s="32">
        <f>TABL123[[#This Row],[(A/S TOT) AJD]]-TABL123[[#This Row],[SER_ 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Row],[خط (T/B  TOT) SAR]]+TABL123[[#This Row],[خط (S/S  TOT) SAR2]]</f>
        <v>0</v>
      </c>
      <c r="L337" s="45"/>
      <c r="M337" s="46"/>
      <c r="N337" s="46"/>
      <c r="O337" s="40"/>
      <c r="P337" s="9">
        <f>TABL123[[#This Row],[خط (S/S  TOT) SAR2]]-TABL123[[#This Row],[(S/S TOT) AJD]]</f>
        <v>0</v>
      </c>
      <c r="Q337" s="40"/>
      <c r="R337" s="9">
        <f>TABL123[[#This Row],[خط (T/B  TOT) SAR]]-TABL123[[#This Row],[(T/B TOT) AJD]]</f>
        <v>0</v>
      </c>
      <c r="S337" s="9">
        <f>TABL123[[#This Row],[الفرق بين بداية ونهاية خط  T/B]]+TABL123[[#This Row],[الفرق بين بداية ونهاية خط  S/S]]</f>
        <v>0</v>
      </c>
      <c r="T337" s="9">
        <f>TABL123[[#This Row],[(S/S TOT) AJD]]+TABL123[[#This Row],[(T/B TOT) AJD]]</f>
        <v>0</v>
      </c>
      <c r="U337" s="44"/>
      <c r="V337" s="44"/>
      <c r="W337" s="9">
        <f>TABL123[[#This Row],[(A/B TOT) AJD]]+TABL123[[#This Row],[(A/S TOT)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91">
        <f>TABL123[[#This Row],[( S/S+T/B) AJD]]-(TABL123[[#This Row],[(A/B + A/S) AJD]]+(TABL123[[#This Row],[(STORGE DIFF.) AJD]]*1000)+TABL123[[#This Row],[البخر  AJD]])</f>
        <v>0</v>
      </c>
      <c r="AE337" s="75"/>
      <c r="AF337" s="75"/>
      <c r="AG337" s="75"/>
      <c r="AH337" s="45"/>
      <c r="AI337" s="86"/>
      <c r="AJ337" s="86">
        <f>TABL123[[#This Row],[(A/B TOT) AJD]]-TABL123[[#This Row],[BER_ IN]]</f>
        <v>0</v>
      </c>
      <c r="AK337" s="86"/>
      <c r="AL337" s="75"/>
      <c r="AM337" s="96"/>
      <c r="AN337" s="96">
        <f>TABL123[[#This Row],[ (RESV. STORGE) SER]]/10</f>
        <v>0</v>
      </c>
      <c r="AO337" s="45"/>
      <c r="AP337" s="32">
        <f>TABL123[[#This Row],[(A/S TOT) AJD]]-TABL123[[#This Row],[SER_ 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Row],[خط (T/B  TOT) SAR]]+TABL123[[#This Row],[خط (S/S  TOT) SAR2]]</f>
        <v>0</v>
      </c>
      <c r="L338" s="41"/>
      <c r="M338" s="42"/>
      <c r="N338" s="42"/>
      <c r="O338" s="39"/>
      <c r="P338" s="9">
        <f>TABL123[[#This Row],[خط (S/S  TOT) SAR2]]-TABL123[[#This Row],[(S/S TOT) AJD]]</f>
        <v>0</v>
      </c>
      <c r="Q338" s="39"/>
      <c r="R338" s="9">
        <f>TABL123[[#This Row],[خط (T/B  TOT) SAR]]-TABL123[[#This Row],[(T/B TOT) AJD]]</f>
        <v>0</v>
      </c>
      <c r="S338" s="9">
        <f>TABL123[[#This Row],[الفرق بين بداية ونهاية خط  T/B]]+TABL123[[#This Row],[الفرق بين بداية ونهاية خط  S/S]]</f>
        <v>0</v>
      </c>
      <c r="T338" s="9">
        <f>TABL123[[#This Row],[(S/S TOT) AJD]]+TABL123[[#This Row],[(T/B TOT) AJD]]</f>
        <v>0</v>
      </c>
      <c r="U338" s="41"/>
      <c r="V338" s="41"/>
      <c r="W338" s="9">
        <f>TABL123[[#This Row],[(A/B TOT) AJD]]+TABL123[[#This Row],[(A/S TOT)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91">
        <f>TABL123[[#This Row],[( S/S+T/B) AJD]]-(TABL123[[#This Row],[(A/B + A/S) AJD]]+(TABL123[[#This Row],[(STORGE DIFF.) AJD]]*1000)+TABL123[[#This Row],[البخر  AJD]])</f>
        <v>0</v>
      </c>
      <c r="AE338" s="75"/>
      <c r="AF338" s="75"/>
      <c r="AG338" s="75"/>
      <c r="AH338" s="43"/>
      <c r="AI338" s="86"/>
      <c r="AJ338" s="86">
        <f>TABL123[[#This Row],[(A/B TOT) AJD]]-TABL123[[#This Row],[BER_ IN]]</f>
        <v>0</v>
      </c>
      <c r="AK338" s="86"/>
      <c r="AL338" s="75"/>
      <c r="AM338" s="96"/>
      <c r="AN338" s="96">
        <f>TABL123[[#This Row],[ (RESV. STORGE) SER]]/10</f>
        <v>0</v>
      </c>
      <c r="AO338" s="43"/>
      <c r="AP338" s="32">
        <f>TABL123[[#This Row],[(A/S TOT) AJD]]-TABL123[[#This Row],[SER_ 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Row],[خط (T/B  TOT) SAR]]+TABL123[[#This Row],[خط (S/S  TOT) SAR2]]</f>
        <v>0</v>
      </c>
      <c r="L339" s="45"/>
      <c r="M339" s="46"/>
      <c r="N339" s="46"/>
      <c r="O339" s="40"/>
      <c r="P339" s="9">
        <f>TABL123[[#This Row],[خط (S/S  TOT) SAR2]]-TABL123[[#This Row],[(S/S TOT) AJD]]</f>
        <v>0</v>
      </c>
      <c r="Q339" s="40"/>
      <c r="R339" s="9">
        <f>TABL123[[#This Row],[خط (T/B  TOT) SAR]]-TABL123[[#This Row],[(T/B TOT) AJD]]</f>
        <v>0</v>
      </c>
      <c r="S339" s="9">
        <f>TABL123[[#This Row],[الفرق بين بداية ونهاية خط  T/B]]+TABL123[[#This Row],[الفرق بين بداية ونهاية خط  S/S]]</f>
        <v>0</v>
      </c>
      <c r="T339" s="9">
        <f>TABL123[[#This Row],[(S/S TOT) AJD]]+TABL123[[#This Row],[(T/B TOT) AJD]]</f>
        <v>0</v>
      </c>
      <c r="U339" s="44"/>
      <c r="V339" s="47"/>
      <c r="W339" s="9">
        <f>TABL123[[#This Row],[(A/B TOT) AJD]]+TABL123[[#This Row],[(A/S TOT)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91">
        <f>TABL123[[#This Row],[( S/S+T/B) AJD]]-(TABL123[[#This Row],[(A/B + A/S) AJD]]+(TABL123[[#This Row],[(STORGE DIFF.) AJD]]*1000)+TABL123[[#This Row],[البخر  AJD]])</f>
        <v>0</v>
      </c>
      <c r="AE339" s="75"/>
      <c r="AF339" s="75"/>
      <c r="AG339" s="75"/>
      <c r="AH339" s="45"/>
      <c r="AI339" s="86"/>
      <c r="AJ339" s="86">
        <f>TABL123[[#This Row],[(A/B TOT) AJD]]-TABL123[[#This Row],[BER_ IN]]</f>
        <v>0</v>
      </c>
      <c r="AK339" s="86"/>
      <c r="AL339" s="75"/>
      <c r="AM339" s="96"/>
      <c r="AN339" s="96">
        <f>TABL123[[#This Row],[ (RESV. STORGE) SER]]/10</f>
        <v>0</v>
      </c>
      <c r="AO339" s="45"/>
      <c r="AP339" s="32">
        <f>TABL123[[#This Row],[(A/S TOT) AJD]]-TABL123[[#This Row],[SER_ 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Row],[خط (T/B  TOT) SAR]]+TABL123[[#This Row],[خط (S/S  TOT) SAR2]]</f>
        <v>0</v>
      </c>
      <c r="L340" s="41"/>
      <c r="M340" s="42"/>
      <c r="N340" s="42"/>
      <c r="O340" s="39"/>
      <c r="P340" s="9">
        <f>TABL123[[#This Row],[خط (S/S  TOT) SAR2]]-TABL123[[#This Row],[(S/S TOT) AJD]]</f>
        <v>0</v>
      </c>
      <c r="Q340" s="39"/>
      <c r="R340" s="9">
        <f>TABL123[[#This Row],[خط (T/B  TOT) SAR]]-TABL123[[#This Row],[(T/B TOT) AJD]]</f>
        <v>0</v>
      </c>
      <c r="S340" s="9">
        <f>TABL123[[#This Row],[الفرق بين بداية ونهاية خط  T/B]]+TABL123[[#This Row],[الفرق بين بداية ونهاية خط  S/S]]</f>
        <v>0</v>
      </c>
      <c r="T340" s="9">
        <f>TABL123[[#This Row],[(S/S TOT) AJD]]+TABL123[[#This Row],[(T/B TOT) AJD]]</f>
        <v>0</v>
      </c>
      <c r="U340" s="41"/>
      <c r="V340" s="41"/>
      <c r="W340" s="9">
        <f>TABL123[[#This Row],[(A/B TOT) AJD]]+TABL123[[#This Row],[(A/S TOT)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91">
        <f>TABL123[[#This Row],[( S/S+T/B) AJD]]-(TABL123[[#This Row],[(A/B + A/S) AJD]]+(TABL123[[#This Row],[(STORGE DIFF.) AJD]]*1000)+TABL123[[#This Row],[البخر  AJD]])</f>
        <v>0</v>
      </c>
      <c r="AE340" s="75"/>
      <c r="AF340" s="75"/>
      <c r="AG340" s="75"/>
      <c r="AH340" s="43"/>
      <c r="AI340" s="86"/>
      <c r="AJ340" s="86">
        <f>TABL123[[#This Row],[(A/B TOT) AJD]]-TABL123[[#This Row],[BER_ IN]]</f>
        <v>0</v>
      </c>
      <c r="AK340" s="86"/>
      <c r="AL340" s="75"/>
      <c r="AM340" s="96"/>
      <c r="AN340" s="96">
        <f>TABL123[[#This Row],[ (RESV. STORGE) SER]]/10</f>
        <v>0</v>
      </c>
      <c r="AO340" s="43"/>
      <c r="AP340" s="32">
        <f>TABL123[[#This Row],[(A/S TOT) AJD]]-TABL123[[#This Row],[SER_ 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Row],[خط (T/B  TOT) SAR]]+TABL123[[#This Row],[خط (S/S  TOT) SAR2]]</f>
        <v>0</v>
      </c>
      <c r="L341" s="45"/>
      <c r="M341" s="46"/>
      <c r="N341" s="46"/>
      <c r="O341" s="40"/>
      <c r="P341" s="9">
        <f>TABL123[[#This Row],[خط (S/S  TOT) SAR2]]-TABL123[[#This Row],[(S/S TOT) AJD]]</f>
        <v>0</v>
      </c>
      <c r="Q341" s="40"/>
      <c r="R341" s="9">
        <f>TABL123[[#This Row],[خط (T/B  TOT) SAR]]-TABL123[[#This Row],[(T/B TOT) AJD]]</f>
        <v>0</v>
      </c>
      <c r="S341" s="9">
        <f>TABL123[[#This Row],[الفرق بين بداية ونهاية خط  T/B]]+TABL123[[#This Row],[الفرق بين بداية ونهاية خط  S/S]]</f>
        <v>0</v>
      </c>
      <c r="T341" s="9">
        <f>TABL123[[#This Row],[(S/S TOT) AJD]]+TABL123[[#This Row],[(T/B TOT) AJD]]</f>
        <v>0</v>
      </c>
      <c r="U341" s="44"/>
      <c r="V341" s="44"/>
      <c r="W341" s="9">
        <f>TABL123[[#This Row],[(A/B TOT) AJD]]+TABL123[[#This Row],[(A/S TOT)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91">
        <f>TABL123[[#This Row],[( S/S+T/B) AJD]]-(TABL123[[#This Row],[(A/B + A/S) AJD]]+(TABL123[[#This Row],[(STORGE DIFF.) AJD]]*1000)+TABL123[[#This Row],[البخر  AJD]])</f>
        <v>0</v>
      </c>
      <c r="AE341" s="75"/>
      <c r="AF341" s="75"/>
      <c r="AG341" s="75"/>
      <c r="AH341" s="45"/>
      <c r="AI341" s="86"/>
      <c r="AJ341" s="86">
        <f>TABL123[[#This Row],[(A/B TOT) AJD]]-TABL123[[#This Row],[BER_ IN]]</f>
        <v>0</v>
      </c>
      <c r="AK341" s="86"/>
      <c r="AL341" s="75"/>
      <c r="AM341" s="96"/>
      <c r="AN341" s="96">
        <f>TABL123[[#This Row],[ (RESV. STORGE) SER]]/10</f>
        <v>0</v>
      </c>
      <c r="AO341" s="45"/>
      <c r="AP341" s="32">
        <f>TABL123[[#This Row],[(A/S TOT) AJD]]-TABL123[[#This Row],[SER_ 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Row],[خط (T/B  TOT) SAR]]+TABL123[[#This Row],[خط (S/S  TOT) SAR2]]</f>
        <v>0</v>
      </c>
      <c r="L342" s="41"/>
      <c r="M342" s="42"/>
      <c r="N342" s="42"/>
      <c r="O342" s="39"/>
      <c r="P342" s="9">
        <f>TABL123[[#This Row],[خط (S/S  TOT) SAR2]]-TABL123[[#This Row],[(S/S TOT) AJD]]</f>
        <v>0</v>
      </c>
      <c r="Q342" s="39"/>
      <c r="R342" s="9">
        <f>TABL123[[#This Row],[خط (T/B  TOT) SAR]]-TABL123[[#This Row],[(T/B TOT) AJD]]</f>
        <v>0</v>
      </c>
      <c r="S342" s="9">
        <f>TABL123[[#This Row],[الفرق بين بداية ونهاية خط  T/B]]+TABL123[[#This Row],[الفرق بين بداية ونهاية خط  S/S]]</f>
        <v>0</v>
      </c>
      <c r="T342" s="9">
        <f>TABL123[[#This Row],[(S/S TOT) AJD]]+TABL123[[#This Row],[(T/B TOT) AJD]]</f>
        <v>0</v>
      </c>
      <c r="U342" s="41"/>
      <c r="V342" s="41"/>
      <c r="W342" s="9">
        <f>TABL123[[#This Row],[(A/B TOT) AJD]]+TABL123[[#This Row],[(A/S TOT)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91">
        <f>TABL123[[#This Row],[( S/S+T/B) AJD]]-(TABL123[[#This Row],[(A/B + A/S) AJD]]+(TABL123[[#This Row],[(STORGE DIFF.) AJD]]*1000)+TABL123[[#This Row],[البخر  AJD]])</f>
        <v>0</v>
      </c>
      <c r="AE342" s="75"/>
      <c r="AF342" s="75"/>
      <c r="AG342" s="75"/>
      <c r="AH342" s="43"/>
      <c r="AI342" s="86"/>
      <c r="AJ342" s="86">
        <f>TABL123[[#This Row],[(A/B TOT) AJD]]-TABL123[[#This Row],[BER_ IN]]</f>
        <v>0</v>
      </c>
      <c r="AK342" s="86"/>
      <c r="AL342" s="75"/>
      <c r="AM342" s="96"/>
      <c r="AN342" s="96">
        <f>TABL123[[#This Row],[ (RESV. STORGE) SER]]/10</f>
        <v>0</v>
      </c>
      <c r="AO342" s="43"/>
      <c r="AP342" s="32">
        <f>TABL123[[#This Row],[(A/S TOT) AJD]]-TABL123[[#This Row],[SER_ 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Row],[خط (T/B  TOT) SAR]]+TABL123[[#This Row],[خط (S/S  TOT) SAR2]]</f>
        <v>0</v>
      </c>
      <c r="L343" s="45"/>
      <c r="M343" s="46"/>
      <c r="N343" s="46"/>
      <c r="O343" s="40"/>
      <c r="P343" s="9">
        <f>TABL123[[#This Row],[خط (S/S  TOT) SAR2]]-TABL123[[#This Row],[(S/S TOT) AJD]]</f>
        <v>0</v>
      </c>
      <c r="Q343" s="40"/>
      <c r="R343" s="9">
        <f>TABL123[[#This Row],[خط (T/B  TOT) SAR]]-TABL123[[#This Row],[(T/B TOT) AJD]]</f>
        <v>0</v>
      </c>
      <c r="S343" s="9">
        <f>TABL123[[#This Row],[الفرق بين بداية ونهاية خط  T/B]]+TABL123[[#This Row],[الفرق بين بداية ونهاية خط  S/S]]</f>
        <v>0</v>
      </c>
      <c r="T343" s="9">
        <f>TABL123[[#This Row],[(S/S TOT) AJD]]+TABL123[[#This Row],[(T/B TOT) AJD]]</f>
        <v>0</v>
      </c>
      <c r="U343" s="44"/>
      <c r="V343" s="44"/>
      <c r="W343" s="9">
        <f>TABL123[[#This Row],[(A/B TOT) AJD]]+TABL123[[#This Row],[(A/S TOT)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91">
        <f>TABL123[[#This Row],[( S/S+T/B) AJD]]-(TABL123[[#This Row],[(A/B + A/S) AJD]]+(TABL123[[#This Row],[(STORGE DIFF.) AJD]]*1000)+TABL123[[#This Row],[البخر  AJD]])</f>
        <v>0</v>
      </c>
      <c r="AE343" s="75"/>
      <c r="AF343" s="75"/>
      <c r="AG343" s="75"/>
      <c r="AH343" s="45"/>
      <c r="AI343" s="86"/>
      <c r="AJ343" s="86">
        <f>TABL123[[#This Row],[(A/B TOT) AJD]]-TABL123[[#This Row],[BER_ IN]]</f>
        <v>0</v>
      </c>
      <c r="AK343" s="86"/>
      <c r="AL343" s="75"/>
      <c r="AM343" s="96"/>
      <c r="AN343" s="96">
        <f>TABL123[[#This Row],[ (RESV. STORGE) SER]]/10</f>
        <v>0</v>
      </c>
      <c r="AO343" s="45"/>
      <c r="AP343" s="32">
        <f>TABL123[[#This Row],[(A/S TOT) AJD]]-TABL123[[#This Row],[SER_ 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Row],[خط (T/B  TOT) SAR]]+TABL123[[#This Row],[خط (S/S  TOT) SAR2]]</f>
        <v>0</v>
      </c>
      <c r="L344" s="41"/>
      <c r="M344" s="42"/>
      <c r="N344" s="42"/>
      <c r="O344" s="39"/>
      <c r="P344" s="9">
        <f>TABL123[[#This Row],[خط (S/S  TOT) SAR2]]-TABL123[[#This Row],[(S/S TOT) AJD]]</f>
        <v>0</v>
      </c>
      <c r="Q344" s="39"/>
      <c r="R344" s="9">
        <f>TABL123[[#This Row],[خط (T/B  TOT) SAR]]-TABL123[[#This Row],[(T/B TOT) AJD]]</f>
        <v>0</v>
      </c>
      <c r="S344" s="9">
        <f>TABL123[[#This Row],[الفرق بين بداية ونهاية خط  T/B]]+TABL123[[#This Row],[الفرق بين بداية ونهاية خط  S/S]]</f>
        <v>0</v>
      </c>
      <c r="T344" s="9">
        <f>TABL123[[#This Row],[(S/S TOT) AJD]]+TABL123[[#This Row],[(T/B TOT) AJD]]</f>
        <v>0</v>
      </c>
      <c r="U344" s="41"/>
      <c r="V344" s="41"/>
      <c r="W344" s="9">
        <f>TABL123[[#This Row],[(A/B TOT) AJD]]+TABL123[[#This Row],[(A/S TOT)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91">
        <f>TABL123[[#This Row],[( S/S+T/B) AJD]]-(TABL123[[#This Row],[(A/B + A/S) AJD]]+(TABL123[[#This Row],[(STORGE DIFF.) AJD]]*1000)+TABL123[[#This Row],[البخر  AJD]])</f>
        <v>0</v>
      </c>
      <c r="AE344" s="75"/>
      <c r="AF344" s="75"/>
      <c r="AG344" s="75"/>
      <c r="AH344" s="43"/>
      <c r="AI344" s="86"/>
      <c r="AJ344" s="86">
        <f>TABL123[[#This Row],[(A/B TOT) AJD]]-TABL123[[#This Row],[BER_ IN]]</f>
        <v>0</v>
      </c>
      <c r="AK344" s="86"/>
      <c r="AL344" s="75"/>
      <c r="AM344" s="96"/>
      <c r="AN344" s="96">
        <f>TABL123[[#This Row],[ (RESV. STORGE) SER]]/10</f>
        <v>0</v>
      </c>
      <c r="AO344" s="43"/>
      <c r="AP344" s="32">
        <f>TABL123[[#This Row],[(A/S TOT) AJD]]-TABL123[[#This Row],[SER_ 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Row],[خط (T/B  TOT) SAR]]+TABL123[[#This Row],[خط (S/S  TOT) SAR2]]</f>
        <v>0</v>
      </c>
      <c r="L345" s="45"/>
      <c r="M345" s="46"/>
      <c r="N345" s="46"/>
      <c r="O345" s="40"/>
      <c r="P345" s="9">
        <f>TABL123[[#This Row],[خط (S/S  TOT) SAR2]]-TABL123[[#This Row],[(S/S TOT) AJD]]</f>
        <v>0</v>
      </c>
      <c r="Q345" s="40"/>
      <c r="R345" s="9">
        <f>TABL123[[#This Row],[خط (T/B  TOT) SAR]]-TABL123[[#This Row],[(T/B TOT) AJD]]</f>
        <v>0</v>
      </c>
      <c r="S345" s="9">
        <f>TABL123[[#This Row],[الفرق بين بداية ونهاية خط  T/B]]+TABL123[[#This Row],[الفرق بين بداية ونهاية خط  S/S]]</f>
        <v>0</v>
      </c>
      <c r="T345" s="9">
        <f>TABL123[[#This Row],[(S/S TOT) AJD]]+TABL123[[#This Row],[(T/B TOT) AJD]]</f>
        <v>0</v>
      </c>
      <c r="U345" s="44"/>
      <c r="V345" s="44"/>
      <c r="W345" s="9">
        <f>TABL123[[#This Row],[(A/B TOT) AJD]]+TABL123[[#This Row],[(A/S TOT)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91">
        <f>TABL123[[#This Row],[( S/S+T/B) AJD]]-(TABL123[[#This Row],[(A/B + A/S) AJD]]+(TABL123[[#This Row],[(STORGE DIFF.) AJD]]*1000)+TABL123[[#This Row],[البخر  AJD]])</f>
        <v>0</v>
      </c>
      <c r="AE345" s="75"/>
      <c r="AF345" s="75"/>
      <c r="AG345" s="75"/>
      <c r="AH345" s="45"/>
      <c r="AI345" s="86"/>
      <c r="AJ345" s="86">
        <f>TABL123[[#This Row],[(A/B TOT) AJD]]-TABL123[[#This Row],[BER_ IN]]</f>
        <v>0</v>
      </c>
      <c r="AK345" s="86"/>
      <c r="AL345" s="75"/>
      <c r="AM345" s="96"/>
      <c r="AN345" s="96">
        <f>TABL123[[#This Row],[ (RESV. STORGE) SER]]/10</f>
        <v>0</v>
      </c>
      <c r="AO345" s="45"/>
      <c r="AP345" s="32">
        <f>TABL123[[#This Row],[(A/S TOT) AJD]]-TABL123[[#This Row],[SER_ 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Row],[خط (T/B  TOT) SAR]]+TABL123[[#This Row],[خط (S/S  TOT) SAR2]]</f>
        <v>0</v>
      </c>
      <c r="L346" s="41"/>
      <c r="M346" s="42"/>
      <c r="N346" s="42"/>
      <c r="O346" s="39"/>
      <c r="P346" s="9">
        <f>TABL123[[#This Row],[خط (S/S  TOT) SAR2]]-TABL123[[#This Row],[(S/S TOT) AJD]]</f>
        <v>0</v>
      </c>
      <c r="Q346" s="39"/>
      <c r="R346" s="9">
        <f>TABL123[[#This Row],[خط (T/B  TOT) SAR]]-TABL123[[#This Row],[(T/B TOT) AJD]]</f>
        <v>0</v>
      </c>
      <c r="S346" s="9">
        <f>TABL123[[#This Row],[الفرق بين بداية ونهاية خط  T/B]]+TABL123[[#This Row],[الفرق بين بداية ونهاية خط  S/S]]</f>
        <v>0</v>
      </c>
      <c r="T346" s="9">
        <f>TABL123[[#This Row],[(S/S TOT) AJD]]+TABL123[[#This Row],[(T/B TOT) AJD]]</f>
        <v>0</v>
      </c>
      <c r="U346" s="41"/>
      <c r="V346" s="41"/>
      <c r="W346" s="9">
        <f>TABL123[[#This Row],[(A/B TOT) AJD]]+TABL123[[#This Row],[(A/S TOT)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91">
        <f>TABL123[[#This Row],[( S/S+T/B) AJD]]-(TABL123[[#This Row],[(A/B + A/S) AJD]]+(TABL123[[#This Row],[(STORGE DIFF.) AJD]]*1000)+TABL123[[#This Row],[البخر  AJD]])</f>
        <v>0</v>
      </c>
      <c r="AE346" s="75"/>
      <c r="AF346" s="75"/>
      <c r="AG346" s="75"/>
      <c r="AH346" s="48"/>
      <c r="AI346" s="86"/>
      <c r="AJ346" s="86">
        <f>TABL123[[#This Row],[(A/B TOT) AJD]]-TABL123[[#This Row],[BER_ IN]]</f>
        <v>0</v>
      </c>
      <c r="AK346" s="86"/>
      <c r="AL346" s="75"/>
      <c r="AM346" s="96"/>
      <c r="AN346" s="96">
        <f>TABL123[[#This Row],[ (RESV. STORGE) SER]]/10</f>
        <v>0</v>
      </c>
      <c r="AO346" s="43"/>
      <c r="AP346" s="32">
        <f>TABL123[[#This Row],[(A/S TOT) AJD]]-TABL123[[#This Row],[SER_ 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Row],[خط (T/B  TOT) SAR]]+TABL123[[#This Row],[خط (S/S  TOT) SAR2]]</f>
        <v>0</v>
      </c>
      <c r="L347" s="45"/>
      <c r="M347" s="46"/>
      <c r="N347" s="46"/>
      <c r="O347" s="40"/>
      <c r="P347" s="9">
        <f>TABL123[[#This Row],[خط (S/S  TOT) SAR2]]-TABL123[[#This Row],[(S/S TOT) AJD]]</f>
        <v>0</v>
      </c>
      <c r="Q347" s="40"/>
      <c r="R347" s="9">
        <f>TABL123[[#This Row],[خط (T/B  TOT) SAR]]-TABL123[[#This Row],[(T/B TOT) AJD]]</f>
        <v>0</v>
      </c>
      <c r="S347" s="9">
        <f>TABL123[[#This Row],[الفرق بين بداية ونهاية خط  T/B]]+TABL123[[#This Row],[الفرق بين بداية ونهاية خط  S/S]]</f>
        <v>0</v>
      </c>
      <c r="T347" s="9">
        <f>TABL123[[#This Row],[(S/S TOT) AJD]]+TABL123[[#This Row],[(T/B TOT) AJD]]</f>
        <v>0</v>
      </c>
      <c r="U347" s="44"/>
      <c r="V347" s="44"/>
      <c r="W347" s="9">
        <f>TABL123[[#This Row],[(A/B TOT) AJD]]+TABL123[[#This Row],[(A/S TOT)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91">
        <f>TABL123[[#This Row],[( S/S+T/B) AJD]]-(TABL123[[#This Row],[(A/B + A/S) AJD]]+(TABL123[[#This Row],[(STORGE DIFF.) AJD]]*1000)+TABL123[[#This Row],[البخر  AJD]])</f>
        <v>0</v>
      </c>
      <c r="AE347" s="75"/>
      <c r="AF347" s="75"/>
      <c r="AG347" s="75"/>
      <c r="AH347" s="45"/>
      <c r="AI347" s="86"/>
      <c r="AJ347" s="86">
        <f>TABL123[[#This Row],[(A/B TOT) AJD]]-TABL123[[#This Row],[BER_ IN]]</f>
        <v>0</v>
      </c>
      <c r="AK347" s="86"/>
      <c r="AL347" s="75"/>
      <c r="AM347" s="96"/>
      <c r="AN347" s="96">
        <f>TABL123[[#This Row],[ (RESV. STORGE) SER]]/10</f>
        <v>0</v>
      </c>
      <c r="AO347" s="45"/>
      <c r="AP347" s="32">
        <f>TABL123[[#This Row],[(A/S TOT) AJD]]-TABL123[[#This Row],[SER_ 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Row],[خط (T/B  TOT) SAR]]+TABL123[[#This Row],[خط (S/S  TOT) SAR2]]</f>
        <v>0</v>
      </c>
      <c r="L348" s="41"/>
      <c r="M348" s="42"/>
      <c r="N348" s="42"/>
      <c r="O348" s="39"/>
      <c r="P348" s="9">
        <f>TABL123[[#This Row],[خط (S/S  TOT) SAR2]]-TABL123[[#This Row],[(S/S TOT) AJD]]</f>
        <v>0</v>
      </c>
      <c r="Q348" s="39"/>
      <c r="R348" s="9">
        <f>TABL123[[#This Row],[خط (T/B  TOT) SAR]]-TABL123[[#This Row],[(T/B TOT) AJD]]</f>
        <v>0</v>
      </c>
      <c r="S348" s="9">
        <f>TABL123[[#This Row],[الفرق بين بداية ونهاية خط  T/B]]+TABL123[[#This Row],[الفرق بين بداية ونهاية خط  S/S]]</f>
        <v>0</v>
      </c>
      <c r="T348" s="9">
        <f>TABL123[[#This Row],[(S/S TOT) AJD]]+TABL123[[#This Row],[(T/B TOT) AJD]]</f>
        <v>0</v>
      </c>
      <c r="U348" s="41"/>
      <c r="V348" s="41"/>
      <c r="W348" s="9">
        <f>TABL123[[#This Row],[(A/B TOT) AJD]]+TABL123[[#This Row],[(A/S TOT)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91">
        <f>TABL123[[#This Row],[( S/S+T/B) AJD]]-(TABL123[[#This Row],[(A/B + A/S) AJD]]+(TABL123[[#This Row],[(STORGE DIFF.) AJD]]*1000)+TABL123[[#This Row],[البخر  AJD]])</f>
        <v>0</v>
      </c>
      <c r="AE348" s="75"/>
      <c r="AF348" s="75"/>
      <c r="AG348" s="75"/>
      <c r="AH348" s="43"/>
      <c r="AI348" s="86"/>
      <c r="AJ348" s="86">
        <f>TABL123[[#This Row],[(A/B TOT) AJD]]-TABL123[[#This Row],[BER_ IN]]</f>
        <v>0</v>
      </c>
      <c r="AK348" s="86"/>
      <c r="AL348" s="75"/>
      <c r="AM348" s="96"/>
      <c r="AN348" s="96">
        <f>TABL123[[#This Row],[ (RESV. STORGE) SER]]/10</f>
        <v>0</v>
      </c>
      <c r="AO348" s="43"/>
      <c r="AP348" s="32">
        <f>TABL123[[#This Row],[(A/S TOT) AJD]]-TABL123[[#This Row],[SER_ 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Row],[خط (T/B  TOT) SAR]]+TABL123[[#This Row],[خط (S/S  TOT) SAR2]]</f>
        <v>0</v>
      </c>
      <c r="L349" s="45"/>
      <c r="M349" s="46"/>
      <c r="N349" s="46"/>
      <c r="O349" s="40"/>
      <c r="P349" s="9">
        <f>TABL123[[#This Row],[خط (S/S  TOT) SAR2]]-TABL123[[#This Row],[(S/S TOT) AJD]]</f>
        <v>0</v>
      </c>
      <c r="Q349" s="40"/>
      <c r="R349" s="9">
        <f>TABL123[[#This Row],[خط (T/B  TOT) SAR]]-TABL123[[#This Row],[(T/B TOT) AJD]]</f>
        <v>0</v>
      </c>
      <c r="S349" s="9">
        <f>TABL123[[#This Row],[الفرق بين بداية ونهاية خط  T/B]]+TABL123[[#This Row],[الفرق بين بداية ونهاية خط  S/S]]</f>
        <v>0</v>
      </c>
      <c r="T349" s="9">
        <f>TABL123[[#This Row],[(S/S TOT) AJD]]+TABL123[[#This Row],[(T/B TOT) AJD]]</f>
        <v>0</v>
      </c>
      <c r="U349" s="44"/>
      <c r="V349" s="44"/>
      <c r="W349" s="9">
        <f>TABL123[[#This Row],[(A/B TOT) AJD]]+TABL123[[#This Row],[(A/S TOT)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91">
        <f>TABL123[[#This Row],[( S/S+T/B) AJD]]-(TABL123[[#This Row],[(A/B + A/S) AJD]]+(TABL123[[#This Row],[(STORGE DIFF.) AJD]]*1000)+TABL123[[#This Row],[البخر  AJD]])</f>
        <v>0</v>
      </c>
      <c r="AE349" s="75"/>
      <c r="AF349" s="75"/>
      <c r="AG349" s="75"/>
      <c r="AH349" s="45"/>
      <c r="AI349" s="86"/>
      <c r="AJ349" s="86">
        <f>TABL123[[#This Row],[(A/B TOT) AJD]]-TABL123[[#This Row],[BER_ IN]]</f>
        <v>0</v>
      </c>
      <c r="AK349" s="86"/>
      <c r="AL349" s="75"/>
      <c r="AM349" s="96"/>
      <c r="AN349" s="96">
        <f>TABL123[[#This Row],[ (RESV. STORGE) SER]]/10</f>
        <v>0</v>
      </c>
      <c r="AO349" s="45"/>
      <c r="AP349" s="32">
        <f>TABL123[[#This Row],[(A/S TOT) AJD]]-TABL123[[#This Row],[SER_ 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Row],[خط (T/B  TOT) SAR]]+TABL123[[#This Row],[خط (S/S  TOT) SAR2]]</f>
        <v>0</v>
      </c>
      <c r="L350" s="41"/>
      <c r="M350" s="42"/>
      <c r="N350" s="42"/>
      <c r="O350" s="39"/>
      <c r="P350" s="9">
        <f>TABL123[[#This Row],[خط (S/S  TOT) SAR2]]-TABL123[[#This Row],[(S/S TOT) AJD]]</f>
        <v>0</v>
      </c>
      <c r="Q350" s="39"/>
      <c r="R350" s="9">
        <f>TABL123[[#This Row],[خط (T/B  TOT) SAR]]-TABL123[[#This Row],[(T/B TOT) AJD]]</f>
        <v>0</v>
      </c>
      <c r="S350" s="9">
        <f>TABL123[[#This Row],[الفرق بين بداية ونهاية خط  T/B]]+TABL123[[#This Row],[الفرق بين بداية ونهاية خط  S/S]]</f>
        <v>0</v>
      </c>
      <c r="T350" s="9">
        <f>TABL123[[#This Row],[(S/S TOT) AJD]]+TABL123[[#This Row],[(T/B TOT) AJD]]</f>
        <v>0</v>
      </c>
      <c r="U350" s="41"/>
      <c r="V350" s="41"/>
      <c r="W350" s="9">
        <f>TABL123[[#This Row],[(A/B TOT) AJD]]+TABL123[[#This Row],[(A/S TOT)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91">
        <f>TABL123[[#This Row],[( S/S+T/B) AJD]]-(TABL123[[#This Row],[(A/B + A/S) AJD]]+(TABL123[[#This Row],[(STORGE DIFF.) AJD]]*1000)+TABL123[[#This Row],[البخر  AJD]])</f>
        <v>0</v>
      </c>
      <c r="AE350" s="75"/>
      <c r="AF350" s="75"/>
      <c r="AG350" s="75"/>
      <c r="AH350" s="43"/>
      <c r="AI350" s="86"/>
      <c r="AJ350" s="86">
        <f>TABL123[[#This Row],[(A/B TOT) AJD]]-TABL123[[#This Row],[BER_ IN]]</f>
        <v>0</v>
      </c>
      <c r="AK350" s="86"/>
      <c r="AL350" s="75"/>
      <c r="AM350" s="96"/>
      <c r="AN350" s="96">
        <f>TABL123[[#This Row],[ (RESV. STORGE) SER]]/10</f>
        <v>0</v>
      </c>
      <c r="AO350" s="43"/>
      <c r="AP350" s="32">
        <f>TABL123[[#This Row],[(A/S TOT) AJD]]-TABL123[[#This Row],[SER_ 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Row],[خط (T/B  TOT) SAR]]+TABL123[[#This Row],[خط (S/S  TOT) SAR2]]</f>
        <v>0</v>
      </c>
      <c r="L351" s="45"/>
      <c r="M351" s="46"/>
      <c r="N351" s="46"/>
      <c r="O351" s="40"/>
      <c r="P351" s="9">
        <f>TABL123[[#This Row],[خط (S/S  TOT) SAR2]]-TABL123[[#This Row],[(S/S TOT) AJD]]</f>
        <v>0</v>
      </c>
      <c r="Q351" s="40"/>
      <c r="R351" s="9">
        <f>TABL123[[#This Row],[خط (T/B  TOT) SAR]]-TABL123[[#This Row],[(T/B TOT) AJD]]</f>
        <v>0</v>
      </c>
      <c r="S351" s="9">
        <f>TABL123[[#This Row],[الفرق بين بداية ونهاية خط  T/B]]+TABL123[[#This Row],[الفرق بين بداية ونهاية خط  S/S]]</f>
        <v>0</v>
      </c>
      <c r="T351" s="9">
        <f>TABL123[[#This Row],[(S/S TOT) AJD]]+TABL123[[#This Row],[(T/B TOT) AJD]]</f>
        <v>0</v>
      </c>
      <c r="U351" s="44"/>
      <c r="V351" s="44"/>
      <c r="W351" s="9">
        <f>TABL123[[#This Row],[(A/B TOT) AJD]]+TABL123[[#This Row],[(A/S TOT)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91">
        <f>TABL123[[#This Row],[( S/S+T/B) AJD]]-(TABL123[[#This Row],[(A/B + A/S) AJD]]+(TABL123[[#This Row],[(STORGE DIFF.) AJD]]*1000)+TABL123[[#This Row],[البخر  AJD]])</f>
        <v>0</v>
      </c>
      <c r="AE351" s="75"/>
      <c r="AF351" s="75"/>
      <c r="AG351" s="75"/>
      <c r="AH351" s="45"/>
      <c r="AI351" s="86"/>
      <c r="AJ351" s="86">
        <f>TABL123[[#This Row],[(A/B TOT) AJD]]-TABL123[[#This Row],[BER_ IN]]</f>
        <v>0</v>
      </c>
      <c r="AK351" s="86"/>
      <c r="AL351" s="75"/>
      <c r="AM351" s="96"/>
      <c r="AN351" s="96">
        <f>TABL123[[#This Row],[ (RESV. STORGE) SER]]/10</f>
        <v>0</v>
      </c>
      <c r="AO351" s="45"/>
      <c r="AP351" s="32">
        <f>TABL123[[#This Row],[(A/S TOT) AJD]]-TABL123[[#This Row],[SER_ 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Row],[خط (T/B  TOT) SAR]]+TABL123[[#This Row],[خط (S/S  TOT) SAR2]]</f>
        <v>0</v>
      </c>
      <c r="L352" s="41"/>
      <c r="M352" s="42"/>
      <c r="N352" s="42"/>
      <c r="O352" s="39"/>
      <c r="P352" s="9">
        <f>TABL123[[#This Row],[خط (S/S  TOT) SAR2]]-TABL123[[#This Row],[(S/S TOT) AJD]]</f>
        <v>0</v>
      </c>
      <c r="Q352" s="39"/>
      <c r="R352" s="9">
        <f>TABL123[[#This Row],[خط (T/B  TOT) SAR]]-TABL123[[#This Row],[(T/B TOT) AJD]]</f>
        <v>0</v>
      </c>
      <c r="S352" s="9">
        <f>TABL123[[#This Row],[الفرق بين بداية ونهاية خط  T/B]]+TABL123[[#This Row],[الفرق بين بداية ونهاية خط  S/S]]</f>
        <v>0</v>
      </c>
      <c r="T352" s="9">
        <f>TABL123[[#This Row],[(S/S TOT) AJD]]+TABL123[[#This Row],[(T/B TOT) AJD]]</f>
        <v>0</v>
      </c>
      <c r="U352" s="41"/>
      <c r="V352" s="41"/>
      <c r="W352" s="9">
        <f>TABL123[[#This Row],[(A/B TOT) AJD]]+TABL123[[#This Row],[(A/S TOT)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91">
        <f>TABL123[[#This Row],[( S/S+T/B) AJD]]-(TABL123[[#This Row],[(A/B + A/S) AJD]]+(TABL123[[#This Row],[(STORGE DIFF.) AJD]]*1000)+TABL123[[#This Row],[البخر  AJD]])</f>
        <v>0</v>
      </c>
      <c r="AE352" s="75"/>
      <c r="AF352" s="75"/>
      <c r="AG352" s="75"/>
      <c r="AH352" s="43"/>
      <c r="AI352" s="86"/>
      <c r="AJ352" s="86">
        <f>TABL123[[#This Row],[(A/B TOT) AJD]]-TABL123[[#This Row],[BER_ IN]]</f>
        <v>0</v>
      </c>
      <c r="AK352" s="86"/>
      <c r="AL352" s="75"/>
      <c r="AM352" s="96"/>
      <c r="AN352" s="96">
        <f>TABL123[[#This Row],[ (RESV. STORGE) SER]]/10</f>
        <v>0</v>
      </c>
      <c r="AO352" s="43"/>
      <c r="AP352" s="32">
        <f>TABL123[[#This Row],[(A/S TOT) AJD]]-TABL123[[#This Row],[SER_ 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Row],[خط (T/B  TOT) SAR]]+TABL123[[#This Row],[خط (S/S  TOT) SAR2]]</f>
        <v>0</v>
      </c>
      <c r="L353" s="45"/>
      <c r="M353" s="46"/>
      <c r="N353" s="46"/>
      <c r="O353" s="40"/>
      <c r="P353" s="9">
        <f>TABL123[[#This Row],[خط (S/S  TOT) SAR2]]-TABL123[[#This Row],[(S/S TOT) AJD]]</f>
        <v>0</v>
      </c>
      <c r="Q353" s="40"/>
      <c r="R353" s="9">
        <f>TABL123[[#This Row],[خط (T/B  TOT) SAR]]-TABL123[[#This Row],[(T/B TOT) AJD]]</f>
        <v>0</v>
      </c>
      <c r="S353" s="9">
        <f>TABL123[[#This Row],[الفرق بين بداية ونهاية خط  T/B]]+TABL123[[#This Row],[الفرق بين بداية ونهاية خط  S/S]]</f>
        <v>0</v>
      </c>
      <c r="T353" s="9">
        <f>TABL123[[#This Row],[(S/S TOT) AJD]]+TABL123[[#This Row],[(T/B TOT) AJD]]</f>
        <v>0</v>
      </c>
      <c r="U353" s="44"/>
      <c r="V353" s="44"/>
      <c r="W353" s="9">
        <f>TABL123[[#This Row],[(A/B TOT) AJD]]+TABL123[[#This Row],[(A/S TOT)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91">
        <f>TABL123[[#This Row],[( S/S+T/B) AJD]]-(TABL123[[#This Row],[(A/B + A/S) AJD]]+(TABL123[[#This Row],[(STORGE DIFF.) AJD]]*1000)+TABL123[[#This Row],[البخر  AJD]])</f>
        <v>0</v>
      </c>
      <c r="AE353" s="75"/>
      <c r="AF353" s="75"/>
      <c r="AG353" s="75"/>
      <c r="AH353" s="45"/>
      <c r="AI353" s="86"/>
      <c r="AJ353" s="86">
        <f>TABL123[[#This Row],[(A/B TOT) AJD]]-TABL123[[#This Row],[BER_ IN]]</f>
        <v>0</v>
      </c>
      <c r="AK353" s="86"/>
      <c r="AL353" s="75"/>
      <c r="AM353" s="96"/>
      <c r="AN353" s="96">
        <f>TABL123[[#This Row],[ (RESV. STORGE) SER]]/10</f>
        <v>0</v>
      </c>
      <c r="AO353" s="45"/>
      <c r="AP353" s="32">
        <f>TABL123[[#This Row],[(A/S TOT) AJD]]-TABL123[[#This Row],[SER_ 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Row],[خط (T/B  TOT) SAR]]+TABL123[[#This Row],[خط (S/S  TOT) SAR2]]</f>
        <v>0</v>
      </c>
      <c r="L354" s="41"/>
      <c r="M354" s="42"/>
      <c r="N354" s="42"/>
      <c r="O354" s="39"/>
      <c r="P354" s="9">
        <f>TABL123[[#This Row],[خط (S/S  TOT) SAR2]]-TABL123[[#This Row],[(S/S TOT) AJD]]</f>
        <v>0</v>
      </c>
      <c r="Q354" s="39"/>
      <c r="R354" s="9">
        <f>TABL123[[#This Row],[خط (T/B  TOT) SAR]]-TABL123[[#This Row],[(T/B TOT) AJD]]</f>
        <v>0</v>
      </c>
      <c r="S354" s="9">
        <f>TABL123[[#This Row],[الفرق بين بداية ونهاية خط  T/B]]+TABL123[[#This Row],[الفرق بين بداية ونهاية خط  S/S]]</f>
        <v>0</v>
      </c>
      <c r="T354" s="9">
        <f>TABL123[[#This Row],[(S/S TOT) AJD]]+TABL123[[#This Row],[(T/B TOT) AJD]]</f>
        <v>0</v>
      </c>
      <c r="U354" s="41"/>
      <c r="V354" s="41"/>
      <c r="W354" s="9">
        <f>TABL123[[#This Row],[(A/B TOT) AJD]]+TABL123[[#This Row],[(A/S TOT)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91">
        <f>TABL123[[#This Row],[( S/S+T/B) AJD]]-(TABL123[[#This Row],[(A/B + A/S) AJD]]+(TABL123[[#This Row],[(STORGE DIFF.) AJD]]*1000)+TABL123[[#This Row],[البخر  AJD]])</f>
        <v>0</v>
      </c>
      <c r="AE354" s="75"/>
      <c r="AF354" s="75"/>
      <c r="AG354" s="75"/>
      <c r="AH354" s="43"/>
      <c r="AI354" s="86"/>
      <c r="AJ354" s="86">
        <f>TABL123[[#This Row],[(A/B TOT) AJD]]-TABL123[[#This Row],[BER_ IN]]</f>
        <v>0</v>
      </c>
      <c r="AK354" s="86"/>
      <c r="AL354" s="75"/>
      <c r="AM354" s="96"/>
      <c r="AN354" s="96">
        <f>TABL123[[#This Row],[ (RESV. STORGE) SER]]/10</f>
        <v>0</v>
      </c>
      <c r="AO354" s="43"/>
      <c r="AP354" s="32">
        <f>TABL123[[#This Row],[(A/S TOT) AJD]]-TABL123[[#This Row],[SER_ 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Row],[خط (T/B  TOT) SAR]]+TABL123[[#This Row],[خط (S/S  TOT) SAR2]]</f>
        <v>0</v>
      </c>
      <c r="L355" s="45"/>
      <c r="M355" s="46"/>
      <c r="N355" s="46"/>
      <c r="O355" s="40"/>
      <c r="P355" s="9">
        <f>TABL123[[#This Row],[خط (S/S  TOT) SAR2]]-TABL123[[#This Row],[(S/S TOT) AJD]]</f>
        <v>0</v>
      </c>
      <c r="Q355" s="40"/>
      <c r="R355" s="9">
        <f>TABL123[[#This Row],[خط (T/B  TOT) SAR]]-TABL123[[#This Row],[(T/B TOT) AJD]]</f>
        <v>0</v>
      </c>
      <c r="S355" s="9">
        <f>TABL123[[#This Row],[الفرق بين بداية ونهاية خط  T/B]]+TABL123[[#This Row],[الفرق بين بداية ونهاية خط  S/S]]</f>
        <v>0</v>
      </c>
      <c r="T355" s="9">
        <f>TABL123[[#This Row],[(S/S TOT) AJD]]+TABL123[[#This Row],[(T/B TOT) AJD]]</f>
        <v>0</v>
      </c>
      <c r="U355" s="44"/>
      <c r="V355" s="44"/>
      <c r="W355" s="9">
        <f>TABL123[[#This Row],[(A/B TOT) AJD]]+TABL123[[#This Row],[(A/S TOT)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91">
        <f>TABL123[[#This Row],[( S/S+T/B) AJD]]-(TABL123[[#This Row],[(A/B + A/S) AJD]]+(TABL123[[#This Row],[(STORGE DIFF.) AJD]]*1000)+TABL123[[#This Row],[البخر  AJD]])</f>
        <v>0</v>
      </c>
      <c r="AE355" s="75"/>
      <c r="AF355" s="75"/>
      <c r="AG355" s="75"/>
      <c r="AH355" s="45"/>
      <c r="AI355" s="86"/>
      <c r="AJ355" s="86">
        <f>TABL123[[#This Row],[(A/B TOT) AJD]]-TABL123[[#This Row],[BER_ IN]]</f>
        <v>0</v>
      </c>
      <c r="AK355" s="86"/>
      <c r="AL355" s="75"/>
      <c r="AM355" s="96"/>
      <c r="AN355" s="96">
        <f>TABL123[[#This Row],[ (RESV. STORGE) SER]]/10</f>
        <v>0</v>
      </c>
      <c r="AO355" s="45"/>
      <c r="AP355" s="32">
        <f>TABL123[[#This Row],[(A/S TOT) AJD]]-TABL123[[#This Row],[SER_ 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Row],[خط (T/B  TOT) SAR]]+TABL123[[#This Row],[خط (S/S  TOT) SAR2]]</f>
        <v>0</v>
      </c>
      <c r="L356" s="41"/>
      <c r="M356" s="42"/>
      <c r="N356" s="42"/>
      <c r="O356" s="39"/>
      <c r="P356" s="9">
        <f>TABL123[[#This Row],[خط (S/S  TOT) SAR2]]-TABL123[[#This Row],[(S/S TOT) AJD]]</f>
        <v>0</v>
      </c>
      <c r="Q356" s="39"/>
      <c r="R356" s="9">
        <f>TABL123[[#This Row],[خط (T/B  TOT) SAR]]-TABL123[[#This Row],[(T/B TOT) AJD]]</f>
        <v>0</v>
      </c>
      <c r="S356" s="9">
        <f>TABL123[[#This Row],[الفرق بين بداية ونهاية خط  T/B]]+TABL123[[#This Row],[الفرق بين بداية ونهاية خط  S/S]]</f>
        <v>0</v>
      </c>
      <c r="T356" s="9">
        <f>TABL123[[#This Row],[(S/S TOT) AJD]]+TABL123[[#This Row],[(T/B TOT) AJD]]</f>
        <v>0</v>
      </c>
      <c r="U356" s="41"/>
      <c r="V356" s="41"/>
      <c r="W356" s="9">
        <f>TABL123[[#This Row],[(A/B TOT) AJD]]+TABL123[[#This Row],[(A/S TOT)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91">
        <f>TABL123[[#This Row],[( S/S+T/B) AJD]]-(TABL123[[#This Row],[(A/B + A/S) AJD]]+(TABL123[[#This Row],[(STORGE DIFF.) AJD]]*1000)+TABL123[[#This Row],[البخر  AJD]])</f>
        <v>0</v>
      </c>
      <c r="AE356" s="75"/>
      <c r="AF356" s="75"/>
      <c r="AG356" s="75"/>
      <c r="AH356" s="43"/>
      <c r="AI356" s="86"/>
      <c r="AJ356" s="86">
        <f>TABL123[[#This Row],[(A/B TOT) AJD]]-TABL123[[#This Row],[BER_ IN]]</f>
        <v>0</v>
      </c>
      <c r="AK356" s="86"/>
      <c r="AL356" s="75"/>
      <c r="AM356" s="96"/>
      <c r="AN356" s="96">
        <f>TABL123[[#This Row],[ (RESV. STORGE) SER]]/10</f>
        <v>0</v>
      </c>
      <c r="AO356" s="43"/>
      <c r="AP356" s="32">
        <f>TABL123[[#This Row],[(A/S TOT) AJD]]-TABL123[[#This Row],[SER_ 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Row],[خط (T/B  TOT) SAR]]+TABL123[[#This Row],[خط (S/S  TOT) SAR2]]</f>
        <v>0</v>
      </c>
      <c r="L357" s="45"/>
      <c r="M357" s="46"/>
      <c r="N357" s="46"/>
      <c r="O357" s="40"/>
      <c r="P357" s="9">
        <f>TABL123[[#This Row],[خط (S/S  TOT) SAR2]]-TABL123[[#This Row],[(S/S TOT) AJD]]</f>
        <v>0</v>
      </c>
      <c r="Q357" s="40"/>
      <c r="R357" s="9">
        <f>TABL123[[#This Row],[خط (T/B  TOT) SAR]]-TABL123[[#This Row],[(T/B TOT) AJD]]</f>
        <v>0</v>
      </c>
      <c r="S357" s="9">
        <f>TABL123[[#This Row],[الفرق بين بداية ونهاية خط  T/B]]+TABL123[[#This Row],[الفرق بين بداية ونهاية خط  S/S]]</f>
        <v>0</v>
      </c>
      <c r="T357" s="9">
        <f>TABL123[[#This Row],[(S/S TOT) AJD]]+TABL123[[#This Row],[(T/B TOT) AJD]]</f>
        <v>0</v>
      </c>
      <c r="U357" s="44"/>
      <c r="V357" s="44"/>
      <c r="W357" s="9">
        <f>TABL123[[#This Row],[(A/B TOT) AJD]]+TABL123[[#This Row],[(A/S TOT)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91">
        <f>TABL123[[#This Row],[( S/S+T/B) AJD]]-(TABL123[[#This Row],[(A/B + A/S) AJD]]+(TABL123[[#This Row],[(STORGE DIFF.) AJD]]*1000)+TABL123[[#This Row],[البخر  AJD]])</f>
        <v>0</v>
      </c>
      <c r="AE357" s="75"/>
      <c r="AF357" s="75"/>
      <c r="AG357" s="75"/>
      <c r="AH357" s="45"/>
      <c r="AI357" s="86"/>
      <c r="AJ357" s="86">
        <f>TABL123[[#This Row],[(A/B TOT) AJD]]-TABL123[[#This Row],[BER_ IN]]</f>
        <v>0</v>
      </c>
      <c r="AK357" s="86"/>
      <c r="AL357" s="75"/>
      <c r="AM357" s="96"/>
      <c r="AN357" s="96">
        <f>TABL123[[#This Row],[ (RESV. STORGE) SER]]/10</f>
        <v>0</v>
      </c>
      <c r="AO357" s="45"/>
      <c r="AP357" s="32">
        <f>TABL123[[#This Row],[(A/S TOT) AJD]]-TABL123[[#This Row],[SER_ 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Row],[خط (T/B  TOT) SAR]]+TABL123[[#This Row],[خط (S/S  TOT) SAR2]]</f>
        <v>0</v>
      </c>
      <c r="L358" s="41"/>
      <c r="M358" s="42"/>
      <c r="N358" s="42"/>
      <c r="O358" s="39"/>
      <c r="P358" s="9">
        <f>TABL123[[#This Row],[خط (S/S  TOT) SAR2]]-TABL123[[#This Row],[(S/S TOT) AJD]]</f>
        <v>0</v>
      </c>
      <c r="Q358" s="39"/>
      <c r="R358" s="9">
        <f>TABL123[[#This Row],[خط (T/B  TOT) SAR]]-TABL123[[#This Row],[(T/B TOT) AJD]]</f>
        <v>0</v>
      </c>
      <c r="S358" s="9">
        <f>TABL123[[#This Row],[الفرق بين بداية ونهاية خط  T/B]]+TABL123[[#This Row],[الفرق بين بداية ونهاية خط  S/S]]</f>
        <v>0</v>
      </c>
      <c r="T358" s="9">
        <f>TABL123[[#This Row],[(S/S TOT) AJD]]+TABL123[[#This Row],[(T/B TOT) AJD]]</f>
        <v>0</v>
      </c>
      <c r="U358" s="41"/>
      <c r="V358" s="41"/>
      <c r="W358" s="9">
        <f>TABL123[[#This Row],[(A/B TOT) AJD]]+TABL123[[#This Row],[(A/S TOT)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91">
        <f>TABL123[[#This Row],[( S/S+T/B) AJD]]-(TABL123[[#This Row],[(A/B + A/S) AJD]]+(TABL123[[#This Row],[(STORGE DIFF.) AJD]]*1000)+TABL123[[#This Row],[البخر  AJD]])</f>
        <v>0</v>
      </c>
      <c r="AE358" s="75"/>
      <c r="AF358" s="75"/>
      <c r="AG358" s="75"/>
      <c r="AH358" s="43"/>
      <c r="AI358" s="86"/>
      <c r="AJ358" s="86">
        <f>TABL123[[#This Row],[(A/B TOT) AJD]]-TABL123[[#This Row],[BER_ IN]]</f>
        <v>0</v>
      </c>
      <c r="AK358" s="86"/>
      <c r="AL358" s="75"/>
      <c r="AM358" s="96"/>
      <c r="AN358" s="96">
        <f>TABL123[[#This Row],[ (RESV. STORGE) SER]]/10</f>
        <v>0</v>
      </c>
      <c r="AO358" s="43"/>
      <c r="AP358" s="32">
        <f>TABL123[[#This Row],[(A/S TOT) AJD]]-TABL123[[#This Row],[SER_ 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Row],[خط (T/B  TOT) SAR]]+TABL123[[#This Row],[خط (S/S  TOT) SAR2]]</f>
        <v>0</v>
      </c>
      <c r="L359" s="45"/>
      <c r="M359" s="46"/>
      <c r="N359" s="46"/>
      <c r="O359" s="40"/>
      <c r="P359" s="9">
        <f>TABL123[[#This Row],[خط (S/S  TOT) SAR2]]-TABL123[[#This Row],[(S/S TOT) AJD]]</f>
        <v>0</v>
      </c>
      <c r="Q359" s="40"/>
      <c r="R359" s="9">
        <f>TABL123[[#This Row],[خط (T/B  TOT) SAR]]-TABL123[[#This Row],[(T/B TOT) AJD]]</f>
        <v>0</v>
      </c>
      <c r="S359" s="9">
        <f>TABL123[[#This Row],[الفرق بين بداية ونهاية خط  T/B]]+TABL123[[#This Row],[الفرق بين بداية ونهاية خط  S/S]]</f>
        <v>0</v>
      </c>
      <c r="T359" s="9">
        <f>TABL123[[#This Row],[(S/S TOT) AJD]]+TABL123[[#This Row],[(T/B TOT) AJD]]</f>
        <v>0</v>
      </c>
      <c r="U359" s="44"/>
      <c r="V359" s="44"/>
      <c r="W359" s="9">
        <f>TABL123[[#This Row],[(A/B TOT) AJD]]+TABL123[[#This Row],[(A/S TOT)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91">
        <f>TABL123[[#This Row],[( S/S+T/B) AJD]]-(TABL123[[#This Row],[(A/B + A/S) AJD]]+(TABL123[[#This Row],[(STORGE DIFF.) AJD]]*1000)+TABL123[[#This Row],[البخر  AJD]])</f>
        <v>0</v>
      </c>
      <c r="AE359" s="75"/>
      <c r="AF359" s="75"/>
      <c r="AG359" s="75"/>
      <c r="AH359" s="45"/>
      <c r="AI359" s="86"/>
      <c r="AJ359" s="86">
        <f>TABL123[[#This Row],[(A/B TOT) AJD]]-TABL123[[#This Row],[BER_ IN]]</f>
        <v>0</v>
      </c>
      <c r="AK359" s="86"/>
      <c r="AL359" s="75"/>
      <c r="AM359" s="96"/>
      <c r="AN359" s="96">
        <f>TABL123[[#This Row],[ (RESV. STORGE) SER]]/10</f>
        <v>0</v>
      </c>
      <c r="AO359" s="45"/>
      <c r="AP359" s="32">
        <f>TABL123[[#This Row],[(A/S TOT) AJD]]-TABL123[[#This Row],[SER_ 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Row],[خط (T/B  TOT) SAR]]+TABL123[[#This Row],[خط (S/S  TOT) SAR2]]</f>
        <v>0</v>
      </c>
      <c r="L360" s="41"/>
      <c r="M360" s="42"/>
      <c r="N360" s="42"/>
      <c r="O360" s="39"/>
      <c r="P360" s="9">
        <f>TABL123[[#This Row],[خط (S/S  TOT) SAR2]]-TABL123[[#This Row],[(S/S TOT) AJD]]</f>
        <v>0</v>
      </c>
      <c r="Q360" s="39"/>
      <c r="R360" s="9">
        <f>TABL123[[#This Row],[خط (T/B  TOT) SAR]]-TABL123[[#This Row],[(T/B TOT) AJD]]</f>
        <v>0</v>
      </c>
      <c r="S360" s="9">
        <f>TABL123[[#This Row],[الفرق بين بداية ونهاية خط  T/B]]+TABL123[[#This Row],[الفرق بين بداية ونهاية خط  S/S]]</f>
        <v>0</v>
      </c>
      <c r="T360" s="9">
        <f>TABL123[[#This Row],[(S/S TOT) AJD]]+TABL123[[#This Row],[(T/B TOT) AJD]]</f>
        <v>0</v>
      </c>
      <c r="U360" s="41"/>
      <c r="V360" s="41"/>
      <c r="W360" s="9">
        <f>TABL123[[#This Row],[(A/B TOT) AJD]]+TABL123[[#This Row],[(A/S TOT)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91">
        <f>TABL123[[#This Row],[( S/S+T/B) AJD]]-(TABL123[[#This Row],[(A/B + A/S) AJD]]+(TABL123[[#This Row],[(STORGE DIFF.) AJD]]*1000)+TABL123[[#This Row],[البخر  AJD]])</f>
        <v>0</v>
      </c>
      <c r="AE360" s="75"/>
      <c r="AF360" s="75"/>
      <c r="AG360" s="75"/>
      <c r="AH360" s="43"/>
      <c r="AI360" s="86"/>
      <c r="AJ360" s="86">
        <f>TABL123[[#This Row],[(A/B TOT) AJD]]-TABL123[[#This Row],[BER_ IN]]</f>
        <v>0</v>
      </c>
      <c r="AK360" s="86"/>
      <c r="AL360" s="75"/>
      <c r="AM360" s="96"/>
      <c r="AN360" s="96">
        <f>TABL123[[#This Row],[ (RESV. STORGE) SER]]/10</f>
        <v>0</v>
      </c>
      <c r="AO360" s="43"/>
      <c r="AP360" s="32">
        <f>TABL123[[#This Row],[(A/S TOT) AJD]]-TABL123[[#This Row],[SER_ 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Row],[خط (T/B  TOT) SAR]]+TABL123[[#This Row],[خط (S/S  TOT) SAR2]]</f>
        <v>0</v>
      </c>
      <c r="L361" s="45"/>
      <c r="M361" s="46"/>
      <c r="N361" s="46"/>
      <c r="O361" s="40"/>
      <c r="P361" s="9">
        <f>TABL123[[#This Row],[خط (S/S  TOT) SAR2]]-TABL123[[#This Row],[(S/S TOT) AJD]]</f>
        <v>0</v>
      </c>
      <c r="Q361" s="40"/>
      <c r="R361" s="9">
        <f>TABL123[[#This Row],[خط (T/B  TOT) SAR]]-TABL123[[#This Row],[(T/B TOT) AJD]]</f>
        <v>0</v>
      </c>
      <c r="S361" s="9">
        <f>TABL123[[#This Row],[الفرق بين بداية ونهاية خط  T/B]]+TABL123[[#This Row],[الفرق بين بداية ونهاية خط  S/S]]</f>
        <v>0</v>
      </c>
      <c r="T361" s="9">
        <f>TABL123[[#This Row],[(S/S TOT) AJD]]+TABL123[[#This Row],[(T/B TOT) AJD]]</f>
        <v>0</v>
      </c>
      <c r="U361" s="44"/>
      <c r="V361" s="44"/>
      <c r="W361" s="9">
        <f>TABL123[[#This Row],[(A/B TOT) AJD]]+TABL123[[#This Row],[(A/S TOT)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91">
        <f>TABL123[[#This Row],[( S/S+T/B) AJD]]-(TABL123[[#This Row],[(A/B + A/S) AJD]]+(TABL123[[#This Row],[(STORGE DIFF.) AJD]]*1000)+TABL123[[#This Row],[البخر  AJD]])</f>
        <v>0</v>
      </c>
      <c r="AE361" s="75"/>
      <c r="AF361" s="75"/>
      <c r="AG361" s="75"/>
      <c r="AH361" s="45"/>
      <c r="AI361" s="86"/>
      <c r="AJ361" s="86">
        <f>TABL123[[#This Row],[(A/B TOT) AJD]]-TABL123[[#This Row],[BER_ IN]]</f>
        <v>0</v>
      </c>
      <c r="AK361" s="86"/>
      <c r="AL361" s="75"/>
      <c r="AM361" s="96"/>
      <c r="AN361" s="96">
        <f>TABL123[[#This Row],[ (RESV. STORGE) SER]]/10</f>
        <v>0</v>
      </c>
      <c r="AO361" s="45"/>
      <c r="AP361" s="32">
        <f>TABL123[[#This Row],[(A/S TOT) AJD]]-TABL123[[#This Row],[SER_ 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Row],[خط (T/B  TOT) SAR]]+TABL123[[#This Row],[خط (S/S  TOT) SAR2]]</f>
        <v>0</v>
      </c>
      <c r="L362" s="41"/>
      <c r="M362" s="42"/>
      <c r="N362" s="42"/>
      <c r="O362" s="39"/>
      <c r="P362" s="9">
        <f>TABL123[[#This Row],[خط (S/S  TOT) SAR2]]-TABL123[[#This Row],[(S/S TOT) AJD]]</f>
        <v>0</v>
      </c>
      <c r="Q362" s="39"/>
      <c r="R362" s="9">
        <f>TABL123[[#This Row],[خط (T/B  TOT) SAR]]-TABL123[[#This Row],[(T/B TOT) AJD]]</f>
        <v>0</v>
      </c>
      <c r="S362" s="9">
        <f>TABL123[[#This Row],[الفرق بين بداية ونهاية خط  T/B]]+TABL123[[#This Row],[الفرق بين بداية ونهاية خط  S/S]]</f>
        <v>0</v>
      </c>
      <c r="T362" s="9">
        <f>TABL123[[#This Row],[(S/S TOT) AJD]]+TABL123[[#This Row],[(T/B TOT) AJD]]</f>
        <v>0</v>
      </c>
      <c r="U362" s="41"/>
      <c r="V362" s="41"/>
      <c r="W362" s="9">
        <f>TABL123[[#This Row],[(A/B TOT) AJD]]+TABL123[[#This Row],[(A/S TOT)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91">
        <f>TABL123[[#This Row],[( S/S+T/B) AJD]]-(TABL123[[#This Row],[(A/B + A/S) AJD]]+(TABL123[[#This Row],[(STORGE DIFF.) AJD]]*1000)+TABL123[[#This Row],[البخر  AJD]])</f>
        <v>0</v>
      </c>
      <c r="AE362" s="75"/>
      <c r="AF362" s="75"/>
      <c r="AG362" s="75"/>
      <c r="AH362" s="43"/>
      <c r="AI362" s="86"/>
      <c r="AJ362" s="86">
        <f>TABL123[[#This Row],[(A/B TOT) AJD]]-TABL123[[#This Row],[BER_ IN]]</f>
        <v>0</v>
      </c>
      <c r="AK362" s="86"/>
      <c r="AL362" s="75"/>
      <c r="AM362" s="96"/>
      <c r="AN362" s="96">
        <f>TABL123[[#This Row],[ (RESV. STORGE) SER]]/10</f>
        <v>0</v>
      </c>
      <c r="AO362" s="43"/>
      <c r="AP362" s="32">
        <f>TABL123[[#This Row],[(A/S TOT) AJD]]-TABL123[[#This Row],[SER_ 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Row],[خط (T/B  TOT) SAR]]+TABL123[[#This Row],[خط (S/S  TOT) SAR2]]</f>
        <v>0</v>
      </c>
      <c r="L363" s="45"/>
      <c r="M363" s="46"/>
      <c r="N363" s="46"/>
      <c r="O363" s="40"/>
      <c r="P363" s="9">
        <f>TABL123[[#This Row],[خط (S/S  TOT) SAR2]]-TABL123[[#This Row],[(S/S TOT) AJD]]</f>
        <v>0</v>
      </c>
      <c r="Q363" s="40"/>
      <c r="R363" s="9">
        <f>TABL123[[#This Row],[خط (T/B  TOT) SAR]]-TABL123[[#This Row],[(T/B TOT) AJD]]</f>
        <v>0</v>
      </c>
      <c r="S363" s="9">
        <f>TABL123[[#This Row],[الفرق بين بداية ونهاية خط  T/B]]+TABL123[[#This Row],[الفرق بين بداية ونهاية خط  S/S]]</f>
        <v>0</v>
      </c>
      <c r="T363" s="9">
        <f>TABL123[[#This Row],[(S/S TOT) AJD]]+TABL123[[#This Row],[(T/B TOT) AJD]]</f>
        <v>0</v>
      </c>
      <c r="U363" s="44"/>
      <c r="V363" s="44"/>
      <c r="W363" s="9">
        <f>TABL123[[#This Row],[(A/B TOT) AJD]]+TABL123[[#This Row],[(A/S TOT)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91">
        <f>TABL123[[#This Row],[( S/S+T/B) AJD]]-(TABL123[[#This Row],[(A/B + A/S) AJD]]+(TABL123[[#This Row],[(STORGE DIFF.) AJD]]*1000)+TABL123[[#This Row],[البخر  AJD]])</f>
        <v>0</v>
      </c>
      <c r="AE363" s="75"/>
      <c r="AF363" s="75"/>
      <c r="AG363" s="75"/>
      <c r="AH363" s="45"/>
      <c r="AI363" s="86"/>
      <c r="AJ363" s="86">
        <f>TABL123[[#This Row],[(A/B TOT) AJD]]-TABL123[[#This Row],[BER_ IN]]</f>
        <v>0</v>
      </c>
      <c r="AK363" s="86"/>
      <c r="AL363" s="75"/>
      <c r="AM363" s="96"/>
      <c r="AN363" s="96">
        <f>TABL123[[#This Row],[ (RESV. STORGE) SER]]/10</f>
        <v>0</v>
      </c>
      <c r="AO363" s="45"/>
      <c r="AP363" s="32">
        <f>TABL123[[#This Row],[(A/S TOT) AJD]]-TABL123[[#This Row],[SER_ 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Row],[خط (T/B  TOT) SAR]]+TABL123[[#This Row],[خط (S/S  TOT) SAR2]]</f>
        <v>0</v>
      </c>
      <c r="L364" s="41"/>
      <c r="M364" s="42"/>
      <c r="N364" s="42"/>
      <c r="O364" s="39"/>
      <c r="P364" s="9">
        <f>TABL123[[#This Row],[خط (S/S  TOT) SAR2]]-TABL123[[#This Row],[(S/S TOT) AJD]]</f>
        <v>0</v>
      </c>
      <c r="Q364" s="39"/>
      <c r="R364" s="9">
        <f>TABL123[[#This Row],[خط (T/B  TOT) SAR]]-TABL123[[#This Row],[(T/B TOT) AJD]]</f>
        <v>0</v>
      </c>
      <c r="S364" s="9">
        <f>TABL123[[#This Row],[الفرق بين بداية ونهاية خط  T/B]]+TABL123[[#This Row],[الفرق بين بداية ونهاية خط  S/S]]</f>
        <v>0</v>
      </c>
      <c r="T364" s="9">
        <f>TABL123[[#This Row],[(S/S TOT) AJD]]+TABL123[[#This Row],[(T/B TOT) AJD]]</f>
        <v>0</v>
      </c>
      <c r="U364" s="41"/>
      <c r="V364" s="41"/>
      <c r="W364" s="9">
        <f>TABL123[[#This Row],[(A/B TOT) AJD]]+TABL123[[#This Row],[(A/S TOT)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91">
        <f>TABL123[[#This Row],[( S/S+T/B) AJD]]-(TABL123[[#This Row],[(A/B + A/S) AJD]]+(TABL123[[#This Row],[(STORGE DIFF.) AJD]]*1000)+TABL123[[#This Row],[البخر  AJD]])</f>
        <v>0</v>
      </c>
      <c r="AE364" s="75"/>
      <c r="AF364" s="75"/>
      <c r="AG364" s="75"/>
      <c r="AH364" s="43"/>
      <c r="AI364" s="86"/>
      <c r="AJ364" s="86">
        <f>TABL123[[#This Row],[(A/B TOT) AJD]]-TABL123[[#This Row],[BER_ IN]]</f>
        <v>0</v>
      </c>
      <c r="AK364" s="86"/>
      <c r="AL364" s="75"/>
      <c r="AM364" s="96"/>
      <c r="AN364" s="96">
        <f>TABL123[[#This Row],[ (RESV. STORGE) SER]]/10</f>
        <v>0</v>
      </c>
      <c r="AO364" s="43"/>
      <c r="AP364" s="32">
        <f>TABL123[[#This Row],[(A/S TOT) AJD]]-TABL123[[#This Row],[SER_ 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Row],[خط (T/B  TOT) SAR]]+TABL123[[#This Row],[خط (S/S  TOT) SAR2]]</f>
        <v>0</v>
      </c>
      <c r="L365" s="45"/>
      <c r="M365" s="46"/>
      <c r="N365" s="46"/>
      <c r="O365" s="40"/>
      <c r="P365" s="9">
        <f>TABL123[[#This Row],[خط (S/S  TOT) SAR2]]-TABL123[[#This Row],[(S/S TOT) AJD]]</f>
        <v>0</v>
      </c>
      <c r="Q365" s="40"/>
      <c r="R365" s="9">
        <f>TABL123[[#This Row],[خط (T/B  TOT) SAR]]-TABL123[[#This Row],[(T/B TOT) AJD]]</f>
        <v>0</v>
      </c>
      <c r="S365" s="9">
        <f>TABL123[[#This Row],[الفرق بين بداية ونهاية خط  T/B]]+TABL123[[#This Row],[الفرق بين بداية ونهاية خط  S/S]]</f>
        <v>0</v>
      </c>
      <c r="T365" s="9">
        <f>TABL123[[#This Row],[(S/S TOT) AJD]]+TABL123[[#This Row],[(T/B TOT) AJD]]</f>
        <v>0</v>
      </c>
      <c r="U365" s="44"/>
      <c r="V365" s="44"/>
      <c r="W365" s="9">
        <f>TABL123[[#This Row],[(A/B TOT) AJD]]+TABL123[[#This Row],[(A/S TOT)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91">
        <f>TABL123[[#This Row],[( S/S+T/B) AJD]]-(TABL123[[#This Row],[(A/B + A/S) AJD]]+(TABL123[[#This Row],[(STORGE DIFF.) AJD]]*1000)+TABL123[[#This Row],[البخر  AJD]])</f>
        <v>0</v>
      </c>
      <c r="AE365" s="75"/>
      <c r="AF365" s="75"/>
      <c r="AG365" s="75"/>
      <c r="AH365" s="45"/>
      <c r="AI365" s="86"/>
      <c r="AJ365" s="86">
        <f>TABL123[[#This Row],[(A/B TOT) AJD]]-TABL123[[#This Row],[BER_ IN]]</f>
        <v>0</v>
      </c>
      <c r="AK365" s="86"/>
      <c r="AL365" s="75"/>
      <c r="AM365" s="96"/>
      <c r="AN365" s="96">
        <f>TABL123[[#This Row],[ (RESV. STORGE) SER]]/10</f>
        <v>0</v>
      </c>
      <c r="AO365" s="45"/>
      <c r="AP365" s="32">
        <f>TABL123[[#This Row],[(A/S TOT) AJD]]-TABL123[[#This Row],[SER_ 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Row],[خط (T/B  TOT) SAR]]+TABL123[[#This Row],[خط (S/S  TOT) SAR2]]</f>
        <v>0</v>
      </c>
      <c r="L366" s="41"/>
      <c r="M366" s="42"/>
      <c r="N366" s="42"/>
      <c r="O366" s="39"/>
      <c r="P366" s="19">
        <f>TABL123[[#This Row],[خط (S/S  TOT) SAR2]]-TABL123[[#This Row],[(S/S TOT) AJD]]</f>
        <v>0</v>
      </c>
      <c r="Q366" s="39"/>
      <c r="R366" s="19">
        <f>TABL123[[#This Row],[خط (T/B  TOT) SAR]]-TABL123[[#This Row],[(T/B TOT) AJD]]</f>
        <v>0</v>
      </c>
      <c r="S366" s="19">
        <f>TABL123[[#This Row],[الفرق بين بداية ونهاية خط  T/B]]+TABL123[[#This Row],[الفرق بين بداية ونهاية خط  S/S]]</f>
        <v>0</v>
      </c>
      <c r="T366" s="19">
        <f>TABL123[[#This Row],[(S/S TOT) AJD]]+TABL123[[#This Row],[(T/B TOT) AJD]]</f>
        <v>0</v>
      </c>
      <c r="U366" s="41"/>
      <c r="V366" s="41"/>
      <c r="W366" s="19">
        <f>TABL123[[#This Row],[(A/B TOT) AJD]]+TABL123[[#This Row],[(A/S TOT)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60">
        <f>TABL123[[#This Row],[( S/S+T/B) AJD]]-(TABL123[[#This Row],[(A/B + A/S) AJD]]+(TABL123[[#This Row],[(STORGE DIFF.) AJD]]*1000)+TABL123[[#This Row],[البخر  AJD]])</f>
        <v>0</v>
      </c>
      <c r="AE366" s="90"/>
      <c r="AF366" s="90"/>
      <c r="AG366" s="90"/>
      <c r="AH366" s="43"/>
      <c r="AI366" s="88"/>
      <c r="AJ366" s="88">
        <f>TABL123[[#This Row],[(A/B TOT) AJD]]-TABL123[[#This Row],[BER_ IN]]</f>
        <v>0</v>
      </c>
      <c r="AK366" s="88"/>
      <c r="AL366" s="90"/>
      <c r="AM366" s="98"/>
      <c r="AN366" s="98">
        <f>TABL123[[#This Row],[ (RESV. STORGE) SER]]/10</f>
        <v>0</v>
      </c>
      <c r="AO366" s="43"/>
      <c r="AP366" s="32">
        <f>TABL123[[#This Row],[(A/S TOT) AJD]]-TABL123[[#This Row],[SER_ IN]]</f>
        <v>0</v>
      </c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C1" workbookViewId="0">
      <selection activeCell="H2" sqref="H2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Row],[خط (T/B  TOT) SAR]]+TABL1234[[#This Row],[خط (S/S  TOT) SAR2]]</f>
        <v>0</v>
      </c>
      <c r="L2" s="41"/>
      <c r="M2" s="42"/>
      <c r="N2" s="42"/>
      <c r="O2" s="39"/>
      <c r="P2" s="3">
        <f>TABL1234[[#This Row],[خط (S/S  TOT) SAR2]]-TABL1234[[#This Row],[(S/S TOT) AJD]]</f>
        <v>0</v>
      </c>
      <c r="Q2" s="39"/>
      <c r="R2" s="3">
        <f>TABL1234[[#This Row],[خط (T/B  TOT) SAR]]-TABL1234[[#This Row],[(T/B TOT) AJD]]</f>
        <v>0</v>
      </c>
      <c r="S2" s="3">
        <f>TABL1234[[#This Row],[الفرق بين بداية ونهاية خط  T/B]]+TABL1234[[#This Row],[الفرق بين بداية ونهاية خط  S/S]]</f>
        <v>0</v>
      </c>
      <c r="T2" s="3">
        <f>TABL1234[[#This Row],[(S/S TOT) AJD]]+TABL1234[[#This Row],[(T/B TOT) AJD]]</f>
        <v>0</v>
      </c>
      <c r="U2" s="41"/>
      <c r="V2" s="41"/>
      <c r="W2" s="3">
        <f>TABL1234[[#This Row],[(A/B TOT) AJD]]+TABL1234[[#This Row],[(A/S TOT)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(TABL1234[[#This Row],[(RESV. STORGE) AJD]]-500797)/1000</f>
        <v>-500.79700000000003</v>
      </c>
      <c r="AC2" s="43"/>
      <c r="AD2" s="92">
        <f>TABL1234[[#This Row],[( S/S+T/B) AJD]]-(TABL1234[[#This Row],[(A/B + A/S) AJD]]+(TABL1234[[#This Row],[(STORGE DIFF.) AJD]]*1000)+TABL1234[[#This Row],[البخر  AJD]])</f>
        <v>500797</v>
      </c>
      <c r="AE2" s="89"/>
      <c r="AF2" s="89"/>
      <c r="AG2" s="89"/>
      <c r="AH2" s="43"/>
      <c r="AI2" s="43"/>
      <c r="AJ2" s="87">
        <f>TABL1234[[#This Row],[(A/B TOT) AJD]]-TABL1234[[#This Row],[BER_ IN]]</f>
        <v>0</v>
      </c>
      <c r="AK2" s="89"/>
      <c r="AL2" s="97"/>
      <c r="AM2" s="97"/>
      <c r="AN2" s="97">
        <f>TABL1234[[#This Row],[ (RESV. STORGE) SER]]/10</f>
        <v>0</v>
      </c>
      <c r="AO2" s="43"/>
      <c r="AP2" s="32">
        <f>TABL1234[[#This Row],[(A/S TOT) AJD]]-TABL1234[[#This Row],[SER_ 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Row],[خط (T/B  TOT) SAR]]+TABL1234[[#This Row],[خط (S/S  TOT) SAR2]]</f>
        <v>0</v>
      </c>
      <c r="L3" s="28"/>
      <c r="M3" s="29"/>
      <c r="N3" s="30"/>
      <c r="O3" s="3"/>
      <c r="P3" s="3">
        <f>TABL1234[[#This Row],[خط (S/S  TOT) SAR2]]-TABL1234[[#This Row],[(S/S TOT) AJD]]</f>
        <v>0</v>
      </c>
      <c r="Q3" s="3"/>
      <c r="R3" s="3">
        <f>TABL1234[[#This Row],[خط (T/B  TOT) SAR]]-TABL1234[[#This Row],[(T/B TOT) AJD]]</f>
        <v>0</v>
      </c>
      <c r="S3" s="3">
        <f>TABL1234[[#This Row],[الفرق بين بداية ونهاية خط  T/B]]+TABL1234[[#This Row],[الفرق بين بداية ونهاية خط  S/S]]</f>
        <v>0</v>
      </c>
      <c r="T3" s="3">
        <f>TABL1234[[#This Row],[(S/S TOT) AJD]]+TABL1234[[#This Row],[(T/B TOT) AJD]]</f>
        <v>0</v>
      </c>
      <c r="U3" s="3"/>
      <c r="V3" s="3"/>
      <c r="W3" s="3">
        <f>TABL1234[[#This Row],[(A/B TOT) AJD]]+TABL1234[[#This Row],[(A/S TOT)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(Z3-Z2)/1000</f>
        <v>0</v>
      </c>
      <c r="AC3" s="6"/>
      <c r="AD3" s="5">
        <f>TABL1234[[#This Row],[( S/S+T/B) AJD]]-(TABL1234[[#This Row],[(A/B + A/S) AJD]]+(TABL1234[[#This Row],[(STORGE DIFF.) AJD]]*1000)+TABL1234[[#This Row],[البخر  AJD]])</f>
        <v>0</v>
      </c>
      <c r="AE3" s="6"/>
      <c r="AF3" s="33"/>
      <c r="AG3" s="6"/>
      <c r="AH3" s="6"/>
      <c r="AI3" s="6"/>
      <c r="AJ3" s="6">
        <f>TABL1234[[#This Row],[(A/B TOT) AJD]]-TABL1234[[#This Row],[BER_ IN]]</f>
        <v>0</v>
      </c>
      <c r="AK3" s="33"/>
      <c r="AL3" s="6"/>
      <c r="AM3" s="6"/>
      <c r="AN3" s="32">
        <f>TABL1234[[#This Row],[ (RESV. STORGE) SER]]/10</f>
        <v>0</v>
      </c>
      <c r="AO3" s="75"/>
      <c r="AP3" s="75">
        <f>TABL1234[[#This Row],[(A/S TOT) AJD]]-TABL1234[[#This Row],[SER_ 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Row],[خط (T/B  TOT) SAR]]+TABL1234[[#This Row],[خط (S/S  TOT) SAR2]]</f>
        <v>0</v>
      </c>
      <c r="L4" s="28"/>
      <c r="M4" s="29"/>
      <c r="N4" s="30"/>
      <c r="O4" s="3"/>
      <c r="P4" s="3">
        <f>TABL1234[[#This Row],[خط (S/S  TOT) SAR2]]-TABL1234[[#This Row],[(S/S TOT) AJD]]</f>
        <v>0</v>
      </c>
      <c r="Q4" s="3"/>
      <c r="R4" s="3">
        <f>TABL1234[[#This Row],[خط (T/B  TOT) SAR]]-TABL1234[[#This Row],[(T/B TOT) AJD]]</f>
        <v>0</v>
      </c>
      <c r="S4" s="3">
        <f>TABL1234[[#This Row],[الفرق بين بداية ونهاية خط  T/B]]+TABL1234[[#This Row],[الفرق بين بداية ونهاية خط  S/S]]</f>
        <v>0</v>
      </c>
      <c r="T4" s="3">
        <f>TABL1234[[#This Row],[(S/S TOT) AJD]]+TABL1234[[#This Row],[(T/B TOT) AJD]]</f>
        <v>0</v>
      </c>
      <c r="U4" s="3"/>
      <c r="V4" s="3"/>
      <c r="W4" s="3">
        <f>TABL1234[[#This Row],[(A/B TOT) AJD]]+TABL1234[[#This Row],[(A/S TOT)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(Z4-Z3)/1000</f>
        <v>0</v>
      </c>
      <c r="AC4" s="6"/>
      <c r="AD4" s="5">
        <f>TABL1234[[#This Row],[( S/S+T/B) AJD]]-(TABL1234[[#This Row],[(A/B + A/S) AJD]]+(TABL1234[[#This Row],[(STORGE DIFF.) AJD]]*1000)+TABL1234[[#This Row],[البخر  AJD]])</f>
        <v>0</v>
      </c>
      <c r="AE4" s="6"/>
      <c r="AF4" s="33"/>
      <c r="AG4" s="6"/>
      <c r="AH4" s="6"/>
      <c r="AI4" s="6"/>
      <c r="AJ4" s="6">
        <f>TABL1234[[#This Row],[(A/B TOT) AJD]]-TABL1234[[#This Row],[BER_ IN]]</f>
        <v>0</v>
      </c>
      <c r="AK4" s="33"/>
      <c r="AL4" s="6"/>
      <c r="AM4" s="6"/>
      <c r="AN4" s="32">
        <f>TABL1234[[#This Row],[ (RESV. STORGE) SER]]/10</f>
        <v>0</v>
      </c>
      <c r="AO4" s="75"/>
      <c r="AP4" s="75">
        <f>TABL1234[[#This Row],[(A/S TOT) AJD]]-TABL1234[[#This Row],[SER_ 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Row],[خط (T/B  TOT) SAR]]+TABL1234[[#This Row],[خط (S/S  TOT) SAR2]]</f>
        <v>0</v>
      </c>
      <c r="L5" s="28"/>
      <c r="M5" s="29"/>
      <c r="N5" s="30"/>
      <c r="O5" s="3"/>
      <c r="P5" s="3">
        <f>TABL1234[[#This Row],[خط (S/S  TOT) SAR2]]-TABL1234[[#This Row],[(S/S TOT) AJD]]</f>
        <v>0</v>
      </c>
      <c r="Q5" s="3"/>
      <c r="R5" s="3">
        <f>TABL1234[[#This Row],[خط (T/B  TOT) SAR]]-TABL1234[[#This Row],[(T/B TOT) AJD]]</f>
        <v>0</v>
      </c>
      <c r="S5" s="3">
        <f>TABL1234[[#This Row],[الفرق بين بداية ونهاية خط  T/B]]+TABL1234[[#This Row],[الفرق بين بداية ونهاية خط  S/S]]</f>
        <v>0</v>
      </c>
      <c r="T5" s="3">
        <f>TABL1234[[#This Row],[(S/S TOT) AJD]]+TABL1234[[#This Row],[(T/B TOT) AJD]]</f>
        <v>0</v>
      </c>
      <c r="U5" s="3"/>
      <c r="V5" s="3"/>
      <c r="W5" s="3">
        <f>TABL1234[[#This Row],[(A/B TOT) AJD]]+TABL1234[[#This Row],[(A/S TOT)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Row],[البخر  AJD]])</f>
        <v>0</v>
      </c>
      <c r="AE5" s="6"/>
      <c r="AF5" s="33"/>
      <c r="AG5" s="6"/>
      <c r="AH5" s="6"/>
      <c r="AI5" s="6"/>
      <c r="AJ5" s="6">
        <f>TABL1234[[#This Row],[(A/B TOT) AJD]]-TABL1234[[#This Row],[BER_ IN]]</f>
        <v>0</v>
      </c>
      <c r="AK5" s="33"/>
      <c r="AL5" s="6"/>
      <c r="AM5" s="6"/>
      <c r="AN5" s="32">
        <f>TABL1234[[#This Row],[ (RESV. STORGE) SER]]/10</f>
        <v>0</v>
      </c>
      <c r="AO5" s="75"/>
      <c r="AP5" s="75">
        <f>TABL1234[[#This Row],[(A/S TOT) AJD]]-TABL1234[[#This Row],[SER_ 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Row],[خط (T/B  TOT) SAR]]+TABL1234[[#This Row],[خط (S/S  TOT) SAR2]]</f>
        <v>0</v>
      </c>
      <c r="L6" s="28"/>
      <c r="M6" s="29"/>
      <c r="N6" s="30"/>
      <c r="O6" s="3"/>
      <c r="P6" s="3">
        <f>TABL1234[[#This Row],[خط (S/S  TOT) SAR2]]-TABL1234[[#This Row],[(S/S TOT) AJD]]</f>
        <v>0</v>
      </c>
      <c r="Q6" s="3"/>
      <c r="R6" s="3">
        <f>TABL1234[[#This Row],[خط (T/B  TOT) SAR]]-TABL1234[[#This Row],[(T/B TOT) AJD]]</f>
        <v>0</v>
      </c>
      <c r="S6" s="3">
        <f>TABL1234[[#This Row],[الفرق بين بداية ونهاية خط  T/B]]+TABL1234[[#This Row],[الفرق بين بداية ونهاية خط  S/S]]</f>
        <v>0</v>
      </c>
      <c r="T6" s="3">
        <f>TABL1234[[#This Row],[(S/S TOT) AJD]]+TABL1234[[#This Row],[(T/B TOT) AJD]]</f>
        <v>0</v>
      </c>
      <c r="U6" s="3"/>
      <c r="V6" s="3"/>
      <c r="W6" s="3">
        <f>TABL1234[[#This Row],[(A/B TOT) AJD]]+TABL1234[[#This Row],[(A/S TOT)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Row],[البخر  AJD]])</f>
        <v>0</v>
      </c>
      <c r="AE6" s="6"/>
      <c r="AF6" s="33"/>
      <c r="AG6" s="6"/>
      <c r="AH6" s="6"/>
      <c r="AI6" s="6"/>
      <c r="AJ6" s="6">
        <f>TABL1234[[#This Row],[(A/B TOT) AJD]]-TABL1234[[#This Row],[BER_ IN]]</f>
        <v>0</v>
      </c>
      <c r="AK6" s="33"/>
      <c r="AL6" s="6"/>
      <c r="AM6" s="6"/>
      <c r="AN6" s="32">
        <f>TABL1234[[#This Row],[ (RESV. STORGE) SER]]/10</f>
        <v>0</v>
      </c>
      <c r="AO6" s="75"/>
      <c r="AP6" s="75">
        <f>TABL1234[[#This Row],[(A/S TOT) AJD]]-TABL1234[[#This Row],[SER_ 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Row],[خط (T/B  TOT) SAR]]+TABL1234[[#This Row],[خط (S/S  TOT) SAR2]]</f>
        <v>0</v>
      </c>
      <c r="L7" s="28"/>
      <c r="M7" s="29"/>
      <c r="N7" s="30"/>
      <c r="O7" s="3"/>
      <c r="P7" s="3">
        <f>TABL1234[[#This Row],[خط (S/S  TOT) SAR2]]-TABL1234[[#This Row],[(S/S TOT) AJD]]</f>
        <v>0</v>
      </c>
      <c r="Q7" s="3"/>
      <c r="R7" s="3">
        <f>TABL1234[[#This Row],[خط (T/B  TOT) SAR]]-TABL1234[[#This Row],[(T/B TOT) AJD]]</f>
        <v>0</v>
      </c>
      <c r="S7" s="3">
        <f>TABL1234[[#This Row],[الفرق بين بداية ونهاية خط  T/B]]+TABL1234[[#This Row],[الفرق بين بداية ونهاية خط  S/S]]</f>
        <v>0</v>
      </c>
      <c r="T7" s="3">
        <f>TABL1234[[#This Row],[(S/S TOT) AJD]]+TABL1234[[#This Row],[(T/B TOT) AJD]]</f>
        <v>0</v>
      </c>
      <c r="U7" s="3"/>
      <c r="V7" s="3"/>
      <c r="W7" s="3">
        <f>TABL1234[[#This Row],[(A/B TOT) AJD]]+TABL1234[[#This Row],[(A/S TOT)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Row],[البخر  AJD]])</f>
        <v>0</v>
      </c>
      <c r="AE7" s="6"/>
      <c r="AF7" s="33"/>
      <c r="AG7" s="6"/>
      <c r="AH7" s="6"/>
      <c r="AI7" s="6"/>
      <c r="AJ7" s="6">
        <f>TABL1234[[#This Row],[(A/B TOT) AJD]]-TABL1234[[#This Row],[BER_ IN]]</f>
        <v>0</v>
      </c>
      <c r="AK7" s="33"/>
      <c r="AL7" s="6"/>
      <c r="AM7" s="6"/>
      <c r="AN7" s="32">
        <f>TABL1234[[#This Row],[ (RESV. STORGE) SER]]/10</f>
        <v>0</v>
      </c>
      <c r="AO7" s="75"/>
      <c r="AP7" s="75">
        <f>TABL1234[[#This Row],[(A/S TOT) AJD]]-TABL1234[[#This Row],[SER_ 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Row],[خط (T/B  TOT) SAR]]+TABL1234[[#This Row],[خط (S/S  TOT) SAR2]]</f>
        <v>0</v>
      </c>
      <c r="L8" s="28"/>
      <c r="M8" s="29"/>
      <c r="N8" s="30"/>
      <c r="O8" s="3"/>
      <c r="P8" s="3">
        <f>TABL1234[[#This Row],[خط (S/S  TOT) SAR2]]-TABL1234[[#This Row],[(S/S TOT) AJD]]</f>
        <v>0</v>
      </c>
      <c r="Q8" s="3"/>
      <c r="R8" s="3">
        <f>TABL1234[[#This Row],[خط (T/B  TOT) SAR]]-TABL1234[[#This Row],[(T/B TOT) AJD]]</f>
        <v>0</v>
      </c>
      <c r="S8" s="3">
        <f>TABL1234[[#This Row],[الفرق بين بداية ونهاية خط  T/B]]+TABL1234[[#This Row],[الفرق بين بداية ونهاية خط  S/S]]</f>
        <v>0</v>
      </c>
      <c r="T8" s="3">
        <f>TABL1234[[#This Row],[(S/S TOT) AJD]]+TABL1234[[#This Row],[(T/B TOT) AJD]]</f>
        <v>0</v>
      </c>
      <c r="U8" s="3"/>
      <c r="V8" s="3"/>
      <c r="W8" s="3">
        <f>TABL1234[[#This Row],[(A/B TOT) AJD]]+TABL1234[[#This Row],[(A/S TOT)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Row],[البخر  AJD]])</f>
        <v>0</v>
      </c>
      <c r="AE8" s="6"/>
      <c r="AF8" s="33"/>
      <c r="AG8" s="6"/>
      <c r="AH8" s="6"/>
      <c r="AI8" s="6"/>
      <c r="AJ8" s="6">
        <f>TABL1234[[#This Row],[(A/B TOT) AJD]]-TABL1234[[#This Row],[BER_ IN]]</f>
        <v>0</v>
      </c>
      <c r="AK8" s="33"/>
      <c r="AL8" s="6"/>
      <c r="AM8" s="6"/>
      <c r="AN8" s="32">
        <f>TABL1234[[#This Row],[ (RESV. STORGE) SER]]/10</f>
        <v>0</v>
      </c>
      <c r="AO8" s="75"/>
      <c r="AP8" s="75">
        <f>TABL1234[[#This Row],[(A/S TOT) AJD]]-TABL1234[[#This Row],[SER_ 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Row],[خط (T/B  TOT) SAR]]+TABL1234[[#This Row],[خط (S/S  TOT) SAR2]]</f>
        <v>0</v>
      </c>
      <c r="L9" s="28"/>
      <c r="M9" s="29"/>
      <c r="N9" s="30"/>
      <c r="O9" s="3"/>
      <c r="P9" s="3">
        <f>TABL1234[[#This Row],[خط (S/S  TOT) SAR2]]-TABL1234[[#This Row],[(S/S TOT) AJD]]</f>
        <v>0</v>
      </c>
      <c r="Q9" s="3"/>
      <c r="R9" s="3">
        <f>TABL1234[[#This Row],[خط (T/B  TOT) SAR]]-TABL1234[[#This Row],[(T/B TOT) AJD]]</f>
        <v>0</v>
      </c>
      <c r="S9" s="3">
        <f>TABL1234[[#This Row],[الفرق بين بداية ونهاية خط  T/B]]+TABL1234[[#This Row],[الفرق بين بداية ونهاية خط  S/S]]</f>
        <v>0</v>
      </c>
      <c r="T9" s="3">
        <f>TABL1234[[#This Row],[(S/S TOT) AJD]]+TABL1234[[#This Row],[(T/B TOT) AJD]]</f>
        <v>0</v>
      </c>
      <c r="U9" s="3"/>
      <c r="V9" s="3"/>
      <c r="W9" s="3">
        <f>TABL1234[[#This Row],[(A/B TOT) AJD]]+TABL1234[[#This Row],[(A/S TOT)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Row],[البخر  AJD]])</f>
        <v>0</v>
      </c>
      <c r="AE9" s="6"/>
      <c r="AF9" s="33"/>
      <c r="AG9" s="6"/>
      <c r="AH9" s="6"/>
      <c r="AI9" s="6"/>
      <c r="AJ9" s="6">
        <f>TABL1234[[#This Row],[(A/B TOT) AJD]]-TABL1234[[#This Row],[BER_ IN]]</f>
        <v>0</v>
      </c>
      <c r="AK9" s="33"/>
      <c r="AL9" s="6"/>
      <c r="AM9" s="6"/>
      <c r="AN9" s="32">
        <f>TABL1234[[#This Row],[ (RESV. STORGE) SER]]/10</f>
        <v>0</v>
      </c>
      <c r="AO9" s="75"/>
      <c r="AP9" s="75">
        <f>TABL1234[[#This Row],[(A/S TOT) AJD]]-TABL1234[[#This Row],[SER_ 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Row],[خط (T/B  TOT) SAR]]+TABL1234[[#This Row],[خط (S/S  TOT) SAR2]]</f>
        <v>0</v>
      </c>
      <c r="L10" s="28"/>
      <c r="M10" s="29"/>
      <c r="N10" s="30"/>
      <c r="O10" s="3"/>
      <c r="P10" s="3">
        <f>TABL1234[[#This Row],[خط (S/S  TOT) SAR2]]-TABL1234[[#This Row],[(S/S TOT) AJD]]</f>
        <v>0</v>
      </c>
      <c r="Q10" s="3"/>
      <c r="R10" s="3">
        <f>TABL1234[[#This Row],[خط (T/B  TOT) SAR]]-TABL1234[[#This Row],[(T/B TOT) AJD]]</f>
        <v>0</v>
      </c>
      <c r="S10" s="3">
        <f>TABL1234[[#This Row],[الفرق بين بداية ونهاية خط  T/B]]+TABL1234[[#This Row],[الفرق بين بداية ونهاية خط  S/S]]</f>
        <v>0</v>
      </c>
      <c r="T10" s="3">
        <f>TABL1234[[#This Row],[(S/S TOT) AJD]]+TABL1234[[#This Row],[(T/B TOT) AJD]]</f>
        <v>0</v>
      </c>
      <c r="U10" s="3"/>
      <c r="V10" s="3"/>
      <c r="W10" s="3">
        <f>TABL1234[[#This Row],[(A/B TOT) AJD]]+TABL1234[[#This Row],[(A/S TOT)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Row],[البخر  AJD]])</f>
        <v>0</v>
      </c>
      <c r="AE10" s="6"/>
      <c r="AF10" s="33"/>
      <c r="AG10" s="6"/>
      <c r="AH10" s="6"/>
      <c r="AI10" s="6"/>
      <c r="AJ10" s="6">
        <f>TABL1234[[#This Row],[(A/B TOT) AJD]]-TABL1234[[#This Row],[BER_ IN]]</f>
        <v>0</v>
      </c>
      <c r="AK10" s="33"/>
      <c r="AL10" s="6"/>
      <c r="AM10" s="6"/>
      <c r="AN10" s="32">
        <f>TABL1234[[#This Row],[ (RESV. STORGE) SER]]/10</f>
        <v>0</v>
      </c>
      <c r="AO10" s="75"/>
      <c r="AP10" s="75">
        <f>TABL1234[[#This Row],[(A/S TOT) AJD]]-TABL1234[[#This Row],[SER_ 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Row],[خط (T/B  TOT) SAR]]+TABL1234[[#This Row],[خط (S/S  TOT) SAR2]]</f>
        <v>0</v>
      </c>
      <c r="L11" s="28"/>
      <c r="M11" s="29"/>
      <c r="N11" s="30"/>
      <c r="O11" s="3"/>
      <c r="P11" s="3">
        <f>TABL1234[[#This Row],[خط (S/S  TOT) SAR2]]-TABL1234[[#This Row],[(S/S TOT) AJD]]</f>
        <v>0</v>
      </c>
      <c r="Q11" s="3"/>
      <c r="R11" s="3">
        <f>TABL1234[[#This Row],[خط (T/B  TOT) SAR]]-TABL1234[[#This Row],[(T/B TOT) AJD]]</f>
        <v>0</v>
      </c>
      <c r="S11" s="3">
        <f>TABL1234[[#This Row],[الفرق بين بداية ونهاية خط  T/B]]+TABL1234[[#This Row],[الفرق بين بداية ونهاية خط  S/S]]</f>
        <v>0</v>
      </c>
      <c r="T11" s="3">
        <f>TABL1234[[#This Row],[(S/S TOT) AJD]]+TABL1234[[#This Row],[(T/B TOT) AJD]]</f>
        <v>0</v>
      </c>
      <c r="U11" s="3"/>
      <c r="V11" s="3"/>
      <c r="W11" s="3">
        <f>TABL1234[[#This Row],[(A/B TOT) AJD]]+TABL1234[[#This Row],[(A/S TOT)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Row],[البخر  AJD]])</f>
        <v>0</v>
      </c>
      <c r="AE11" s="6"/>
      <c r="AF11" s="33"/>
      <c r="AG11" s="6"/>
      <c r="AH11" s="6"/>
      <c r="AI11" s="6"/>
      <c r="AJ11" s="6">
        <f>TABL1234[[#This Row],[(A/B TOT) AJD]]-TABL1234[[#This Row],[BER_ IN]]</f>
        <v>0</v>
      </c>
      <c r="AK11" s="33"/>
      <c r="AL11" s="6"/>
      <c r="AM11" s="6"/>
      <c r="AN11" s="32">
        <f>TABL1234[[#This Row],[ (RESV. STORGE) SER]]/10</f>
        <v>0</v>
      </c>
      <c r="AO11" s="75"/>
      <c r="AP11" s="75">
        <f>TABL1234[[#This Row],[(A/S TOT) AJD]]-TABL1234[[#This Row],[SER_ 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Row],[خط (T/B  TOT) SAR]]+TABL1234[[#This Row],[خط (S/S  TOT) SAR2]]</f>
        <v>0</v>
      </c>
      <c r="L12" s="28"/>
      <c r="M12" s="29"/>
      <c r="N12" s="30"/>
      <c r="O12" s="3"/>
      <c r="P12" s="3">
        <f>TABL1234[[#This Row],[خط (S/S  TOT) SAR2]]-TABL1234[[#This Row],[(S/S TOT) AJD]]</f>
        <v>0</v>
      </c>
      <c r="Q12" s="3"/>
      <c r="R12" s="3">
        <f>TABL1234[[#This Row],[خط (T/B  TOT) SAR]]-TABL1234[[#This Row],[(T/B TOT) AJD]]</f>
        <v>0</v>
      </c>
      <c r="S12" s="3">
        <f>TABL1234[[#This Row],[الفرق بين بداية ونهاية خط  T/B]]+TABL1234[[#This Row],[الفرق بين بداية ونهاية خط  S/S]]</f>
        <v>0</v>
      </c>
      <c r="T12" s="3">
        <f>TABL1234[[#This Row],[(S/S TOT) AJD]]+TABL1234[[#This Row],[(T/B TOT) AJD]]</f>
        <v>0</v>
      </c>
      <c r="U12" s="3"/>
      <c r="V12" s="3"/>
      <c r="W12" s="3">
        <f>TABL1234[[#This Row],[(A/B TOT) AJD]]+TABL1234[[#This Row],[(A/S TOT)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Row],[البخر  AJD]])</f>
        <v>0</v>
      </c>
      <c r="AE12" s="6"/>
      <c r="AF12" s="33"/>
      <c r="AG12" s="6"/>
      <c r="AH12" s="6"/>
      <c r="AI12" s="6"/>
      <c r="AJ12" s="6">
        <f>TABL1234[[#This Row],[(A/B TOT) AJD]]-TABL1234[[#This Row],[BER_ IN]]</f>
        <v>0</v>
      </c>
      <c r="AK12" s="33"/>
      <c r="AL12" s="6"/>
      <c r="AM12" s="6"/>
      <c r="AN12" s="32">
        <f>TABL1234[[#This Row],[ (RESV. STORGE) SER]]/10</f>
        <v>0</v>
      </c>
      <c r="AO12" s="75"/>
      <c r="AP12" s="75">
        <f>TABL1234[[#This Row],[(A/S TOT) AJD]]-TABL1234[[#This Row],[SER_ 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Row],[خط (T/B  TOT) SAR]]+TABL1234[[#This Row],[خط (S/S  TOT) SAR2]]</f>
        <v>0</v>
      </c>
      <c r="L13" s="28"/>
      <c r="M13" s="29"/>
      <c r="N13" s="30"/>
      <c r="O13" s="3"/>
      <c r="P13" s="3">
        <f>TABL1234[[#This Row],[خط (S/S  TOT) SAR2]]-TABL1234[[#This Row],[(S/S TOT) AJD]]</f>
        <v>0</v>
      </c>
      <c r="Q13" s="3"/>
      <c r="R13" s="3">
        <f>TABL1234[[#This Row],[خط (T/B  TOT) SAR]]-TABL1234[[#This Row],[(T/B TOT) AJD]]</f>
        <v>0</v>
      </c>
      <c r="S13" s="3">
        <f>TABL1234[[#This Row],[الفرق بين بداية ونهاية خط  T/B]]+TABL1234[[#This Row],[الفرق بين بداية ونهاية خط  S/S]]</f>
        <v>0</v>
      </c>
      <c r="T13" s="3">
        <f>TABL1234[[#This Row],[(S/S TOT) AJD]]+TABL1234[[#This Row],[(T/B TOT) AJD]]</f>
        <v>0</v>
      </c>
      <c r="U13" s="3"/>
      <c r="V13" s="3"/>
      <c r="W13" s="3">
        <f>TABL1234[[#This Row],[(A/B TOT) AJD]]+TABL1234[[#This Row],[(A/S TOT)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Row],[البخر  AJD]])</f>
        <v>0</v>
      </c>
      <c r="AE13" s="6"/>
      <c r="AF13" s="33"/>
      <c r="AG13" s="6"/>
      <c r="AH13" s="6"/>
      <c r="AI13" s="6"/>
      <c r="AJ13" s="6">
        <f>TABL1234[[#This Row],[(A/B TOT) AJD]]-TABL1234[[#This Row],[BER_ IN]]</f>
        <v>0</v>
      </c>
      <c r="AK13" s="33"/>
      <c r="AL13" s="6"/>
      <c r="AM13" s="6"/>
      <c r="AN13" s="32">
        <f>TABL1234[[#This Row],[ (RESV. STORGE) SER]]/10</f>
        <v>0</v>
      </c>
      <c r="AO13" s="75"/>
      <c r="AP13" s="75">
        <f>TABL1234[[#This Row],[(A/S TOT) AJD]]-TABL1234[[#This Row],[SER_ 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Row],[خط (T/B  TOT) SAR]]+TABL1234[[#This Row],[خط (S/S  TOT) SAR2]]</f>
        <v>0</v>
      </c>
      <c r="L14" s="28"/>
      <c r="M14" s="29"/>
      <c r="N14" s="30"/>
      <c r="O14" s="3"/>
      <c r="P14" s="3">
        <f>TABL1234[[#This Row],[خط (S/S  TOT) SAR2]]-TABL1234[[#This Row],[(S/S TOT) AJD]]</f>
        <v>0</v>
      </c>
      <c r="Q14" s="3"/>
      <c r="R14" s="3">
        <f>TABL1234[[#This Row],[خط (T/B  TOT) SAR]]-TABL1234[[#This Row],[(T/B TOT) AJD]]</f>
        <v>0</v>
      </c>
      <c r="S14" s="3">
        <f>TABL1234[[#This Row],[الفرق بين بداية ونهاية خط  T/B]]+TABL1234[[#This Row],[الفرق بين بداية ونهاية خط  S/S]]</f>
        <v>0</v>
      </c>
      <c r="T14" s="3">
        <f>TABL1234[[#This Row],[(S/S TOT) AJD]]+TABL1234[[#This Row],[(T/B TOT) AJD]]</f>
        <v>0</v>
      </c>
      <c r="U14" s="3"/>
      <c r="V14" s="3"/>
      <c r="W14" s="3">
        <f>TABL1234[[#This Row],[(A/B TOT) AJD]]+TABL1234[[#This Row],[(A/S TOT)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Row],[البخر  AJD]])</f>
        <v>0</v>
      </c>
      <c r="AE14" s="6"/>
      <c r="AF14" s="33"/>
      <c r="AG14" s="6"/>
      <c r="AH14" s="6"/>
      <c r="AI14" s="6"/>
      <c r="AJ14" s="6">
        <f>TABL1234[[#This Row],[(A/B TOT) AJD]]-TABL1234[[#This Row],[BER_ IN]]</f>
        <v>0</v>
      </c>
      <c r="AK14" s="33"/>
      <c r="AL14" s="6"/>
      <c r="AM14" s="6"/>
      <c r="AN14" s="32">
        <f>TABL1234[[#This Row],[ (RESV. STORGE) SER]]/10</f>
        <v>0</v>
      </c>
      <c r="AO14" s="75"/>
      <c r="AP14" s="75">
        <f>TABL1234[[#This Row],[(A/S TOT) AJD]]-TABL1234[[#This Row],[SER_ 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Row],[خط (T/B  TOT) SAR]]+TABL1234[[#This Row],[خط (S/S  TOT) SAR2]]</f>
        <v>0</v>
      </c>
      <c r="L15" s="28"/>
      <c r="M15" s="29"/>
      <c r="N15" s="30"/>
      <c r="O15" s="3"/>
      <c r="P15" s="3">
        <f>TABL1234[[#This Row],[خط (S/S  TOT) SAR2]]-TABL1234[[#This Row],[(S/S TOT) AJD]]</f>
        <v>0</v>
      </c>
      <c r="Q15" s="3"/>
      <c r="R15" s="3">
        <f>TABL1234[[#This Row],[خط (T/B  TOT) SAR]]-TABL1234[[#This Row],[(T/B TOT) AJD]]</f>
        <v>0</v>
      </c>
      <c r="S15" s="3">
        <f>TABL1234[[#This Row],[الفرق بين بداية ونهاية خط  T/B]]+TABL1234[[#This Row],[الفرق بين بداية ونهاية خط  S/S]]</f>
        <v>0</v>
      </c>
      <c r="T15" s="3">
        <f>TABL1234[[#This Row],[(S/S TOT) AJD]]+TABL1234[[#This Row],[(T/B TOT) AJD]]</f>
        <v>0</v>
      </c>
      <c r="U15" s="3"/>
      <c r="V15" s="3"/>
      <c r="W15" s="3">
        <f>TABL1234[[#This Row],[(A/B TOT) AJD]]+TABL1234[[#This Row],[(A/S TOT)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Row],[البخر  AJD]])</f>
        <v>0</v>
      </c>
      <c r="AE15" s="6"/>
      <c r="AF15" s="33"/>
      <c r="AG15" s="6"/>
      <c r="AH15" s="6"/>
      <c r="AI15" s="6"/>
      <c r="AJ15" s="6">
        <f>TABL1234[[#This Row],[(A/B TOT) AJD]]-TABL1234[[#This Row],[BER_ IN]]</f>
        <v>0</v>
      </c>
      <c r="AK15" s="33"/>
      <c r="AL15" s="6"/>
      <c r="AM15" s="6"/>
      <c r="AN15" s="32">
        <f>TABL1234[[#This Row],[ (RESV. STORGE) SER]]/10</f>
        <v>0</v>
      </c>
      <c r="AO15" s="75"/>
      <c r="AP15" s="75">
        <f>TABL1234[[#This Row],[(A/S TOT) AJD]]-TABL1234[[#This Row],[SER_ 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Row],[خط (T/B  TOT) SAR]]+TABL1234[[#This Row],[خط (S/S  TOT) SAR2]]</f>
        <v>0</v>
      </c>
      <c r="L16" s="28"/>
      <c r="M16" s="29"/>
      <c r="N16" s="30"/>
      <c r="O16" s="3"/>
      <c r="P16" s="3">
        <f>TABL1234[[#This Row],[خط (S/S  TOT) SAR2]]-TABL1234[[#This Row],[(S/S TOT) AJD]]</f>
        <v>0</v>
      </c>
      <c r="Q16" s="3"/>
      <c r="R16" s="3">
        <f>TABL1234[[#This Row],[خط (T/B  TOT) SAR]]-TABL1234[[#This Row],[(T/B TOT) AJD]]</f>
        <v>0</v>
      </c>
      <c r="S16" s="3">
        <f>TABL1234[[#This Row],[الفرق بين بداية ونهاية خط  T/B]]+TABL1234[[#This Row],[الفرق بين بداية ونهاية خط  S/S]]</f>
        <v>0</v>
      </c>
      <c r="T16" s="3">
        <f>TABL1234[[#This Row],[(S/S TOT) AJD]]+TABL1234[[#This Row],[(T/B TOT) AJD]]</f>
        <v>0</v>
      </c>
      <c r="U16" s="3"/>
      <c r="V16" s="3"/>
      <c r="W16" s="3">
        <f>TABL1234[[#This Row],[(A/B TOT) AJD]]+TABL1234[[#This Row],[(A/S TOT)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Row],[البخر  AJD]])</f>
        <v>0</v>
      </c>
      <c r="AE16" s="6"/>
      <c r="AF16" s="33"/>
      <c r="AG16" s="6"/>
      <c r="AH16" s="6"/>
      <c r="AI16" s="6"/>
      <c r="AJ16" s="6">
        <f>TABL1234[[#This Row],[(A/B TOT) AJD]]-TABL1234[[#This Row],[BER_ IN]]</f>
        <v>0</v>
      </c>
      <c r="AK16" s="33"/>
      <c r="AL16" s="6"/>
      <c r="AM16" s="6"/>
      <c r="AN16" s="32">
        <f>TABL1234[[#This Row],[ (RESV. STORGE) SER]]/10</f>
        <v>0</v>
      </c>
      <c r="AO16" s="75"/>
      <c r="AP16" s="75">
        <f>TABL1234[[#This Row],[(A/S TOT) AJD]]-TABL1234[[#This Row],[SER_ 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Row],[خط (T/B  TOT) SAR]]+TABL1234[[#This Row],[خط (S/S  TOT) SAR2]]</f>
        <v>0</v>
      </c>
      <c r="L17" s="28"/>
      <c r="M17" s="29"/>
      <c r="N17" s="30"/>
      <c r="O17" s="3"/>
      <c r="P17" s="3">
        <f>TABL1234[[#This Row],[خط (S/S  TOT) SAR2]]-TABL1234[[#This Row],[(S/S TOT) AJD]]</f>
        <v>0</v>
      </c>
      <c r="Q17" s="3"/>
      <c r="R17" s="3">
        <f>TABL1234[[#This Row],[خط (T/B  TOT) SAR]]-TABL1234[[#This Row],[(T/B TOT) AJD]]</f>
        <v>0</v>
      </c>
      <c r="S17" s="3">
        <f>TABL1234[[#This Row],[الفرق بين بداية ونهاية خط  T/B]]+TABL1234[[#This Row],[الفرق بين بداية ونهاية خط  S/S]]</f>
        <v>0</v>
      </c>
      <c r="T17" s="3">
        <f>TABL1234[[#This Row],[(S/S TOT) AJD]]+TABL1234[[#This Row],[(T/B TOT) AJD]]</f>
        <v>0</v>
      </c>
      <c r="U17" s="3"/>
      <c r="V17" s="3"/>
      <c r="W17" s="3">
        <f>TABL1234[[#This Row],[(A/B TOT) AJD]]+TABL1234[[#This Row],[(A/S TOT)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Row],[البخر  AJD]])</f>
        <v>0</v>
      </c>
      <c r="AE17" s="6"/>
      <c r="AF17" s="33"/>
      <c r="AG17" s="6"/>
      <c r="AH17" s="6"/>
      <c r="AI17" s="6"/>
      <c r="AJ17" s="6">
        <f>TABL1234[[#This Row],[(A/B TOT) AJD]]-TABL1234[[#This Row],[BER_ IN]]</f>
        <v>0</v>
      </c>
      <c r="AK17" s="33"/>
      <c r="AL17" s="6"/>
      <c r="AM17" s="6"/>
      <c r="AN17" s="32">
        <f>TABL1234[[#This Row],[ (RESV. STORGE) SER]]/10</f>
        <v>0</v>
      </c>
      <c r="AO17" s="75"/>
      <c r="AP17" s="75">
        <f>TABL1234[[#This Row],[(A/S TOT) AJD]]-TABL1234[[#This Row],[SER_ 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Row],[خط (T/B  TOT) SAR]]+TABL1234[[#This Row],[خط (S/S  TOT) SAR2]]</f>
        <v>0</v>
      </c>
      <c r="L18" s="28"/>
      <c r="M18" s="29"/>
      <c r="N18" s="30"/>
      <c r="O18" s="3"/>
      <c r="P18" s="3">
        <f>TABL1234[[#This Row],[خط (S/S  TOT) SAR2]]-TABL1234[[#This Row],[(S/S TOT) AJD]]</f>
        <v>0</v>
      </c>
      <c r="Q18" s="3"/>
      <c r="R18" s="3">
        <f>TABL1234[[#This Row],[خط (T/B  TOT) SAR]]-TABL1234[[#This Row],[(T/B TOT) AJD]]</f>
        <v>0</v>
      </c>
      <c r="S18" s="3">
        <f>TABL1234[[#This Row],[الفرق بين بداية ونهاية خط  T/B]]+TABL1234[[#This Row],[الفرق بين بداية ونهاية خط  S/S]]</f>
        <v>0</v>
      </c>
      <c r="T18" s="3">
        <f>TABL1234[[#This Row],[(S/S TOT) AJD]]+TABL1234[[#This Row],[(T/B TOT) AJD]]</f>
        <v>0</v>
      </c>
      <c r="U18" s="3"/>
      <c r="V18" s="3"/>
      <c r="W18" s="3">
        <f>TABL1234[[#This Row],[(A/B TOT) AJD]]+TABL1234[[#This Row],[(A/S TOT)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Row],[البخر  AJD]])</f>
        <v>0</v>
      </c>
      <c r="AE18" s="6"/>
      <c r="AF18" s="33"/>
      <c r="AG18" s="6"/>
      <c r="AH18" s="6"/>
      <c r="AI18" s="6"/>
      <c r="AJ18" s="6">
        <f>TABL1234[[#This Row],[(A/B TOT) AJD]]-TABL1234[[#This Row],[BER_ IN]]</f>
        <v>0</v>
      </c>
      <c r="AK18" s="33"/>
      <c r="AL18" s="6"/>
      <c r="AM18" s="6"/>
      <c r="AN18" s="32">
        <f>TABL1234[[#This Row],[ (RESV. STORGE) SER]]/10</f>
        <v>0</v>
      </c>
      <c r="AO18" s="75"/>
      <c r="AP18" s="75">
        <f>TABL1234[[#This Row],[(A/S TOT) AJD]]-TABL1234[[#This Row],[SER_ 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Row],[خط (T/B  TOT) SAR]]+TABL1234[[#This Row],[خط (S/S  TOT) SAR2]]</f>
        <v>0</v>
      </c>
      <c r="L19" s="28"/>
      <c r="M19" s="29"/>
      <c r="N19" s="30"/>
      <c r="O19" s="3"/>
      <c r="P19" s="3">
        <f>TABL1234[[#This Row],[خط (S/S  TOT) SAR2]]-TABL1234[[#This Row],[(S/S TOT) AJD]]</f>
        <v>0</v>
      </c>
      <c r="Q19" s="3"/>
      <c r="R19" s="3">
        <f>TABL1234[[#This Row],[خط (T/B  TOT) SAR]]-TABL1234[[#This Row],[(T/B TOT) AJD]]</f>
        <v>0</v>
      </c>
      <c r="S19" s="3">
        <f>TABL1234[[#This Row],[الفرق بين بداية ونهاية خط  T/B]]+TABL1234[[#This Row],[الفرق بين بداية ونهاية خط  S/S]]</f>
        <v>0</v>
      </c>
      <c r="T19" s="3">
        <f>TABL1234[[#This Row],[(S/S TOT) AJD]]+TABL1234[[#This Row],[(T/B TOT) AJD]]</f>
        <v>0</v>
      </c>
      <c r="U19" s="3"/>
      <c r="V19" s="3"/>
      <c r="W19" s="3">
        <f>TABL1234[[#This Row],[(A/B TOT) AJD]]+TABL1234[[#This Row],[(A/S TOT)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Row],[البخر  AJD]])</f>
        <v>0</v>
      </c>
      <c r="AE19" s="6"/>
      <c r="AF19" s="33"/>
      <c r="AG19" s="6"/>
      <c r="AH19" s="6"/>
      <c r="AI19" s="6"/>
      <c r="AJ19" s="6">
        <f>TABL1234[[#This Row],[(A/B TOT) AJD]]-TABL1234[[#This Row],[BER_ IN]]</f>
        <v>0</v>
      </c>
      <c r="AK19" s="33"/>
      <c r="AL19" s="6"/>
      <c r="AM19" s="6"/>
      <c r="AN19" s="32">
        <f>TABL1234[[#This Row],[ (RESV. STORGE) SER]]/10</f>
        <v>0</v>
      </c>
      <c r="AO19" s="75"/>
      <c r="AP19" s="75">
        <f>TABL1234[[#This Row],[(A/S TOT) AJD]]-TABL1234[[#This Row],[SER_ 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Row],[خط (T/B  TOT) SAR]]+TABL1234[[#This Row],[خط (S/S  TOT) SAR2]]</f>
        <v>0</v>
      </c>
      <c r="L20" s="28"/>
      <c r="M20" s="29"/>
      <c r="N20" s="30"/>
      <c r="O20" s="3"/>
      <c r="P20" s="3">
        <f>TABL1234[[#This Row],[خط (S/S  TOT) SAR2]]-TABL1234[[#This Row],[(S/S TOT) AJD]]</f>
        <v>0</v>
      </c>
      <c r="Q20" s="3"/>
      <c r="R20" s="3">
        <f>TABL1234[[#This Row],[خط (T/B  TOT) SAR]]-TABL1234[[#This Row],[(T/B TOT) AJD]]</f>
        <v>0</v>
      </c>
      <c r="S20" s="3">
        <f>TABL1234[[#This Row],[الفرق بين بداية ونهاية خط  T/B]]+TABL1234[[#This Row],[الفرق بين بداية ونهاية خط  S/S]]</f>
        <v>0</v>
      </c>
      <c r="T20" s="3">
        <f>TABL1234[[#This Row],[(S/S TOT) AJD]]+TABL1234[[#This Row],[(T/B TOT) AJD]]</f>
        <v>0</v>
      </c>
      <c r="U20" s="3"/>
      <c r="V20" s="3"/>
      <c r="W20" s="3">
        <f>TABL1234[[#This Row],[(A/B TOT) AJD]]+TABL1234[[#This Row],[(A/S TOT)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Row],[البخر  AJD]])</f>
        <v>0</v>
      </c>
      <c r="AE20" s="6"/>
      <c r="AF20" s="33"/>
      <c r="AG20" s="6"/>
      <c r="AH20" s="6"/>
      <c r="AI20" s="6"/>
      <c r="AJ20" s="6">
        <f>TABL1234[[#This Row],[(A/B TOT) AJD]]-TABL1234[[#This Row],[BER_ IN]]</f>
        <v>0</v>
      </c>
      <c r="AK20" s="33"/>
      <c r="AL20" s="6"/>
      <c r="AM20" s="6"/>
      <c r="AN20" s="32">
        <f>TABL1234[[#This Row],[ (RESV. STORGE) SER]]/10</f>
        <v>0</v>
      </c>
      <c r="AO20" s="75"/>
      <c r="AP20" s="75">
        <f>TABL1234[[#This Row],[(A/S TOT) AJD]]-TABL1234[[#This Row],[SER_ 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Row],[خط (T/B  TOT) SAR]]+TABL1234[[#This Row],[خط (S/S  TOT) SAR2]]</f>
        <v>0</v>
      </c>
      <c r="L21" s="28"/>
      <c r="M21" s="29"/>
      <c r="N21" s="30"/>
      <c r="O21" s="3"/>
      <c r="P21" s="3">
        <f>TABL1234[[#This Row],[خط (S/S  TOT) SAR2]]-TABL1234[[#This Row],[(S/S TOT) AJD]]</f>
        <v>0</v>
      </c>
      <c r="Q21" s="3"/>
      <c r="R21" s="3">
        <f>TABL1234[[#This Row],[خط (T/B  TOT) SAR]]-TABL1234[[#This Row],[(T/B TOT) AJD]]</f>
        <v>0</v>
      </c>
      <c r="S21" s="3">
        <f>TABL1234[[#This Row],[الفرق بين بداية ونهاية خط  T/B]]+TABL1234[[#This Row],[الفرق بين بداية ونهاية خط  S/S]]</f>
        <v>0</v>
      </c>
      <c r="T21" s="3">
        <f>TABL1234[[#This Row],[(S/S TOT) AJD]]+TABL1234[[#This Row],[(T/B TOT) AJD]]</f>
        <v>0</v>
      </c>
      <c r="U21" s="3"/>
      <c r="V21" s="3"/>
      <c r="W21" s="3">
        <f>TABL1234[[#This Row],[(A/B TOT) AJD]]+TABL1234[[#This Row],[(A/S TOT)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Row],[البخر  AJD]])</f>
        <v>0</v>
      </c>
      <c r="AE21" s="6"/>
      <c r="AF21" s="33"/>
      <c r="AG21" s="6"/>
      <c r="AH21" s="6"/>
      <c r="AI21" s="6"/>
      <c r="AJ21" s="6">
        <f>TABL1234[[#This Row],[(A/B TOT) AJD]]-TABL1234[[#This Row],[BER_ IN]]</f>
        <v>0</v>
      </c>
      <c r="AK21" s="33"/>
      <c r="AL21" s="6"/>
      <c r="AM21" s="6"/>
      <c r="AN21" s="32">
        <f>TABL1234[[#This Row],[ (RESV. STORGE) SER]]/10</f>
        <v>0</v>
      </c>
      <c r="AO21" s="75"/>
      <c r="AP21" s="75">
        <f>TABL1234[[#This Row],[(A/S TOT) AJD]]-TABL1234[[#This Row],[SER_ 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Row],[خط (T/B  TOT) SAR]]+TABL1234[[#This Row],[خط (S/S  TOT) SAR2]]</f>
        <v>0</v>
      </c>
      <c r="L22" s="28"/>
      <c r="M22" s="29"/>
      <c r="N22" s="30"/>
      <c r="O22" s="3"/>
      <c r="P22" s="3">
        <f>TABL1234[[#This Row],[خط (S/S  TOT) SAR2]]-TABL1234[[#This Row],[(S/S TOT) AJD]]</f>
        <v>0</v>
      </c>
      <c r="Q22" s="3"/>
      <c r="R22" s="3">
        <f>TABL1234[[#This Row],[خط (T/B  TOT) SAR]]-TABL1234[[#This Row],[(T/B TOT) AJD]]</f>
        <v>0</v>
      </c>
      <c r="S22" s="3">
        <f>TABL1234[[#This Row],[الفرق بين بداية ونهاية خط  T/B]]+TABL1234[[#This Row],[الفرق بين بداية ونهاية خط  S/S]]</f>
        <v>0</v>
      </c>
      <c r="T22" s="3">
        <f>TABL1234[[#This Row],[(S/S TOT) AJD]]+TABL1234[[#This Row],[(T/B TOT) AJD]]</f>
        <v>0</v>
      </c>
      <c r="U22" s="3"/>
      <c r="V22" s="3"/>
      <c r="W22" s="3">
        <f>TABL1234[[#This Row],[(A/B TOT) AJD]]+TABL1234[[#This Row],[(A/S TOT)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Row],[البخر  AJD]])</f>
        <v>0</v>
      </c>
      <c r="AE22" s="6"/>
      <c r="AF22" s="33"/>
      <c r="AG22" s="6"/>
      <c r="AH22" s="6"/>
      <c r="AI22" s="6"/>
      <c r="AJ22" s="6">
        <f>TABL1234[[#This Row],[(A/B TOT) AJD]]-TABL1234[[#This Row],[BER_ IN]]</f>
        <v>0</v>
      </c>
      <c r="AK22" s="33"/>
      <c r="AL22" s="6"/>
      <c r="AM22" s="6"/>
      <c r="AN22" s="32">
        <f>TABL1234[[#This Row],[ (RESV. STORGE) SER]]/10</f>
        <v>0</v>
      </c>
      <c r="AO22" s="75"/>
      <c r="AP22" s="75">
        <f>TABL1234[[#This Row],[(A/S TOT) AJD]]-TABL1234[[#This Row],[SER_ 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Row],[خط (T/B  TOT) SAR]]+TABL1234[[#This Row],[خط (S/S  TOT) SAR2]]</f>
        <v>0</v>
      </c>
      <c r="L23" s="28"/>
      <c r="M23" s="29"/>
      <c r="N23" s="30"/>
      <c r="O23" s="3"/>
      <c r="P23" s="3">
        <f>TABL1234[[#This Row],[خط (S/S  TOT) SAR2]]-TABL1234[[#This Row],[(S/S TOT) AJD]]</f>
        <v>0</v>
      </c>
      <c r="Q23" s="3"/>
      <c r="R23" s="3">
        <f>TABL1234[[#This Row],[خط (T/B  TOT) SAR]]-TABL1234[[#This Row],[(T/B TOT) AJD]]</f>
        <v>0</v>
      </c>
      <c r="S23" s="3">
        <f>TABL1234[[#This Row],[الفرق بين بداية ونهاية خط  T/B]]+TABL1234[[#This Row],[الفرق بين بداية ونهاية خط  S/S]]</f>
        <v>0</v>
      </c>
      <c r="T23" s="3">
        <f>TABL1234[[#This Row],[(S/S TOT) AJD]]+TABL1234[[#This Row],[(T/B TOT) AJD]]</f>
        <v>0</v>
      </c>
      <c r="U23" s="3"/>
      <c r="V23" s="3"/>
      <c r="W23" s="3">
        <f>TABL1234[[#This Row],[(A/B TOT) AJD]]+TABL1234[[#This Row],[(A/S TOT)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Row],[البخر  AJD]])</f>
        <v>0</v>
      </c>
      <c r="AE23" s="6"/>
      <c r="AF23" s="33"/>
      <c r="AG23" s="6"/>
      <c r="AH23" s="6"/>
      <c r="AI23" s="6"/>
      <c r="AJ23" s="6">
        <f>TABL1234[[#This Row],[(A/B TOT) AJD]]-TABL1234[[#This Row],[BER_ IN]]</f>
        <v>0</v>
      </c>
      <c r="AK23" s="33"/>
      <c r="AL23" s="6"/>
      <c r="AM23" s="6"/>
      <c r="AN23" s="32">
        <f>TABL1234[[#This Row],[ (RESV. STORGE) SER]]/10</f>
        <v>0</v>
      </c>
      <c r="AO23" s="75"/>
      <c r="AP23" s="75">
        <f>TABL1234[[#This Row],[(A/S TOT) AJD]]-TABL1234[[#This Row],[SER_ 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Row],[خط (T/B  TOT) SAR]]+TABL1234[[#This Row],[خط (S/S  TOT) SAR2]]</f>
        <v>0</v>
      </c>
      <c r="L24" s="28"/>
      <c r="M24" s="29"/>
      <c r="N24" s="30"/>
      <c r="O24" s="3"/>
      <c r="P24" s="3">
        <f>TABL1234[[#This Row],[خط (S/S  TOT) SAR2]]-TABL1234[[#This Row],[(S/S TOT) AJD]]</f>
        <v>0</v>
      </c>
      <c r="Q24" s="3"/>
      <c r="R24" s="3">
        <f>TABL1234[[#This Row],[خط (T/B  TOT) SAR]]-TABL1234[[#This Row],[(T/B TOT) AJD]]</f>
        <v>0</v>
      </c>
      <c r="S24" s="3">
        <f>TABL1234[[#This Row],[الفرق بين بداية ونهاية خط  T/B]]+TABL1234[[#This Row],[الفرق بين بداية ونهاية خط  S/S]]</f>
        <v>0</v>
      </c>
      <c r="T24" s="3">
        <f>TABL1234[[#This Row],[(S/S TOT) AJD]]+TABL1234[[#This Row],[(T/B TOT) AJD]]</f>
        <v>0</v>
      </c>
      <c r="U24" s="3"/>
      <c r="V24" s="3"/>
      <c r="W24" s="3">
        <f>TABL1234[[#This Row],[(A/B TOT) AJD]]+TABL1234[[#This Row],[(A/S TOT)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Row],[البخر  AJD]])</f>
        <v>0</v>
      </c>
      <c r="AE24" s="6"/>
      <c r="AF24" s="33"/>
      <c r="AG24" s="6"/>
      <c r="AH24" s="6"/>
      <c r="AI24" s="6"/>
      <c r="AJ24" s="6">
        <f>TABL1234[[#This Row],[(A/B TOT) AJD]]-TABL1234[[#This Row],[BER_ IN]]</f>
        <v>0</v>
      </c>
      <c r="AK24" s="33"/>
      <c r="AL24" s="6"/>
      <c r="AM24" s="6"/>
      <c r="AN24" s="32">
        <f>TABL1234[[#This Row],[ (RESV. STORGE) SER]]/10</f>
        <v>0</v>
      </c>
      <c r="AO24" s="75"/>
      <c r="AP24" s="75">
        <f>TABL1234[[#This Row],[(A/S TOT) AJD]]-TABL1234[[#This Row],[SER_ 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Row],[خط (T/B  TOT) SAR]]+TABL1234[[#This Row],[خط (S/S  TOT) SAR2]]</f>
        <v>0</v>
      </c>
      <c r="L25" s="28"/>
      <c r="M25" s="29"/>
      <c r="N25" s="30"/>
      <c r="O25" s="3"/>
      <c r="P25" s="3">
        <f>TABL1234[[#This Row],[خط (S/S  TOT) SAR2]]-TABL1234[[#This Row],[(S/S TOT) AJD]]</f>
        <v>0</v>
      </c>
      <c r="Q25" s="3"/>
      <c r="R25" s="3">
        <f>TABL1234[[#This Row],[خط (T/B  TOT) SAR]]-TABL1234[[#This Row],[(T/B TOT) AJD]]</f>
        <v>0</v>
      </c>
      <c r="S25" s="3">
        <f>TABL1234[[#This Row],[الفرق بين بداية ونهاية خط  T/B]]+TABL1234[[#This Row],[الفرق بين بداية ونهاية خط  S/S]]</f>
        <v>0</v>
      </c>
      <c r="T25" s="3">
        <f>TABL1234[[#This Row],[(S/S TOT) AJD]]+TABL1234[[#This Row],[(T/B TOT) AJD]]</f>
        <v>0</v>
      </c>
      <c r="U25" s="3"/>
      <c r="V25" s="3"/>
      <c r="W25" s="3">
        <f>TABL1234[[#This Row],[(A/B TOT) AJD]]+TABL1234[[#This Row],[(A/S TOT)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Row],[البخر  AJD]])</f>
        <v>0</v>
      </c>
      <c r="AE25" s="6"/>
      <c r="AF25" s="33"/>
      <c r="AG25" s="6"/>
      <c r="AH25" s="6"/>
      <c r="AI25" s="6"/>
      <c r="AJ25" s="6">
        <f>TABL1234[[#This Row],[(A/B TOT) AJD]]-TABL1234[[#This Row],[BER_ IN]]</f>
        <v>0</v>
      </c>
      <c r="AK25" s="33"/>
      <c r="AL25" s="6"/>
      <c r="AM25" s="6"/>
      <c r="AN25" s="32">
        <f>TABL1234[[#This Row],[ (RESV. STORGE) SER]]/10</f>
        <v>0</v>
      </c>
      <c r="AO25" s="75"/>
      <c r="AP25" s="75">
        <f>TABL1234[[#This Row],[(A/S TOT) AJD]]-TABL1234[[#This Row],[SER_ 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Row],[خط (T/B  TOT) SAR]]+TABL1234[[#This Row],[خط (S/S  TOT) SAR2]]</f>
        <v>0</v>
      </c>
      <c r="L26" s="28"/>
      <c r="M26" s="29"/>
      <c r="N26" s="30"/>
      <c r="O26" s="3"/>
      <c r="P26" s="3">
        <f>TABL1234[[#This Row],[خط (S/S  TOT) SAR2]]-TABL1234[[#This Row],[(S/S TOT) AJD]]</f>
        <v>0</v>
      </c>
      <c r="Q26" s="3"/>
      <c r="R26" s="3">
        <f>TABL1234[[#This Row],[خط (T/B  TOT) SAR]]-TABL1234[[#This Row],[(T/B TOT) AJD]]</f>
        <v>0</v>
      </c>
      <c r="S26" s="3">
        <f>TABL1234[[#This Row],[الفرق بين بداية ونهاية خط  T/B]]+TABL1234[[#This Row],[الفرق بين بداية ونهاية خط  S/S]]</f>
        <v>0</v>
      </c>
      <c r="T26" s="3">
        <f>TABL1234[[#This Row],[(S/S TOT) AJD]]+TABL1234[[#This Row],[(T/B TOT) AJD]]</f>
        <v>0</v>
      </c>
      <c r="U26" s="3"/>
      <c r="V26" s="3"/>
      <c r="W26" s="3">
        <f>TABL1234[[#This Row],[(A/B TOT) AJD]]+TABL1234[[#This Row],[(A/S TOT)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Row],[البخر  AJD]])</f>
        <v>0</v>
      </c>
      <c r="AE26" s="6"/>
      <c r="AF26" s="33"/>
      <c r="AG26" s="6"/>
      <c r="AH26" s="6"/>
      <c r="AI26" s="6"/>
      <c r="AJ26" s="6">
        <f>TABL1234[[#This Row],[(A/B TOT) AJD]]-TABL1234[[#This Row],[BER_ IN]]</f>
        <v>0</v>
      </c>
      <c r="AK26" s="33"/>
      <c r="AL26" s="6"/>
      <c r="AM26" s="6"/>
      <c r="AN26" s="32">
        <f>TABL1234[[#This Row],[ (RESV. STORGE) SER]]/10</f>
        <v>0</v>
      </c>
      <c r="AO26" s="75"/>
      <c r="AP26" s="75">
        <f>TABL1234[[#This Row],[(A/S TOT) AJD]]-TABL1234[[#This Row],[SER_ 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Row],[خط (T/B  TOT) SAR]]+TABL1234[[#This Row],[خط (S/S  TOT) SAR2]]</f>
        <v>0</v>
      </c>
      <c r="L27" s="28"/>
      <c r="M27" s="29"/>
      <c r="N27" s="30"/>
      <c r="O27" s="3"/>
      <c r="P27" s="3">
        <f>TABL1234[[#This Row],[خط (S/S  TOT) SAR2]]-TABL1234[[#This Row],[(S/S TOT) AJD]]</f>
        <v>0</v>
      </c>
      <c r="Q27" s="3"/>
      <c r="R27" s="3">
        <f>TABL1234[[#This Row],[خط (T/B  TOT) SAR]]-TABL1234[[#This Row],[(T/B TOT) AJD]]</f>
        <v>0</v>
      </c>
      <c r="S27" s="3">
        <f>TABL1234[[#This Row],[الفرق بين بداية ونهاية خط  T/B]]+TABL1234[[#This Row],[الفرق بين بداية ونهاية خط  S/S]]</f>
        <v>0</v>
      </c>
      <c r="T27" s="3">
        <f>TABL1234[[#This Row],[(S/S TOT) AJD]]+TABL1234[[#This Row],[(T/B TOT) AJD]]</f>
        <v>0</v>
      </c>
      <c r="U27" s="3"/>
      <c r="V27" s="3"/>
      <c r="W27" s="3">
        <f>TABL1234[[#This Row],[(A/B TOT) AJD]]+TABL1234[[#This Row],[(A/S TOT)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Row],[البخر  AJD]])</f>
        <v>0</v>
      </c>
      <c r="AE27" s="6"/>
      <c r="AF27" s="33"/>
      <c r="AG27" s="6"/>
      <c r="AH27" s="6"/>
      <c r="AI27" s="6"/>
      <c r="AJ27" s="6">
        <f>TABL1234[[#This Row],[(A/B TOT) AJD]]-TABL1234[[#This Row],[BER_ IN]]</f>
        <v>0</v>
      </c>
      <c r="AK27" s="33"/>
      <c r="AL27" s="6"/>
      <c r="AM27" s="6"/>
      <c r="AN27" s="32">
        <f>TABL1234[[#This Row],[ (RESV. STORGE) SER]]/10</f>
        <v>0</v>
      </c>
      <c r="AO27" s="75"/>
      <c r="AP27" s="75">
        <f>TABL1234[[#This Row],[(A/S TOT) AJD]]-TABL1234[[#This Row],[SER_ 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Row],[خط (T/B  TOT) SAR]]+TABL1234[[#This Row],[خط (S/S  TOT) SAR2]]</f>
        <v>0</v>
      </c>
      <c r="L28" s="28"/>
      <c r="M28" s="29"/>
      <c r="N28" s="30"/>
      <c r="O28" s="3"/>
      <c r="P28" s="3">
        <f>TABL1234[[#This Row],[خط (S/S  TOT) SAR2]]-TABL1234[[#This Row],[(S/S TOT) AJD]]</f>
        <v>0</v>
      </c>
      <c r="Q28" s="3"/>
      <c r="R28" s="3">
        <f>TABL1234[[#This Row],[خط (T/B  TOT) SAR]]-TABL1234[[#This Row],[(T/B TOT) AJD]]</f>
        <v>0</v>
      </c>
      <c r="S28" s="3">
        <f>TABL1234[[#This Row],[الفرق بين بداية ونهاية خط  T/B]]+TABL1234[[#This Row],[الفرق بين بداية ونهاية خط  S/S]]</f>
        <v>0</v>
      </c>
      <c r="T28" s="3">
        <f>TABL1234[[#This Row],[(S/S TOT) AJD]]+TABL1234[[#This Row],[(T/B TOT) AJD]]</f>
        <v>0</v>
      </c>
      <c r="U28" s="3"/>
      <c r="V28" s="3"/>
      <c r="W28" s="3">
        <f>TABL1234[[#This Row],[(A/B TOT) AJD]]+TABL1234[[#This Row],[(A/S TOT)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Row],[البخر  AJD]])</f>
        <v>0</v>
      </c>
      <c r="AE28" s="6"/>
      <c r="AF28" s="33"/>
      <c r="AG28" s="6"/>
      <c r="AH28" s="6"/>
      <c r="AI28" s="6"/>
      <c r="AJ28" s="6">
        <f>TABL1234[[#This Row],[(A/B TOT) AJD]]-TABL1234[[#This Row],[BER_ IN]]</f>
        <v>0</v>
      </c>
      <c r="AK28" s="33"/>
      <c r="AL28" s="6"/>
      <c r="AM28" s="6"/>
      <c r="AN28" s="32">
        <f>TABL1234[[#This Row],[ (RESV. STORGE) SER]]/10</f>
        <v>0</v>
      </c>
      <c r="AO28" s="75"/>
      <c r="AP28" s="75">
        <f>TABL1234[[#This Row],[(A/S TOT) AJD]]-TABL1234[[#This Row],[SER_ 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Row],[خط (T/B  TOT) SAR]]+TABL1234[[#This Row],[خط (S/S  TOT) SAR2]]</f>
        <v>0</v>
      </c>
      <c r="L29" s="28"/>
      <c r="M29" s="29"/>
      <c r="N29" s="30"/>
      <c r="O29" s="3"/>
      <c r="P29" s="3">
        <f>TABL1234[[#This Row],[خط (S/S  TOT) SAR2]]-TABL1234[[#This Row],[(S/S TOT) AJD]]</f>
        <v>0</v>
      </c>
      <c r="Q29" s="3"/>
      <c r="R29" s="3">
        <f>TABL1234[[#This Row],[خط (T/B  TOT) SAR]]-TABL1234[[#This Row],[(T/B TOT) AJD]]</f>
        <v>0</v>
      </c>
      <c r="S29" s="3">
        <f>TABL1234[[#This Row],[الفرق بين بداية ونهاية خط  T/B]]+TABL1234[[#This Row],[الفرق بين بداية ونهاية خط  S/S]]</f>
        <v>0</v>
      </c>
      <c r="T29" s="3">
        <f>TABL1234[[#This Row],[(S/S TOT) AJD]]+TABL1234[[#This Row],[(T/B TOT) AJD]]</f>
        <v>0</v>
      </c>
      <c r="U29" s="3"/>
      <c r="V29" s="3"/>
      <c r="W29" s="3">
        <f>TABL1234[[#This Row],[(A/B TOT) AJD]]+TABL1234[[#This Row],[(A/S TOT)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Row],[البخر  AJD]])</f>
        <v>0</v>
      </c>
      <c r="AE29" s="6"/>
      <c r="AF29" s="33"/>
      <c r="AG29" s="6"/>
      <c r="AH29" s="6"/>
      <c r="AI29" s="6"/>
      <c r="AJ29" s="6">
        <f>TABL1234[[#This Row],[(A/B TOT) AJD]]-TABL1234[[#This Row],[BER_ IN]]</f>
        <v>0</v>
      </c>
      <c r="AK29" s="33"/>
      <c r="AL29" s="6"/>
      <c r="AM29" s="6"/>
      <c r="AN29" s="32">
        <f>TABL1234[[#This Row],[ (RESV. STORGE) SER]]/10</f>
        <v>0</v>
      </c>
      <c r="AO29" s="75"/>
      <c r="AP29" s="75">
        <f>TABL1234[[#This Row],[(A/S TOT) AJD]]-TABL1234[[#This Row],[SER_ 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Row],[خط (T/B  TOT) SAR]]+TABL1234[[#This Row],[خط (S/S  TOT) SAR2]]</f>
        <v>0</v>
      </c>
      <c r="L30" s="28"/>
      <c r="M30" s="29"/>
      <c r="N30" s="30"/>
      <c r="O30" s="3"/>
      <c r="P30" s="3">
        <f>TABL1234[[#This Row],[خط (S/S  TOT) SAR2]]-TABL1234[[#This Row],[(S/S TOT) AJD]]</f>
        <v>0</v>
      </c>
      <c r="Q30" s="3"/>
      <c r="R30" s="3">
        <f>TABL1234[[#This Row],[خط (T/B  TOT) SAR]]-TABL1234[[#This Row],[(T/B TOT) AJD]]</f>
        <v>0</v>
      </c>
      <c r="S30" s="3">
        <f>TABL1234[[#This Row],[الفرق بين بداية ونهاية خط  T/B]]+TABL1234[[#This Row],[الفرق بين بداية ونهاية خط  S/S]]</f>
        <v>0</v>
      </c>
      <c r="T30" s="3">
        <f>TABL1234[[#This Row],[(S/S TOT) AJD]]+TABL1234[[#This Row],[(T/B TOT) AJD]]</f>
        <v>0</v>
      </c>
      <c r="U30" s="3"/>
      <c r="V30" s="3"/>
      <c r="W30" s="3">
        <f>TABL1234[[#This Row],[(A/B TOT) AJD]]+TABL1234[[#This Row],[(A/S TOT)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Row],[البخر  AJD]])</f>
        <v>0</v>
      </c>
      <c r="AE30" s="6"/>
      <c r="AF30" s="33"/>
      <c r="AG30" s="6"/>
      <c r="AH30" s="6"/>
      <c r="AI30" s="6"/>
      <c r="AJ30" s="6">
        <f>TABL1234[[#This Row],[(A/B TOT) AJD]]-TABL1234[[#This Row],[BER_ IN]]</f>
        <v>0</v>
      </c>
      <c r="AK30" s="33"/>
      <c r="AL30" s="6"/>
      <c r="AM30" s="6"/>
      <c r="AN30" s="32">
        <f>TABL1234[[#This Row],[ (RESV. STORGE) SER]]/10</f>
        <v>0</v>
      </c>
      <c r="AO30" s="75"/>
      <c r="AP30" s="75">
        <f>TABL1234[[#This Row],[(A/S TOT) AJD]]-TABL1234[[#This Row],[SER_ 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Row],[خط (T/B  TOT) SAR]]+TABL1234[[#This Row],[خط (S/S  TOT) SAR2]]</f>
        <v>0</v>
      </c>
      <c r="L31" s="28"/>
      <c r="M31" s="29"/>
      <c r="N31" s="30"/>
      <c r="O31" s="3"/>
      <c r="P31" s="3">
        <f>TABL1234[[#This Row],[خط (S/S  TOT) SAR2]]-TABL1234[[#This Row],[(S/S TOT) AJD]]</f>
        <v>0</v>
      </c>
      <c r="Q31" s="3"/>
      <c r="R31" s="3">
        <f>TABL1234[[#This Row],[خط (T/B  TOT) SAR]]-TABL1234[[#This Row],[(T/B TOT) AJD]]</f>
        <v>0</v>
      </c>
      <c r="S31" s="3">
        <f>TABL1234[[#This Row],[الفرق بين بداية ونهاية خط  T/B]]+TABL1234[[#This Row],[الفرق بين بداية ونهاية خط  S/S]]</f>
        <v>0</v>
      </c>
      <c r="T31" s="3">
        <f>TABL1234[[#This Row],[(S/S TOT) AJD]]+TABL1234[[#This Row],[(T/B TOT) AJD]]</f>
        <v>0</v>
      </c>
      <c r="U31" s="3"/>
      <c r="V31" s="3"/>
      <c r="W31" s="3">
        <f>TABL1234[[#This Row],[(A/B TOT) AJD]]+TABL1234[[#This Row],[(A/S TOT)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Row],[البخر  AJD]])</f>
        <v>0</v>
      </c>
      <c r="AE31" s="6"/>
      <c r="AF31" s="33"/>
      <c r="AG31" s="6"/>
      <c r="AH31" s="6"/>
      <c r="AI31" s="6"/>
      <c r="AJ31" s="6">
        <f>TABL1234[[#This Row],[(A/B TOT) AJD]]-TABL1234[[#This Row],[BER_ IN]]</f>
        <v>0</v>
      </c>
      <c r="AK31" s="33"/>
      <c r="AL31" s="6"/>
      <c r="AM31" s="6"/>
      <c r="AN31" s="32">
        <f>TABL1234[[#This Row],[ (RESV. STORGE) SER]]/10</f>
        <v>0</v>
      </c>
      <c r="AO31" s="75"/>
      <c r="AP31" s="75">
        <f>TABL1234[[#This Row],[(A/S TOT) AJD]]-TABL1234[[#This Row],[SER_ 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Row],[خط (T/B  TOT) SAR]]+TABL1234[[#This Row],[خط (S/S  TOT) SAR2]]</f>
        <v>0</v>
      </c>
      <c r="L32" s="28"/>
      <c r="M32" s="29"/>
      <c r="N32" s="30"/>
      <c r="O32" s="3"/>
      <c r="P32" s="3">
        <f>TABL1234[[#This Row],[خط (S/S  TOT) SAR2]]-TABL1234[[#This Row],[(S/S TOT) AJD]]</f>
        <v>0</v>
      </c>
      <c r="Q32" s="3"/>
      <c r="R32" s="3">
        <f>TABL1234[[#This Row],[خط (T/B  TOT) SAR]]-TABL1234[[#This Row],[(T/B TOT) AJD]]</f>
        <v>0</v>
      </c>
      <c r="S32" s="3">
        <f>TABL1234[[#This Row],[الفرق بين بداية ونهاية خط  T/B]]+TABL1234[[#This Row],[الفرق بين بداية ونهاية خط  S/S]]</f>
        <v>0</v>
      </c>
      <c r="T32" s="3">
        <f>TABL1234[[#This Row],[(S/S TOT) AJD]]+TABL1234[[#This Row],[(T/B TOT) AJD]]</f>
        <v>0</v>
      </c>
      <c r="U32" s="3"/>
      <c r="V32" s="3"/>
      <c r="W32" s="3">
        <f>TABL1234[[#This Row],[(A/B TOT) AJD]]+TABL1234[[#This Row],[(A/S TOT)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Row],[البخر  AJD]])</f>
        <v>0</v>
      </c>
      <c r="AE32" s="6"/>
      <c r="AF32" s="33"/>
      <c r="AG32" s="6"/>
      <c r="AH32" s="6"/>
      <c r="AI32" s="6"/>
      <c r="AJ32" s="6">
        <f>TABL1234[[#This Row],[(A/B TOT) AJD]]-TABL1234[[#This Row],[BER_ IN]]</f>
        <v>0</v>
      </c>
      <c r="AK32" s="33"/>
      <c r="AL32" s="6"/>
      <c r="AM32" s="6"/>
      <c r="AN32" s="32">
        <f>TABL1234[[#This Row],[ (RESV. STORGE) SER]]/10</f>
        <v>0</v>
      </c>
      <c r="AO32" s="75"/>
      <c r="AP32" s="75">
        <f>TABL1234[[#This Row],[(A/S TOT) AJD]]-TABL1234[[#This Row],[SER_ 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Row],[خط (T/B  TOT) SAR]]+TABL1234[[#This Row],[خط (S/S  TOT) SAR2]]</f>
        <v>0</v>
      </c>
      <c r="L33" s="41"/>
      <c r="M33" s="42"/>
      <c r="N33" s="42"/>
      <c r="O33" s="39"/>
      <c r="P33" s="3">
        <f>TABL1234[[#This Row],[خط (S/S  TOT) SAR2]]-TABL1234[[#This Row],[(S/S TOT) AJD]]</f>
        <v>0</v>
      </c>
      <c r="Q33" s="39"/>
      <c r="R33" s="3">
        <f>TABL1234[[#This Row],[خط (T/B  TOT) SAR]]-TABL1234[[#This Row],[(T/B TOT) AJD]]</f>
        <v>0</v>
      </c>
      <c r="S33" s="3">
        <f>TABL1234[[#This Row],[الفرق بين بداية ونهاية خط  T/B]]+TABL1234[[#This Row],[الفرق بين بداية ونهاية خط  S/S]]</f>
        <v>0</v>
      </c>
      <c r="T33" s="3">
        <f>TABL1234[[#This Row],[(S/S TOT) AJD]]+TABL1234[[#This Row],[(T/B TOT) AJD]]</f>
        <v>0</v>
      </c>
      <c r="U33" s="41"/>
      <c r="V33" s="41"/>
      <c r="W33" s="3">
        <f>TABL1234[[#This Row],[(A/B TOT) AJD]]+TABL1234[[#This Row],[(A/S TOT)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Row],[البخر  AJD]])</f>
        <v>0</v>
      </c>
      <c r="AE33" s="41"/>
      <c r="AF33" s="43"/>
      <c r="AG33" s="43"/>
      <c r="AH33" s="6"/>
      <c r="AI33" s="43"/>
      <c r="AJ33" s="43">
        <f>TABL1234[[#This Row],[(A/B TOT) AJD]]-TABL1234[[#This Row],[BER_ IN]]</f>
        <v>0</v>
      </c>
      <c r="AK33" s="43"/>
      <c r="AL33" s="43"/>
      <c r="AM33" s="32"/>
      <c r="AN33" s="32">
        <f>TABL1234[[#This Row],[ (RESV. STORGE) SER]]/10</f>
        <v>0</v>
      </c>
      <c r="AO33" s="75"/>
      <c r="AP33" s="75">
        <f>TABL1234[[#This Row],[(A/S TOT) AJD]]-TABL1234[[#This Row],[SER_ 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Row],[خط (T/B  TOT) SAR]]+TABL1234[[#This Row],[خط (S/S  TOT) SAR2]]</f>
        <v>0</v>
      </c>
      <c r="L34" s="45"/>
      <c r="M34" s="46"/>
      <c r="N34" s="46"/>
      <c r="O34" s="40"/>
      <c r="P34" s="3">
        <f>TABL1234[[#This Row],[خط (S/S  TOT) SAR2]]-TABL1234[[#This Row],[(S/S TOT) AJD]]</f>
        <v>0</v>
      </c>
      <c r="Q34" s="40"/>
      <c r="R34" s="3">
        <f>TABL1234[[#This Row],[خط (T/B  TOT) SAR]]-TABL1234[[#This Row],[(T/B TOT) AJD]]</f>
        <v>0</v>
      </c>
      <c r="S34" s="3">
        <f>TABL1234[[#This Row],[الفرق بين بداية ونهاية خط  T/B]]+TABL1234[[#This Row],[الفرق بين بداية ونهاية خط  S/S]]</f>
        <v>0</v>
      </c>
      <c r="T34" s="3">
        <f>TABL1234[[#This Row],[(S/S TOT) AJD]]+TABL1234[[#This Row],[(T/B TOT) AJD]]</f>
        <v>0</v>
      </c>
      <c r="U34" s="44"/>
      <c r="V34" s="44"/>
      <c r="W34" s="3">
        <f>TABL1234[[#This Row],[(A/B TOT) AJD]]+TABL1234[[#This Row],[(A/S TOT)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Row],[البخر  AJD]])</f>
        <v>0</v>
      </c>
      <c r="AE34" s="44"/>
      <c r="AF34" s="45"/>
      <c r="AG34" s="45"/>
      <c r="AH34" s="6"/>
      <c r="AI34" s="45"/>
      <c r="AJ34" s="45">
        <f>TABL1234[[#This Row],[(A/B TOT) AJD]]-TABL1234[[#This Row],[BER_ IN]]</f>
        <v>0</v>
      </c>
      <c r="AK34" s="45"/>
      <c r="AL34" s="45"/>
      <c r="AM34" s="32"/>
      <c r="AN34" s="32">
        <f>TABL1234[[#This Row],[ (RESV. STORGE) SER]]/10</f>
        <v>0</v>
      </c>
      <c r="AO34" s="75"/>
      <c r="AP34" s="75">
        <f>TABL1234[[#This Row],[(A/S TOT) AJD]]-TABL1234[[#This Row],[SER_ 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Row],[خط (T/B  TOT) SAR]]+TABL1234[[#This Row],[خط (S/S  TOT) SAR2]]</f>
        <v>0</v>
      </c>
      <c r="L35" s="41"/>
      <c r="M35" s="42"/>
      <c r="N35" s="42"/>
      <c r="O35" s="39"/>
      <c r="P35" s="3">
        <f>TABL1234[[#This Row],[خط (S/S  TOT) SAR2]]-TABL1234[[#This Row],[(S/S TOT) AJD]]</f>
        <v>0</v>
      </c>
      <c r="Q35" s="39"/>
      <c r="R35" s="3">
        <f>TABL1234[[#This Row],[خط (T/B  TOT) SAR]]-TABL1234[[#This Row],[(T/B TOT) AJD]]</f>
        <v>0</v>
      </c>
      <c r="S35" s="3">
        <f>TABL1234[[#This Row],[الفرق بين بداية ونهاية خط  T/B]]+TABL1234[[#This Row],[الفرق بين بداية ونهاية خط  S/S]]</f>
        <v>0</v>
      </c>
      <c r="T35" s="3">
        <f>TABL1234[[#This Row],[(S/S TOT) AJD]]+TABL1234[[#This Row],[(T/B TOT) AJD]]</f>
        <v>0</v>
      </c>
      <c r="U35" s="41"/>
      <c r="V35" s="41"/>
      <c r="W35" s="3">
        <f>TABL1234[[#This Row],[(A/B TOT) AJD]]+TABL1234[[#This Row],[(A/S TOT)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Row],[البخر  AJD]])</f>
        <v>0</v>
      </c>
      <c r="AE35" s="41"/>
      <c r="AF35" s="43"/>
      <c r="AG35" s="43"/>
      <c r="AH35" s="6"/>
      <c r="AI35" s="43"/>
      <c r="AJ35" s="43">
        <f>TABL1234[[#This Row],[(A/B TOT) AJD]]-TABL1234[[#This Row],[BER_ IN]]</f>
        <v>0</v>
      </c>
      <c r="AK35" s="43"/>
      <c r="AL35" s="43"/>
      <c r="AM35" s="32"/>
      <c r="AN35" s="32">
        <f>TABL1234[[#This Row],[ (RESV. STORGE) SER]]/10</f>
        <v>0</v>
      </c>
      <c r="AO35" s="75"/>
      <c r="AP35" s="75">
        <f>TABL1234[[#This Row],[(A/S TOT) AJD]]-TABL1234[[#This Row],[SER_ 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Row],[خط (T/B  TOT) SAR]]+TABL1234[[#This Row],[خط (S/S  TOT) SAR2]]</f>
        <v>0</v>
      </c>
      <c r="L36" s="45"/>
      <c r="M36" s="46"/>
      <c r="N36" s="46"/>
      <c r="O36" s="40"/>
      <c r="P36" s="3">
        <f>TABL1234[[#This Row],[خط (S/S  TOT) SAR2]]-TABL1234[[#This Row],[(S/S TOT) AJD]]</f>
        <v>0</v>
      </c>
      <c r="Q36" s="40"/>
      <c r="R36" s="3">
        <f>TABL1234[[#This Row],[خط (T/B  TOT) SAR]]-TABL1234[[#This Row],[(T/B TOT) AJD]]</f>
        <v>0</v>
      </c>
      <c r="S36" s="3">
        <f>TABL1234[[#This Row],[الفرق بين بداية ونهاية خط  T/B]]+TABL1234[[#This Row],[الفرق بين بداية ونهاية خط  S/S]]</f>
        <v>0</v>
      </c>
      <c r="T36" s="3">
        <f>TABL1234[[#This Row],[(S/S TOT) AJD]]+TABL1234[[#This Row],[(T/B TOT) AJD]]</f>
        <v>0</v>
      </c>
      <c r="U36" s="44"/>
      <c r="V36" s="44"/>
      <c r="W36" s="3">
        <f>TABL1234[[#This Row],[(A/B TOT) AJD]]+TABL1234[[#This Row],[(A/S TOT)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Row],[البخر  AJD]])</f>
        <v>0</v>
      </c>
      <c r="AE36" s="44"/>
      <c r="AF36" s="45"/>
      <c r="AG36" s="45"/>
      <c r="AH36" s="6"/>
      <c r="AI36" s="45"/>
      <c r="AJ36" s="45">
        <f>TABL1234[[#This Row],[(A/B TOT) AJD]]-TABL1234[[#This Row],[BER_ IN]]</f>
        <v>0</v>
      </c>
      <c r="AK36" s="45"/>
      <c r="AL36" s="45"/>
      <c r="AM36" s="32"/>
      <c r="AN36" s="32">
        <f>TABL1234[[#This Row],[ (RESV. STORGE) SER]]/10</f>
        <v>0</v>
      </c>
      <c r="AO36" s="75"/>
      <c r="AP36" s="75">
        <f>TABL1234[[#This Row],[(A/S TOT) AJD]]-TABL1234[[#This Row],[SER_ 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Row],[خط (T/B  TOT) SAR]]+TABL1234[[#This Row],[خط (S/S  TOT) SAR2]]</f>
        <v>0</v>
      </c>
      <c r="L37" s="41"/>
      <c r="M37" s="42"/>
      <c r="N37" s="42"/>
      <c r="O37" s="39"/>
      <c r="P37" s="3">
        <f>TABL1234[[#This Row],[خط (S/S  TOT) SAR2]]-TABL1234[[#This Row],[(S/S TOT) AJD]]</f>
        <v>0</v>
      </c>
      <c r="Q37" s="39"/>
      <c r="R37" s="3">
        <f>TABL1234[[#This Row],[خط (T/B  TOT) SAR]]-TABL1234[[#This Row],[(T/B TOT) AJD]]</f>
        <v>0</v>
      </c>
      <c r="S37" s="3">
        <f>TABL1234[[#This Row],[الفرق بين بداية ونهاية خط  T/B]]+TABL1234[[#This Row],[الفرق بين بداية ونهاية خط  S/S]]</f>
        <v>0</v>
      </c>
      <c r="T37" s="3">
        <f>TABL1234[[#This Row],[(S/S TOT) AJD]]+TABL1234[[#This Row],[(T/B TOT) AJD]]</f>
        <v>0</v>
      </c>
      <c r="U37" s="41"/>
      <c r="V37" s="41"/>
      <c r="W37" s="3">
        <f>TABL1234[[#This Row],[(A/B TOT) AJD]]+TABL1234[[#This Row],[(A/S TOT)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Row],[البخر  AJD]])</f>
        <v>0</v>
      </c>
      <c r="AE37" s="41"/>
      <c r="AF37" s="43"/>
      <c r="AG37" s="43"/>
      <c r="AH37" s="6"/>
      <c r="AI37" s="43"/>
      <c r="AJ37" s="43">
        <f>TABL1234[[#This Row],[(A/B TOT) AJD]]-TABL1234[[#This Row],[BER_ IN]]</f>
        <v>0</v>
      </c>
      <c r="AK37" s="43"/>
      <c r="AL37" s="43"/>
      <c r="AM37" s="32"/>
      <c r="AN37" s="32">
        <f>TABL1234[[#This Row],[ (RESV. STORGE) SER]]/10</f>
        <v>0</v>
      </c>
      <c r="AO37" s="75"/>
      <c r="AP37" s="75">
        <f>TABL1234[[#This Row],[(A/S TOT) AJD]]-TABL1234[[#This Row],[SER_ 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Row],[خط (T/B  TOT) SAR]]+TABL1234[[#This Row],[خط (S/S  TOT) SAR2]]</f>
        <v>0</v>
      </c>
      <c r="L38" s="45"/>
      <c r="M38" s="46"/>
      <c r="N38" s="46"/>
      <c r="O38" s="40"/>
      <c r="P38" s="3">
        <f>TABL1234[[#This Row],[خط (S/S  TOT) SAR2]]-TABL1234[[#This Row],[(S/S TOT) AJD]]</f>
        <v>0</v>
      </c>
      <c r="Q38" s="40"/>
      <c r="R38" s="3">
        <f>TABL1234[[#This Row],[خط (T/B  TOT) SAR]]-TABL1234[[#This Row],[(T/B TOT) AJD]]</f>
        <v>0</v>
      </c>
      <c r="S38" s="3">
        <f>TABL1234[[#This Row],[الفرق بين بداية ونهاية خط  T/B]]+TABL1234[[#This Row],[الفرق بين بداية ونهاية خط  S/S]]</f>
        <v>0</v>
      </c>
      <c r="T38" s="3">
        <f>TABL1234[[#This Row],[(S/S TOT) AJD]]+TABL1234[[#This Row],[(T/B TOT) AJD]]</f>
        <v>0</v>
      </c>
      <c r="U38" s="44"/>
      <c r="V38" s="44"/>
      <c r="W38" s="3">
        <f>TABL1234[[#This Row],[(A/B TOT) AJD]]+TABL1234[[#This Row],[(A/S TOT)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Row],[البخر  AJD]])</f>
        <v>0</v>
      </c>
      <c r="AE38" s="44"/>
      <c r="AF38" s="45"/>
      <c r="AG38" s="45"/>
      <c r="AH38" s="6"/>
      <c r="AI38" s="45"/>
      <c r="AJ38" s="45">
        <f>TABL1234[[#This Row],[(A/B TOT) AJD]]-TABL1234[[#This Row],[BER_ IN]]</f>
        <v>0</v>
      </c>
      <c r="AK38" s="45"/>
      <c r="AL38" s="45"/>
      <c r="AM38" s="32"/>
      <c r="AN38" s="32">
        <f>TABL1234[[#This Row],[ (RESV. STORGE) SER]]/10</f>
        <v>0</v>
      </c>
      <c r="AO38" s="75"/>
      <c r="AP38" s="75">
        <f>TABL1234[[#This Row],[(A/S TOT) AJD]]-TABL1234[[#This Row],[SER_ 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Row],[خط (T/B  TOT) SAR]]+TABL1234[[#This Row],[خط (S/S  TOT) SAR2]]</f>
        <v>0</v>
      </c>
      <c r="L39" s="41"/>
      <c r="M39" s="42"/>
      <c r="N39" s="42"/>
      <c r="O39" s="39"/>
      <c r="P39" s="3">
        <f>TABL1234[[#This Row],[خط (S/S  TOT) SAR2]]-TABL1234[[#This Row],[(S/S TOT) AJD]]</f>
        <v>0</v>
      </c>
      <c r="Q39" s="39"/>
      <c r="R39" s="3">
        <f>TABL1234[[#This Row],[خط (T/B  TOT) SAR]]-TABL1234[[#This Row],[(T/B TOT) AJD]]</f>
        <v>0</v>
      </c>
      <c r="S39" s="3">
        <f>TABL1234[[#This Row],[الفرق بين بداية ونهاية خط  T/B]]+TABL1234[[#This Row],[الفرق بين بداية ونهاية خط  S/S]]</f>
        <v>0</v>
      </c>
      <c r="T39" s="3">
        <f>TABL1234[[#This Row],[(S/S TOT) AJD]]+TABL1234[[#This Row],[(T/B TOT) AJD]]</f>
        <v>0</v>
      </c>
      <c r="U39" s="41"/>
      <c r="V39" s="41"/>
      <c r="W39" s="3">
        <f>TABL1234[[#This Row],[(A/B TOT) AJD]]+TABL1234[[#This Row],[(A/S TOT)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Row],[البخر  AJD]])</f>
        <v>0</v>
      </c>
      <c r="AE39" s="41"/>
      <c r="AF39" s="43"/>
      <c r="AG39" s="43"/>
      <c r="AH39" s="6"/>
      <c r="AI39" s="43"/>
      <c r="AJ39" s="43">
        <f>TABL1234[[#This Row],[(A/B TOT) AJD]]-TABL1234[[#This Row],[BER_ IN]]</f>
        <v>0</v>
      </c>
      <c r="AK39" s="43"/>
      <c r="AL39" s="43"/>
      <c r="AM39" s="32"/>
      <c r="AN39" s="32">
        <f>TABL1234[[#This Row],[ (RESV. STORGE) SER]]/10</f>
        <v>0</v>
      </c>
      <c r="AO39" s="75"/>
      <c r="AP39" s="75">
        <f>TABL1234[[#This Row],[(A/S TOT) AJD]]-TABL1234[[#This Row],[SER_ 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Row],[خط (T/B  TOT) SAR]]+TABL1234[[#This Row],[خط (S/S  TOT) SAR2]]</f>
        <v>0</v>
      </c>
      <c r="L40" s="45"/>
      <c r="M40" s="46"/>
      <c r="N40" s="46"/>
      <c r="O40" s="40"/>
      <c r="P40" s="3">
        <f>TABL1234[[#This Row],[خط (S/S  TOT) SAR2]]-TABL1234[[#This Row],[(S/S TOT) AJD]]</f>
        <v>0</v>
      </c>
      <c r="Q40" s="40"/>
      <c r="R40" s="3">
        <f>TABL1234[[#This Row],[خط (T/B  TOT) SAR]]-TABL1234[[#This Row],[(T/B TOT) AJD]]</f>
        <v>0</v>
      </c>
      <c r="S40" s="3">
        <f>TABL1234[[#This Row],[الفرق بين بداية ونهاية خط  T/B]]+TABL1234[[#This Row],[الفرق بين بداية ونهاية خط  S/S]]</f>
        <v>0</v>
      </c>
      <c r="T40" s="3">
        <f>TABL1234[[#This Row],[(S/S TOT) AJD]]+TABL1234[[#This Row],[(T/B TOT) AJD]]</f>
        <v>0</v>
      </c>
      <c r="U40" s="44"/>
      <c r="V40" s="44"/>
      <c r="W40" s="3">
        <f>TABL1234[[#This Row],[(A/B TOT) AJD]]+TABL1234[[#This Row],[(A/S TOT)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Row],[البخر  AJD]])</f>
        <v>0</v>
      </c>
      <c r="AE40" s="44"/>
      <c r="AF40" s="45"/>
      <c r="AG40" s="45"/>
      <c r="AH40" s="6"/>
      <c r="AI40" s="45"/>
      <c r="AJ40" s="45">
        <f>TABL1234[[#This Row],[(A/B TOT) AJD]]-TABL1234[[#This Row],[BER_ IN]]</f>
        <v>0</v>
      </c>
      <c r="AK40" s="45"/>
      <c r="AL40" s="45"/>
      <c r="AM40" s="32"/>
      <c r="AN40" s="32">
        <f>TABL1234[[#This Row],[ (RESV. STORGE) SER]]/10</f>
        <v>0</v>
      </c>
      <c r="AO40" s="75"/>
      <c r="AP40" s="75">
        <f>TABL1234[[#This Row],[(A/S TOT) AJD]]-TABL1234[[#This Row],[SER_ 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Row],[خط (T/B  TOT) SAR]]+TABL1234[[#This Row],[خط (S/S  TOT) SAR2]]</f>
        <v>0</v>
      </c>
      <c r="L41" s="41"/>
      <c r="M41" s="42"/>
      <c r="N41" s="42"/>
      <c r="O41" s="39"/>
      <c r="P41" s="3">
        <f>TABL1234[[#This Row],[خط (S/S  TOT) SAR2]]-TABL1234[[#This Row],[(S/S TOT) AJD]]</f>
        <v>0</v>
      </c>
      <c r="Q41" s="39"/>
      <c r="R41" s="3">
        <f>TABL1234[[#This Row],[خط (T/B  TOT) SAR]]-TABL1234[[#This Row],[(T/B TOT) AJD]]</f>
        <v>0</v>
      </c>
      <c r="S41" s="3">
        <f>TABL1234[[#This Row],[الفرق بين بداية ونهاية خط  T/B]]+TABL1234[[#This Row],[الفرق بين بداية ونهاية خط  S/S]]</f>
        <v>0</v>
      </c>
      <c r="T41" s="3">
        <f>TABL1234[[#This Row],[(S/S TOT) AJD]]+TABL1234[[#This Row],[(T/B TOT) AJD]]</f>
        <v>0</v>
      </c>
      <c r="U41" s="41"/>
      <c r="V41" s="41"/>
      <c r="W41" s="3">
        <f>TABL1234[[#This Row],[(A/B TOT) AJD]]+TABL1234[[#This Row],[(A/S TOT)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Row],[البخر  AJD]])</f>
        <v>0</v>
      </c>
      <c r="AE41" s="41"/>
      <c r="AF41" s="43"/>
      <c r="AG41" s="43"/>
      <c r="AH41" s="6"/>
      <c r="AI41" s="43"/>
      <c r="AJ41" s="43">
        <f>TABL1234[[#This Row],[(A/B TOT) AJD]]-TABL1234[[#This Row],[BER_ IN]]</f>
        <v>0</v>
      </c>
      <c r="AK41" s="43"/>
      <c r="AL41" s="43"/>
      <c r="AM41" s="32"/>
      <c r="AN41" s="32">
        <f>TABL1234[[#This Row],[ (RESV. STORGE) SER]]/10</f>
        <v>0</v>
      </c>
      <c r="AO41" s="75"/>
      <c r="AP41" s="75">
        <f>TABL1234[[#This Row],[(A/S TOT) AJD]]-TABL1234[[#This Row],[SER_ 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Row],[خط (T/B  TOT) SAR]]+TABL1234[[#This Row],[خط (S/S  TOT) SAR2]]</f>
        <v>0</v>
      </c>
      <c r="L42" s="45"/>
      <c r="M42" s="46"/>
      <c r="N42" s="46"/>
      <c r="O42" s="40"/>
      <c r="P42" s="3">
        <f>TABL1234[[#This Row],[خط (S/S  TOT) SAR2]]-TABL1234[[#This Row],[(S/S TOT) AJD]]</f>
        <v>0</v>
      </c>
      <c r="Q42" s="40"/>
      <c r="R42" s="3">
        <f>TABL1234[[#This Row],[خط (T/B  TOT) SAR]]-TABL1234[[#This Row],[(T/B TOT) AJD]]</f>
        <v>0</v>
      </c>
      <c r="S42" s="3">
        <f>TABL1234[[#This Row],[الفرق بين بداية ونهاية خط  T/B]]+TABL1234[[#This Row],[الفرق بين بداية ونهاية خط  S/S]]</f>
        <v>0</v>
      </c>
      <c r="T42" s="3">
        <f>TABL1234[[#This Row],[(S/S TOT) AJD]]+TABL1234[[#This Row],[(T/B TOT) AJD]]</f>
        <v>0</v>
      </c>
      <c r="U42" s="44"/>
      <c r="V42" s="44"/>
      <c r="W42" s="3">
        <f>TABL1234[[#This Row],[(A/B TOT) AJD]]+TABL1234[[#This Row],[(A/S TOT)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Row],[البخر  AJD]])</f>
        <v>0</v>
      </c>
      <c r="AE42" s="44"/>
      <c r="AF42" s="45"/>
      <c r="AG42" s="45"/>
      <c r="AH42" s="6"/>
      <c r="AI42" s="45"/>
      <c r="AJ42" s="45">
        <f>TABL1234[[#This Row],[(A/B TOT) AJD]]-TABL1234[[#This Row],[BER_ IN]]</f>
        <v>0</v>
      </c>
      <c r="AK42" s="45"/>
      <c r="AL42" s="45"/>
      <c r="AM42" s="32"/>
      <c r="AN42" s="32">
        <f>TABL1234[[#This Row],[ (RESV. STORGE) SER]]/10</f>
        <v>0</v>
      </c>
      <c r="AO42" s="75"/>
      <c r="AP42" s="75">
        <f>TABL1234[[#This Row],[(A/S TOT) AJD]]-TABL1234[[#This Row],[SER_ 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Row],[خط (T/B  TOT) SAR]]+TABL1234[[#This Row],[خط (S/S  TOT) SAR2]]</f>
        <v>0</v>
      </c>
      <c r="L43" s="41"/>
      <c r="M43" s="42"/>
      <c r="N43" s="42"/>
      <c r="O43" s="39"/>
      <c r="P43" s="3">
        <f>TABL1234[[#This Row],[خط (S/S  TOT) SAR2]]-TABL1234[[#This Row],[(S/S TOT) AJD]]</f>
        <v>0</v>
      </c>
      <c r="Q43" s="39"/>
      <c r="R43" s="3">
        <f>TABL1234[[#This Row],[خط (T/B  TOT) SAR]]-TABL1234[[#This Row],[(T/B TOT) AJD]]</f>
        <v>0</v>
      </c>
      <c r="S43" s="3">
        <f>TABL1234[[#This Row],[الفرق بين بداية ونهاية خط  T/B]]+TABL1234[[#This Row],[الفرق بين بداية ونهاية خط  S/S]]</f>
        <v>0</v>
      </c>
      <c r="T43" s="3">
        <f>TABL1234[[#This Row],[(S/S TOT) AJD]]+TABL1234[[#This Row],[(T/B TOT) AJD]]</f>
        <v>0</v>
      </c>
      <c r="U43" s="41"/>
      <c r="V43" s="41"/>
      <c r="W43" s="3">
        <f>TABL1234[[#This Row],[(A/B TOT) AJD]]+TABL1234[[#This Row],[(A/S TOT)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Row],[البخر  AJD]])</f>
        <v>0</v>
      </c>
      <c r="AE43" s="41"/>
      <c r="AF43" s="43"/>
      <c r="AG43" s="43"/>
      <c r="AH43" s="6"/>
      <c r="AI43" s="43"/>
      <c r="AJ43" s="43">
        <f>TABL1234[[#This Row],[(A/B TOT) AJD]]-TABL1234[[#This Row],[BER_ IN]]</f>
        <v>0</v>
      </c>
      <c r="AK43" s="43"/>
      <c r="AL43" s="43"/>
      <c r="AM43" s="32"/>
      <c r="AN43" s="32">
        <f>TABL1234[[#This Row],[ (RESV. STORGE) SER]]/10</f>
        <v>0</v>
      </c>
      <c r="AO43" s="75"/>
      <c r="AP43" s="75">
        <f>TABL1234[[#This Row],[(A/S TOT) AJD]]-TABL1234[[#This Row],[SER_ 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Row],[خط (T/B  TOT) SAR]]+TABL1234[[#This Row],[خط (S/S  TOT) SAR2]]</f>
        <v>0</v>
      </c>
      <c r="L44" s="45"/>
      <c r="M44" s="46"/>
      <c r="N44" s="46"/>
      <c r="O44" s="40"/>
      <c r="P44" s="3">
        <f>TABL1234[[#This Row],[خط (S/S  TOT) SAR2]]-TABL1234[[#This Row],[(S/S TOT) AJD]]</f>
        <v>0</v>
      </c>
      <c r="Q44" s="40"/>
      <c r="R44" s="3">
        <f>TABL1234[[#This Row],[خط (T/B  TOT) SAR]]-TABL1234[[#This Row],[(T/B TOT) AJD]]</f>
        <v>0</v>
      </c>
      <c r="S44" s="3">
        <f>TABL1234[[#This Row],[الفرق بين بداية ونهاية خط  T/B]]+TABL1234[[#This Row],[الفرق بين بداية ونهاية خط  S/S]]</f>
        <v>0</v>
      </c>
      <c r="T44" s="3">
        <f>TABL1234[[#This Row],[(S/S TOT) AJD]]+TABL1234[[#This Row],[(T/B TOT) AJD]]</f>
        <v>0</v>
      </c>
      <c r="U44" s="44"/>
      <c r="V44" s="44"/>
      <c r="W44" s="3">
        <f>TABL1234[[#This Row],[(A/B TOT) AJD]]+TABL1234[[#This Row],[(A/S TOT)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Row],[البخر  AJD]])</f>
        <v>0</v>
      </c>
      <c r="AE44" s="44"/>
      <c r="AF44" s="45"/>
      <c r="AG44" s="45"/>
      <c r="AH44" s="6"/>
      <c r="AI44" s="45"/>
      <c r="AJ44" s="45">
        <f>TABL1234[[#This Row],[(A/B TOT) AJD]]-TABL1234[[#This Row],[BER_ IN]]</f>
        <v>0</v>
      </c>
      <c r="AK44" s="45"/>
      <c r="AL44" s="45"/>
      <c r="AM44" s="32"/>
      <c r="AN44" s="32">
        <f>TABL1234[[#This Row],[ (RESV. STORGE) SER]]/10</f>
        <v>0</v>
      </c>
      <c r="AO44" s="75"/>
      <c r="AP44" s="75">
        <f>TABL1234[[#This Row],[(A/S TOT) AJD]]-TABL1234[[#This Row],[SER_ 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Row],[خط (T/B  TOT) SAR]]+TABL1234[[#This Row],[خط (S/S  TOT) SAR2]]</f>
        <v>0</v>
      </c>
      <c r="L45" s="41"/>
      <c r="M45" s="42"/>
      <c r="N45" s="42"/>
      <c r="O45" s="39"/>
      <c r="P45" s="3">
        <f>TABL1234[[#This Row],[خط (S/S  TOT) SAR2]]-TABL1234[[#This Row],[(S/S TOT) AJD]]</f>
        <v>0</v>
      </c>
      <c r="Q45" s="39"/>
      <c r="R45" s="3">
        <f>TABL1234[[#This Row],[خط (T/B  TOT) SAR]]-TABL1234[[#This Row],[(T/B TOT) AJD]]</f>
        <v>0</v>
      </c>
      <c r="S45" s="3">
        <f>TABL1234[[#This Row],[الفرق بين بداية ونهاية خط  T/B]]+TABL1234[[#This Row],[الفرق بين بداية ونهاية خط  S/S]]</f>
        <v>0</v>
      </c>
      <c r="T45" s="3">
        <f>TABL1234[[#This Row],[(S/S TOT) AJD]]+TABL1234[[#This Row],[(T/B TOT) AJD]]</f>
        <v>0</v>
      </c>
      <c r="U45" s="41"/>
      <c r="V45" s="41"/>
      <c r="W45" s="3">
        <f>TABL1234[[#This Row],[(A/B TOT) AJD]]+TABL1234[[#This Row],[(A/S TOT)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Row],[البخر  AJD]])</f>
        <v>0</v>
      </c>
      <c r="AE45" s="41"/>
      <c r="AF45" s="43"/>
      <c r="AG45" s="43"/>
      <c r="AH45" s="6"/>
      <c r="AI45" s="43"/>
      <c r="AJ45" s="43">
        <f>TABL1234[[#This Row],[(A/B TOT) AJD]]-TABL1234[[#This Row],[BER_ IN]]</f>
        <v>0</v>
      </c>
      <c r="AK45" s="43"/>
      <c r="AL45" s="43"/>
      <c r="AM45" s="32"/>
      <c r="AN45" s="32">
        <f>TABL1234[[#This Row],[ (RESV. STORGE) SER]]/10</f>
        <v>0</v>
      </c>
      <c r="AO45" s="75"/>
      <c r="AP45" s="75">
        <f>TABL1234[[#This Row],[(A/S TOT) AJD]]-TABL1234[[#This Row],[SER_ 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Row],[خط (T/B  TOT) SAR]]+TABL1234[[#This Row],[خط (S/S  TOT) SAR2]]</f>
        <v>0</v>
      </c>
      <c r="L46" s="45"/>
      <c r="M46" s="46"/>
      <c r="N46" s="46"/>
      <c r="O46" s="40"/>
      <c r="P46" s="3">
        <f>TABL1234[[#This Row],[خط (S/S  TOT) SAR2]]-TABL1234[[#This Row],[(S/S TOT) AJD]]</f>
        <v>0</v>
      </c>
      <c r="Q46" s="40"/>
      <c r="R46" s="3">
        <f>TABL1234[[#This Row],[خط (T/B  TOT) SAR]]-TABL1234[[#This Row],[(T/B TOT) AJD]]</f>
        <v>0</v>
      </c>
      <c r="S46" s="3">
        <f>TABL1234[[#This Row],[الفرق بين بداية ونهاية خط  T/B]]+TABL1234[[#This Row],[الفرق بين بداية ونهاية خط  S/S]]</f>
        <v>0</v>
      </c>
      <c r="T46" s="3">
        <f>TABL1234[[#This Row],[(S/S TOT) AJD]]+TABL1234[[#This Row],[(T/B TOT) AJD]]</f>
        <v>0</v>
      </c>
      <c r="U46" s="44"/>
      <c r="V46" s="44"/>
      <c r="W46" s="3">
        <f>TABL1234[[#This Row],[(A/B TOT) AJD]]+TABL1234[[#This Row],[(A/S TOT)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Row],[البخر  AJD]])</f>
        <v>0</v>
      </c>
      <c r="AE46" s="44"/>
      <c r="AF46" s="45"/>
      <c r="AG46" s="45"/>
      <c r="AH46" s="6"/>
      <c r="AI46" s="45"/>
      <c r="AJ46" s="45">
        <f>TABL1234[[#This Row],[(A/B TOT) AJD]]-TABL1234[[#This Row],[BER_ IN]]</f>
        <v>0</v>
      </c>
      <c r="AK46" s="45"/>
      <c r="AL46" s="45"/>
      <c r="AM46" s="32"/>
      <c r="AN46" s="32">
        <f>TABL1234[[#This Row],[ (RESV. STORGE) SER]]/10</f>
        <v>0</v>
      </c>
      <c r="AO46" s="75"/>
      <c r="AP46" s="75">
        <f>TABL1234[[#This Row],[(A/S TOT) AJD]]-TABL1234[[#This Row],[SER_ 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Row],[خط (T/B  TOT) SAR]]+TABL1234[[#This Row],[خط (S/S  TOT) SAR2]]</f>
        <v>0</v>
      </c>
      <c r="L47" s="41"/>
      <c r="M47" s="42"/>
      <c r="N47" s="42"/>
      <c r="O47" s="39"/>
      <c r="P47" s="3">
        <f>TABL1234[[#This Row],[خط (S/S  TOT) SAR2]]-TABL1234[[#This Row],[(S/S TOT) AJD]]</f>
        <v>0</v>
      </c>
      <c r="Q47" s="39"/>
      <c r="R47" s="3">
        <f>TABL1234[[#This Row],[خط (T/B  TOT) SAR]]-TABL1234[[#This Row],[(T/B TOT) AJD]]</f>
        <v>0</v>
      </c>
      <c r="S47" s="3">
        <f>TABL1234[[#This Row],[الفرق بين بداية ونهاية خط  T/B]]+TABL1234[[#This Row],[الفرق بين بداية ونهاية خط  S/S]]</f>
        <v>0</v>
      </c>
      <c r="T47" s="3">
        <f>TABL1234[[#This Row],[(S/S TOT) AJD]]+TABL1234[[#This Row],[(T/B TOT) AJD]]</f>
        <v>0</v>
      </c>
      <c r="U47" s="41"/>
      <c r="V47" s="41"/>
      <c r="W47" s="3">
        <f>TABL1234[[#This Row],[(A/B TOT) AJD]]+TABL1234[[#This Row],[(A/S TOT)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Row],[البخر  AJD]])</f>
        <v>0</v>
      </c>
      <c r="AE47" s="41"/>
      <c r="AF47" s="43"/>
      <c r="AG47" s="43"/>
      <c r="AH47" s="6"/>
      <c r="AI47" s="43"/>
      <c r="AJ47" s="43">
        <f>TABL1234[[#This Row],[(A/B TOT) AJD]]-TABL1234[[#This Row],[BER_ IN]]</f>
        <v>0</v>
      </c>
      <c r="AK47" s="43"/>
      <c r="AL47" s="43"/>
      <c r="AM47" s="32"/>
      <c r="AN47" s="32">
        <f>TABL1234[[#This Row],[ (RESV. STORGE) SER]]/10</f>
        <v>0</v>
      </c>
      <c r="AO47" s="75"/>
      <c r="AP47" s="75">
        <f>TABL1234[[#This Row],[(A/S TOT) AJD]]-TABL1234[[#This Row],[SER_ 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Row],[خط (T/B  TOT) SAR]]+TABL1234[[#This Row],[خط (S/S  TOT) SAR2]]</f>
        <v>0</v>
      </c>
      <c r="L48" s="45"/>
      <c r="M48" s="46"/>
      <c r="N48" s="46"/>
      <c r="O48" s="40"/>
      <c r="P48" s="3">
        <f>TABL1234[[#This Row],[خط (S/S  TOT) SAR2]]-TABL1234[[#This Row],[(S/S TOT) AJD]]</f>
        <v>0</v>
      </c>
      <c r="Q48" s="40"/>
      <c r="R48" s="3">
        <f>TABL1234[[#This Row],[خط (T/B  TOT) SAR]]-TABL1234[[#This Row],[(T/B TOT) AJD]]</f>
        <v>0</v>
      </c>
      <c r="S48" s="3">
        <f>TABL1234[[#This Row],[الفرق بين بداية ونهاية خط  T/B]]+TABL1234[[#This Row],[الفرق بين بداية ونهاية خط  S/S]]</f>
        <v>0</v>
      </c>
      <c r="T48" s="3">
        <f>TABL1234[[#This Row],[(S/S TOT) AJD]]+TABL1234[[#This Row],[(T/B TOT) AJD]]</f>
        <v>0</v>
      </c>
      <c r="U48" s="44"/>
      <c r="V48" s="44"/>
      <c r="W48" s="3">
        <f>TABL1234[[#This Row],[(A/B TOT) AJD]]+TABL1234[[#This Row],[(A/S TOT)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Row],[البخر  AJD]])</f>
        <v>0</v>
      </c>
      <c r="AE48" s="44"/>
      <c r="AF48" s="45"/>
      <c r="AG48" s="45"/>
      <c r="AH48" s="6"/>
      <c r="AI48" s="45"/>
      <c r="AJ48" s="45">
        <f>TABL1234[[#This Row],[(A/B TOT) AJD]]-TABL1234[[#This Row],[BER_ IN]]</f>
        <v>0</v>
      </c>
      <c r="AK48" s="45"/>
      <c r="AL48" s="45"/>
      <c r="AM48" s="32"/>
      <c r="AN48" s="32">
        <f>TABL1234[[#This Row],[ (RESV. STORGE) SER]]/10</f>
        <v>0</v>
      </c>
      <c r="AO48" s="75"/>
      <c r="AP48" s="75">
        <f>TABL1234[[#This Row],[(A/S TOT) AJD]]-TABL1234[[#This Row],[SER_ 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Row],[خط (T/B  TOT) SAR]]+TABL1234[[#This Row],[خط (S/S  TOT) SAR2]]</f>
        <v>0</v>
      </c>
      <c r="L49" s="41"/>
      <c r="M49" s="42"/>
      <c r="N49" s="42"/>
      <c r="O49" s="39"/>
      <c r="P49" s="3">
        <f>TABL1234[[#This Row],[خط (S/S  TOT) SAR2]]-TABL1234[[#This Row],[(S/S TOT) AJD]]</f>
        <v>0</v>
      </c>
      <c r="Q49" s="39"/>
      <c r="R49" s="3">
        <f>TABL1234[[#This Row],[خط (T/B  TOT) SAR]]-TABL1234[[#This Row],[(T/B TOT) AJD]]</f>
        <v>0</v>
      </c>
      <c r="S49" s="3">
        <f>TABL1234[[#This Row],[الفرق بين بداية ونهاية خط  T/B]]+TABL1234[[#This Row],[الفرق بين بداية ونهاية خط  S/S]]</f>
        <v>0</v>
      </c>
      <c r="T49" s="3">
        <f>TABL1234[[#This Row],[(S/S TOT) AJD]]+TABL1234[[#This Row],[(T/B TOT) AJD]]</f>
        <v>0</v>
      </c>
      <c r="U49" s="41"/>
      <c r="V49" s="41"/>
      <c r="W49" s="3">
        <f>TABL1234[[#This Row],[(A/B TOT) AJD]]+TABL1234[[#This Row],[(A/S TOT)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Row],[البخر  AJD]])</f>
        <v>0</v>
      </c>
      <c r="AE49" s="41"/>
      <c r="AF49" s="43"/>
      <c r="AG49" s="43"/>
      <c r="AH49" s="6"/>
      <c r="AI49" s="43"/>
      <c r="AJ49" s="43">
        <f>TABL1234[[#This Row],[(A/B TOT) AJD]]-TABL1234[[#This Row],[BER_ IN]]</f>
        <v>0</v>
      </c>
      <c r="AK49" s="43"/>
      <c r="AL49" s="43"/>
      <c r="AM49" s="32"/>
      <c r="AN49" s="32">
        <f>TABL1234[[#This Row],[ (RESV. STORGE) SER]]/10</f>
        <v>0</v>
      </c>
      <c r="AO49" s="75"/>
      <c r="AP49" s="75">
        <f>TABL1234[[#This Row],[(A/S TOT) AJD]]-TABL1234[[#This Row],[SER_ 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Row],[خط (T/B  TOT) SAR]]+TABL1234[[#This Row],[خط (S/S  TOT) SAR2]]</f>
        <v>0</v>
      </c>
      <c r="L50" s="45"/>
      <c r="M50" s="46"/>
      <c r="N50" s="46"/>
      <c r="O50" s="40"/>
      <c r="P50" s="3">
        <f>TABL1234[[#This Row],[خط (S/S  TOT) SAR2]]-TABL1234[[#This Row],[(S/S TOT) AJD]]</f>
        <v>0</v>
      </c>
      <c r="Q50" s="40"/>
      <c r="R50" s="3">
        <f>TABL1234[[#This Row],[خط (T/B  TOT) SAR]]-TABL1234[[#This Row],[(T/B TOT) AJD]]</f>
        <v>0</v>
      </c>
      <c r="S50" s="3">
        <f>TABL1234[[#This Row],[الفرق بين بداية ونهاية خط  T/B]]+TABL1234[[#This Row],[الفرق بين بداية ونهاية خط  S/S]]</f>
        <v>0</v>
      </c>
      <c r="T50" s="3">
        <f>TABL1234[[#This Row],[(S/S TOT) AJD]]+TABL1234[[#This Row],[(T/B TOT) AJD]]</f>
        <v>0</v>
      </c>
      <c r="U50" s="44"/>
      <c r="V50" s="44"/>
      <c r="W50" s="3">
        <f>TABL1234[[#This Row],[(A/B TOT) AJD]]+TABL1234[[#This Row],[(A/S TOT)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Row],[البخر  AJD]])</f>
        <v>0</v>
      </c>
      <c r="AE50" s="44"/>
      <c r="AF50" s="45"/>
      <c r="AG50" s="45"/>
      <c r="AH50" s="6"/>
      <c r="AI50" s="45"/>
      <c r="AJ50" s="45">
        <f>TABL1234[[#This Row],[(A/B TOT) AJD]]-TABL1234[[#This Row],[BER_ IN]]</f>
        <v>0</v>
      </c>
      <c r="AK50" s="45"/>
      <c r="AL50" s="45"/>
      <c r="AM50" s="32"/>
      <c r="AN50" s="32">
        <f>TABL1234[[#This Row],[ (RESV. STORGE) SER]]/10</f>
        <v>0</v>
      </c>
      <c r="AO50" s="75"/>
      <c r="AP50" s="75">
        <f>TABL1234[[#This Row],[(A/S TOT) AJD]]-TABL1234[[#This Row],[SER_ 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Row],[خط (T/B  TOT) SAR]]+TABL1234[[#This Row],[خط (S/S  TOT) SAR2]]</f>
        <v>0</v>
      </c>
      <c r="L51" s="41"/>
      <c r="M51" s="42"/>
      <c r="N51" s="42"/>
      <c r="O51" s="39"/>
      <c r="P51" s="3">
        <f>TABL1234[[#This Row],[خط (S/S  TOT) SAR2]]-TABL1234[[#This Row],[(S/S TOT) AJD]]</f>
        <v>0</v>
      </c>
      <c r="Q51" s="39"/>
      <c r="R51" s="3">
        <f>TABL1234[[#This Row],[خط (T/B  TOT) SAR]]-TABL1234[[#This Row],[(T/B TOT) AJD]]</f>
        <v>0</v>
      </c>
      <c r="S51" s="3">
        <f>TABL1234[[#This Row],[الفرق بين بداية ونهاية خط  T/B]]+TABL1234[[#This Row],[الفرق بين بداية ونهاية خط  S/S]]</f>
        <v>0</v>
      </c>
      <c r="T51" s="3">
        <f>TABL1234[[#This Row],[(S/S TOT) AJD]]+TABL1234[[#This Row],[(T/B TOT) AJD]]</f>
        <v>0</v>
      </c>
      <c r="U51" s="41"/>
      <c r="V51" s="41"/>
      <c r="W51" s="3">
        <f>TABL1234[[#This Row],[(A/B TOT) AJD]]+TABL1234[[#This Row],[(A/S TOT)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Row],[البخر  AJD]])</f>
        <v>0</v>
      </c>
      <c r="AE51" s="41"/>
      <c r="AF51" s="43"/>
      <c r="AG51" s="43"/>
      <c r="AH51" s="6"/>
      <c r="AI51" s="43"/>
      <c r="AJ51" s="43">
        <f>TABL1234[[#This Row],[(A/B TOT) AJD]]-TABL1234[[#This Row],[BER_ IN]]</f>
        <v>0</v>
      </c>
      <c r="AK51" s="43"/>
      <c r="AL51" s="43"/>
      <c r="AM51" s="32"/>
      <c r="AN51" s="32">
        <f>TABL1234[[#This Row],[ (RESV. STORGE) SER]]/10</f>
        <v>0</v>
      </c>
      <c r="AO51" s="75"/>
      <c r="AP51" s="75">
        <f>TABL1234[[#This Row],[(A/S TOT) AJD]]-TABL1234[[#This Row],[SER_ 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Row],[خط (T/B  TOT) SAR]]+TABL1234[[#This Row],[خط (S/S  TOT) SAR2]]</f>
        <v>0</v>
      </c>
      <c r="L52" s="45"/>
      <c r="M52" s="46"/>
      <c r="N52" s="46"/>
      <c r="O52" s="40"/>
      <c r="P52" s="3">
        <f>TABL1234[[#This Row],[خط (S/S  TOT) SAR2]]-TABL1234[[#This Row],[(S/S TOT) AJD]]</f>
        <v>0</v>
      </c>
      <c r="Q52" s="40"/>
      <c r="R52" s="3">
        <f>TABL1234[[#This Row],[خط (T/B  TOT) SAR]]-TABL1234[[#This Row],[(T/B TOT) AJD]]</f>
        <v>0</v>
      </c>
      <c r="S52" s="3">
        <f>TABL1234[[#This Row],[الفرق بين بداية ونهاية خط  T/B]]+TABL1234[[#This Row],[الفرق بين بداية ونهاية خط  S/S]]</f>
        <v>0</v>
      </c>
      <c r="T52" s="3">
        <f>TABL1234[[#This Row],[(S/S TOT) AJD]]+TABL1234[[#This Row],[(T/B TOT) AJD]]</f>
        <v>0</v>
      </c>
      <c r="U52" s="44"/>
      <c r="V52" s="44"/>
      <c r="W52" s="3">
        <f>TABL1234[[#This Row],[(A/B TOT) AJD]]+TABL1234[[#This Row],[(A/S TOT)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Row],[البخر  AJD]])</f>
        <v>0</v>
      </c>
      <c r="AE52" s="44"/>
      <c r="AF52" s="45"/>
      <c r="AG52" s="45"/>
      <c r="AH52" s="6"/>
      <c r="AI52" s="45"/>
      <c r="AJ52" s="45">
        <f>TABL1234[[#This Row],[(A/B TOT) AJD]]-TABL1234[[#This Row],[BER_ IN]]</f>
        <v>0</v>
      </c>
      <c r="AK52" s="45"/>
      <c r="AL52" s="45"/>
      <c r="AM52" s="32"/>
      <c r="AN52" s="32">
        <f>TABL1234[[#This Row],[ (RESV. STORGE) SER]]/10</f>
        <v>0</v>
      </c>
      <c r="AO52" s="75"/>
      <c r="AP52" s="75">
        <f>TABL1234[[#This Row],[(A/S TOT) AJD]]-TABL1234[[#This Row],[SER_ 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Row],[خط (T/B  TOT) SAR]]+TABL1234[[#This Row],[خط (S/S  TOT) SAR2]]</f>
        <v>0</v>
      </c>
      <c r="L53" s="41"/>
      <c r="M53" s="42"/>
      <c r="N53" s="42"/>
      <c r="O53" s="39"/>
      <c r="P53" s="3">
        <f>TABL1234[[#This Row],[خط (S/S  TOT) SAR2]]-TABL1234[[#This Row],[(S/S TOT) AJD]]</f>
        <v>0</v>
      </c>
      <c r="Q53" s="39"/>
      <c r="R53" s="3">
        <f>TABL1234[[#This Row],[خط (T/B  TOT) SAR]]-TABL1234[[#This Row],[(T/B TOT) AJD]]</f>
        <v>0</v>
      </c>
      <c r="S53" s="3">
        <f>TABL1234[[#This Row],[الفرق بين بداية ونهاية خط  T/B]]+TABL1234[[#This Row],[الفرق بين بداية ونهاية خط  S/S]]</f>
        <v>0</v>
      </c>
      <c r="T53" s="3">
        <f>TABL1234[[#This Row],[(S/S TOT) AJD]]+TABL1234[[#This Row],[(T/B TOT) AJD]]</f>
        <v>0</v>
      </c>
      <c r="U53" s="41"/>
      <c r="V53" s="41"/>
      <c r="W53" s="3">
        <f>TABL1234[[#This Row],[(A/B TOT) AJD]]+TABL1234[[#This Row],[(A/S TOT)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Row],[البخر  AJD]])</f>
        <v>0</v>
      </c>
      <c r="AE53" s="41"/>
      <c r="AF53" s="43"/>
      <c r="AG53" s="43"/>
      <c r="AH53" s="6"/>
      <c r="AI53" s="43"/>
      <c r="AJ53" s="43">
        <f>TABL1234[[#This Row],[(A/B TOT) AJD]]-TABL1234[[#This Row],[BER_ IN]]</f>
        <v>0</v>
      </c>
      <c r="AK53" s="43"/>
      <c r="AL53" s="43"/>
      <c r="AM53" s="32"/>
      <c r="AN53" s="32">
        <f>TABL1234[[#This Row],[ (RESV. STORGE) SER]]/10</f>
        <v>0</v>
      </c>
      <c r="AO53" s="75"/>
      <c r="AP53" s="75">
        <f>TABL1234[[#This Row],[(A/S TOT) AJD]]-TABL1234[[#This Row],[SER_ 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Row],[خط (T/B  TOT) SAR]]+TABL1234[[#This Row],[خط (S/S  TOT) SAR2]]</f>
        <v>0</v>
      </c>
      <c r="L54" s="45"/>
      <c r="M54" s="46"/>
      <c r="N54" s="46"/>
      <c r="O54" s="40"/>
      <c r="P54" s="3">
        <f>TABL1234[[#This Row],[خط (S/S  TOT) SAR2]]-TABL1234[[#This Row],[(S/S TOT) AJD]]</f>
        <v>0</v>
      </c>
      <c r="Q54" s="40"/>
      <c r="R54" s="3">
        <f>TABL1234[[#This Row],[خط (T/B  TOT) SAR]]-TABL1234[[#This Row],[(T/B TOT) AJD]]</f>
        <v>0</v>
      </c>
      <c r="S54" s="3">
        <f>TABL1234[[#This Row],[الفرق بين بداية ونهاية خط  T/B]]+TABL1234[[#This Row],[الفرق بين بداية ونهاية خط  S/S]]</f>
        <v>0</v>
      </c>
      <c r="T54" s="3">
        <f>TABL1234[[#This Row],[(S/S TOT) AJD]]+TABL1234[[#This Row],[(T/B TOT) AJD]]</f>
        <v>0</v>
      </c>
      <c r="U54" s="44"/>
      <c r="V54" s="44"/>
      <c r="W54" s="3">
        <f>TABL1234[[#This Row],[(A/B TOT) AJD]]+TABL1234[[#This Row],[(A/S TOT)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Row],[البخر  AJD]])</f>
        <v>0</v>
      </c>
      <c r="AE54" s="44"/>
      <c r="AF54" s="45"/>
      <c r="AG54" s="45"/>
      <c r="AH54" s="6"/>
      <c r="AI54" s="45"/>
      <c r="AJ54" s="45">
        <f>TABL1234[[#This Row],[(A/B TOT) AJD]]-TABL1234[[#This Row],[BER_ IN]]</f>
        <v>0</v>
      </c>
      <c r="AK54" s="45"/>
      <c r="AL54" s="45"/>
      <c r="AM54" s="32"/>
      <c r="AN54" s="32">
        <f>TABL1234[[#This Row],[ (RESV. STORGE) SER]]/10</f>
        <v>0</v>
      </c>
      <c r="AO54" s="75"/>
      <c r="AP54" s="75">
        <f>TABL1234[[#This Row],[(A/S TOT) AJD]]-TABL1234[[#This Row],[SER_ 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Row],[خط (T/B  TOT) SAR]]+TABL1234[[#This Row],[خط (S/S  TOT) SAR2]]</f>
        <v>0</v>
      </c>
      <c r="L55" s="41"/>
      <c r="M55" s="42"/>
      <c r="N55" s="42"/>
      <c r="O55" s="39"/>
      <c r="P55" s="3">
        <f>TABL1234[[#This Row],[خط (S/S  TOT) SAR2]]-TABL1234[[#This Row],[(S/S TOT) AJD]]</f>
        <v>0</v>
      </c>
      <c r="Q55" s="39"/>
      <c r="R55" s="3">
        <f>TABL1234[[#This Row],[خط (T/B  TOT) SAR]]-TABL1234[[#This Row],[(T/B TOT) AJD]]</f>
        <v>0</v>
      </c>
      <c r="S55" s="3">
        <f>TABL1234[[#This Row],[الفرق بين بداية ونهاية خط  T/B]]+TABL1234[[#This Row],[الفرق بين بداية ونهاية خط  S/S]]</f>
        <v>0</v>
      </c>
      <c r="T55" s="3">
        <f>TABL1234[[#This Row],[(S/S TOT) AJD]]+TABL1234[[#This Row],[(T/B TOT) AJD]]</f>
        <v>0</v>
      </c>
      <c r="U55" s="41"/>
      <c r="V55" s="41"/>
      <c r="W55" s="3">
        <f>TABL1234[[#This Row],[(A/B TOT) AJD]]+TABL1234[[#This Row],[(A/S TOT)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Row],[البخر  AJD]])</f>
        <v>0</v>
      </c>
      <c r="AE55" s="41"/>
      <c r="AF55" s="43"/>
      <c r="AG55" s="43"/>
      <c r="AH55" s="6"/>
      <c r="AI55" s="43"/>
      <c r="AJ55" s="43">
        <f>TABL1234[[#This Row],[(A/B TOT) AJD]]-TABL1234[[#This Row],[BER_ IN]]</f>
        <v>0</v>
      </c>
      <c r="AK55" s="43"/>
      <c r="AL55" s="43"/>
      <c r="AM55" s="32"/>
      <c r="AN55" s="32">
        <f>TABL1234[[#This Row],[ (RESV. STORGE) SER]]/10</f>
        <v>0</v>
      </c>
      <c r="AO55" s="75"/>
      <c r="AP55" s="75">
        <f>TABL1234[[#This Row],[(A/S TOT) AJD]]-TABL1234[[#This Row],[SER_ 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Row],[خط (T/B  TOT) SAR]]+TABL1234[[#This Row],[خط (S/S  TOT) SAR2]]</f>
        <v>0</v>
      </c>
      <c r="L56" s="45"/>
      <c r="M56" s="46"/>
      <c r="N56" s="46"/>
      <c r="O56" s="40"/>
      <c r="P56" s="3">
        <f>TABL1234[[#This Row],[خط (S/S  TOT) SAR2]]-TABL1234[[#This Row],[(S/S TOT) AJD]]</f>
        <v>0</v>
      </c>
      <c r="Q56" s="40"/>
      <c r="R56" s="3">
        <f>TABL1234[[#This Row],[خط (T/B  TOT) SAR]]-TABL1234[[#This Row],[(T/B TOT) AJD]]</f>
        <v>0</v>
      </c>
      <c r="S56" s="3">
        <f>TABL1234[[#This Row],[الفرق بين بداية ونهاية خط  T/B]]+TABL1234[[#This Row],[الفرق بين بداية ونهاية خط  S/S]]</f>
        <v>0</v>
      </c>
      <c r="T56" s="3">
        <f>TABL1234[[#This Row],[(S/S TOT) AJD]]+TABL1234[[#This Row],[(T/B TOT) AJD]]</f>
        <v>0</v>
      </c>
      <c r="U56" s="44"/>
      <c r="V56" s="44"/>
      <c r="W56" s="3">
        <f>TABL1234[[#This Row],[(A/B TOT) AJD]]+TABL1234[[#This Row],[(A/S TOT)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Row],[البخر  AJD]])</f>
        <v>0</v>
      </c>
      <c r="AE56" s="44"/>
      <c r="AF56" s="45"/>
      <c r="AG56" s="45"/>
      <c r="AH56" s="6"/>
      <c r="AI56" s="45"/>
      <c r="AJ56" s="45">
        <f>TABL1234[[#This Row],[(A/B TOT) AJD]]-TABL1234[[#This Row],[BER_ IN]]</f>
        <v>0</v>
      </c>
      <c r="AK56" s="45"/>
      <c r="AL56" s="45"/>
      <c r="AM56" s="32"/>
      <c r="AN56" s="32">
        <f>TABL1234[[#This Row],[ (RESV. STORGE) SER]]/10</f>
        <v>0</v>
      </c>
      <c r="AO56" s="75"/>
      <c r="AP56" s="75">
        <f>TABL1234[[#This Row],[(A/S TOT) AJD]]-TABL1234[[#This Row],[SER_ 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Row],[خط (T/B  TOT) SAR]]+TABL1234[[#This Row],[خط (S/S  TOT) SAR2]]</f>
        <v>0</v>
      </c>
      <c r="L57" s="41"/>
      <c r="M57" s="42"/>
      <c r="N57" s="42"/>
      <c r="O57" s="39"/>
      <c r="P57" s="3">
        <f>TABL1234[[#This Row],[خط (S/S  TOT) SAR2]]-TABL1234[[#This Row],[(S/S TOT) AJD]]</f>
        <v>0</v>
      </c>
      <c r="Q57" s="39"/>
      <c r="R57" s="3">
        <f>TABL1234[[#This Row],[خط (T/B  TOT) SAR]]-TABL1234[[#This Row],[(T/B TOT) AJD]]</f>
        <v>0</v>
      </c>
      <c r="S57" s="3">
        <f>TABL1234[[#This Row],[الفرق بين بداية ونهاية خط  T/B]]+TABL1234[[#This Row],[الفرق بين بداية ونهاية خط  S/S]]</f>
        <v>0</v>
      </c>
      <c r="T57" s="3">
        <f>TABL1234[[#This Row],[(S/S TOT) AJD]]+TABL1234[[#This Row],[(T/B TOT) AJD]]</f>
        <v>0</v>
      </c>
      <c r="U57" s="41"/>
      <c r="V57" s="41"/>
      <c r="W57" s="3">
        <f>TABL1234[[#This Row],[(A/B TOT) AJD]]+TABL1234[[#This Row],[(A/S TOT)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Row],[البخر  AJD]])</f>
        <v>0</v>
      </c>
      <c r="AE57" s="41"/>
      <c r="AF57" s="43"/>
      <c r="AG57" s="43"/>
      <c r="AH57" s="6"/>
      <c r="AI57" s="43"/>
      <c r="AJ57" s="43">
        <f>TABL1234[[#This Row],[(A/B TOT) AJD]]-TABL1234[[#This Row],[BER_ IN]]</f>
        <v>0</v>
      </c>
      <c r="AK57" s="43"/>
      <c r="AL57" s="43"/>
      <c r="AM57" s="32"/>
      <c r="AN57" s="32">
        <f>TABL1234[[#This Row],[ (RESV. STORGE) SER]]/10</f>
        <v>0</v>
      </c>
      <c r="AO57" s="75"/>
      <c r="AP57" s="75">
        <f>TABL1234[[#This Row],[(A/S TOT) AJD]]-TABL1234[[#This Row],[SER_ 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Row],[خط (T/B  TOT) SAR]]+TABL1234[[#This Row],[خط (S/S  TOT) SAR2]]</f>
        <v>0</v>
      </c>
      <c r="L58" s="45"/>
      <c r="M58" s="46"/>
      <c r="N58" s="46"/>
      <c r="O58" s="40"/>
      <c r="P58" s="3">
        <f>TABL1234[[#This Row],[خط (S/S  TOT) SAR2]]-TABL1234[[#This Row],[(S/S TOT) AJD]]</f>
        <v>0</v>
      </c>
      <c r="Q58" s="40"/>
      <c r="R58" s="3">
        <f>TABL1234[[#This Row],[خط (T/B  TOT) SAR]]-TABL1234[[#This Row],[(T/B TOT) AJD]]</f>
        <v>0</v>
      </c>
      <c r="S58" s="3">
        <f>TABL1234[[#This Row],[الفرق بين بداية ونهاية خط  T/B]]+TABL1234[[#This Row],[الفرق بين بداية ونهاية خط  S/S]]</f>
        <v>0</v>
      </c>
      <c r="T58" s="3">
        <f>TABL1234[[#This Row],[(S/S TOT) AJD]]+TABL1234[[#This Row],[(T/B TOT) AJD]]</f>
        <v>0</v>
      </c>
      <c r="U58" s="44"/>
      <c r="V58" s="44"/>
      <c r="W58" s="3">
        <f>TABL1234[[#This Row],[(A/B TOT) AJD]]+TABL1234[[#This Row],[(A/S TOT)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Row],[البخر  AJD]])</f>
        <v>0</v>
      </c>
      <c r="AE58" s="44"/>
      <c r="AF58" s="45"/>
      <c r="AG58" s="45"/>
      <c r="AH58" s="6"/>
      <c r="AI58" s="45"/>
      <c r="AJ58" s="45">
        <f>TABL1234[[#This Row],[(A/B TOT) AJD]]-TABL1234[[#This Row],[BER_ IN]]</f>
        <v>0</v>
      </c>
      <c r="AK58" s="45"/>
      <c r="AL58" s="45"/>
      <c r="AM58" s="32"/>
      <c r="AN58" s="32">
        <f>TABL1234[[#This Row],[ (RESV. STORGE) SER]]/10</f>
        <v>0</v>
      </c>
      <c r="AO58" s="75"/>
      <c r="AP58" s="75">
        <f>TABL1234[[#This Row],[(A/S TOT) AJD]]-TABL1234[[#This Row],[SER_ 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Row],[خط (T/B  TOT) SAR]]+TABL1234[[#This Row],[خط (S/S  TOT) SAR2]]</f>
        <v>0</v>
      </c>
      <c r="L59" s="41"/>
      <c r="M59" s="42"/>
      <c r="N59" s="42"/>
      <c r="O59" s="39"/>
      <c r="P59" s="3">
        <f>TABL1234[[#This Row],[خط (S/S  TOT) SAR2]]-TABL1234[[#This Row],[(S/S TOT) AJD]]</f>
        <v>0</v>
      </c>
      <c r="Q59" s="39"/>
      <c r="R59" s="3">
        <f>TABL1234[[#This Row],[خط (T/B  TOT) SAR]]-TABL1234[[#This Row],[(T/B TOT) AJD]]</f>
        <v>0</v>
      </c>
      <c r="S59" s="3">
        <f>TABL1234[[#This Row],[الفرق بين بداية ونهاية خط  T/B]]+TABL1234[[#This Row],[الفرق بين بداية ونهاية خط  S/S]]</f>
        <v>0</v>
      </c>
      <c r="T59" s="3">
        <f>TABL1234[[#This Row],[(S/S TOT) AJD]]+TABL1234[[#This Row],[(T/B TOT) AJD]]</f>
        <v>0</v>
      </c>
      <c r="U59" s="41"/>
      <c r="V59" s="41"/>
      <c r="W59" s="3">
        <f>TABL1234[[#This Row],[(A/B TOT) AJD]]+TABL1234[[#This Row],[(A/S TOT)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Row],[البخر  AJD]])</f>
        <v>0</v>
      </c>
      <c r="AE59" s="41"/>
      <c r="AF59" s="43"/>
      <c r="AG59" s="43"/>
      <c r="AH59" s="6"/>
      <c r="AI59" s="43"/>
      <c r="AJ59" s="43">
        <f>TABL1234[[#This Row],[(A/B TOT) AJD]]-TABL1234[[#This Row],[BER_ IN]]</f>
        <v>0</v>
      </c>
      <c r="AK59" s="43"/>
      <c r="AL59" s="43"/>
      <c r="AM59" s="32"/>
      <c r="AN59" s="32">
        <f>TABL1234[[#This Row],[ (RESV. STORGE) SER]]/10</f>
        <v>0</v>
      </c>
      <c r="AO59" s="75"/>
      <c r="AP59" s="75">
        <f>TABL1234[[#This Row],[(A/S TOT) AJD]]-TABL1234[[#This Row],[SER_ 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Row],[خط (T/B  TOT) SAR]]+TABL1234[[#This Row],[خط (S/S  TOT) SAR2]]</f>
        <v>0</v>
      </c>
      <c r="L60" s="45"/>
      <c r="M60" s="46"/>
      <c r="N60" s="46"/>
      <c r="O60" s="40"/>
      <c r="P60" s="3">
        <f>TABL1234[[#This Row],[خط (S/S  TOT) SAR2]]-TABL1234[[#This Row],[(S/S TOT) AJD]]</f>
        <v>0</v>
      </c>
      <c r="Q60" s="40"/>
      <c r="R60" s="3">
        <f>TABL1234[[#This Row],[خط (T/B  TOT) SAR]]-TABL1234[[#This Row],[(T/B TOT) AJD]]</f>
        <v>0</v>
      </c>
      <c r="S60" s="3">
        <f>TABL1234[[#This Row],[الفرق بين بداية ونهاية خط  T/B]]+TABL1234[[#This Row],[الفرق بين بداية ونهاية خط  S/S]]</f>
        <v>0</v>
      </c>
      <c r="T60" s="3">
        <f>TABL1234[[#This Row],[(S/S TOT) AJD]]+TABL1234[[#This Row],[(T/B TOT) AJD]]</f>
        <v>0</v>
      </c>
      <c r="U60" s="44"/>
      <c r="V60" s="44"/>
      <c r="W60" s="3">
        <f>TABL1234[[#This Row],[(A/B TOT) AJD]]+TABL1234[[#This Row],[(A/S TOT)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Row],[البخر  AJD]])</f>
        <v>0</v>
      </c>
      <c r="AE60" s="44"/>
      <c r="AF60" s="45"/>
      <c r="AG60" s="45"/>
      <c r="AH60" s="6"/>
      <c r="AI60" s="45"/>
      <c r="AJ60" s="45">
        <f>TABL1234[[#This Row],[(A/B TOT) AJD]]-TABL1234[[#This Row],[BER_ IN]]</f>
        <v>0</v>
      </c>
      <c r="AK60" s="45"/>
      <c r="AL60" s="45"/>
      <c r="AM60" s="32"/>
      <c r="AN60" s="32">
        <f>TABL1234[[#This Row],[ (RESV. STORGE) SER]]/10</f>
        <v>0</v>
      </c>
      <c r="AO60" s="75"/>
      <c r="AP60" s="75">
        <f>TABL1234[[#This Row],[(A/S TOT) AJD]]-TABL1234[[#This Row],[SER_ 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Row],[خط (T/B  TOT) SAR]]+TABL1234[[#This Row],[خط (S/S  TOT) SAR2]]</f>
        <v>0</v>
      </c>
      <c r="L61" s="41"/>
      <c r="M61" s="42"/>
      <c r="N61" s="42"/>
      <c r="O61" s="39"/>
      <c r="P61" s="3">
        <f>TABL1234[[#This Row],[خط (S/S  TOT) SAR2]]-TABL1234[[#This Row],[(S/S TOT) AJD]]</f>
        <v>0</v>
      </c>
      <c r="Q61" s="39"/>
      <c r="R61" s="3">
        <f>TABL1234[[#This Row],[خط (T/B  TOT) SAR]]-TABL1234[[#This Row],[(T/B TOT) AJD]]</f>
        <v>0</v>
      </c>
      <c r="S61" s="3">
        <f>TABL1234[[#This Row],[الفرق بين بداية ونهاية خط  T/B]]+TABL1234[[#This Row],[الفرق بين بداية ونهاية خط  S/S]]</f>
        <v>0</v>
      </c>
      <c r="T61" s="3">
        <f>TABL1234[[#This Row],[(S/S TOT) AJD]]+TABL1234[[#This Row],[(T/B TOT) AJD]]</f>
        <v>0</v>
      </c>
      <c r="U61" s="41"/>
      <c r="V61" s="41"/>
      <c r="W61" s="3">
        <f>TABL1234[[#This Row],[(A/B TOT) AJD]]+TABL1234[[#This Row],[(A/S TOT)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Row],[البخر  AJD]])</f>
        <v>0</v>
      </c>
      <c r="AE61" s="41"/>
      <c r="AF61" s="43"/>
      <c r="AG61" s="43"/>
      <c r="AH61" s="6"/>
      <c r="AI61" s="43"/>
      <c r="AJ61" s="43">
        <f>TABL1234[[#This Row],[(A/B TOT) AJD]]-TABL1234[[#This Row],[BER_ IN]]</f>
        <v>0</v>
      </c>
      <c r="AK61" s="43"/>
      <c r="AL61" s="43"/>
      <c r="AM61" s="32"/>
      <c r="AN61" s="32">
        <f>TABL1234[[#This Row],[ (RESV. STORGE) SER]]/10</f>
        <v>0</v>
      </c>
      <c r="AO61" s="75"/>
      <c r="AP61" s="75">
        <f>TABL1234[[#This Row],[(A/S TOT) AJD]]-TABL1234[[#This Row],[SER_ 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Row],[خط (T/B  TOT) SAR]]+TABL1234[[#This Row],[خط (S/S  TOT) SAR2]]</f>
        <v>0</v>
      </c>
      <c r="L62" s="45"/>
      <c r="M62" s="46"/>
      <c r="N62" s="46"/>
      <c r="O62" s="40"/>
      <c r="P62" s="3">
        <f>TABL1234[[#This Row],[خط (S/S  TOT) SAR2]]-TABL1234[[#This Row],[(S/S TOT) AJD]]</f>
        <v>0</v>
      </c>
      <c r="Q62" s="40"/>
      <c r="R62" s="3">
        <f>TABL1234[[#This Row],[خط (T/B  TOT) SAR]]-TABL1234[[#This Row],[(T/B TOT) AJD]]</f>
        <v>0</v>
      </c>
      <c r="S62" s="3">
        <f>TABL1234[[#This Row],[الفرق بين بداية ونهاية خط  T/B]]+TABL1234[[#This Row],[الفرق بين بداية ونهاية خط  S/S]]</f>
        <v>0</v>
      </c>
      <c r="T62" s="3">
        <f>TABL1234[[#This Row],[(S/S TOT) AJD]]+TABL1234[[#This Row],[(T/B TOT) AJD]]</f>
        <v>0</v>
      </c>
      <c r="U62" s="44"/>
      <c r="V62" s="44"/>
      <c r="W62" s="3">
        <f>TABL1234[[#This Row],[(A/B TOT) AJD]]+TABL1234[[#This Row],[(A/S TOT)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Row],[البخر  AJD]])</f>
        <v>0</v>
      </c>
      <c r="AE62" s="44"/>
      <c r="AF62" s="45"/>
      <c r="AG62" s="45"/>
      <c r="AH62" s="6"/>
      <c r="AI62" s="45"/>
      <c r="AJ62" s="45">
        <f>TABL1234[[#This Row],[(A/B TOT) AJD]]-TABL1234[[#This Row],[BER_ IN]]</f>
        <v>0</v>
      </c>
      <c r="AK62" s="45"/>
      <c r="AL62" s="45"/>
      <c r="AM62" s="32"/>
      <c r="AN62" s="32">
        <f>TABL1234[[#This Row],[ (RESV. STORGE) SER]]/10</f>
        <v>0</v>
      </c>
      <c r="AO62" s="75"/>
      <c r="AP62" s="75">
        <f>TABL1234[[#This Row],[(A/S TOT) AJD]]-TABL1234[[#This Row],[SER_ 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Row],[خط (T/B  TOT) SAR]]+TABL1234[[#This Row],[خط (S/S  TOT) SAR2]]</f>
        <v>0</v>
      </c>
      <c r="L63" s="41"/>
      <c r="M63" s="42"/>
      <c r="N63" s="42"/>
      <c r="O63" s="39"/>
      <c r="P63" s="3">
        <f>TABL1234[[#This Row],[خط (S/S  TOT) SAR2]]-TABL1234[[#This Row],[(S/S TOT) AJD]]</f>
        <v>0</v>
      </c>
      <c r="Q63" s="39"/>
      <c r="R63" s="3">
        <f>TABL1234[[#This Row],[خط (T/B  TOT) SAR]]-TABL1234[[#This Row],[(T/B TOT) AJD]]</f>
        <v>0</v>
      </c>
      <c r="S63" s="3">
        <f>TABL1234[[#This Row],[الفرق بين بداية ونهاية خط  T/B]]+TABL1234[[#This Row],[الفرق بين بداية ونهاية خط  S/S]]</f>
        <v>0</v>
      </c>
      <c r="T63" s="3">
        <f>TABL1234[[#This Row],[(S/S TOT) AJD]]+TABL1234[[#This Row],[(T/B TOT) AJD]]</f>
        <v>0</v>
      </c>
      <c r="U63" s="41"/>
      <c r="V63" s="41"/>
      <c r="W63" s="3">
        <f>TABL1234[[#This Row],[(A/B TOT) AJD]]+TABL1234[[#This Row],[(A/S TOT)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Row],[البخر  AJD]])</f>
        <v>0</v>
      </c>
      <c r="AE63" s="41"/>
      <c r="AF63" s="43"/>
      <c r="AG63" s="43"/>
      <c r="AH63" s="6"/>
      <c r="AI63" s="43"/>
      <c r="AJ63" s="43">
        <f>TABL1234[[#This Row],[(A/B TOT) AJD]]-TABL1234[[#This Row],[BER_ IN]]</f>
        <v>0</v>
      </c>
      <c r="AK63" s="43"/>
      <c r="AL63" s="43"/>
      <c r="AM63" s="32"/>
      <c r="AN63" s="32">
        <f>TABL1234[[#This Row],[ (RESV. STORGE) SER]]/10</f>
        <v>0</v>
      </c>
      <c r="AO63" s="75"/>
      <c r="AP63" s="75">
        <f>TABL1234[[#This Row],[(A/S TOT) AJD]]-TABL1234[[#This Row],[SER_ 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Row],[خط (T/B  TOT) SAR]]+TABL1234[[#This Row],[خط (S/S  TOT) SAR2]]</f>
        <v>0</v>
      </c>
      <c r="L64" s="45"/>
      <c r="M64" s="46"/>
      <c r="N64" s="46"/>
      <c r="O64" s="40"/>
      <c r="P64" s="3">
        <f>TABL1234[[#This Row],[خط (S/S  TOT) SAR2]]-TABL1234[[#This Row],[(S/S TOT) AJD]]</f>
        <v>0</v>
      </c>
      <c r="Q64" s="40"/>
      <c r="R64" s="3">
        <f>TABL1234[[#This Row],[خط (T/B  TOT) SAR]]-TABL1234[[#This Row],[(T/B TOT) AJD]]</f>
        <v>0</v>
      </c>
      <c r="S64" s="3">
        <f>TABL1234[[#This Row],[الفرق بين بداية ونهاية خط  T/B]]+TABL1234[[#This Row],[الفرق بين بداية ونهاية خط  S/S]]</f>
        <v>0</v>
      </c>
      <c r="T64" s="3">
        <f>TABL1234[[#This Row],[(S/S TOT) AJD]]+TABL1234[[#This Row],[(T/B TOT) AJD]]</f>
        <v>0</v>
      </c>
      <c r="U64" s="44"/>
      <c r="V64" s="44"/>
      <c r="W64" s="3">
        <f>TABL1234[[#This Row],[(A/B TOT) AJD]]+TABL1234[[#This Row],[(A/S TOT)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Row],[البخر  AJD]])</f>
        <v>0</v>
      </c>
      <c r="AE64" s="44"/>
      <c r="AF64" s="45"/>
      <c r="AG64" s="45"/>
      <c r="AH64" s="6"/>
      <c r="AI64" s="45"/>
      <c r="AJ64" s="45">
        <f>TABL1234[[#This Row],[(A/B TOT) AJD]]-TABL1234[[#This Row],[BER_ IN]]</f>
        <v>0</v>
      </c>
      <c r="AK64" s="45"/>
      <c r="AL64" s="45"/>
      <c r="AM64" s="32"/>
      <c r="AN64" s="32">
        <f>TABL1234[[#This Row],[ (RESV. STORGE) SER]]/10</f>
        <v>0</v>
      </c>
      <c r="AO64" s="75"/>
      <c r="AP64" s="75">
        <f>TABL1234[[#This Row],[(A/S TOT) AJD]]-TABL1234[[#This Row],[SER_ 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Row],[خط (T/B  TOT) SAR]]+TABL1234[[#This Row],[خط (S/S  TOT) SAR2]]</f>
        <v>0</v>
      </c>
      <c r="L65" s="41"/>
      <c r="M65" s="42"/>
      <c r="N65" s="42"/>
      <c r="O65" s="39"/>
      <c r="P65" s="3">
        <f>TABL1234[[#This Row],[خط (S/S  TOT) SAR2]]-TABL1234[[#This Row],[(S/S TOT) AJD]]</f>
        <v>0</v>
      </c>
      <c r="Q65" s="39"/>
      <c r="R65" s="3">
        <f>TABL1234[[#This Row],[خط (T/B  TOT) SAR]]-TABL1234[[#This Row],[(T/B TOT) AJD]]</f>
        <v>0</v>
      </c>
      <c r="S65" s="3">
        <f>TABL1234[[#This Row],[الفرق بين بداية ونهاية خط  T/B]]+TABL1234[[#This Row],[الفرق بين بداية ونهاية خط  S/S]]</f>
        <v>0</v>
      </c>
      <c r="T65" s="3">
        <f>TABL1234[[#This Row],[(S/S TOT) AJD]]+TABL1234[[#This Row],[(T/B TOT) AJD]]</f>
        <v>0</v>
      </c>
      <c r="U65" s="41"/>
      <c r="V65" s="41"/>
      <c r="W65" s="3">
        <f>TABL1234[[#This Row],[(A/B TOT) AJD]]+TABL1234[[#This Row],[(A/S TOT)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Row],[البخر  AJD]])</f>
        <v>0</v>
      </c>
      <c r="AE65" s="41"/>
      <c r="AF65" s="43"/>
      <c r="AG65" s="43"/>
      <c r="AH65" s="6"/>
      <c r="AI65" s="43"/>
      <c r="AJ65" s="43">
        <f>TABL1234[[#This Row],[(A/B TOT) AJD]]-TABL1234[[#This Row],[BER_ IN]]</f>
        <v>0</v>
      </c>
      <c r="AK65" s="43"/>
      <c r="AL65" s="43"/>
      <c r="AM65" s="32"/>
      <c r="AN65" s="32">
        <f>TABL1234[[#This Row],[ (RESV. STORGE) SER]]/10</f>
        <v>0</v>
      </c>
      <c r="AO65" s="75"/>
      <c r="AP65" s="75">
        <f>TABL1234[[#This Row],[(A/S TOT) AJD]]-TABL1234[[#This Row],[SER_ 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Row],[خط (T/B  TOT) SAR]]+TABL1234[[#This Row],[خط (S/S  TOT) SAR2]]</f>
        <v>0</v>
      </c>
      <c r="L66" s="45"/>
      <c r="M66" s="46"/>
      <c r="N66" s="46"/>
      <c r="O66" s="40"/>
      <c r="P66" s="3">
        <f>TABL1234[[#This Row],[خط (S/S  TOT) SAR2]]-TABL1234[[#This Row],[(S/S TOT) AJD]]</f>
        <v>0</v>
      </c>
      <c r="Q66" s="40"/>
      <c r="R66" s="3">
        <f>TABL1234[[#This Row],[خط (T/B  TOT) SAR]]-TABL1234[[#This Row],[(T/B TOT) AJD]]</f>
        <v>0</v>
      </c>
      <c r="S66" s="3">
        <f>TABL1234[[#This Row],[الفرق بين بداية ونهاية خط  T/B]]+TABL1234[[#This Row],[الفرق بين بداية ونهاية خط  S/S]]</f>
        <v>0</v>
      </c>
      <c r="T66" s="3">
        <f>TABL1234[[#This Row],[(S/S TOT) AJD]]+TABL1234[[#This Row],[(T/B TOT) AJD]]</f>
        <v>0</v>
      </c>
      <c r="U66" s="44"/>
      <c r="V66" s="44"/>
      <c r="W66" s="3">
        <f>TABL1234[[#This Row],[(A/B TOT) AJD]]+TABL1234[[#This Row],[(A/S TOT)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Row],[البخر  AJD]])</f>
        <v>0</v>
      </c>
      <c r="AE66" s="44"/>
      <c r="AF66" s="45"/>
      <c r="AG66" s="45"/>
      <c r="AH66" s="6"/>
      <c r="AI66" s="45"/>
      <c r="AJ66" s="45">
        <f>TABL1234[[#This Row],[(A/B TOT) AJD]]-TABL1234[[#This Row],[BER_ IN]]</f>
        <v>0</v>
      </c>
      <c r="AK66" s="45"/>
      <c r="AL66" s="45"/>
      <c r="AM66" s="32"/>
      <c r="AN66" s="32">
        <f>TABL1234[[#This Row],[ (RESV. STORGE) SER]]/10</f>
        <v>0</v>
      </c>
      <c r="AO66" s="75"/>
      <c r="AP66" s="75">
        <f>TABL1234[[#This Row],[(A/S TOT) AJD]]-TABL1234[[#This Row],[SER_ 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Row],[خط (T/B  TOT) SAR]]+TABL1234[[#This Row],[خط (S/S  TOT) SAR2]]</f>
        <v>0</v>
      </c>
      <c r="L67" s="41"/>
      <c r="M67" s="42"/>
      <c r="N67" s="42"/>
      <c r="O67" s="39"/>
      <c r="P67" s="3">
        <f>TABL1234[[#This Row],[خط (S/S  TOT) SAR2]]-TABL1234[[#This Row],[(S/S TOT) AJD]]</f>
        <v>0</v>
      </c>
      <c r="Q67" s="39"/>
      <c r="R67" s="3">
        <f>TABL1234[[#This Row],[خط (T/B  TOT) SAR]]-TABL1234[[#This Row],[(T/B TOT) AJD]]</f>
        <v>0</v>
      </c>
      <c r="S67" s="3">
        <f>TABL1234[[#This Row],[الفرق بين بداية ونهاية خط  T/B]]+TABL1234[[#This Row],[الفرق بين بداية ونهاية خط  S/S]]</f>
        <v>0</v>
      </c>
      <c r="T67" s="3">
        <f>TABL1234[[#This Row],[(S/S TOT) AJD]]+TABL1234[[#This Row],[(T/B TOT) AJD]]</f>
        <v>0</v>
      </c>
      <c r="U67" s="41"/>
      <c r="V67" s="41"/>
      <c r="W67" s="3">
        <f>TABL1234[[#This Row],[(A/B TOT) AJD]]+TABL1234[[#This Row],[(A/S TOT)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Row],[البخر  AJD]])</f>
        <v>0</v>
      </c>
      <c r="AE67" s="41"/>
      <c r="AF67" s="43"/>
      <c r="AG67" s="43"/>
      <c r="AH67" s="6"/>
      <c r="AI67" s="43"/>
      <c r="AJ67" s="43">
        <f>TABL1234[[#This Row],[(A/B TOT) AJD]]-TABL1234[[#This Row],[BER_ IN]]</f>
        <v>0</v>
      </c>
      <c r="AK67" s="43"/>
      <c r="AL67" s="43"/>
      <c r="AM67" s="32"/>
      <c r="AN67" s="32">
        <f>TABL1234[[#This Row],[ (RESV. STORGE) SER]]/10</f>
        <v>0</v>
      </c>
      <c r="AO67" s="75"/>
      <c r="AP67" s="75">
        <f>TABL1234[[#This Row],[(A/S TOT) AJD]]-TABL1234[[#This Row],[SER_ 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Row],[خط (T/B  TOT) SAR]]+TABL1234[[#This Row],[خط (S/S  TOT) SAR2]]</f>
        <v>0</v>
      </c>
      <c r="L68" s="45"/>
      <c r="M68" s="46"/>
      <c r="N68" s="46"/>
      <c r="O68" s="40"/>
      <c r="P68" s="3">
        <f>TABL1234[[#This Row],[خط (S/S  TOT) SAR2]]-TABL1234[[#This Row],[(S/S TOT) AJD]]</f>
        <v>0</v>
      </c>
      <c r="Q68" s="40"/>
      <c r="R68" s="3">
        <f>TABL1234[[#This Row],[خط (T/B  TOT) SAR]]-TABL1234[[#This Row],[(T/B TOT) AJD]]</f>
        <v>0</v>
      </c>
      <c r="S68" s="3">
        <f>TABL1234[[#This Row],[الفرق بين بداية ونهاية خط  T/B]]+TABL1234[[#This Row],[الفرق بين بداية ونهاية خط  S/S]]</f>
        <v>0</v>
      </c>
      <c r="T68" s="3">
        <f>TABL1234[[#This Row],[(S/S TOT) AJD]]+TABL1234[[#This Row],[(T/B TOT) AJD]]</f>
        <v>0</v>
      </c>
      <c r="U68" s="44"/>
      <c r="V68" s="44"/>
      <c r="W68" s="3">
        <f>TABL1234[[#This Row],[(A/B TOT) AJD]]+TABL1234[[#This Row],[(A/S TOT)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(Z68-Z67)/1000</f>
        <v>0</v>
      </c>
      <c r="AC68" s="5"/>
      <c r="AD68" s="40">
        <f>TABL1234[[#This Row],[( S/S+T/B) AJD]]-(TABL1234[[#This Row],[(A/B + A/S) AJD]]+(TABL1234[[#This Row],[(STORGE DIFF.) AJD]]*1000)+TABL1234[[#This Row],[البخر  AJD]])</f>
        <v>0</v>
      </c>
      <c r="AE68" s="44"/>
      <c r="AF68" s="45"/>
      <c r="AG68" s="45"/>
      <c r="AH68" s="6"/>
      <c r="AI68" s="45"/>
      <c r="AJ68" s="45">
        <f>TABL1234[[#This Row],[(A/B TOT) AJD]]-TABL1234[[#This Row],[BER_ IN]]</f>
        <v>0</v>
      </c>
      <c r="AK68" s="45"/>
      <c r="AL68" s="45"/>
      <c r="AM68" s="32"/>
      <c r="AN68" s="32">
        <f>TABL1234[[#This Row],[ (RESV. STORGE) SER]]/10</f>
        <v>0</v>
      </c>
      <c r="AO68" s="75"/>
      <c r="AP68" s="75">
        <f>TABL1234[[#This Row],[(A/S TOT) AJD]]-TABL1234[[#This Row],[SER_ 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Row],[خط (T/B  TOT) SAR]]+TABL1234[[#This Row],[خط (S/S  TOT) SAR2]]</f>
        <v>0</v>
      </c>
      <c r="L69" s="41"/>
      <c r="M69" s="42"/>
      <c r="N69" s="42"/>
      <c r="O69" s="39"/>
      <c r="P69" s="3">
        <f>TABL1234[[#This Row],[خط (S/S  TOT) SAR2]]-TABL1234[[#This Row],[(S/S TOT) AJD]]</f>
        <v>0</v>
      </c>
      <c r="Q69" s="39"/>
      <c r="R69" s="3">
        <f>TABL1234[[#This Row],[خط (T/B  TOT) SAR]]-TABL1234[[#This Row],[(T/B TOT) AJD]]</f>
        <v>0</v>
      </c>
      <c r="S69" s="3">
        <f>TABL1234[[#This Row],[الفرق بين بداية ونهاية خط  T/B]]+TABL1234[[#This Row],[الفرق بين بداية ونهاية خط  S/S]]</f>
        <v>0</v>
      </c>
      <c r="T69" s="3">
        <f>TABL1234[[#This Row],[(S/S TOT) AJD]]+TABL1234[[#This Row],[(T/B TOT) AJD]]</f>
        <v>0</v>
      </c>
      <c r="U69" s="41"/>
      <c r="V69" s="41"/>
      <c r="W69" s="3">
        <f>TABL1234[[#This Row],[(A/B TOT) AJD]]+TABL1234[[#This Row],[(A/S TOT)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Row],[البخر  AJD]])</f>
        <v>0</v>
      </c>
      <c r="AE69" s="41"/>
      <c r="AF69" s="43"/>
      <c r="AG69" s="43"/>
      <c r="AH69" s="6"/>
      <c r="AI69" s="43"/>
      <c r="AJ69" s="43">
        <f>TABL1234[[#This Row],[(A/B TOT) AJD]]-TABL1234[[#This Row],[BER_ IN]]</f>
        <v>0</v>
      </c>
      <c r="AK69" s="43"/>
      <c r="AL69" s="43"/>
      <c r="AM69" s="32"/>
      <c r="AN69" s="32">
        <f>TABL1234[[#This Row],[ (RESV. STORGE) SER]]/10</f>
        <v>0</v>
      </c>
      <c r="AO69" s="75"/>
      <c r="AP69" s="75">
        <f>TABL1234[[#This Row],[(A/S TOT) AJD]]-TABL1234[[#This Row],[SER_ 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Row],[خط (T/B  TOT) SAR]]+TABL1234[[#This Row],[خط (S/S  TOT) SAR2]]</f>
        <v>0</v>
      </c>
      <c r="L70" s="45"/>
      <c r="M70" s="46"/>
      <c r="N70" s="46"/>
      <c r="O70" s="40"/>
      <c r="P70" s="3">
        <f>TABL1234[[#This Row],[خط (S/S  TOT) SAR2]]-TABL1234[[#This Row],[(S/S TOT) AJD]]</f>
        <v>0</v>
      </c>
      <c r="Q70" s="40"/>
      <c r="R70" s="3">
        <f>TABL1234[[#This Row],[خط (T/B  TOT) SAR]]-TABL1234[[#This Row],[(T/B TOT) AJD]]</f>
        <v>0</v>
      </c>
      <c r="S70" s="3">
        <f>TABL1234[[#This Row],[الفرق بين بداية ونهاية خط  T/B]]+TABL1234[[#This Row],[الفرق بين بداية ونهاية خط  S/S]]</f>
        <v>0</v>
      </c>
      <c r="T70" s="3">
        <f>TABL1234[[#This Row],[(S/S TOT) AJD]]+TABL1234[[#This Row],[(T/B TOT) AJD]]</f>
        <v>0</v>
      </c>
      <c r="U70" s="44"/>
      <c r="V70" s="44"/>
      <c r="W70" s="3">
        <f>TABL1234[[#This Row],[(A/B TOT) AJD]]+TABL1234[[#This Row],[(A/S TOT)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Row],[البخر  AJD]])</f>
        <v>0</v>
      </c>
      <c r="AE70" s="44"/>
      <c r="AF70" s="45"/>
      <c r="AG70" s="45"/>
      <c r="AH70" s="6"/>
      <c r="AI70" s="45"/>
      <c r="AJ70" s="45">
        <f>TABL1234[[#This Row],[(A/B TOT) AJD]]-TABL1234[[#This Row],[BER_ IN]]</f>
        <v>0</v>
      </c>
      <c r="AK70" s="45"/>
      <c r="AL70" s="45"/>
      <c r="AM70" s="32"/>
      <c r="AN70" s="32">
        <f>TABL1234[[#This Row],[ (RESV. STORGE) SER]]/10</f>
        <v>0</v>
      </c>
      <c r="AO70" s="75"/>
      <c r="AP70" s="75">
        <f>TABL1234[[#This Row],[(A/S TOT) AJD]]-TABL1234[[#This Row],[SER_ 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Row],[خط (T/B  TOT) SAR]]+TABL1234[[#This Row],[خط (S/S  TOT) SAR2]]</f>
        <v>0</v>
      </c>
      <c r="L71" s="41"/>
      <c r="M71" s="42"/>
      <c r="N71" s="42"/>
      <c r="O71" s="39"/>
      <c r="P71" s="3">
        <f>TABL1234[[#This Row],[خط (S/S  TOT) SAR2]]-TABL1234[[#This Row],[(S/S TOT) AJD]]</f>
        <v>0</v>
      </c>
      <c r="Q71" s="39"/>
      <c r="R71" s="3">
        <f>TABL1234[[#This Row],[خط (T/B  TOT) SAR]]-TABL1234[[#This Row],[(T/B TOT) AJD]]</f>
        <v>0</v>
      </c>
      <c r="S71" s="3">
        <f>TABL1234[[#This Row],[الفرق بين بداية ونهاية خط  T/B]]+TABL1234[[#This Row],[الفرق بين بداية ونهاية خط  S/S]]</f>
        <v>0</v>
      </c>
      <c r="T71" s="3">
        <f>TABL1234[[#This Row],[(S/S TOT) AJD]]+TABL1234[[#This Row],[(T/B TOT) AJD]]</f>
        <v>0</v>
      </c>
      <c r="U71" s="41"/>
      <c r="V71" s="41"/>
      <c r="W71" s="3">
        <f>TABL1234[[#This Row],[(A/B TOT) AJD]]+TABL1234[[#This Row],[(A/S TOT)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Row],[البخر  AJD]])</f>
        <v>0</v>
      </c>
      <c r="AE71" s="41"/>
      <c r="AF71" s="43"/>
      <c r="AG71" s="75"/>
      <c r="AH71" s="6"/>
      <c r="AI71" s="43"/>
      <c r="AJ71" s="75">
        <f>TABL1234[[#This Row],[(A/B TOT) AJD]]-TABL1234[[#This Row],[BER_ IN]]</f>
        <v>0</v>
      </c>
      <c r="AK71" s="43"/>
      <c r="AL71" s="43"/>
      <c r="AM71" s="32"/>
      <c r="AN71" s="32">
        <f>TABL1234[[#This Row],[ (RESV. STORGE) SER]]/10</f>
        <v>0</v>
      </c>
      <c r="AO71" s="75"/>
      <c r="AP71" s="75">
        <f>TABL1234[[#This Row],[(A/S TOT) AJD]]-TABL1234[[#This Row],[SER_ 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Row],[خط (T/B  TOT) SAR]]+TABL1234[[#This Row],[خط (S/S  TOT) SAR2]]</f>
        <v>0</v>
      </c>
      <c r="L72" s="45"/>
      <c r="M72" s="46"/>
      <c r="N72" s="46"/>
      <c r="O72" s="40"/>
      <c r="P72" s="3">
        <f>TABL1234[[#This Row],[خط (S/S  TOT) SAR2]]-TABL1234[[#This Row],[(S/S TOT) AJD]]</f>
        <v>0</v>
      </c>
      <c r="Q72" s="40"/>
      <c r="R72" s="3">
        <f>TABL1234[[#This Row],[خط (T/B  TOT) SAR]]-TABL1234[[#This Row],[(T/B TOT) AJD]]</f>
        <v>0</v>
      </c>
      <c r="S72" s="3">
        <f>TABL1234[[#This Row],[الفرق بين بداية ونهاية خط  T/B]]+TABL1234[[#This Row],[الفرق بين بداية ونهاية خط  S/S]]</f>
        <v>0</v>
      </c>
      <c r="T72" s="3">
        <f>TABL1234[[#This Row],[(S/S TOT) AJD]]+TABL1234[[#This Row],[(T/B TOT) AJD]]</f>
        <v>0</v>
      </c>
      <c r="U72" s="44"/>
      <c r="V72" s="44"/>
      <c r="W72" s="3">
        <f>TABL1234[[#This Row],[(A/B TOT) AJD]]+TABL1234[[#This Row],[(A/S TOT)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Row],[البخر  AJD]])</f>
        <v>0</v>
      </c>
      <c r="AE72" s="44"/>
      <c r="AF72" s="45"/>
      <c r="AG72" s="45"/>
      <c r="AH72" s="6"/>
      <c r="AI72" s="45"/>
      <c r="AJ72" s="45">
        <f>TABL1234[[#This Row],[(A/B TOT) AJD]]-TABL1234[[#This Row],[BER_ IN]]</f>
        <v>0</v>
      </c>
      <c r="AK72" s="45"/>
      <c r="AL72" s="45"/>
      <c r="AM72" s="32"/>
      <c r="AN72" s="32">
        <f>TABL1234[[#This Row],[ (RESV. STORGE) SER]]/10</f>
        <v>0</v>
      </c>
      <c r="AO72" s="75"/>
      <c r="AP72" s="75">
        <f>TABL1234[[#This Row],[(A/S TOT) AJD]]-TABL1234[[#This Row],[SER_ 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Row],[خط (T/B  TOT) SAR]]+TABL1234[[#This Row],[خط (S/S  TOT) SAR2]]</f>
        <v>0</v>
      </c>
      <c r="L73" s="41"/>
      <c r="M73" s="42"/>
      <c r="N73" s="42"/>
      <c r="O73" s="39"/>
      <c r="P73" s="3">
        <f>TABL1234[[#This Row],[خط (S/S  TOT) SAR2]]-TABL1234[[#This Row],[(S/S TOT) AJD]]</f>
        <v>0</v>
      </c>
      <c r="Q73" s="39"/>
      <c r="R73" s="3">
        <f>TABL1234[[#This Row],[خط (T/B  TOT) SAR]]-TABL1234[[#This Row],[(T/B TOT) AJD]]</f>
        <v>0</v>
      </c>
      <c r="S73" s="3">
        <f>TABL1234[[#This Row],[الفرق بين بداية ونهاية خط  T/B]]+TABL1234[[#This Row],[الفرق بين بداية ونهاية خط  S/S]]</f>
        <v>0</v>
      </c>
      <c r="T73" s="3">
        <f>TABL1234[[#This Row],[(S/S TOT) AJD]]+TABL1234[[#This Row],[(T/B TOT) AJD]]</f>
        <v>0</v>
      </c>
      <c r="U73" s="41"/>
      <c r="V73" s="41"/>
      <c r="W73" s="3">
        <f>TABL1234[[#This Row],[(A/B TOT) AJD]]+TABL1234[[#This Row],[(A/S TOT)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Row],[البخر  AJD]])</f>
        <v>0</v>
      </c>
      <c r="AE73" s="41"/>
      <c r="AF73" s="43"/>
      <c r="AG73" s="43"/>
      <c r="AH73" s="6"/>
      <c r="AI73" s="43"/>
      <c r="AJ73" s="43">
        <f>TABL1234[[#This Row],[(A/B TOT) AJD]]-TABL1234[[#This Row],[BER_ IN]]</f>
        <v>0</v>
      </c>
      <c r="AK73" s="43"/>
      <c r="AL73" s="43"/>
      <c r="AM73" s="32"/>
      <c r="AN73" s="32">
        <f>TABL1234[[#This Row],[ (RESV. STORGE) SER]]/10</f>
        <v>0</v>
      </c>
      <c r="AO73" s="75"/>
      <c r="AP73" s="75">
        <f>TABL1234[[#This Row],[(A/S TOT) AJD]]-TABL1234[[#This Row],[SER_ 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Row],[خط (T/B  TOT) SAR]]+TABL1234[[#This Row],[خط (S/S  TOT) SAR2]]</f>
        <v>0</v>
      </c>
      <c r="L74" s="45"/>
      <c r="M74" s="46"/>
      <c r="N74" s="46"/>
      <c r="O74" s="40"/>
      <c r="P74" s="3">
        <f>TABL1234[[#This Row],[خط (S/S  TOT) SAR2]]-TABL1234[[#This Row],[(S/S TOT) AJD]]</f>
        <v>0</v>
      </c>
      <c r="Q74" s="40"/>
      <c r="R74" s="3">
        <f>TABL1234[[#This Row],[خط (T/B  TOT) SAR]]-TABL1234[[#This Row],[(T/B TOT) AJD]]</f>
        <v>0</v>
      </c>
      <c r="S74" s="3">
        <f>TABL1234[[#This Row],[الفرق بين بداية ونهاية خط  T/B]]+TABL1234[[#This Row],[الفرق بين بداية ونهاية خط  S/S]]</f>
        <v>0</v>
      </c>
      <c r="T74" s="3">
        <f>TABL1234[[#This Row],[(S/S TOT) AJD]]+TABL1234[[#This Row],[(T/B TOT) AJD]]</f>
        <v>0</v>
      </c>
      <c r="U74" s="44"/>
      <c r="V74" s="44"/>
      <c r="W74" s="3">
        <f>TABL1234[[#This Row],[(A/B TOT) AJD]]+TABL1234[[#This Row],[(A/S TOT)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Row],[البخر  AJD]])</f>
        <v>0</v>
      </c>
      <c r="AE74" s="44"/>
      <c r="AF74" s="45"/>
      <c r="AG74" s="45"/>
      <c r="AH74" s="6"/>
      <c r="AI74" s="45"/>
      <c r="AJ74" s="45">
        <f>TABL1234[[#This Row],[(A/B TOT) AJD]]-TABL1234[[#This Row],[BER_ IN]]</f>
        <v>0</v>
      </c>
      <c r="AK74" s="45"/>
      <c r="AL74" s="45"/>
      <c r="AM74" s="32"/>
      <c r="AN74" s="32">
        <f>TABL1234[[#This Row],[ (RESV. STORGE) SER]]/10</f>
        <v>0</v>
      </c>
      <c r="AO74" s="75"/>
      <c r="AP74" s="75">
        <f>TABL1234[[#This Row],[(A/S TOT) AJD]]-TABL1234[[#This Row],[SER_ 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Row],[خط (T/B  TOT) SAR]]+TABL1234[[#This Row],[خط (S/S  TOT) SAR2]]</f>
        <v>0</v>
      </c>
      <c r="L75" s="41"/>
      <c r="M75" s="42"/>
      <c r="N75" s="42"/>
      <c r="O75" s="39"/>
      <c r="P75" s="3">
        <f>TABL1234[[#This Row],[خط (S/S  TOT) SAR2]]-TABL1234[[#This Row],[(S/S TOT) AJD]]</f>
        <v>0</v>
      </c>
      <c r="Q75" s="39"/>
      <c r="R75" s="3">
        <f>TABL1234[[#This Row],[خط (T/B  TOT) SAR]]-TABL1234[[#This Row],[(T/B TOT) AJD]]</f>
        <v>0</v>
      </c>
      <c r="S75" s="3">
        <f>TABL1234[[#This Row],[الفرق بين بداية ونهاية خط  T/B]]+TABL1234[[#This Row],[الفرق بين بداية ونهاية خط  S/S]]</f>
        <v>0</v>
      </c>
      <c r="T75" s="3">
        <f>TABL1234[[#This Row],[(S/S TOT) AJD]]+TABL1234[[#This Row],[(T/B TOT) AJD]]</f>
        <v>0</v>
      </c>
      <c r="U75" s="41"/>
      <c r="V75" s="41"/>
      <c r="W75" s="3">
        <f>TABL1234[[#This Row],[(A/B TOT) AJD]]+TABL1234[[#This Row],[(A/S TOT)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Row],[البخر  AJD]])</f>
        <v>0</v>
      </c>
      <c r="AE75" s="41"/>
      <c r="AF75" s="43"/>
      <c r="AG75" s="43"/>
      <c r="AH75" s="6"/>
      <c r="AI75" s="43"/>
      <c r="AJ75" s="43">
        <f>TABL1234[[#This Row],[(A/B TOT) AJD]]-TABL1234[[#This Row],[BER_ IN]]</f>
        <v>0</v>
      </c>
      <c r="AK75" s="43"/>
      <c r="AL75" s="43"/>
      <c r="AM75" s="32"/>
      <c r="AN75" s="32">
        <f>TABL1234[[#This Row],[ (RESV. STORGE) SER]]/10</f>
        <v>0</v>
      </c>
      <c r="AO75" s="75"/>
      <c r="AP75" s="75">
        <f>TABL1234[[#This Row],[(A/S TOT) AJD]]-TABL1234[[#This Row],[SER_ 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Row],[خط (T/B  TOT) SAR]]+TABL1234[[#This Row],[خط (S/S  TOT) SAR2]]</f>
        <v>0</v>
      </c>
      <c r="L76" s="45"/>
      <c r="M76" s="46"/>
      <c r="N76" s="46"/>
      <c r="O76" s="40"/>
      <c r="P76" s="3">
        <f>TABL1234[[#This Row],[خط (S/S  TOT) SAR2]]-TABL1234[[#This Row],[(S/S TOT) AJD]]</f>
        <v>0</v>
      </c>
      <c r="Q76" s="40"/>
      <c r="R76" s="3">
        <f>TABL1234[[#This Row],[خط (T/B  TOT) SAR]]-TABL1234[[#This Row],[(T/B TOT) AJD]]</f>
        <v>0</v>
      </c>
      <c r="S76" s="3">
        <f>TABL1234[[#This Row],[الفرق بين بداية ونهاية خط  T/B]]+TABL1234[[#This Row],[الفرق بين بداية ونهاية خط  S/S]]</f>
        <v>0</v>
      </c>
      <c r="T76" s="3">
        <f>TABL1234[[#This Row],[(S/S TOT) AJD]]+TABL1234[[#This Row],[(T/B TOT) AJD]]</f>
        <v>0</v>
      </c>
      <c r="U76" s="44"/>
      <c r="V76" s="44"/>
      <c r="W76" s="3">
        <f>TABL1234[[#This Row],[(A/B TOT) AJD]]+TABL1234[[#This Row],[(A/S TOT)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Row],[البخر  AJD]])</f>
        <v>0</v>
      </c>
      <c r="AE76" s="44"/>
      <c r="AF76" s="45"/>
      <c r="AG76" s="45"/>
      <c r="AH76" s="6"/>
      <c r="AI76" s="45"/>
      <c r="AJ76" s="45">
        <f>TABL1234[[#This Row],[(A/B TOT) AJD]]-TABL1234[[#This Row],[BER_ IN]]</f>
        <v>0</v>
      </c>
      <c r="AK76" s="45"/>
      <c r="AL76" s="45"/>
      <c r="AM76" s="32"/>
      <c r="AN76" s="32">
        <f>TABL1234[[#This Row],[ (RESV. STORGE) SER]]/10</f>
        <v>0</v>
      </c>
      <c r="AO76" s="75"/>
      <c r="AP76" s="75">
        <f>TABL1234[[#This Row],[(A/S TOT) AJD]]-TABL1234[[#This Row],[SER_ 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Row],[خط (T/B  TOT) SAR]]+TABL1234[[#This Row],[خط (S/S  TOT) SAR2]]</f>
        <v>0</v>
      </c>
      <c r="L77" s="41"/>
      <c r="M77" s="42"/>
      <c r="N77" s="42"/>
      <c r="O77" s="39"/>
      <c r="P77" s="3">
        <f>TABL1234[[#This Row],[خط (S/S  TOT) SAR2]]-TABL1234[[#This Row],[(S/S TOT) AJD]]</f>
        <v>0</v>
      </c>
      <c r="Q77" s="39"/>
      <c r="R77" s="3">
        <f>TABL1234[[#This Row],[خط (T/B  TOT) SAR]]-TABL1234[[#This Row],[(T/B TOT) AJD]]</f>
        <v>0</v>
      </c>
      <c r="S77" s="3">
        <f>TABL1234[[#This Row],[الفرق بين بداية ونهاية خط  T/B]]+TABL1234[[#This Row],[الفرق بين بداية ونهاية خط  S/S]]</f>
        <v>0</v>
      </c>
      <c r="T77" s="3">
        <f>TABL1234[[#This Row],[(S/S TOT) AJD]]+TABL1234[[#This Row],[(T/B TOT) AJD]]</f>
        <v>0</v>
      </c>
      <c r="U77" s="41"/>
      <c r="V77" s="41"/>
      <c r="W77" s="3">
        <f>TABL1234[[#This Row],[(A/B TOT) AJD]]+TABL1234[[#This Row],[(A/S TOT)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Row],[البخر  AJD]])</f>
        <v>0</v>
      </c>
      <c r="AE77" s="41"/>
      <c r="AF77" s="43"/>
      <c r="AG77" s="43"/>
      <c r="AH77" s="6"/>
      <c r="AI77" s="43"/>
      <c r="AJ77" s="43">
        <f>TABL1234[[#This Row],[(A/B TOT) AJD]]-TABL1234[[#This Row],[BER_ IN]]</f>
        <v>0</v>
      </c>
      <c r="AK77" s="43"/>
      <c r="AL77" s="43"/>
      <c r="AM77" s="32"/>
      <c r="AN77" s="32">
        <f>TABL1234[[#This Row],[ (RESV. STORGE) SER]]/10</f>
        <v>0</v>
      </c>
      <c r="AO77" s="75"/>
      <c r="AP77" s="75">
        <f>TABL1234[[#This Row],[(A/S TOT) AJD]]-TABL1234[[#This Row],[SER_ 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Row],[خط (T/B  TOT) SAR]]+TABL1234[[#This Row],[خط (S/S  TOT) SAR2]]</f>
        <v>0</v>
      </c>
      <c r="L78" s="45"/>
      <c r="M78" s="46"/>
      <c r="N78" s="46"/>
      <c r="O78" s="40"/>
      <c r="P78" s="3">
        <f>TABL1234[[#This Row],[خط (S/S  TOT) SAR2]]-TABL1234[[#This Row],[(S/S TOT) AJD]]</f>
        <v>0</v>
      </c>
      <c r="Q78" s="40"/>
      <c r="R78" s="3">
        <f>TABL1234[[#This Row],[خط (T/B  TOT) SAR]]-TABL1234[[#This Row],[(T/B TOT) AJD]]</f>
        <v>0</v>
      </c>
      <c r="S78" s="3">
        <f>TABL1234[[#This Row],[الفرق بين بداية ونهاية خط  T/B]]+TABL1234[[#This Row],[الفرق بين بداية ونهاية خط  S/S]]</f>
        <v>0</v>
      </c>
      <c r="T78" s="3">
        <f>TABL1234[[#This Row],[(S/S TOT) AJD]]+TABL1234[[#This Row],[(T/B TOT) AJD]]</f>
        <v>0</v>
      </c>
      <c r="U78" s="44"/>
      <c r="V78" s="44"/>
      <c r="W78" s="3">
        <f>TABL1234[[#This Row],[(A/B TOT) AJD]]+TABL1234[[#This Row],[(A/S TOT)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Row],[البخر  AJD]])</f>
        <v>0</v>
      </c>
      <c r="AE78" s="44"/>
      <c r="AF78" s="45"/>
      <c r="AG78" s="45"/>
      <c r="AH78" s="6"/>
      <c r="AI78" s="45"/>
      <c r="AJ78" s="45">
        <f>TABL1234[[#This Row],[(A/B TOT) AJD]]-TABL1234[[#This Row],[BER_ IN]]</f>
        <v>0</v>
      </c>
      <c r="AK78" s="45"/>
      <c r="AL78" s="45"/>
      <c r="AM78" s="32"/>
      <c r="AN78" s="32">
        <f>TABL1234[[#This Row],[ (RESV. STORGE) SER]]/10</f>
        <v>0</v>
      </c>
      <c r="AO78" s="75"/>
      <c r="AP78" s="75">
        <f>TABL1234[[#This Row],[(A/S TOT) AJD]]-TABL1234[[#This Row],[SER_ 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Row],[خط (T/B  TOT) SAR]]+TABL1234[[#This Row],[خط (S/S  TOT) SAR2]]</f>
        <v>0</v>
      </c>
      <c r="L79" s="41"/>
      <c r="M79" s="42"/>
      <c r="N79" s="42"/>
      <c r="O79" s="39"/>
      <c r="P79" s="3">
        <f>TABL1234[[#This Row],[خط (S/S  TOT) SAR2]]-TABL1234[[#This Row],[(S/S TOT) AJD]]</f>
        <v>0</v>
      </c>
      <c r="Q79" s="39"/>
      <c r="R79" s="3">
        <f>TABL1234[[#This Row],[خط (T/B  TOT) SAR]]-TABL1234[[#This Row],[(T/B TOT) AJD]]</f>
        <v>0</v>
      </c>
      <c r="S79" s="3">
        <f>TABL1234[[#This Row],[الفرق بين بداية ونهاية خط  T/B]]+TABL1234[[#This Row],[الفرق بين بداية ونهاية خط  S/S]]</f>
        <v>0</v>
      </c>
      <c r="T79" s="3">
        <f>TABL1234[[#This Row],[(S/S TOT) AJD]]+TABL1234[[#This Row],[(T/B TOT) AJD]]</f>
        <v>0</v>
      </c>
      <c r="U79" s="41"/>
      <c r="V79" s="41"/>
      <c r="W79" s="3">
        <f>TABL1234[[#This Row],[(A/B TOT) AJD]]+TABL1234[[#This Row],[(A/S TOT)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Row],[البخر  AJD]])</f>
        <v>0</v>
      </c>
      <c r="AE79" s="41"/>
      <c r="AF79" s="43"/>
      <c r="AG79" s="43"/>
      <c r="AH79" s="6"/>
      <c r="AI79" s="43"/>
      <c r="AJ79" s="43">
        <f>TABL1234[[#This Row],[(A/B TOT) AJD]]-TABL1234[[#This Row],[BER_ IN]]</f>
        <v>0</v>
      </c>
      <c r="AK79" s="43"/>
      <c r="AL79" s="43"/>
      <c r="AM79" s="32"/>
      <c r="AN79" s="32">
        <f>TABL1234[[#This Row],[ (RESV. STORGE) SER]]/10</f>
        <v>0</v>
      </c>
      <c r="AO79" s="75"/>
      <c r="AP79" s="75">
        <f>TABL1234[[#This Row],[(A/S TOT) AJD]]-TABL1234[[#This Row],[SER_ 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Row],[خط (T/B  TOT) SAR]]+TABL1234[[#This Row],[خط (S/S  TOT) SAR2]]</f>
        <v>0</v>
      </c>
      <c r="L80" s="45"/>
      <c r="M80" s="46"/>
      <c r="N80" s="46"/>
      <c r="O80" s="40"/>
      <c r="P80" s="3">
        <f>TABL1234[[#This Row],[خط (S/S  TOT) SAR2]]-TABL1234[[#This Row],[(S/S TOT) AJD]]</f>
        <v>0</v>
      </c>
      <c r="Q80" s="40"/>
      <c r="R80" s="3">
        <f>TABL1234[[#This Row],[خط (T/B  TOT) SAR]]-TABL1234[[#This Row],[(T/B TOT) AJD]]</f>
        <v>0</v>
      </c>
      <c r="S80" s="3">
        <f>TABL1234[[#This Row],[الفرق بين بداية ونهاية خط  T/B]]+TABL1234[[#This Row],[الفرق بين بداية ونهاية خط  S/S]]</f>
        <v>0</v>
      </c>
      <c r="T80" s="3">
        <f>TABL1234[[#This Row],[(S/S TOT) AJD]]+TABL1234[[#This Row],[(T/B TOT) AJD]]</f>
        <v>0</v>
      </c>
      <c r="U80" s="44"/>
      <c r="V80" s="44"/>
      <c r="W80" s="3">
        <f>TABL1234[[#This Row],[(A/B TOT) AJD]]+TABL1234[[#This Row],[(A/S TOT)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Row],[البخر  AJD]])</f>
        <v>0</v>
      </c>
      <c r="AE80" s="44"/>
      <c r="AF80" s="45"/>
      <c r="AG80" s="45"/>
      <c r="AH80" s="6"/>
      <c r="AI80" s="45"/>
      <c r="AJ80" s="45">
        <f>TABL1234[[#This Row],[(A/B TOT) AJD]]-TABL1234[[#This Row],[BER_ IN]]</f>
        <v>0</v>
      </c>
      <c r="AK80" s="45"/>
      <c r="AL80" s="45"/>
      <c r="AM80" s="32"/>
      <c r="AN80" s="32">
        <f>TABL1234[[#This Row],[ (RESV. STORGE) SER]]/10</f>
        <v>0</v>
      </c>
      <c r="AO80" s="75"/>
      <c r="AP80" s="75">
        <f>TABL1234[[#This Row],[(A/S TOT) AJD]]-TABL1234[[#This Row],[SER_ 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Row],[خط (T/B  TOT) SAR]]+TABL1234[[#This Row],[خط (S/S  TOT) SAR2]]</f>
        <v>0</v>
      </c>
      <c r="L81" s="41"/>
      <c r="M81" s="42"/>
      <c r="N81" s="42"/>
      <c r="O81" s="39"/>
      <c r="P81" s="3">
        <f>TABL1234[[#This Row],[خط (S/S  TOT) SAR2]]-TABL1234[[#This Row],[(S/S TOT) AJD]]</f>
        <v>0</v>
      </c>
      <c r="Q81" s="39"/>
      <c r="R81" s="3">
        <f>TABL1234[[#This Row],[خط (T/B  TOT) SAR]]-TABL1234[[#This Row],[(T/B TOT) AJD]]</f>
        <v>0</v>
      </c>
      <c r="S81" s="3">
        <f>TABL1234[[#This Row],[الفرق بين بداية ونهاية خط  T/B]]+TABL1234[[#This Row],[الفرق بين بداية ونهاية خط  S/S]]</f>
        <v>0</v>
      </c>
      <c r="T81" s="3">
        <f>TABL1234[[#This Row],[(S/S TOT) AJD]]+TABL1234[[#This Row],[(T/B TOT) AJD]]</f>
        <v>0</v>
      </c>
      <c r="U81" s="41"/>
      <c r="V81" s="41"/>
      <c r="W81" s="3">
        <f>TABL1234[[#This Row],[(A/B TOT) AJD]]+TABL1234[[#This Row],[(A/S TOT)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Row],[البخر  AJD]])</f>
        <v>0</v>
      </c>
      <c r="AE81" s="41"/>
      <c r="AF81" s="43"/>
      <c r="AG81" s="43"/>
      <c r="AH81" s="6"/>
      <c r="AI81" s="43"/>
      <c r="AJ81" s="43">
        <f>TABL1234[[#This Row],[(A/B TOT) AJD]]-TABL1234[[#This Row],[BER_ IN]]</f>
        <v>0</v>
      </c>
      <c r="AK81" s="43"/>
      <c r="AL81" s="43"/>
      <c r="AM81" s="32"/>
      <c r="AN81" s="32">
        <f>TABL1234[[#This Row],[ (RESV. STORGE) SER]]/10</f>
        <v>0</v>
      </c>
      <c r="AO81" s="75"/>
      <c r="AP81" s="75">
        <f>TABL1234[[#This Row],[(A/S TOT) AJD]]-TABL1234[[#This Row],[SER_ 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Row],[خط (T/B  TOT) SAR]]+TABL1234[[#This Row],[خط (S/S  TOT) SAR2]]</f>
        <v>0</v>
      </c>
      <c r="L82" s="45"/>
      <c r="M82" s="46"/>
      <c r="N82" s="46"/>
      <c r="O82" s="40"/>
      <c r="P82" s="3">
        <f>TABL1234[[#This Row],[خط (S/S  TOT) SAR2]]-TABL1234[[#This Row],[(S/S TOT) AJD]]</f>
        <v>0</v>
      </c>
      <c r="Q82" s="40"/>
      <c r="R82" s="3">
        <f>TABL1234[[#This Row],[خط (T/B  TOT) SAR]]-TABL1234[[#This Row],[(T/B TOT) AJD]]</f>
        <v>0</v>
      </c>
      <c r="S82" s="3">
        <f>TABL1234[[#This Row],[الفرق بين بداية ونهاية خط  T/B]]+TABL1234[[#This Row],[الفرق بين بداية ونهاية خط  S/S]]</f>
        <v>0</v>
      </c>
      <c r="T82" s="3">
        <f>TABL1234[[#This Row],[(S/S TOT) AJD]]+TABL1234[[#This Row],[(T/B TOT) AJD]]</f>
        <v>0</v>
      </c>
      <c r="U82" s="44"/>
      <c r="V82" s="44"/>
      <c r="W82" s="3">
        <f>TABL1234[[#This Row],[(A/B TOT) AJD]]+TABL1234[[#This Row],[(A/S TOT)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Row],[البخر  AJD]])</f>
        <v>0</v>
      </c>
      <c r="AE82" s="44"/>
      <c r="AF82" s="45"/>
      <c r="AG82" s="45"/>
      <c r="AH82" s="6"/>
      <c r="AI82" s="45"/>
      <c r="AJ82" s="45">
        <f>TABL1234[[#This Row],[(A/B TOT) AJD]]-TABL1234[[#This Row],[BER_ IN]]</f>
        <v>0</v>
      </c>
      <c r="AK82" s="45"/>
      <c r="AL82" s="45"/>
      <c r="AM82" s="32"/>
      <c r="AN82" s="32">
        <f>TABL1234[[#This Row],[ (RESV. STORGE) SER]]/10</f>
        <v>0</v>
      </c>
      <c r="AO82" s="75"/>
      <c r="AP82" s="75">
        <f>TABL1234[[#This Row],[(A/S TOT) AJD]]-TABL1234[[#This Row],[SER_ 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Row],[خط (T/B  TOT) SAR]]+TABL1234[[#This Row],[خط (S/S  TOT) SAR2]]</f>
        <v>0</v>
      </c>
      <c r="L83" s="41"/>
      <c r="M83" s="42"/>
      <c r="N83" s="42"/>
      <c r="O83" s="39"/>
      <c r="P83" s="3">
        <f>TABL1234[[#This Row],[خط (S/S  TOT) SAR2]]-TABL1234[[#This Row],[(S/S TOT) AJD]]</f>
        <v>0</v>
      </c>
      <c r="Q83" s="39"/>
      <c r="R83" s="3">
        <f>TABL1234[[#This Row],[خط (T/B  TOT) SAR]]-TABL1234[[#This Row],[(T/B TOT) AJD]]</f>
        <v>0</v>
      </c>
      <c r="S83" s="3">
        <f>TABL1234[[#This Row],[الفرق بين بداية ونهاية خط  T/B]]+TABL1234[[#This Row],[الفرق بين بداية ونهاية خط  S/S]]</f>
        <v>0</v>
      </c>
      <c r="T83" s="3">
        <f>TABL1234[[#This Row],[(S/S TOT) AJD]]+TABL1234[[#This Row],[(T/B TOT) AJD]]</f>
        <v>0</v>
      </c>
      <c r="U83" s="41"/>
      <c r="V83" s="41"/>
      <c r="W83" s="3">
        <f>TABL1234[[#This Row],[(A/B TOT) AJD]]+TABL1234[[#This Row],[(A/S TOT)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Row],[البخر  AJD]])</f>
        <v>0</v>
      </c>
      <c r="AE83" s="41"/>
      <c r="AF83" s="43"/>
      <c r="AG83" s="43"/>
      <c r="AH83" s="6"/>
      <c r="AI83" s="43"/>
      <c r="AJ83" s="43">
        <f>TABL1234[[#This Row],[(A/B TOT) AJD]]-TABL1234[[#This Row],[BER_ IN]]</f>
        <v>0</v>
      </c>
      <c r="AK83" s="43"/>
      <c r="AL83" s="43"/>
      <c r="AM83" s="32"/>
      <c r="AN83" s="32">
        <f>TABL1234[[#This Row],[ (RESV. STORGE) SER]]/10</f>
        <v>0</v>
      </c>
      <c r="AO83" s="75"/>
      <c r="AP83" s="75">
        <f>TABL1234[[#This Row],[(A/S TOT) AJD]]-TABL1234[[#This Row],[SER_ 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Row],[خط (T/B  TOT) SAR]]+TABL1234[[#This Row],[خط (S/S  TOT) SAR2]]</f>
        <v>0</v>
      </c>
      <c r="L84" s="45"/>
      <c r="M84" s="46"/>
      <c r="N84" s="46"/>
      <c r="O84" s="40"/>
      <c r="P84" s="3">
        <f>TABL1234[[#This Row],[خط (S/S  TOT) SAR2]]-TABL1234[[#This Row],[(S/S TOT) AJD]]</f>
        <v>0</v>
      </c>
      <c r="Q84" s="40"/>
      <c r="R84" s="3">
        <f>TABL1234[[#This Row],[خط (T/B  TOT) SAR]]-TABL1234[[#This Row],[(T/B TOT) AJD]]</f>
        <v>0</v>
      </c>
      <c r="S84" s="3">
        <f>TABL1234[[#This Row],[الفرق بين بداية ونهاية خط  T/B]]+TABL1234[[#This Row],[الفرق بين بداية ونهاية خط  S/S]]</f>
        <v>0</v>
      </c>
      <c r="T84" s="3">
        <f>TABL1234[[#This Row],[(S/S TOT) AJD]]+TABL1234[[#This Row],[(T/B TOT) AJD]]</f>
        <v>0</v>
      </c>
      <c r="U84" s="44"/>
      <c r="V84" s="44"/>
      <c r="W84" s="3">
        <f>TABL1234[[#This Row],[(A/B TOT) AJD]]+TABL1234[[#This Row],[(A/S TOT)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Row],[البخر  AJD]])</f>
        <v>0</v>
      </c>
      <c r="AE84" s="44"/>
      <c r="AF84" s="45"/>
      <c r="AG84" s="45"/>
      <c r="AH84" s="6"/>
      <c r="AI84" s="45"/>
      <c r="AJ84" s="45">
        <f>TABL1234[[#This Row],[(A/B TOT) AJD]]-TABL1234[[#This Row],[BER_ IN]]</f>
        <v>0</v>
      </c>
      <c r="AK84" s="45"/>
      <c r="AL84" s="45"/>
      <c r="AM84" s="32"/>
      <c r="AN84" s="32">
        <f>TABL1234[[#This Row],[ (RESV. STORGE) SER]]/10</f>
        <v>0</v>
      </c>
      <c r="AO84" s="75"/>
      <c r="AP84" s="75">
        <f>TABL1234[[#This Row],[(A/S TOT) AJD]]-TABL1234[[#This Row],[SER_ 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Row],[خط (T/B  TOT) SAR]]+TABL1234[[#This Row],[خط (S/S  TOT) SAR2]]</f>
        <v>0</v>
      </c>
      <c r="L85" s="41"/>
      <c r="M85" s="42"/>
      <c r="N85" s="42"/>
      <c r="O85" s="39"/>
      <c r="P85" s="3">
        <f>TABL1234[[#This Row],[خط (S/S  TOT) SAR2]]-TABL1234[[#This Row],[(S/S TOT) AJD]]</f>
        <v>0</v>
      </c>
      <c r="Q85" s="39"/>
      <c r="R85" s="3">
        <f>TABL1234[[#This Row],[خط (T/B  TOT) SAR]]-TABL1234[[#This Row],[(T/B TOT) AJD]]</f>
        <v>0</v>
      </c>
      <c r="S85" s="3">
        <f>TABL1234[[#This Row],[الفرق بين بداية ونهاية خط  T/B]]+TABL1234[[#This Row],[الفرق بين بداية ونهاية خط  S/S]]</f>
        <v>0</v>
      </c>
      <c r="T85" s="3">
        <f>TABL1234[[#This Row],[(S/S TOT) AJD]]+TABL1234[[#This Row],[(T/B TOT) AJD]]</f>
        <v>0</v>
      </c>
      <c r="U85" s="41"/>
      <c r="V85" s="41"/>
      <c r="W85" s="3">
        <f>TABL1234[[#This Row],[(A/B TOT) AJD]]+TABL1234[[#This Row],[(A/S TOT)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Row],[البخر  AJD]])</f>
        <v>0</v>
      </c>
      <c r="AE85" s="41"/>
      <c r="AF85" s="43"/>
      <c r="AG85" s="43"/>
      <c r="AH85" s="6"/>
      <c r="AI85" s="43"/>
      <c r="AJ85" s="43">
        <f>TABL1234[[#This Row],[(A/B TOT) AJD]]-TABL1234[[#This Row],[BER_ IN]]</f>
        <v>0</v>
      </c>
      <c r="AK85" s="43"/>
      <c r="AL85" s="43"/>
      <c r="AM85" s="32"/>
      <c r="AN85" s="32">
        <f>TABL1234[[#This Row],[ (RESV. STORGE) SER]]/10</f>
        <v>0</v>
      </c>
      <c r="AO85" s="75"/>
      <c r="AP85" s="75">
        <f>TABL1234[[#This Row],[(A/S TOT) AJD]]-TABL1234[[#This Row],[SER_ 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Row],[خط (T/B  TOT) SAR]]+TABL1234[[#This Row],[خط (S/S  TOT) SAR2]]</f>
        <v>0</v>
      </c>
      <c r="L86" s="45"/>
      <c r="M86" s="46"/>
      <c r="N86" s="46"/>
      <c r="O86" s="40"/>
      <c r="P86" s="3">
        <f>TABL1234[[#This Row],[خط (S/S  TOT) SAR2]]-TABL1234[[#This Row],[(S/S TOT) AJD]]</f>
        <v>0</v>
      </c>
      <c r="Q86" s="40"/>
      <c r="R86" s="3">
        <f>TABL1234[[#This Row],[خط (T/B  TOT) SAR]]-TABL1234[[#This Row],[(T/B TOT) AJD]]</f>
        <v>0</v>
      </c>
      <c r="S86" s="3">
        <f>TABL1234[[#This Row],[الفرق بين بداية ونهاية خط  T/B]]+TABL1234[[#This Row],[الفرق بين بداية ونهاية خط  S/S]]</f>
        <v>0</v>
      </c>
      <c r="T86" s="3">
        <f>TABL1234[[#This Row],[(S/S TOT) AJD]]+TABL1234[[#This Row],[(T/B TOT) AJD]]</f>
        <v>0</v>
      </c>
      <c r="U86" s="44"/>
      <c r="V86" s="44"/>
      <c r="W86" s="3">
        <f>TABL1234[[#This Row],[(A/B TOT) AJD]]+TABL1234[[#This Row],[(A/S TOT)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Row],[البخر  AJD]])</f>
        <v>0</v>
      </c>
      <c r="AE86" s="44"/>
      <c r="AF86" s="45"/>
      <c r="AG86" s="45"/>
      <c r="AH86" s="6"/>
      <c r="AI86" s="45"/>
      <c r="AJ86" s="45">
        <f>TABL1234[[#This Row],[(A/B TOT) AJD]]-TABL1234[[#This Row],[BER_ IN]]</f>
        <v>0</v>
      </c>
      <c r="AK86" s="45"/>
      <c r="AL86" s="45"/>
      <c r="AM86" s="32"/>
      <c r="AN86" s="32">
        <f>TABL1234[[#This Row],[ (RESV. STORGE) SER]]/10</f>
        <v>0</v>
      </c>
      <c r="AO86" s="75"/>
      <c r="AP86" s="75">
        <f>TABL1234[[#This Row],[(A/S TOT) AJD]]-TABL1234[[#This Row],[SER_ 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Row],[خط (T/B  TOT) SAR]]+TABL1234[[#This Row],[خط (S/S  TOT) SAR2]]</f>
        <v>0</v>
      </c>
      <c r="L87" s="41"/>
      <c r="M87" s="42"/>
      <c r="N87" s="42"/>
      <c r="O87" s="39"/>
      <c r="P87" s="3">
        <f>TABL1234[[#This Row],[خط (S/S  TOT) SAR2]]-TABL1234[[#This Row],[(S/S TOT) AJD]]</f>
        <v>0</v>
      </c>
      <c r="Q87" s="39"/>
      <c r="R87" s="3">
        <f>TABL1234[[#This Row],[خط (T/B  TOT) SAR]]-TABL1234[[#This Row],[(T/B TOT) AJD]]</f>
        <v>0</v>
      </c>
      <c r="S87" s="3">
        <f>TABL1234[[#This Row],[الفرق بين بداية ونهاية خط  T/B]]+TABL1234[[#This Row],[الفرق بين بداية ونهاية خط  S/S]]</f>
        <v>0</v>
      </c>
      <c r="T87" s="3">
        <f>TABL1234[[#This Row],[(S/S TOT) AJD]]+TABL1234[[#This Row],[(T/B TOT) AJD]]</f>
        <v>0</v>
      </c>
      <c r="U87" s="41"/>
      <c r="V87" s="41"/>
      <c r="W87" s="3">
        <f>TABL1234[[#This Row],[(A/B TOT) AJD]]+TABL1234[[#This Row],[(A/S TOT)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Row],[البخر  AJD]])</f>
        <v>0</v>
      </c>
      <c r="AE87" s="41"/>
      <c r="AF87" s="43"/>
      <c r="AG87" s="43"/>
      <c r="AH87" s="6"/>
      <c r="AI87" s="43"/>
      <c r="AJ87" s="43">
        <f>TABL1234[[#This Row],[(A/B TOT) AJD]]-TABL1234[[#This Row],[BER_ IN]]</f>
        <v>0</v>
      </c>
      <c r="AK87" s="43"/>
      <c r="AL87" s="43"/>
      <c r="AM87" s="32"/>
      <c r="AN87" s="32">
        <f>TABL1234[[#This Row],[ (RESV. STORGE) SER]]/10</f>
        <v>0</v>
      </c>
      <c r="AO87" s="75"/>
      <c r="AP87" s="75">
        <f>TABL1234[[#This Row],[(A/S TOT) AJD]]-TABL1234[[#This Row],[SER_ 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Row],[خط (T/B  TOT) SAR]]+TABL1234[[#This Row],[خط (S/S  TOT) SAR2]]</f>
        <v>0</v>
      </c>
      <c r="L88" s="45"/>
      <c r="M88" s="46"/>
      <c r="N88" s="46"/>
      <c r="O88" s="40"/>
      <c r="P88" s="3">
        <f>TABL1234[[#This Row],[خط (S/S  TOT) SAR2]]-TABL1234[[#This Row],[(S/S TOT) AJD]]</f>
        <v>0</v>
      </c>
      <c r="Q88" s="40"/>
      <c r="R88" s="3">
        <f>TABL1234[[#This Row],[خط (T/B  TOT) SAR]]-TABL1234[[#This Row],[(T/B TOT) AJD]]</f>
        <v>0</v>
      </c>
      <c r="S88" s="3">
        <f>TABL1234[[#This Row],[الفرق بين بداية ونهاية خط  T/B]]+TABL1234[[#This Row],[الفرق بين بداية ونهاية خط  S/S]]</f>
        <v>0</v>
      </c>
      <c r="T88" s="3">
        <f>TABL1234[[#This Row],[(S/S TOT) AJD]]+TABL1234[[#This Row],[(T/B TOT) AJD]]</f>
        <v>0</v>
      </c>
      <c r="U88" s="44"/>
      <c r="V88" s="44"/>
      <c r="W88" s="3">
        <f>TABL1234[[#This Row],[(A/B TOT) AJD]]+TABL1234[[#This Row],[(A/S TOT)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Row],[البخر  AJD]])</f>
        <v>0</v>
      </c>
      <c r="AE88" s="44"/>
      <c r="AF88" s="45"/>
      <c r="AG88" s="45"/>
      <c r="AH88" s="6"/>
      <c r="AI88" s="45"/>
      <c r="AJ88" s="45">
        <f>TABL1234[[#This Row],[(A/B TOT) AJD]]-TABL1234[[#This Row],[BER_ IN]]</f>
        <v>0</v>
      </c>
      <c r="AK88" s="45"/>
      <c r="AL88" s="45"/>
      <c r="AM88" s="32"/>
      <c r="AN88" s="32">
        <f>TABL1234[[#This Row],[ (RESV. STORGE) SER]]/10</f>
        <v>0</v>
      </c>
      <c r="AO88" s="75"/>
      <c r="AP88" s="75">
        <f>TABL1234[[#This Row],[(A/S TOT) AJD]]-TABL1234[[#This Row],[SER_ 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Row],[خط (T/B  TOT) SAR]]+TABL1234[[#This Row],[خط (S/S  TOT) SAR2]]</f>
        <v>0</v>
      </c>
      <c r="L89" s="41"/>
      <c r="M89" s="42"/>
      <c r="N89" s="42"/>
      <c r="O89" s="39"/>
      <c r="P89" s="3">
        <f>TABL1234[[#This Row],[خط (S/S  TOT) SAR2]]-TABL1234[[#This Row],[(S/S TOT) AJD]]</f>
        <v>0</v>
      </c>
      <c r="Q89" s="39"/>
      <c r="R89" s="3">
        <f>TABL1234[[#This Row],[خط (T/B  TOT) SAR]]-TABL1234[[#This Row],[(T/B TOT) AJD]]</f>
        <v>0</v>
      </c>
      <c r="S89" s="3">
        <f>TABL1234[[#This Row],[الفرق بين بداية ونهاية خط  T/B]]+TABL1234[[#This Row],[الفرق بين بداية ونهاية خط  S/S]]</f>
        <v>0</v>
      </c>
      <c r="T89" s="3">
        <f>TABL1234[[#This Row],[(S/S TOT) AJD]]+TABL1234[[#This Row],[(T/B TOT) AJD]]</f>
        <v>0</v>
      </c>
      <c r="U89" s="41"/>
      <c r="V89" s="41"/>
      <c r="W89" s="3">
        <f>TABL1234[[#This Row],[(A/B TOT) AJD]]+TABL1234[[#This Row],[(A/S TOT)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Row],[البخر  AJD]])</f>
        <v>0</v>
      </c>
      <c r="AE89" s="41"/>
      <c r="AF89" s="43"/>
      <c r="AG89" s="43"/>
      <c r="AH89" s="6"/>
      <c r="AI89" s="43"/>
      <c r="AJ89" s="43">
        <f>TABL1234[[#This Row],[(A/B TOT) AJD]]-TABL1234[[#This Row],[BER_ IN]]</f>
        <v>0</v>
      </c>
      <c r="AK89" s="43"/>
      <c r="AL89" s="43"/>
      <c r="AM89" s="32"/>
      <c r="AN89" s="32">
        <f>TABL1234[[#This Row],[ (RESV. STORGE) SER]]/10</f>
        <v>0</v>
      </c>
      <c r="AO89" s="75"/>
      <c r="AP89" s="75">
        <f>TABL1234[[#This Row],[(A/S TOT) AJD]]-TABL1234[[#This Row],[SER_ 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Row],[خط (T/B  TOT) SAR]]+TABL1234[[#This Row],[خط (S/S  TOT) SAR2]]</f>
        <v>0</v>
      </c>
      <c r="L90" s="45"/>
      <c r="M90" s="46"/>
      <c r="N90" s="46"/>
      <c r="O90" s="40"/>
      <c r="P90" s="3">
        <f>TABL1234[[#This Row],[خط (S/S  TOT) SAR2]]-TABL1234[[#This Row],[(S/S TOT) AJD]]</f>
        <v>0</v>
      </c>
      <c r="Q90" s="40"/>
      <c r="R90" s="3">
        <f>TABL1234[[#This Row],[خط (T/B  TOT) SAR]]-TABL1234[[#This Row],[(T/B TOT) AJD]]</f>
        <v>0</v>
      </c>
      <c r="S90" s="3">
        <f>TABL1234[[#This Row],[الفرق بين بداية ونهاية خط  T/B]]+TABL1234[[#This Row],[الفرق بين بداية ونهاية خط  S/S]]</f>
        <v>0</v>
      </c>
      <c r="T90" s="3">
        <f>TABL1234[[#This Row],[(S/S TOT) AJD]]+TABL1234[[#This Row],[(T/B TOT) AJD]]</f>
        <v>0</v>
      </c>
      <c r="U90" s="44"/>
      <c r="V90" s="44"/>
      <c r="W90" s="3">
        <f>TABL1234[[#This Row],[(A/B TOT) AJD]]+TABL1234[[#This Row],[(A/S TOT)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7">
        <f>TABL1234[[#This Row],[( S/S+T/B) AJD]]-(TABL1234[[#This Row],[(A/B + A/S) AJD]]+(TABL1234[[#This Row],[(STORGE DIFF.) AJD]]*1000)+TABL1234[[#This Row],[البخر  AJD]])</f>
        <v>0</v>
      </c>
      <c r="AE90" s="44"/>
      <c r="AF90" s="45"/>
      <c r="AG90" s="45"/>
      <c r="AH90" s="6"/>
      <c r="AI90" s="45"/>
      <c r="AJ90" s="99">
        <f>TABL1234[[#This Row],[(A/B TOT) AJD]]-TABL1234[[#This Row],[BER_ IN]]</f>
        <v>0</v>
      </c>
      <c r="AK90" s="45"/>
      <c r="AL90" s="45"/>
      <c r="AM90" s="32"/>
      <c r="AN90" s="32">
        <f>TABL1234[[#This Row],[ (RESV. STORGE) SER]]/10</f>
        <v>0</v>
      </c>
      <c r="AO90" s="75"/>
      <c r="AP90" s="75">
        <f>TABL1234[[#This Row],[(A/S TOT) AJD]]-TABL1234[[#This Row],[SER_ 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Row],[خط (T/B  TOT) SAR]]+TABL1234[[#This Row],[خط (S/S  TOT) SAR2]]</f>
        <v>0</v>
      </c>
      <c r="L91" s="41"/>
      <c r="M91" s="42"/>
      <c r="N91" s="42"/>
      <c r="O91" s="39"/>
      <c r="P91" s="3">
        <f>TABL1234[[#This Row],[خط (S/S  TOT) SAR2]]-TABL1234[[#This Row],[(S/S TOT) AJD]]</f>
        <v>0</v>
      </c>
      <c r="Q91" s="39"/>
      <c r="R91" s="3">
        <f>TABL1234[[#This Row],[خط (T/B  TOT) SAR]]-TABL1234[[#This Row],[(T/B TOT) AJD]]</f>
        <v>0</v>
      </c>
      <c r="S91" s="3">
        <f>TABL1234[[#This Row],[الفرق بين بداية ونهاية خط  T/B]]+TABL1234[[#This Row],[الفرق بين بداية ونهاية خط  S/S]]</f>
        <v>0</v>
      </c>
      <c r="T91" s="3">
        <f>TABL1234[[#This Row],[(S/S TOT) AJD]]+TABL1234[[#This Row],[(T/B TOT) AJD]]</f>
        <v>0</v>
      </c>
      <c r="U91" s="41"/>
      <c r="V91" s="41"/>
      <c r="W91" s="3">
        <f>TABL1234[[#This Row],[(A/B TOT) AJD]]+TABL1234[[#This Row],[(A/S TOT)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Row],[البخر  AJD]])</f>
        <v>0</v>
      </c>
      <c r="AE91" s="41"/>
      <c r="AF91" s="43"/>
      <c r="AG91" s="43"/>
      <c r="AH91" s="6"/>
      <c r="AI91" s="43"/>
      <c r="AJ91" s="43">
        <f>TABL1234[[#This Row],[(A/B TOT) AJD]]-TABL1234[[#This Row],[BER_ IN]]</f>
        <v>0</v>
      </c>
      <c r="AK91" s="43"/>
      <c r="AL91" s="43"/>
      <c r="AM91" s="32"/>
      <c r="AN91" s="32">
        <f>TABL1234[[#This Row],[ (RESV. STORGE) SER]]/10</f>
        <v>0</v>
      </c>
      <c r="AO91" s="75"/>
      <c r="AP91" s="75">
        <f>TABL1234[[#This Row],[(A/S TOT) AJD]]-TABL1234[[#This Row],[SER_ 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Row],[خط (T/B  TOT) SAR]]+TABL1234[[#This Row],[خط (S/S  TOT) SAR2]]</f>
        <v>0</v>
      </c>
      <c r="L92" s="41"/>
      <c r="M92" s="42"/>
      <c r="N92" s="42"/>
      <c r="O92" s="39"/>
      <c r="P92" s="3">
        <f>TABL1234[[#This Row],[خط (S/S  TOT) SAR2]]-TABL1234[[#This Row],[(S/S TOT) AJD]]</f>
        <v>0</v>
      </c>
      <c r="Q92" s="39"/>
      <c r="R92" s="3">
        <f>TABL1234[[#This Row],[خط (T/B  TOT) SAR]]-TABL1234[[#This Row],[(T/B TOT) AJD]]</f>
        <v>0</v>
      </c>
      <c r="S92" s="3">
        <f>TABL1234[[#This Row],[الفرق بين بداية ونهاية خط  T/B]]+TABL1234[[#This Row],[الفرق بين بداية ونهاية خط  S/S]]</f>
        <v>0</v>
      </c>
      <c r="T92" s="3">
        <f>TABL1234[[#This Row],[(S/S TOT) AJD]]+TABL1234[[#This Row],[(T/B TOT) AJD]]</f>
        <v>0</v>
      </c>
      <c r="U92" s="41"/>
      <c r="V92" s="41"/>
      <c r="W92" s="3">
        <f>TABL1234[[#This Row],[(A/B TOT) AJD]]+TABL1234[[#This Row],[(A/S TOT)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Row],[البخر  AJD]])</f>
        <v>0</v>
      </c>
      <c r="AE92" s="41"/>
      <c r="AF92" s="43"/>
      <c r="AG92" s="43"/>
      <c r="AH92" s="6"/>
      <c r="AI92" s="43"/>
      <c r="AJ92" s="43">
        <f>TABL1234[[#This Row],[(A/B TOT) AJD]]-TABL1234[[#This Row],[BER_ IN]]</f>
        <v>0</v>
      </c>
      <c r="AK92" s="43"/>
      <c r="AL92" s="43"/>
      <c r="AM92" s="32"/>
      <c r="AN92" s="32">
        <f>TABL1234[[#This Row],[ (RESV. STORGE) SER]]/10</f>
        <v>0</v>
      </c>
      <c r="AO92" s="75"/>
      <c r="AP92" s="75">
        <f>TABL1234[[#This Row],[(A/S TOT) AJD]]-TABL1234[[#This Row],[SER_ 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Row],[خط (T/B  TOT) SAR]]+TABL1234[[#This Row],[خط (S/S  TOT) SAR2]]</f>
        <v>0</v>
      </c>
      <c r="L93" s="45"/>
      <c r="M93" s="46"/>
      <c r="N93" s="46"/>
      <c r="O93" s="40"/>
      <c r="P93" s="3">
        <f>TABL1234[[#This Row],[خط (S/S  TOT) SAR2]]-TABL1234[[#This Row],[(S/S TOT) AJD]]</f>
        <v>0</v>
      </c>
      <c r="Q93" s="40"/>
      <c r="R93" s="3">
        <f>TABL1234[[#This Row],[خط (T/B  TOT) SAR]]-TABL1234[[#This Row],[(T/B TOT) AJD]]</f>
        <v>0</v>
      </c>
      <c r="S93" s="3">
        <f>TABL1234[[#This Row],[الفرق بين بداية ونهاية خط  T/B]]+TABL1234[[#This Row],[الفرق بين بداية ونهاية خط  S/S]]</f>
        <v>0</v>
      </c>
      <c r="T93" s="3">
        <f>TABL1234[[#This Row],[(S/S TOT) AJD]]+TABL1234[[#This Row],[(T/B TOT) AJD]]</f>
        <v>0</v>
      </c>
      <c r="U93" s="44"/>
      <c r="V93" s="44"/>
      <c r="W93" s="3">
        <f>TABL1234[[#This Row],[(A/B TOT) AJD]]+TABL1234[[#This Row],[(A/S TOT)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Row],[البخر  AJD]])</f>
        <v>0</v>
      </c>
      <c r="AE93" s="44"/>
      <c r="AF93" s="45"/>
      <c r="AG93" s="45"/>
      <c r="AH93" s="6"/>
      <c r="AI93" s="45"/>
      <c r="AJ93" s="45">
        <f>TABL1234[[#This Row],[(A/B TOT) AJD]]-TABL1234[[#This Row],[BER_ IN]]</f>
        <v>0</v>
      </c>
      <c r="AK93" s="45"/>
      <c r="AL93" s="45"/>
      <c r="AM93" s="32"/>
      <c r="AN93" s="32">
        <f>TABL1234[[#This Row],[ (RESV. STORGE) SER]]/10</f>
        <v>0</v>
      </c>
      <c r="AO93" s="75"/>
      <c r="AP93" s="75">
        <f>TABL1234[[#This Row],[(A/S TOT) AJD]]-TABL1234[[#This Row],[SER_ 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Row],[خط (T/B  TOT) SAR]]+TABL1234[[#This Row],[خط (S/S  TOT) SAR2]]</f>
        <v>0</v>
      </c>
      <c r="L94" s="41"/>
      <c r="M94" s="42"/>
      <c r="N94" s="42"/>
      <c r="O94" s="39"/>
      <c r="P94" s="3">
        <f>TABL1234[[#This Row],[خط (S/S  TOT) SAR2]]-TABL1234[[#This Row],[(S/S TOT) AJD]]</f>
        <v>0</v>
      </c>
      <c r="Q94" s="39"/>
      <c r="R94" s="3">
        <f>TABL1234[[#This Row],[خط (T/B  TOT) SAR]]-TABL1234[[#This Row],[(T/B TOT) AJD]]</f>
        <v>0</v>
      </c>
      <c r="S94" s="3">
        <f>TABL1234[[#This Row],[الفرق بين بداية ونهاية خط  T/B]]+TABL1234[[#This Row],[الفرق بين بداية ونهاية خط  S/S]]</f>
        <v>0</v>
      </c>
      <c r="T94" s="3">
        <f>TABL1234[[#This Row],[(S/S TOT) AJD]]+TABL1234[[#This Row],[(T/B TOT) AJD]]</f>
        <v>0</v>
      </c>
      <c r="U94" s="41"/>
      <c r="V94" s="41"/>
      <c r="W94" s="3">
        <f>TABL1234[[#This Row],[(A/B TOT) AJD]]+TABL1234[[#This Row],[(A/S TOT)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Row],[البخر  AJD]])</f>
        <v>0</v>
      </c>
      <c r="AE94" s="41"/>
      <c r="AF94" s="43"/>
      <c r="AG94" s="43"/>
      <c r="AH94" s="6"/>
      <c r="AI94" s="43"/>
      <c r="AJ94" s="43">
        <f>TABL1234[[#This Row],[(A/B TOT) AJD]]-TABL1234[[#This Row],[BER_ IN]]</f>
        <v>0</v>
      </c>
      <c r="AK94" s="43"/>
      <c r="AL94" s="43"/>
      <c r="AM94" s="32"/>
      <c r="AN94" s="32">
        <f>TABL1234[[#This Row],[ (RESV. STORGE) SER]]/10</f>
        <v>0</v>
      </c>
      <c r="AO94" s="75"/>
      <c r="AP94" s="75">
        <f>TABL1234[[#This Row],[(A/S TOT) AJD]]-TABL1234[[#This Row],[SER_ 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Row],[خط (T/B  TOT) SAR]]+TABL1234[[#This Row],[خط (S/S  TOT) SAR2]]</f>
        <v>0</v>
      </c>
      <c r="L95" s="45"/>
      <c r="M95" s="46"/>
      <c r="N95" s="46"/>
      <c r="O95" s="40"/>
      <c r="P95" s="3">
        <f>TABL1234[[#This Row],[خط (S/S  TOT) SAR2]]-TABL1234[[#This Row],[(S/S TOT) AJD]]</f>
        <v>0</v>
      </c>
      <c r="Q95" s="40"/>
      <c r="R95" s="3">
        <f>TABL1234[[#This Row],[خط (T/B  TOT) SAR]]-TABL1234[[#This Row],[(T/B TOT) AJD]]</f>
        <v>0</v>
      </c>
      <c r="S95" s="3">
        <f>TABL1234[[#This Row],[الفرق بين بداية ونهاية خط  T/B]]+TABL1234[[#This Row],[الفرق بين بداية ونهاية خط  S/S]]</f>
        <v>0</v>
      </c>
      <c r="T95" s="3">
        <f>TABL1234[[#This Row],[(S/S TOT) AJD]]+TABL1234[[#This Row],[(T/B TOT) AJD]]</f>
        <v>0</v>
      </c>
      <c r="U95" s="44"/>
      <c r="V95" s="44"/>
      <c r="W95" s="3">
        <f>TABL1234[[#This Row],[(A/B TOT) AJD]]+TABL1234[[#This Row],[(A/S TOT)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Row],[البخر  AJD]])</f>
        <v>0</v>
      </c>
      <c r="AE95" s="44"/>
      <c r="AF95" s="45"/>
      <c r="AG95" s="45"/>
      <c r="AH95" s="6"/>
      <c r="AI95" s="45"/>
      <c r="AJ95" s="45">
        <f>TABL1234[[#This Row],[(A/B TOT) AJD]]-TABL1234[[#This Row],[BER_ IN]]</f>
        <v>0</v>
      </c>
      <c r="AK95" s="45"/>
      <c r="AL95" s="45"/>
      <c r="AM95" s="32"/>
      <c r="AN95" s="32">
        <f>TABL1234[[#This Row],[ (RESV. STORGE) SER]]/10</f>
        <v>0</v>
      </c>
      <c r="AO95" s="75"/>
      <c r="AP95" s="75">
        <f>TABL1234[[#This Row],[(A/S TOT) AJD]]-TABL1234[[#This Row],[SER_ 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Row],[خط (T/B  TOT) SAR]]+TABL1234[[#This Row],[خط (S/S  TOT) SAR2]]</f>
        <v>0</v>
      </c>
      <c r="L96" s="41"/>
      <c r="M96" s="42"/>
      <c r="N96" s="42"/>
      <c r="O96" s="39"/>
      <c r="P96" s="3">
        <f>TABL1234[[#This Row],[خط (S/S  TOT) SAR2]]-TABL1234[[#This Row],[(S/S TOT) AJD]]</f>
        <v>0</v>
      </c>
      <c r="Q96" s="39"/>
      <c r="R96" s="3">
        <f>TABL1234[[#This Row],[خط (T/B  TOT) SAR]]-TABL1234[[#This Row],[(T/B TOT) AJD]]</f>
        <v>0</v>
      </c>
      <c r="S96" s="3">
        <f>TABL1234[[#This Row],[الفرق بين بداية ونهاية خط  T/B]]+TABL1234[[#This Row],[الفرق بين بداية ونهاية خط  S/S]]</f>
        <v>0</v>
      </c>
      <c r="T96" s="3">
        <f>TABL1234[[#This Row],[(S/S TOT) AJD]]+TABL1234[[#This Row],[(T/B TOT) AJD]]</f>
        <v>0</v>
      </c>
      <c r="U96" s="41"/>
      <c r="V96" s="41"/>
      <c r="W96" s="3">
        <f>TABL1234[[#This Row],[(A/B TOT) AJD]]+TABL1234[[#This Row],[(A/S TOT)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Row],[البخر  AJD]])</f>
        <v>0</v>
      </c>
      <c r="AE96" s="41"/>
      <c r="AF96" s="43"/>
      <c r="AG96" s="43"/>
      <c r="AH96" s="6"/>
      <c r="AI96" s="43"/>
      <c r="AJ96" s="43">
        <f>TABL1234[[#This Row],[(A/B TOT) AJD]]-TABL1234[[#This Row],[BER_ IN]]</f>
        <v>0</v>
      </c>
      <c r="AK96" s="43"/>
      <c r="AL96" s="43"/>
      <c r="AM96" s="32"/>
      <c r="AN96" s="32">
        <f>TABL1234[[#This Row],[ (RESV. STORGE) SER]]/10</f>
        <v>0</v>
      </c>
      <c r="AO96" s="75"/>
      <c r="AP96" s="75">
        <f>TABL1234[[#This Row],[(A/S TOT) AJD]]-TABL1234[[#This Row],[SER_ 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Row],[خط (T/B  TOT) SAR]]+TABL1234[[#This Row],[خط (S/S  TOT) SAR2]]</f>
        <v>0</v>
      </c>
      <c r="L97" s="45"/>
      <c r="M97" s="46"/>
      <c r="N97" s="46"/>
      <c r="O97" s="40"/>
      <c r="P97" s="3">
        <f>TABL1234[[#This Row],[خط (S/S  TOT) SAR2]]-TABL1234[[#This Row],[(S/S TOT) AJD]]</f>
        <v>0</v>
      </c>
      <c r="Q97" s="40"/>
      <c r="R97" s="3">
        <f>TABL1234[[#This Row],[خط (T/B  TOT) SAR]]-TABL1234[[#This Row],[(T/B TOT) AJD]]</f>
        <v>0</v>
      </c>
      <c r="S97" s="3">
        <f>TABL1234[[#This Row],[الفرق بين بداية ونهاية خط  T/B]]+TABL1234[[#This Row],[الفرق بين بداية ونهاية خط  S/S]]</f>
        <v>0</v>
      </c>
      <c r="T97" s="3">
        <f>TABL1234[[#This Row],[(S/S TOT) AJD]]+TABL1234[[#This Row],[(T/B TOT) AJD]]</f>
        <v>0</v>
      </c>
      <c r="U97" s="44"/>
      <c r="V97" s="44"/>
      <c r="W97" s="3">
        <f>TABL1234[[#This Row],[(A/B TOT) AJD]]+TABL1234[[#This Row],[(A/S TOT)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Row],[البخر  AJD]])</f>
        <v>0</v>
      </c>
      <c r="AE97" s="44"/>
      <c r="AF97" s="45"/>
      <c r="AG97" s="45"/>
      <c r="AH97" s="6"/>
      <c r="AI97" s="45"/>
      <c r="AJ97" s="45">
        <f>TABL1234[[#This Row],[(A/B TOT) AJD]]-TABL1234[[#This Row],[BER_ IN]]</f>
        <v>0</v>
      </c>
      <c r="AK97" s="45"/>
      <c r="AL97" s="45"/>
      <c r="AM97" s="32"/>
      <c r="AN97" s="32">
        <f>TABL1234[[#This Row],[ (RESV. STORGE) SER]]/10</f>
        <v>0</v>
      </c>
      <c r="AO97" s="75"/>
      <c r="AP97" s="75">
        <f>TABL1234[[#This Row],[(A/S TOT) AJD]]-TABL1234[[#This Row],[SER_ 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Row],[خط (T/B  TOT) SAR]]+TABL1234[[#This Row],[خط (S/S  TOT) SAR2]]</f>
        <v>0</v>
      </c>
      <c r="L98" s="41"/>
      <c r="M98" s="42"/>
      <c r="N98" s="42"/>
      <c r="O98" s="39"/>
      <c r="P98" s="3">
        <f>TABL1234[[#This Row],[خط (S/S  TOT) SAR2]]-TABL1234[[#This Row],[(S/S TOT) AJD]]</f>
        <v>0</v>
      </c>
      <c r="Q98" s="39"/>
      <c r="R98" s="3">
        <f>TABL1234[[#This Row],[خط (T/B  TOT) SAR]]-TABL1234[[#This Row],[(T/B TOT) AJD]]</f>
        <v>0</v>
      </c>
      <c r="S98" s="3">
        <f>TABL1234[[#This Row],[الفرق بين بداية ونهاية خط  T/B]]+TABL1234[[#This Row],[الفرق بين بداية ونهاية خط  S/S]]</f>
        <v>0</v>
      </c>
      <c r="T98" s="3">
        <f>TABL1234[[#This Row],[(S/S TOT) AJD]]+TABL1234[[#This Row],[(T/B TOT) AJD]]</f>
        <v>0</v>
      </c>
      <c r="U98" s="41"/>
      <c r="V98" s="41"/>
      <c r="W98" s="3">
        <f>TABL1234[[#This Row],[(A/B TOT) AJD]]+TABL1234[[#This Row],[(A/S TOT)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Row],[البخر  AJD]])</f>
        <v>0</v>
      </c>
      <c r="AE98" s="41"/>
      <c r="AF98" s="43"/>
      <c r="AG98" s="43"/>
      <c r="AH98" s="6"/>
      <c r="AI98" s="43"/>
      <c r="AJ98" s="43">
        <f>TABL1234[[#This Row],[(A/B TOT) AJD]]-TABL1234[[#This Row],[BER_ IN]]</f>
        <v>0</v>
      </c>
      <c r="AK98" s="43"/>
      <c r="AL98" s="43"/>
      <c r="AM98" s="32"/>
      <c r="AN98" s="32">
        <f>TABL1234[[#This Row],[ (RESV. STORGE) SER]]/10</f>
        <v>0</v>
      </c>
      <c r="AO98" s="75"/>
      <c r="AP98" s="75">
        <f>TABL1234[[#This Row],[(A/S TOT) AJD]]-TABL1234[[#This Row],[SER_ 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Row],[خط (T/B  TOT) SAR]]+TABL1234[[#This Row],[خط (S/S  TOT) SAR2]]</f>
        <v>0</v>
      </c>
      <c r="L99" s="45"/>
      <c r="M99" s="46"/>
      <c r="N99" s="46"/>
      <c r="O99" s="40"/>
      <c r="P99" s="3">
        <f>TABL1234[[#This Row],[خط (S/S  TOT) SAR2]]-TABL1234[[#This Row],[(S/S TOT) AJD]]</f>
        <v>0</v>
      </c>
      <c r="Q99" s="40"/>
      <c r="R99" s="3">
        <f>TABL1234[[#This Row],[خط (T/B  TOT) SAR]]-TABL1234[[#This Row],[(T/B TOT) AJD]]</f>
        <v>0</v>
      </c>
      <c r="S99" s="3">
        <f>TABL1234[[#This Row],[الفرق بين بداية ونهاية خط  T/B]]+TABL1234[[#This Row],[الفرق بين بداية ونهاية خط  S/S]]</f>
        <v>0</v>
      </c>
      <c r="T99" s="3">
        <f>TABL1234[[#This Row],[(S/S TOT) AJD]]+TABL1234[[#This Row],[(T/B TOT) AJD]]</f>
        <v>0</v>
      </c>
      <c r="U99" s="44"/>
      <c r="V99" s="44"/>
      <c r="W99" s="3">
        <f>TABL1234[[#This Row],[(A/B TOT) AJD]]+TABL1234[[#This Row],[(A/S TOT)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Row],[البخر  AJD]])</f>
        <v>0</v>
      </c>
      <c r="AE99" s="44"/>
      <c r="AF99" s="45"/>
      <c r="AG99" s="45"/>
      <c r="AH99" s="6"/>
      <c r="AI99" s="45"/>
      <c r="AJ99" s="45">
        <f>TABL1234[[#This Row],[(A/B TOT) AJD]]-TABL1234[[#This Row],[BER_ IN]]</f>
        <v>0</v>
      </c>
      <c r="AK99" s="45"/>
      <c r="AL99" s="45"/>
      <c r="AM99" s="32"/>
      <c r="AN99" s="32">
        <f>TABL1234[[#This Row],[ (RESV. STORGE) SER]]/10</f>
        <v>0</v>
      </c>
      <c r="AO99" s="75"/>
      <c r="AP99" s="75">
        <f>TABL1234[[#This Row],[(A/S TOT) AJD]]-TABL1234[[#This Row],[SER_ 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Row],[خط (T/B  TOT) SAR]]+TABL1234[[#This Row],[خط (S/S  TOT) SAR2]]</f>
        <v>0</v>
      </c>
      <c r="L100" s="41"/>
      <c r="M100" s="42"/>
      <c r="N100" s="42"/>
      <c r="O100" s="39"/>
      <c r="P100" s="3">
        <f>TABL1234[[#This Row],[خط (S/S  TOT) SAR2]]-TABL1234[[#This Row],[(S/S TOT) AJD]]</f>
        <v>0</v>
      </c>
      <c r="Q100" s="39"/>
      <c r="R100" s="3">
        <f>TABL1234[[#This Row],[خط (T/B  TOT) SAR]]-TABL1234[[#This Row],[(T/B TOT) AJD]]</f>
        <v>0</v>
      </c>
      <c r="S100" s="3">
        <f>TABL1234[[#This Row],[الفرق بين بداية ونهاية خط  T/B]]+TABL1234[[#This Row],[الفرق بين بداية ونهاية خط  S/S]]</f>
        <v>0</v>
      </c>
      <c r="T100" s="3">
        <f>TABL1234[[#This Row],[(S/S TOT) AJD]]+TABL1234[[#This Row],[(T/B TOT) AJD]]</f>
        <v>0</v>
      </c>
      <c r="U100" s="41"/>
      <c r="V100" s="41"/>
      <c r="W100" s="3">
        <f>TABL1234[[#This Row],[(A/B TOT) AJD]]+TABL1234[[#This Row],[(A/S TOT)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Row],[البخر  AJD]])</f>
        <v>0</v>
      </c>
      <c r="AE100" s="41"/>
      <c r="AF100" s="43"/>
      <c r="AG100" s="43"/>
      <c r="AH100" s="6"/>
      <c r="AI100" s="43"/>
      <c r="AJ100" s="43">
        <f>TABL1234[[#This Row],[(A/B TOT) AJD]]-TABL1234[[#This Row],[BER_ IN]]</f>
        <v>0</v>
      </c>
      <c r="AK100" s="43"/>
      <c r="AL100" s="43"/>
      <c r="AM100" s="32"/>
      <c r="AN100" s="32">
        <f>TABL1234[[#This Row],[ (RESV. STORGE) SER]]/10</f>
        <v>0</v>
      </c>
      <c r="AO100" s="75"/>
      <c r="AP100" s="75">
        <f>TABL1234[[#This Row],[(A/S TOT) AJD]]-TABL1234[[#This Row],[SER_ 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Row],[خط (T/B  TOT) SAR]]+TABL1234[[#This Row],[خط (S/S  TOT) SAR2]]</f>
        <v>0</v>
      </c>
      <c r="L101" s="45"/>
      <c r="M101" s="46"/>
      <c r="N101" s="46"/>
      <c r="O101" s="40"/>
      <c r="P101" s="3">
        <f>TABL1234[[#This Row],[خط (S/S  TOT) SAR2]]-TABL1234[[#This Row],[(S/S TOT) AJD]]</f>
        <v>0</v>
      </c>
      <c r="Q101" s="40"/>
      <c r="R101" s="3">
        <f>TABL1234[[#This Row],[خط (T/B  TOT) SAR]]-TABL1234[[#This Row],[(T/B TOT) AJD]]</f>
        <v>0</v>
      </c>
      <c r="S101" s="3">
        <f>TABL1234[[#This Row],[الفرق بين بداية ونهاية خط  T/B]]+TABL1234[[#This Row],[الفرق بين بداية ونهاية خط  S/S]]</f>
        <v>0</v>
      </c>
      <c r="T101" s="3">
        <f>TABL1234[[#This Row],[(S/S TOT) AJD]]+TABL1234[[#This Row],[(T/B TOT) AJD]]</f>
        <v>0</v>
      </c>
      <c r="U101" s="44"/>
      <c r="V101" s="44"/>
      <c r="W101" s="3">
        <f>TABL1234[[#This Row],[(A/B TOT) AJD]]+TABL1234[[#This Row],[(A/S TOT)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Row],[البخر  AJD]])</f>
        <v>0</v>
      </c>
      <c r="AE101" s="44"/>
      <c r="AF101" s="45"/>
      <c r="AG101" s="45"/>
      <c r="AH101" s="6"/>
      <c r="AI101" s="45"/>
      <c r="AJ101" s="45">
        <f>TABL1234[[#This Row],[(A/B TOT) AJD]]-TABL1234[[#This Row],[BER_ IN]]</f>
        <v>0</v>
      </c>
      <c r="AK101" s="45"/>
      <c r="AL101" s="45"/>
      <c r="AM101" s="32"/>
      <c r="AN101" s="32">
        <f>TABL1234[[#This Row],[ (RESV. STORGE) SER]]/10</f>
        <v>0</v>
      </c>
      <c r="AO101" s="75"/>
      <c r="AP101" s="75">
        <f>TABL1234[[#This Row],[(A/S TOT) AJD]]-TABL1234[[#This Row],[SER_ 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Row],[خط (T/B  TOT) SAR]]+TABL1234[[#This Row],[خط (S/S  TOT) SAR2]]</f>
        <v>0</v>
      </c>
      <c r="L102" s="41"/>
      <c r="M102" s="42"/>
      <c r="N102" s="42"/>
      <c r="O102" s="39"/>
      <c r="P102" s="3">
        <f>TABL1234[[#This Row],[خط (S/S  TOT) SAR2]]-TABL1234[[#This Row],[(S/S TOT) AJD]]</f>
        <v>0</v>
      </c>
      <c r="Q102" s="39"/>
      <c r="R102" s="3">
        <f>TABL1234[[#This Row],[خط (T/B  TOT) SAR]]-TABL1234[[#This Row],[(T/B TOT) AJD]]</f>
        <v>0</v>
      </c>
      <c r="S102" s="3">
        <f>TABL1234[[#This Row],[الفرق بين بداية ونهاية خط  T/B]]+TABL1234[[#This Row],[الفرق بين بداية ونهاية خط  S/S]]</f>
        <v>0</v>
      </c>
      <c r="T102" s="3">
        <f>TABL1234[[#This Row],[(S/S TOT) AJD]]+TABL1234[[#This Row],[(T/B TOT) AJD]]</f>
        <v>0</v>
      </c>
      <c r="U102" s="41"/>
      <c r="V102" s="41"/>
      <c r="W102" s="3">
        <f>TABL1234[[#This Row],[(A/B TOT) AJD]]+TABL1234[[#This Row],[(A/S TOT)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Row],[البخر  AJD]])</f>
        <v>0</v>
      </c>
      <c r="AE102" s="41"/>
      <c r="AF102" s="43"/>
      <c r="AG102" s="43"/>
      <c r="AH102" s="6"/>
      <c r="AI102" s="43"/>
      <c r="AJ102" s="43">
        <f>TABL1234[[#This Row],[(A/B TOT) AJD]]-TABL1234[[#This Row],[BER_ IN]]</f>
        <v>0</v>
      </c>
      <c r="AK102" s="43"/>
      <c r="AL102" s="43"/>
      <c r="AM102" s="32"/>
      <c r="AN102" s="32">
        <f>TABL1234[[#This Row],[ (RESV. STORGE) SER]]/10</f>
        <v>0</v>
      </c>
      <c r="AO102" s="75"/>
      <c r="AP102" s="75">
        <f>TABL1234[[#This Row],[(A/S TOT) AJD]]-TABL1234[[#This Row],[SER_ 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Row],[خط (T/B  TOT) SAR]]+TABL1234[[#This Row],[خط (S/S  TOT) SAR2]]</f>
        <v>0</v>
      </c>
      <c r="L103" s="45"/>
      <c r="M103" s="46"/>
      <c r="N103" s="46"/>
      <c r="O103" s="40"/>
      <c r="P103" s="3">
        <f>TABL1234[[#This Row],[خط (S/S  TOT) SAR2]]-TABL1234[[#This Row],[(S/S TOT) AJD]]</f>
        <v>0</v>
      </c>
      <c r="Q103" s="40"/>
      <c r="R103" s="3">
        <f>TABL1234[[#This Row],[خط (T/B  TOT) SAR]]-TABL1234[[#This Row],[(T/B TOT) AJD]]</f>
        <v>0</v>
      </c>
      <c r="S103" s="3">
        <f>TABL1234[[#This Row],[الفرق بين بداية ونهاية خط  T/B]]+TABL1234[[#This Row],[الفرق بين بداية ونهاية خط  S/S]]</f>
        <v>0</v>
      </c>
      <c r="T103" s="3">
        <f>TABL1234[[#This Row],[(S/S TOT) AJD]]+TABL1234[[#This Row],[(T/B TOT) AJD]]</f>
        <v>0</v>
      </c>
      <c r="U103" s="44"/>
      <c r="V103" s="44"/>
      <c r="W103" s="3">
        <f>TABL1234[[#This Row],[(A/B TOT) AJD]]+TABL1234[[#This Row],[(A/S TOT)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Row],[البخر  AJD]])</f>
        <v>0</v>
      </c>
      <c r="AE103" s="44"/>
      <c r="AF103" s="45"/>
      <c r="AG103" s="45"/>
      <c r="AH103" s="6"/>
      <c r="AI103" s="45"/>
      <c r="AJ103" s="45">
        <f>TABL1234[[#This Row],[(A/B TOT) AJD]]-TABL1234[[#This Row],[BER_ IN]]</f>
        <v>0</v>
      </c>
      <c r="AK103" s="45"/>
      <c r="AL103" s="45"/>
      <c r="AM103" s="32"/>
      <c r="AN103" s="32">
        <f>TABL1234[[#This Row],[ (RESV. STORGE) SER]]/10</f>
        <v>0</v>
      </c>
      <c r="AO103" s="75"/>
      <c r="AP103" s="75">
        <f>TABL1234[[#This Row],[(A/S TOT) AJD]]-TABL1234[[#This Row],[SER_ 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Row],[خط (T/B  TOT) SAR]]+TABL1234[[#This Row],[خط (S/S  TOT) SAR2]]</f>
        <v>0</v>
      </c>
      <c r="L104" s="41"/>
      <c r="M104" s="42"/>
      <c r="N104" s="42"/>
      <c r="O104" s="39"/>
      <c r="P104" s="3">
        <f>TABL1234[[#This Row],[خط (S/S  TOT) SAR2]]-TABL1234[[#This Row],[(S/S TOT) AJD]]</f>
        <v>0</v>
      </c>
      <c r="Q104" s="39"/>
      <c r="R104" s="3">
        <f>TABL1234[[#This Row],[خط (T/B  TOT) SAR]]-TABL1234[[#This Row],[(T/B TOT) AJD]]</f>
        <v>0</v>
      </c>
      <c r="S104" s="3">
        <f>TABL1234[[#This Row],[الفرق بين بداية ونهاية خط  T/B]]+TABL1234[[#This Row],[الفرق بين بداية ونهاية خط  S/S]]</f>
        <v>0</v>
      </c>
      <c r="T104" s="3">
        <f>TABL1234[[#This Row],[(S/S TOT) AJD]]+TABL1234[[#This Row],[(T/B TOT) AJD]]</f>
        <v>0</v>
      </c>
      <c r="U104" s="41"/>
      <c r="V104" s="41"/>
      <c r="W104" s="3">
        <f>TABL1234[[#This Row],[(A/B TOT) AJD]]+TABL1234[[#This Row],[(A/S TOT)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Row],[البخر  AJD]])</f>
        <v>0</v>
      </c>
      <c r="AE104" s="41"/>
      <c r="AF104" s="43"/>
      <c r="AG104" s="43"/>
      <c r="AH104" s="6"/>
      <c r="AI104" s="43"/>
      <c r="AJ104" s="43">
        <f>TABL1234[[#This Row],[(A/B TOT) AJD]]-TABL1234[[#This Row],[BER_ IN]]</f>
        <v>0</v>
      </c>
      <c r="AK104" s="43"/>
      <c r="AL104" s="43"/>
      <c r="AM104" s="32"/>
      <c r="AN104" s="32">
        <f>TABL1234[[#This Row],[ (RESV. STORGE) SER]]/10</f>
        <v>0</v>
      </c>
      <c r="AO104" s="75"/>
      <c r="AP104" s="75">
        <f>TABL1234[[#This Row],[(A/S TOT) AJD]]-TABL1234[[#This Row],[SER_ 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Row],[خط (T/B  TOT) SAR]]+TABL1234[[#This Row],[خط (S/S  TOT) SAR2]]</f>
        <v>0</v>
      </c>
      <c r="L105" s="45"/>
      <c r="M105" s="46"/>
      <c r="N105" s="46"/>
      <c r="O105" s="40"/>
      <c r="P105" s="3">
        <f>TABL1234[[#This Row],[خط (S/S  TOT) SAR2]]-TABL1234[[#This Row],[(S/S TOT) AJD]]</f>
        <v>0</v>
      </c>
      <c r="Q105" s="40"/>
      <c r="R105" s="3">
        <f>TABL1234[[#This Row],[خط (T/B  TOT) SAR]]-TABL1234[[#This Row],[(T/B TOT) AJD]]</f>
        <v>0</v>
      </c>
      <c r="S105" s="3">
        <f>TABL1234[[#This Row],[الفرق بين بداية ونهاية خط  T/B]]+TABL1234[[#This Row],[الفرق بين بداية ونهاية خط  S/S]]</f>
        <v>0</v>
      </c>
      <c r="T105" s="3">
        <f>TABL1234[[#This Row],[(S/S TOT) AJD]]+TABL1234[[#This Row],[(T/B TOT) AJD]]</f>
        <v>0</v>
      </c>
      <c r="U105" s="44"/>
      <c r="V105" s="44"/>
      <c r="W105" s="3">
        <f>TABL1234[[#This Row],[(A/B TOT) AJD]]+TABL1234[[#This Row],[(A/S TOT)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Row],[البخر  AJD]])</f>
        <v>0</v>
      </c>
      <c r="AE105" s="44"/>
      <c r="AF105" s="45"/>
      <c r="AG105" s="45"/>
      <c r="AH105" s="6"/>
      <c r="AI105" s="45"/>
      <c r="AJ105" s="45">
        <f>TABL1234[[#This Row],[(A/B TOT) AJD]]-TABL1234[[#This Row],[BER_ IN]]</f>
        <v>0</v>
      </c>
      <c r="AK105" s="45"/>
      <c r="AL105" s="45"/>
      <c r="AM105" s="32"/>
      <c r="AN105" s="32">
        <f>TABL1234[[#This Row],[ (RESV. STORGE) SER]]/10</f>
        <v>0</v>
      </c>
      <c r="AO105" s="75"/>
      <c r="AP105" s="75">
        <f>TABL1234[[#This Row],[(A/S TOT) AJD]]-TABL1234[[#This Row],[SER_ 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Row],[خط (T/B  TOT) SAR]]+TABL1234[[#This Row],[خط (S/S  TOT) SAR2]]</f>
        <v>0</v>
      </c>
      <c r="L106" s="41"/>
      <c r="M106" s="42"/>
      <c r="N106" s="42"/>
      <c r="O106" s="39"/>
      <c r="P106" s="3">
        <f>TABL1234[[#This Row],[خط (S/S  TOT) SAR2]]-TABL1234[[#This Row],[(S/S TOT) AJD]]</f>
        <v>0</v>
      </c>
      <c r="Q106" s="39"/>
      <c r="R106" s="3">
        <f>TABL1234[[#This Row],[خط (T/B  TOT) SAR]]-TABL1234[[#This Row],[(T/B TOT) AJD]]</f>
        <v>0</v>
      </c>
      <c r="S106" s="3">
        <f>TABL1234[[#This Row],[الفرق بين بداية ونهاية خط  T/B]]+TABL1234[[#This Row],[الفرق بين بداية ونهاية خط  S/S]]</f>
        <v>0</v>
      </c>
      <c r="T106" s="3">
        <f>TABL1234[[#This Row],[(S/S TOT) AJD]]+TABL1234[[#This Row],[(T/B TOT) AJD]]</f>
        <v>0</v>
      </c>
      <c r="U106" s="41"/>
      <c r="V106" s="41"/>
      <c r="W106" s="3">
        <f>TABL1234[[#This Row],[(A/B TOT) AJD]]+TABL1234[[#This Row],[(A/S TOT)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Row],[البخر  AJD]])</f>
        <v>0</v>
      </c>
      <c r="AE106" s="41"/>
      <c r="AF106" s="43"/>
      <c r="AG106" s="43"/>
      <c r="AH106" s="6"/>
      <c r="AI106" s="43"/>
      <c r="AJ106" s="43">
        <f>TABL1234[[#This Row],[(A/B TOT) AJD]]-TABL1234[[#This Row],[BER_ IN]]</f>
        <v>0</v>
      </c>
      <c r="AK106" s="43"/>
      <c r="AL106" s="43"/>
      <c r="AM106" s="32"/>
      <c r="AN106" s="32">
        <f>TABL1234[[#This Row],[ (RESV. STORGE) SER]]/10</f>
        <v>0</v>
      </c>
      <c r="AO106" s="75"/>
      <c r="AP106" s="75">
        <f>TABL1234[[#This Row],[(A/S TOT) AJD]]-TABL1234[[#This Row],[SER_ 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Row],[خط (T/B  TOT) SAR]]+TABL1234[[#This Row],[خط (S/S  TOT) SAR2]]</f>
        <v>0</v>
      </c>
      <c r="L107" s="45"/>
      <c r="M107" s="46"/>
      <c r="N107" s="46"/>
      <c r="O107" s="40"/>
      <c r="P107" s="3">
        <f>TABL1234[[#This Row],[خط (S/S  TOT) SAR2]]-TABL1234[[#This Row],[(S/S TOT) AJD]]</f>
        <v>0</v>
      </c>
      <c r="Q107" s="40"/>
      <c r="R107" s="3">
        <f>TABL1234[[#This Row],[خط (T/B  TOT) SAR]]-TABL1234[[#This Row],[(T/B TOT) AJD]]</f>
        <v>0</v>
      </c>
      <c r="S107" s="3">
        <f>TABL1234[[#This Row],[الفرق بين بداية ونهاية خط  T/B]]+TABL1234[[#This Row],[الفرق بين بداية ونهاية خط  S/S]]</f>
        <v>0</v>
      </c>
      <c r="T107" s="3">
        <f>TABL1234[[#This Row],[(S/S TOT) AJD]]+TABL1234[[#This Row],[(T/B TOT) AJD]]</f>
        <v>0</v>
      </c>
      <c r="U107" s="44"/>
      <c r="V107" s="44"/>
      <c r="W107" s="3">
        <f>TABL1234[[#This Row],[(A/B TOT) AJD]]+TABL1234[[#This Row],[(A/S TOT)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Row],[البخر  AJD]])</f>
        <v>0</v>
      </c>
      <c r="AE107" s="44"/>
      <c r="AF107" s="45"/>
      <c r="AG107" s="45"/>
      <c r="AH107" s="6"/>
      <c r="AI107" s="45"/>
      <c r="AJ107" s="45">
        <f>TABL1234[[#This Row],[(A/B TOT) AJD]]-TABL1234[[#This Row],[BER_ IN]]</f>
        <v>0</v>
      </c>
      <c r="AK107" s="45"/>
      <c r="AL107" s="45"/>
      <c r="AM107" s="32"/>
      <c r="AN107" s="32">
        <f>TABL1234[[#This Row],[ (RESV. STORGE) SER]]/10</f>
        <v>0</v>
      </c>
      <c r="AO107" s="75"/>
      <c r="AP107" s="75">
        <f>TABL1234[[#This Row],[(A/S TOT) AJD]]-TABL1234[[#This Row],[SER_ 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Row],[خط (T/B  TOT) SAR]]+TABL1234[[#This Row],[خط (S/S  TOT) SAR2]]</f>
        <v>0</v>
      </c>
      <c r="L108" s="41"/>
      <c r="M108" s="42"/>
      <c r="N108" s="42"/>
      <c r="O108" s="39"/>
      <c r="P108" s="3">
        <f>TABL1234[[#This Row],[خط (S/S  TOT) SAR2]]-TABL1234[[#This Row],[(S/S TOT) AJD]]</f>
        <v>0</v>
      </c>
      <c r="Q108" s="39"/>
      <c r="R108" s="3">
        <f>TABL1234[[#This Row],[خط (T/B  TOT) SAR]]-TABL1234[[#This Row],[(T/B TOT) AJD]]</f>
        <v>0</v>
      </c>
      <c r="S108" s="3">
        <f>TABL1234[[#This Row],[الفرق بين بداية ونهاية خط  T/B]]+TABL1234[[#This Row],[الفرق بين بداية ونهاية خط  S/S]]</f>
        <v>0</v>
      </c>
      <c r="T108" s="3">
        <f>TABL1234[[#This Row],[(S/S TOT) AJD]]+TABL1234[[#This Row],[(T/B TOT) AJD]]</f>
        <v>0</v>
      </c>
      <c r="U108" s="41"/>
      <c r="V108" s="41"/>
      <c r="W108" s="3">
        <f>TABL1234[[#This Row],[(A/B TOT) AJD]]+TABL1234[[#This Row],[(A/S TOT)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Row],[البخر  AJD]])</f>
        <v>0</v>
      </c>
      <c r="AE108" s="41"/>
      <c r="AF108" s="43"/>
      <c r="AG108" s="43"/>
      <c r="AH108" s="6"/>
      <c r="AI108" s="43"/>
      <c r="AJ108" s="43">
        <f>TABL1234[[#This Row],[(A/B TOT) AJD]]-TABL1234[[#This Row],[BER_ IN]]</f>
        <v>0</v>
      </c>
      <c r="AK108" s="43"/>
      <c r="AL108" s="43"/>
      <c r="AM108" s="32"/>
      <c r="AN108" s="32">
        <f>TABL1234[[#This Row],[ (RESV. STORGE) SER]]/10</f>
        <v>0</v>
      </c>
      <c r="AO108" s="75"/>
      <c r="AP108" s="75">
        <f>TABL1234[[#This Row],[(A/S TOT) AJD]]-TABL1234[[#This Row],[SER_ 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Row],[خط (T/B  TOT) SAR]]+TABL1234[[#This Row],[خط (S/S  TOT) SAR2]]</f>
        <v>0</v>
      </c>
      <c r="L109" s="45"/>
      <c r="M109" s="46"/>
      <c r="N109" s="46"/>
      <c r="O109" s="40"/>
      <c r="P109" s="3">
        <f>TABL1234[[#This Row],[خط (S/S  TOT) SAR2]]-TABL1234[[#This Row],[(S/S TOT) AJD]]</f>
        <v>0</v>
      </c>
      <c r="Q109" s="40"/>
      <c r="R109" s="3">
        <f>TABL1234[[#This Row],[خط (T/B  TOT) SAR]]-TABL1234[[#This Row],[(T/B TOT) AJD]]</f>
        <v>0</v>
      </c>
      <c r="S109" s="3">
        <f>TABL1234[[#This Row],[الفرق بين بداية ونهاية خط  T/B]]+TABL1234[[#This Row],[الفرق بين بداية ونهاية خط  S/S]]</f>
        <v>0</v>
      </c>
      <c r="T109" s="3">
        <f>TABL1234[[#This Row],[(S/S TOT) AJD]]+TABL1234[[#This Row],[(T/B TOT) AJD]]</f>
        <v>0</v>
      </c>
      <c r="U109" s="44"/>
      <c r="V109" s="44"/>
      <c r="W109" s="3">
        <f>TABL1234[[#This Row],[(A/B TOT) AJD]]+TABL1234[[#This Row],[(A/S TOT)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Row],[البخر  AJD]])</f>
        <v>0</v>
      </c>
      <c r="AE109" s="44"/>
      <c r="AF109" s="45"/>
      <c r="AG109" s="45"/>
      <c r="AH109" s="6"/>
      <c r="AI109" s="45"/>
      <c r="AJ109" s="45">
        <f>TABL1234[[#This Row],[(A/B TOT) AJD]]-TABL1234[[#This Row],[BER_ IN]]</f>
        <v>0</v>
      </c>
      <c r="AK109" s="45"/>
      <c r="AL109" s="45"/>
      <c r="AM109" s="32"/>
      <c r="AN109" s="32">
        <f>TABL1234[[#This Row],[ (RESV. STORGE) SER]]/10</f>
        <v>0</v>
      </c>
      <c r="AO109" s="75"/>
      <c r="AP109" s="75">
        <f>TABL1234[[#This Row],[(A/S TOT) AJD]]-TABL1234[[#This Row],[SER_ 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Row],[خط (T/B  TOT) SAR]]+TABL1234[[#This Row],[خط (S/S  TOT) SAR2]]</f>
        <v>0</v>
      </c>
      <c r="L110" s="41"/>
      <c r="M110" s="42"/>
      <c r="N110" s="42"/>
      <c r="O110" s="39"/>
      <c r="P110" s="3">
        <f>TABL1234[[#This Row],[خط (S/S  TOT) SAR2]]-TABL1234[[#This Row],[(S/S TOT) AJD]]</f>
        <v>0</v>
      </c>
      <c r="Q110" s="39"/>
      <c r="R110" s="3">
        <f>TABL1234[[#This Row],[خط (T/B  TOT) SAR]]-TABL1234[[#This Row],[(T/B TOT) AJD]]</f>
        <v>0</v>
      </c>
      <c r="S110" s="3">
        <f>TABL1234[[#This Row],[الفرق بين بداية ونهاية خط  T/B]]+TABL1234[[#This Row],[الفرق بين بداية ونهاية خط  S/S]]</f>
        <v>0</v>
      </c>
      <c r="T110" s="3">
        <f>TABL1234[[#This Row],[(S/S TOT) AJD]]+TABL1234[[#This Row],[(T/B TOT) AJD]]</f>
        <v>0</v>
      </c>
      <c r="U110" s="41"/>
      <c r="V110" s="41"/>
      <c r="W110" s="3">
        <f>TABL1234[[#This Row],[(A/B TOT) AJD]]+TABL1234[[#This Row],[(A/S TOT)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Row],[البخر  AJD]])</f>
        <v>0</v>
      </c>
      <c r="AE110" s="41"/>
      <c r="AF110" s="43"/>
      <c r="AG110" s="43"/>
      <c r="AH110" s="6"/>
      <c r="AI110" s="43"/>
      <c r="AJ110" s="43">
        <f>TABL1234[[#This Row],[(A/B TOT) AJD]]-TABL1234[[#This Row],[BER_ IN]]</f>
        <v>0</v>
      </c>
      <c r="AK110" s="43"/>
      <c r="AL110" s="43"/>
      <c r="AM110" s="32"/>
      <c r="AN110" s="32">
        <f>TABL1234[[#This Row],[ (RESV. STORGE) SER]]/10</f>
        <v>0</v>
      </c>
      <c r="AO110" s="75"/>
      <c r="AP110" s="75">
        <f>TABL1234[[#This Row],[(A/S TOT) AJD]]-TABL1234[[#This Row],[SER_ 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Row],[خط (T/B  TOT) SAR]]+TABL1234[[#This Row],[خط (S/S  TOT) SAR2]]</f>
        <v>0</v>
      </c>
      <c r="L111" s="45"/>
      <c r="M111" s="46"/>
      <c r="N111" s="46"/>
      <c r="O111" s="40"/>
      <c r="P111" s="3">
        <f>TABL1234[[#This Row],[خط (S/S  TOT) SAR2]]-TABL1234[[#This Row],[(S/S TOT) AJD]]</f>
        <v>0</v>
      </c>
      <c r="Q111" s="40"/>
      <c r="R111" s="3">
        <f>TABL1234[[#This Row],[خط (T/B  TOT) SAR]]-TABL1234[[#This Row],[(T/B TOT) AJD]]</f>
        <v>0</v>
      </c>
      <c r="S111" s="3">
        <f>TABL1234[[#This Row],[الفرق بين بداية ونهاية خط  T/B]]+TABL1234[[#This Row],[الفرق بين بداية ونهاية خط  S/S]]</f>
        <v>0</v>
      </c>
      <c r="T111" s="3">
        <f>TABL1234[[#This Row],[(S/S TOT) AJD]]+TABL1234[[#This Row],[(T/B TOT) AJD]]</f>
        <v>0</v>
      </c>
      <c r="U111" s="44"/>
      <c r="V111" s="44"/>
      <c r="W111" s="3">
        <f>TABL1234[[#This Row],[(A/B TOT) AJD]]+TABL1234[[#This Row],[(A/S TOT)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Row],[البخر  AJD]])</f>
        <v>0</v>
      </c>
      <c r="AE111" s="44"/>
      <c r="AF111" s="45"/>
      <c r="AG111" s="45"/>
      <c r="AH111" s="6"/>
      <c r="AI111" s="45"/>
      <c r="AJ111" s="45">
        <f>TABL1234[[#This Row],[(A/B TOT) AJD]]-TABL1234[[#This Row],[BER_ IN]]</f>
        <v>0</v>
      </c>
      <c r="AK111" s="45"/>
      <c r="AL111" s="45"/>
      <c r="AM111" s="32"/>
      <c r="AN111" s="32">
        <f>TABL1234[[#This Row],[ (RESV. STORGE) SER]]/10</f>
        <v>0</v>
      </c>
      <c r="AO111" s="75"/>
      <c r="AP111" s="75">
        <f>TABL1234[[#This Row],[(A/S TOT) AJD]]-TABL1234[[#This Row],[SER_ 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Row],[خط (T/B  TOT) SAR]]+TABL1234[[#This Row],[خط (S/S  TOT) SAR2]]</f>
        <v>0</v>
      </c>
      <c r="L112" s="41"/>
      <c r="M112" s="42"/>
      <c r="N112" s="42"/>
      <c r="O112" s="39"/>
      <c r="P112" s="3">
        <f>TABL1234[[#This Row],[خط (S/S  TOT) SAR2]]-TABL1234[[#This Row],[(S/S TOT) AJD]]</f>
        <v>0</v>
      </c>
      <c r="Q112" s="39"/>
      <c r="R112" s="3">
        <f>TABL1234[[#This Row],[خط (T/B  TOT) SAR]]-TABL1234[[#This Row],[(T/B TOT) AJD]]</f>
        <v>0</v>
      </c>
      <c r="S112" s="3">
        <f>TABL1234[[#This Row],[الفرق بين بداية ونهاية خط  T/B]]+TABL1234[[#This Row],[الفرق بين بداية ونهاية خط  S/S]]</f>
        <v>0</v>
      </c>
      <c r="T112" s="3">
        <f>TABL1234[[#This Row],[(S/S TOT) AJD]]+TABL1234[[#This Row],[(T/B TOT) AJD]]</f>
        <v>0</v>
      </c>
      <c r="U112" s="41"/>
      <c r="V112" s="41"/>
      <c r="W112" s="3">
        <f>TABL1234[[#This Row],[(A/B TOT) AJD]]+TABL1234[[#This Row],[(A/S TOT)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Row],[البخر  AJD]])</f>
        <v>0</v>
      </c>
      <c r="AE112" s="41"/>
      <c r="AF112" s="43"/>
      <c r="AG112" s="43"/>
      <c r="AH112" s="6"/>
      <c r="AI112" s="43"/>
      <c r="AJ112" s="43">
        <f>TABL1234[[#This Row],[(A/B TOT) AJD]]-TABL1234[[#This Row],[BER_ IN]]</f>
        <v>0</v>
      </c>
      <c r="AK112" s="43"/>
      <c r="AL112" s="43"/>
      <c r="AM112" s="32"/>
      <c r="AN112" s="32">
        <f>TABL1234[[#This Row],[ (RESV. STORGE) SER]]/10</f>
        <v>0</v>
      </c>
      <c r="AO112" s="75"/>
      <c r="AP112" s="75">
        <f>TABL1234[[#This Row],[(A/S TOT) AJD]]-TABL1234[[#This Row],[SER_ 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Row],[خط (T/B  TOT) SAR]]+TABL1234[[#This Row],[خط (S/S  TOT) SAR2]]</f>
        <v>0</v>
      </c>
      <c r="L113" s="45"/>
      <c r="M113" s="46"/>
      <c r="N113" s="46"/>
      <c r="O113" s="40"/>
      <c r="P113" s="3">
        <f>TABL1234[[#This Row],[خط (S/S  TOT) SAR2]]-TABL1234[[#This Row],[(S/S TOT) AJD]]</f>
        <v>0</v>
      </c>
      <c r="Q113" s="40"/>
      <c r="R113" s="3">
        <f>TABL1234[[#This Row],[خط (T/B  TOT) SAR]]-TABL1234[[#This Row],[(T/B TOT) AJD]]</f>
        <v>0</v>
      </c>
      <c r="S113" s="3">
        <f>TABL1234[[#This Row],[الفرق بين بداية ونهاية خط  T/B]]+TABL1234[[#This Row],[الفرق بين بداية ونهاية خط  S/S]]</f>
        <v>0</v>
      </c>
      <c r="T113" s="3">
        <f>TABL1234[[#This Row],[(S/S TOT) AJD]]+TABL1234[[#This Row],[(T/B TOT) AJD]]</f>
        <v>0</v>
      </c>
      <c r="U113" s="44"/>
      <c r="V113" s="44"/>
      <c r="W113" s="3">
        <f>TABL1234[[#This Row],[(A/B TOT) AJD]]+TABL1234[[#This Row],[(A/S TOT)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Row],[البخر  AJD]])</f>
        <v>0</v>
      </c>
      <c r="AE113" s="44"/>
      <c r="AF113" s="45"/>
      <c r="AG113" s="45"/>
      <c r="AH113" s="6"/>
      <c r="AI113" s="45"/>
      <c r="AJ113" s="45">
        <f>TABL1234[[#This Row],[(A/B TOT) AJD]]-TABL1234[[#This Row],[BER_ IN]]</f>
        <v>0</v>
      </c>
      <c r="AK113" s="45"/>
      <c r="AL113" s="45"/>
      <c r="AM113" s="32"/>
      <c r="AN113" s="32">
        <f>TABL1234[[#This Row],[ (RESV. STORGE) SER]]/10</f>
        <v>0</v>
      </c>
      <c r="AO113" s="75"/>
      <c r="AP113" s="75">
        <f>TABL1234[[#This Row],[(A/S TOT) AJD]]-TABL1234[[#This Row],[SER_ 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Row],[خط (T/B  TOT) SAR]]+TABL1234[[#This Row],[خط (S/S  TOT) SAR2]]</f>
        <v>0</v>
      </c>
      <c r="L114" s="41"/>
      <c r="M114" s="42"/>
      <c r="N114" s="42"/>
      <c r="O114" s="39"/>
      <c r="P114" s="3">
        <f>TABL1234[[#This Row],[خط (S/S  TOT) SAR2]]-TABL1234[[#This Row],[(S/S TOT) AJD]]</f>
        <v>0</v>
      </c>
      <c r="Q114" s="39"/>
      <c r="R114" s="3">
        <f>TABL1234[[#This Row],[خط (T/B  TOT) SAR]]-TABL1234[[#This Row],[(T/B TOT) AJD]]</f>
        <v>0</v>
      </c>
      <c r="S114" s="3">
        <f>TABL1234[[#This Row],[الفرق بين بداية ونهاية خط  T/B]]+TABL1234[[#This Row],[الفرق بين بداية ونهاية خط  S/S]]</f>
        <v>0</v>
      </c>
      <c r="T114" s="3">
        <f>TABL1234[[#This Row],[(S/S TOT) AJD]]+TABL1234[[#This Row],[(T/B TOT) AJD]]</f>
        <v>0</v>
      </c>
      <c r="U114" s="41"/>
      <c r="V114" s="41"/>
      <c r="W114" s="3">
        <f>TABL1234[[#This Row],[(A/B TOT) AJD]]+TABL1234[[#This Row],[(A/S TOT)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Row],[البخر  AJD]])</f>
        <v>0</v>
      </c>
      <c r="AE114" s="41"/>
      <c r="AF114" s="43"/>
      <c r="AG114" s="43"/>
      <c r="AH114" s="6"/>
      <c r="AI114" s="43"/>
      <c r="AJ114" s="43">
        <f>TABL1234[[#This Row],[(A/B TOT) AJD]]-TABL1234[[#This Row],[BER_ IN]]</f>
        <v>0</v>
      </c>
      <c r="AK114" s="43"/>
      <c r="AL114" s="43"/>
      <c r="AM114" s="32"/>
      <c r="AN114" s="32">
        <f>TABL1234[[#This Row],[ (RESV. STORGE) SER]]/10</f>
        <v>0</v>
      </c>
      <c r="AO114" s="75"/>
      <c r="AP114" s="75">
        <f>TABL1234[[#This Row],[(A/S TOT) AJD]]-TABL1234[[#This Row],[SER_ 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Row],[خط (T/B  TOT) SAR]]+TABL1234[[#This Row],[خط (S/S  TOT) SAR2]]</f>
        <v>0</v>
      </c>
      <c r="L115" s="45"/>
      <c r="M115" s="46"/>
      <c r="N115" s="46"/>
      <c r="O115" s="40"/>
      <c r="P115" s="3">
        <f>TABL1234[[#This Row],[خط (S/S  TOT) SAR2]]-TABL1234[[#This Row],[(S/S TOT) AJD]]</f>
        <v>0</v>
      </c>
      <c r="Q115" s="40"/>
      <c r="R115" s="3">
        <f>TABL1234[[#This Row],[خط (T/B  TOT) SAR]]-TABL1234[[#This Row],[(T/B TOT) AJD]]</f>
        <v>0</v>
      </c>
      <c r="S115" s="3">
        <f>TABL1234[[#This Row],[الفرق بين بداية ونهاية خط  T/B]]+TABL1234[[#This Row],[الفرق بين بداية ونهاية خط  S/S]]</f>
        <v>0</v>
      </c>
      <c r="T115" s="3">
        <f>TABL1234[[#This Row],[(S/S TOT) AJD]]+TABL1234[[#This Row],[(T/B TOT) AJD]]</f>
        <v>0</v>
      </c>
      <c r="U115" s="44"/>
      <c r="V115" s="44"/>
      <c r="W115" s="3">
        <f>TABL1234[[#This Row],[(A/B TOT) AJD]]+TABL1234[[#This Row],[(A/S TOT)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Row],[البخر  AJD]])</f>
        <v>0</v>
      </c>
      <c r="AE115" s="44"/>
      <c r="AF115" s="45"/>
      <c r="AG115" s="45"/>
      <c r="AH115" s="6"/>
      <c r="AI115" s="45"/>
      <c r="AJ115" s="45">
        <f>TABL1234[[#This Row],[(A/B TOT) AJD]]-TABL1234[[#This Row],[BER_ IN]]</f>
        <v>0</v>
      </c>
      <c r="AK115" s="45"/>
      <c r="AL115" s="45"/>
      <c r="AM115" s="32"/>
      <c r="AN115" s="32">
        <f>TABL1234[[#This Row],[ (RESV. STORGE) SER]]/10</f>
        <v>0</v>
      </c>
      <c r="AO115" s="75"/>
      <c r="AP115" s="75">
        <f>TABL1234[[#This Row],[(A/S TOT) AJD]]-TABL1234[[#This Row],[SER_ 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Row],[خط (T/B  TOT) SAR]]+TABL1234[[#This Row],[خط (S/S  TOT) SAR2]]</f>
        <v>0</v>
      </c>
      <c r="L116" s="41"/>
      <c r="M116" s="42"/>
      <c r="N116" s="42"/>
      <c r="O116" s="39"/>
      <c r="P116" s="3">
        <f>TABL1234[[#This Row],[خط (S/S  TOT) SAR2]]-TABL1234[[#This Row],[(S/S TOT) AJD]]</f>
        <v>0</v>
      </c>
      <c r="Q116" s="39"/>
      <c r="R116" s="3">
        <f>TABL1234[[#This Row],[خط (T/B  TOT) SAR]]-TABL1234[[#This Row],[(T/B TOT) AJD]]</f>
        <v>0</v>
      </c>
      <c r="S116" s="3">
        <f>TABL1234[[#This Row],[الفرق بين بداية ونهاية خط  T/B]]+TABL1234[[#This Row],[الفرق بين بداية ونهاية خط  S/S]]</f>
        <v>0</v>
      </c>
      <c r="T116" s="3">
        <f>TABL1234[[#This Row],[(S/S TOT) AJD]]+TABL1234[[#This Row],[(T/B TOT) AJD]]</f>
        <v>0</v>
      </c>
      <c r="U116" s="41"/>
      <c r="V116" s="41"/>
      <c r="W116" s="3">
        <f>TABL1234[[#This Row],[(A/B TOT) AJD]]+TABL1234[[#This Row],[(A/S TOT)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Row],[البخر  AJD]])</f>
        <v>0</v>
      </c>
      <c r="AE116" s="41"/>
      <c r="AF116" s="43"/>
      <c r="AG116" s="43"/>
      <c r="AH116" s="6"/>
      <c r="AI116" s="43"/>
      <c r="AJ116" s="43">
        <f>TABL1234[[#This Row],[(A/B TOT) AJD]]-TABL1234[[#This Row],[BER_ IN]]</f>
        <v>0</v>
      </c>
      <c r="AK116" s="43"/>
      <c r="AL116" s="43"/>
      <c r="AM116" s="32"/>
      <c r="AN116" s="32">
        <f>TABL1234[[#This Row],[ (RESV. STORGE) SER]]/10</f>
        <v>0</v>
      </c>
      <c r="AO116" s="75"/>
      <c r="AP116" s="75">
        <f>TABL1234[[#This Row],[(A/S TOT) AJD]]-TABL1234[[#This Row],[SER_ IN]]</f>
        <v>0</v>
      </c>
    </row>
    <row r="117" spans="1:42" ht="18.75" x14ac:dyDescent="0.25">
      <c r="A117" s="2">
        <v>46503</v>
      </c>
      <c r="B117" s="44"/>
      <c r="C117" s="74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Row],[خط (T/B  TOT) SAR]]+TABL1234[[#This Row],[خط (S/S  TOT) SAR2]]</f>
        <v>0</v>
      </c>
      <c r="L117" s="45"/>
      <c r="M117" s="46"/>
      <c r="N117" s="46"/>
      <c r="O117" s="40"/>
      <c r="P117" s="3">
        <f>TABL1234[[#This Row],[خط (S/S  TOT) SAR2]]-TABL1234[[#This Row],[(S/S TOT) AJD]]</f>
        <v>0</v>
      </c>
      <c r="Q117" s="40"/>
      <c r="R117" s="3">
        <f>TABL1234[[#This Row],[خط (T/B  TOT) SAR]]-TABL1234[[#This Row],[(T/B TOT) AJD]]</f>
        <v>0</v>
      </c>
      <c r="S117" s="3">
        <f>TABL1234[[#This Row],[الفرق بين بداية ونهاية خط  T/B]]+TABL1234[[#This Row],[الفرق بين بداية ونهاية خط  S/S]]</f>
        <v>0</v>
      </c>
      <c r="T117" s="3">
        <f>TABL1234[[#This Row],[(S/S TOT) AJD]]+TABL1234[[#This Row],[(T/B TOT) AJD]]</f>
        <v>0</v>
      </c>
      <c r="U117" s="44"/>
      <c r="V117" s="44"/>
      <c r="W117" s="3">
        <f>TABL1234[[#This Row],[(A/B TOT) AJD]]+TABL1234[[#This Row],[(A/S TOT)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Row],[البخر  AJD]])</f>
        <v>0</v>
      </c>
      <c r="AE117" s="44"/>
      <c r="AF117" s="45"/>
      <c r="AG117" s="45"/>
      <c r="AH117" s="6"/>
      <c r="AI117" s="45"/>
      <c r="AJ117" s="45">
        <f>TABL1234[[#This Row],[(A/B TOT) AJD]]-TABL1234[[#This Row],[BER_ IN]]</f>
        <v>0</v>
      </c>
      <c r="AK117" s="45"/>
      <c r="AL117" s="45"/>
      <c r="AM117" s="32"/>
      <c r="AN117" s="32">
        <f>TABL1234[[#This Row],[ (RESV. STORGE) SER]]/10</f>
        <v>0</v>
      </c>
      <c r="AO117" s="75"/>
      <c r="AP117" s="75">
        <f>TABL1234[[#This Row],[(A/S TOT) AJD]]-TABL1234[[#This Row],[SER_ 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Row],[خط (T/B  TOT) SAR]]+TABL1234[[#This Row],[خط (S/S  TOT) SAR2]]</f>
        <v>0</v>
      </c>
      <c r="L118" s="41"/>
      <c r="M118" s="42"/>
      <c r="N118" s="42"/>
      <c r="O118" s="39"/>
      <c r="P118" s="3">
        <f>TABL1234[[#This Row],[خط (S/S  TOT) SAR2]]-TABL1234[[#This Row],[(S/S TOT) AJD]]</f>
        <v>0</v>
      </c>
      <c r="Q118" s="39"/>
      <c r="R118" s="3">
        <f>TABL1234[[#This Row],[خط (T/B  TOT) SAR]]-TABL1234[[#This Row],[(T/B TOT) AJD]]</f>
        <v>0</v>
      </c>
      <c r="S118" s="3">
        <f>TABL1234[[#This Row],[الفرق بين بداية ونهاية خط  T/B]]+TABL1234[[#This Row],[الفرق بين بداية ونهاية خط  S/S]]</f>
        <v>0</v>
      </c>
      <c r="T118" s="3">
        <f>TABL1234[[#This Row],[(S/S TOT) AJD]]+TABL1234[[#This Row],[(T/B TOT) AJD]]</f>
        <v>0</v>
      </c>
      <c r="U118" s="41"/>
      <c r="V118" s="41"/>
      <c r="W118" s="3">
        <f>TABL1234[[#This Row],[(A/B TOT) AJD]]+TABL1234[[#This Row],[(A/S TOT)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Row],[البخر  AJD]])</f>
        <v>0</v>
      </c>
      <c r="AE118" s="41"/>
      <c r="AF118" s="43"/>
      <c r="AG118" s="43"/>
      <c r="AH118" s="6"/>
      <c r="AI118" s="43"/>
      <c r="AJ118" s="43">
        <f>TABL1234[[#This Row],[(A/B TOT) AJD]]-TABL1234[[#This Row],[BER_ IN]]</f>
        <v>0</v>
      </c>
      <c r="AK118" s="43"/>
      <c r="AL118" s="43"/>
      <c r="AM118" s="32"/>
      <c r="AN118" s="32">
        <f>TABL1234[[#This Row],[ (RESV. STORGE) SER]]/10</f>
        <v>0</v>
      </c>
      <c r="AO118" s="75"/>
      <c r="AP118" s="75">
        <f>TABL1234[[#This Row],[(A/S TOT) AJD]]-TABL1234[[#This Row],[SER_ 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Row],[خط (T/B  TOT) SAR]]+TABL1234[[#This Row],[خط (S/S  TOT) SAR2]]</f>
        <v>0</v>
      </c>
      <c r="L119" s="45"/>
      <c r="M119" s="46"/>
      <c r="N119" s="46"/>
      <c r="O119" s="40"/>
      <c r="P119" s="3">
        <f>TABL1234[[#This Row],[خط (S/S  TOT) SAR2]]-TABL1234[[#This Row],[(S/S TOT) AJD]]</f>
        <v>0</v>
      </c>
      <c r="Q119" s="40"/>
      <c r="R119" s="3">
        <f>TABL1234[[#This Row],[خط (T/B  TOT) SAR]]-TABL1234[[#This Row],[(T/B TOT) AJD]]</f>
        <v>0</v>
      </c>
      <c r="S119" s="3">
        <f>TABL1234[[#This Row],[الفرق بين بداية ونهاية خط  T/B]]+TABL1234[[#This Row],[الفرق بين بداية ونهاية خط  S/S]]</f>
        <v>0</v>
      </c>
      <c r="T119" s="3">
        <f>TABL1234[[#This Row],[(S/S TOT) AJD]]+TABL1234[[#This Row],[(T/B TOT) AJD]]</f>
        <v>0</v>
      </c>
      <c r="U119" s="44"/>
      <c r="V119" s="44"/>
      <c r="W119" s="3">
        <f>TABL1234[[#This Row],[(A/B TOT) AJD]]+TABL1234[[#This Row],[(A/S TOT)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Row],[البخر  AJD]])</f>
        <v>0</v>
      </c>
      <c r="AE119" s="44"/>
      <c r="AF119" s="45"/>
      <c r="AG119" s="45"/>
      <c r="AH119" s="6"/>
      <c r="AI119" s="45"/>
      <c r="AJ119" s="45">
        <f>TABL1234[[#This Row],[(A/B TOT) AJD]]-TABL1234[[#This Row],[BER_ IN]]</f>
        <v>0</v>
      </c>
      <c r="AK119" s="45"/>
      <c r="AL119" s="45"/>
      <c r="AM119" s="32"/>
      <c r="AN119" s="32">
        <f>TABL1234[[#This Row],[ (RESV. STORGE) SER]]/10</f>
        <v>0</v>
      </c>
      <c r="AO119" s="75"/>
      <c r="AP119" s="75">
        <f>TABL1234[[#This Row],[(A/S TOT) AJD]]-TABL1234[[#This Row],[SER_ 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Row],[خط (T/B  TOT) SAR]]+TABL1234[[#This Row],[خط (S/S  TOT) SAR2]]</f>
        <v>0</v>
      </c>
      <c r="L120" s="41"/>
      <c r="M120" s="42"/>
      <c r="N120" s="42"/>
      <c r="O120" s="39"/>
      <c r="P120" s="3">
        <f>TABL1234[[#This Row],[خط (S/S  TOT) SAR2]]-TABL1234[[#This Row],[(S/S TOT) AJD]]</f>
        <v>0</v>
      </c>
      <c r="Q120" s="39"/>
      <c r="R120" s="3">
        <f>TABL1234[[#This Row],[خط (T/B  TOT) SAR]]-TABL1234[[#This Row],[(T/B TOT) AJD]]</f>
        <v>0</v>
      </c>
      <c r="S120" s="3">
        <f>TABL1234[[#This Row],[الفرق بين بداية ونهاية خط  T/B]]+TABL1234[[#This Row],[الفرق بين بداية ونهاية خط  S/S]]</f>
        <v>0</v>
      </c>
      <c r="T120" s="3">
        <f>TABL1234[[#This Row],[(S/S TOT) AJD]]+TABL1234[[#This Row],[(T/B TOT) AJD]]</f>
        <v>0</v>
      </c>
      <c r="U120" s="41"/>
      <c r="V120" s="41"/>
      <c r="W120" s="3">
        <f>TABL1234[[#This Row],[(A/B TOT) AJD]]+TABL1234[[#This Row],[(A/S TOT)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Row],[البخر  AJD]])</f>
        <v>0</v>
      </c>
      <c r="AE120" s="41"/>
      <c r="AF120" s="43"/>
      <c r="AG120" s="43"/>
      <c r="AH120" s="6"/>
      <c r="AI120" s="43"/>
      <c r="AJ120" s="43">
        <f>TABL1234[[#This Row],[(A/B TOT) AJD]]-TABL1234[[#This Row],[BER_ IN]]</f>
        <v>0</v>
      </c>
      <c r="AK120" s="43"/>
      <c r="AL120" s="43"/>
      <c r="AM120" s="32"/>
      <c r="AN120" s="32">
        <f>TABL1234[[#This Row],[ (RESV. STORGE) SER]]/10</f>
        <v>0</v>
      </c>
      <c r="AO120" s="75"/>
      <c r="AP120" s="75">
        <f>TABL1234[[#This Row],[(A/S TOT) AJD]]-TABL1234[[#This Row],[SER_ 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Row],[خط (T/B  TOT) SAR]]+TABL1234[[#This Row],[خط (S/S  TOT) SAR2]]</f>
        <v>0</v>
      </c>
      <c r="L121" s="45"/>
      <c r="M121" s="46"/>
      <c r="N121" s="46"/>
      <c r="O121" s="40"/>
      <c r="P121" s="3">
        <f>TABL1234[[#This Row],[خط (S/S  TOT) SAR2]]-TABL1234[[#This Row],[(S/S TOT) AJD]]</f>
        <v>0</v>
      </c>
      <c r="Q121" s="40"/>
      <c r="R121" s="3">
        <f>TABL1234[[#This Row],[خط (T/B  TOT) SAR]]-TABL1234[[#This Row],[(T/B TOT) AJD]]</f>
        <v>0</v>
      </c>
      <c r="S121" s="3">
        <f>TABL1234[[#This Row],[الفرق بين بداية ونهاية خط  T/B]]+TABL1234[[#This Row],[الفرق بين بداية ونهاية خط  S/S]]</f>
        <v>0</v>
      </c>
      <c r="T121" s="3">
        <f>TABL1234[[#This Row],[(S/S TOT) AJD]]+TABL1234[[#This Row],[(T/B TOT) AJD]]</f>
        <v>0</v>
      </c>
      <c r="U121" s="44"/>
      <c r="V121" s="44"/>
      <c r="W121" s="3">
        <f>TABL1234[[#This Row],[(A/B TOT) AJD]]+TABL1234[[#This Row],[(A/S TOT)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Row],[البخر  AJD]])</f>
        <v>0</v>
      </c>
      <c r="AE121" s="44"/>
      <c r="AF121" s="45"/>
      <c r="AG121" s="45"/>
      <c r="AH121" s="6"/>
      <c r="AI121" s="45"/>
      <c r="AJ121" s="45">
        <f>TABL1234[[#This Row],[(A/B TOT) AJD]]-TABL1234[[#This Row],[BER_ IN]]</f>
        <v>0</v>
      </c>
      <c r="AK121" s="45"/>
      <c r="AL121" s="45"/>
      <c r="AM121" s="32"/>
      <c r="AN121" s="32">
        <f>TABL1234[[#This Row],[ (RESV. STORGE) SER]]/10</f>
        <v>0</v>
      </c>
      <c r="AO121" s="75"/>
      <c r="AP121" s="75">
        <f>TABL1234[[#This Row],[(A/S TOT) AJD]]-TABL1234[[#This Row],[SER_ 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Row],[خط (T/B  TOT) SAR]]+TABL1234[[#This Row],[خط (S/S  TOT) SAR2]]</f>
        <v>0</v>
      </c>
      <c r="L122" s="41"/>
      <c r="M122" s="42"/>
      <c r="N122" s="42"/>
      <c r="O122" s="39"/>
      <c r="P122" s="3">
        <f>TABL1234[[#This Row],[خط (S/S  TOT) SAR2]]-TABL1234[[#This Row],[(S/S TOT) AJD]]</f>
        <v>0</v>
      </c>
      <c r="Q122" s="39"/>
      <c r="R122" s="3">
        <f>TABL1234[[#This Row],[خط (T/B  TOT) SAR]]-TABL1234[[#This Row],[(T/B TOT) AJD]]</f>
        <v>0</v>
      </c>
      <c r="S122" s="3">
        <f>TABL1234[[#This Row],[الفرق بين بداية ونهاية خط  T/B]]+TABL1234[[#This Row],[الفرق بين بداية ونهاية خط  S/S]]</f>
        <v>0</v>
      </c>
      <c r="T122" s="3">
        <f>TABL1234[[#This Row],[(S/S TOT) AJD]]+TABL1234[[#This Row],[(T/B TOT) AJD]]</f>
        <v>0</v>
      </c>
      <c r="U122" s="41"/>
      <c r="V122" s="41"/>
      <c r="W122" s="3">
        <f>TABL1234[[#This Row],[(A/B TOT) AJD]]+TABL1234[[#This Row],[(A/S TOT)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Row],[البخر  AJD]])</f>
        <v>0</v>
      </c>
      <c r="AE122" s="41"/>
      <c r="AF122" s="43"/>
      <c r="AG122" s="43"/>
      <c r="AH122" s="6"/>
      <c r="AI122" s="43"/>
      <c r="AJ122" s="43">
        <f>TABL1234[[#This Row],[(A/B TOT) AJD]]-TABL1234[[#This Row],[BER_ IN]]</f>
        <v>0</v>
      </c>
      <c r="AK122" s="43"/>
      <c r="AL122" s="43"/>
      <c r="AM122" s="32"/>
      <c r="AN122" s="32">
        <f>TABL1234[[#This Row],[ (RESV. STORGE) SER]]/10</f>
        <v>0</v>
      </c>
      <c r="AO122" s="75"/>
      <c r="AP122" s="75">
        <f>TABL1234[[#This Row],[(A/S TOT) AJD]]-TABL1234[[#This Row],[SER_ 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Row],[خط (T/B  TOT) SAR]]+TABL1234[[#This Row],[خط (S/S  TOT) SAR2]]</f>
        <v>0</v>
      </c>
      <c r="L123" s="45"/>
      <c r="M123" s="46"/>
      <c r="N123" s="46"/>
      <c r="O123" s="40"/>
      <c r="P123" s="3">
        <f>TABL1234[[#This Row],[خط (S/S  TOT) SAR2]]-TABL1234[[#This Row],[(S/S TOT) AJD]]</f>
        <v>0</v>
      </c>
      <c r="Q123" s="40"/>
      <c r="R123" s="3">
        <f>TABL1234[[#This Row],[خط (T/B  TOT) SAR]]-TABL1234[[#This Row],[(T/B TOT) AJD]]</f>
        <v>0</v>
      </c>
      <c r="S123" s="3">
        <f>TABL1234[[#This Row],[الفرق بين بداية ونهاية خط  T/B]]+TABL1234[[#This Row],[الفرق بين بداية ونهاية خط  S/S]]</f>
        <v>0</v>
      </c>
      <c r="T123" s="3">
        <f>TABL1234[[#This Row],[(S/S TOT) AJD]]+TABL1234[[#This Row],[(T/B TOT) AJD]]</f>
        <v>0</v>
      </c>
      <c r="U123" s="44"/>
      <c r="V123" s="44"/>
      <c r="W123" s="3">
        <f>TABL1234[[#This Row],[(A/B TOT) AJD]]+TABL1234[[#This Row],[(A/S TOT)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Row],[البخر  AJD]])</f>
        <v>0</v>
      </c>
      <c r="AE123" s="44"/>
      <c r="AF123" s="45"/>
      <c r="AG123" s="45"/>
      <c r="AH123" s="6"/>
      <c r="AI123" s="45"/>
      <c r="AJ123" s="45">
        <f>TABL1234[[#This Row],[(A/B TOT) AJD]]-TABL1234[[#This Row],[BER_ IN]]</f>
        <v>0</v>
      </c>
      <c r="AK123" s="45"/>
      <c r="AL123" s="45"/>
      <c r="AM123" s="32"/>
      <c r="AN123" s="32">
        <f>TABL1234[[#This Row],[ (RESV. STORGE) SER]]/10</f>
        <v>0</v>
      </c>
      <c r="AO123" s="75"/>
      <c r="AP123" s="75">
        <f>TABL1234[[#This Row],[(A/S TOT) AJD]]-TABL1234[[#This Row],[SER_ 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Row],[خط (T/B  TOT) SAR]]+TABL1234[[#This Row],[خط (S/S  TOT) SAR2]]</f>
        <v>0</v>
      </c>
      <c r="L124" s="41"/>
      <c r="M124" s="42"/>
      <c r="N124" s="42"/>
      <c r="O124" s="39"/>
      <c r="P124" s="3">
        <f>TABL1234[[#This Row],[خط (S/S  TOT) SAR2]]-TABL1234[[#This Row],[(S/S TOT) AJD]]</f>
        <v>0</v>
      </c>
      <c r="Q124" s="39"/>
      <c r="R124" s="3">
        <f>TABL1234[[#This Row],[خط (T/B  TOT) SAR]]-TABL1234[[#This Row],[(T/B TOT) AJD]]</f>
        <v>0</v>
      </c>
      <c r="S124" s="3">
        <f>TABL1234[[#This Row],[الفرق بين بداية ونهاية خط  T/B]]+TABL1234[[#This Row],[الفرق بين بداية ونهاية خط  S/S]]</f>
        <v>0</v>
      </c>
      <c r="T124" s="3">
        <f>TABL1234[[#This Row],[(S/S TOT) AJD]]+TABL1234[[#This Row],[(T/B TOT) AJD]]</f>
        <v>0</v>
      </c>
      <c r="U124" s="41"/>
      <c r="V124" s="41"/>
      <c r="W124" s="3">
        <f>TABL1234[[#This Row],[(A/B TOT) AJD]]+TABL1234[[#This Row],[(A/S TOT)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Row],[البخر  AJD]])</f>
        <v>0</v>
      </c>
      <c r="AE124" s="41"/>
      <c r="AF124" s="43"/>
      <c r="AG124" s="43"/>
      <c r="AH124" s="6"/>
      <c r="AI124" s="43"/>
      <c r="AJ124" s="43">
        <f>TABL1234[[#This Row],[(A/B TOT) AJD]]-TABL1234[[#This Row],[BER_ IN]]</f>
        <v>0</v>
      </c>
      <c r="AK124" s="43"/>
      <c r="AL124" s="43"/>
      <c r="AM124" s="32"/>
      <c r="AN124" s="32">
        <f>TABL1234[[#This Row],[ (RESV. STORGE) SER]]/10</f>
        <v>0</v>
      </c>
      <c r="AO124" s="75"/>
      <c r="AP124" s="75">
        <f>TABL1234[[#This Row],[(A/S TOT) AJD]]-TABL1234[[#This Row],[SER_ 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Row],[خط (T/B  TOT) SAR]]+TABL1234[[#This Row],[خط (S/S  TOT) SAR2]]</f>
        <v>0</v>
      </c>
      <c r="L125" s="45"/>
      <c r="M125" s="46"/>
      <c r="N125" s="46"/>
      <c r="O125" s="40"/>
      <c r="P125" s="3">
        <f>TABL1234[[#This Row],[خط (S/S  TOT) SAR2]]-TABL1234[[#This Row],[(S/S TOT) AJD]]</f>
        <v>0</v>
      </c>
      <c r="Q125" s="40"/>
      <c r="R125" s="3">
        <f>TABL1234[[#This Row],[خط (T/B  TOT) SAR]]-TABL1234[[#This Row],[(T/B TOT) AJD]]</f>
        <v>0</v>
      </c>
      <c r="S125" s="3">
        <f>TABL1234[[#This Row],[الفرق بين بداية ونهاية خط  T/B]]+TABL1234[[#This Row],[الفرق بين بداية ونهاية خط  S/S]]</f>
        <v>0</v>
      </c>
      <c r="T125" s="3">
        <f>TABL1234[[#This Row],[(S/S TOT) AJD]]+TABL1234[[#This Row],[(T/B TOT) AJD]]</f>
        <v>0</v>
      </c>
      <c r="U125" s="44"/>
      <c r="V125" s="44"/>
      <c r="W125" s="3">
        <f>TABL1234[[#This Row],[(A/B TOT) AJD]]+TABL1234[[#This Row],[(A/S TOT)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Row],[البخر  AJD]])</f>
        <v>0</v>
      </c>
      <c r="AE125" s="44"/>
      <c r="AF125" s="45"/>
      <c r="AG125" s="45"/>
      <c r="AH125" s="6"/>
      <c r="AI125" s="45"/>
      <c r="AJ125" s="45">
        <f>TABL1234[[#This Row],[(A/B TOT) AJD]]-TABL1234[[#This Row],[BER_ IN]]</f>
        <v>0</v>
      </c>
      <c r="AK125" s="45"/>
      <c r="AL125" s="45"/>
      <c r="AM125" s="32"/>
      <c r="AN125" s="32">
        <f>TABL1234[[#This Row],[ (RESV. STORGE) SER]]/10</f>
        <v>0</v>
      </c>
      <c r="AO125" s="75"/>
      <c r="AP125" s="75">
        <f>TABL1234[[#This Row],[(A/S TOT) AJD]]-TABL1234[[#This Row],[SER_ 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Row],[خط (T/B  TOT) SAR]]+TABL1234[[#This Row],[خط (S/S  TOT) SAR2]]</f>
        <v>0</v>
      </c>
      <c r="L126" s="41"/>
      <c r="M126" s="42"/>
      <c r="N126" s="42"/>
      <c r="O126" s="39"/>
      <c r="P126" s="3">
        <f>TABL1234[[#This Row],[خط (S/S  TOT) SAR2]]-TABL1234[[#This Row],[(S/S TOT) AJD]]</f>
        <v>0</v>
      </c>
      <c r="Q126" s="39"/>
      <c r="R126" s="3">
        <f>TABL1234[[#This Row],[خط (T/B  TOT) SAR]]-TABL1234[[#This Row],[(T/B TOT) AJD]]</f>
        <v>0</v>
      </c>
      <c r="S126" s="3">
        <f>TABL1234[[#This Row],[الفرق بين بداية ونهاية خط  T/B]]+TABL1234[[#This Row],[الفرق بين بداية ونهاية خط  S/S]]</f>
        <v>0</v>
      </c>
      <c r="T126" s="3">
        <f>TABL1234[[#This Row],[(S/S TOT) AJD]]+TABL1234[[#This Row],[(T/B TOT) AJD]]</f>
        <v>0</v>
      </c>
      <c r="U126" s="41"/>
      <c r="V126" s="41"/>
      <c r="W126" s="3">
        <f>TABL1234[[#This Row],[(A/B TOT) AJD]]+TABL1234[[#This Row],[(A/S TOT)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Row],[البخر  AJD]])</f>
        <v>0</v>
      </c>
      <c r="AE126" s="41"/>
      <c r="AF126" s="43"/>
      <c r="AG126" s="43"/>
      <c r="AH126" s="6"/>
      <c r="AI126" s="43"/>
      <c r="AJ126" s="43">
        <f>TABL1234[[#This Row],[(A/B TOT) AJD]]-TABL1234[[#This Row],[BER_ IN]]</f>
        <v>0</v>
      </c>
      <c r="AK126" s="43"/>
      <c r="AL126" s="43"/>
      <c r="AM126" s="32"/>
      <c r="AN126" s="32">
        <f>TABL1234[[#This Row],[ (RESV. STORGE) SER]]/10</f>
        <v>0</v>
      </c>
      <c r="AO126" s="75"/>
      <c r="AP126" s="75">
        <f>TABL1234[[#This Row],[(A/S TOT) AJD]]-TABL1234[[#This Row],[SER_ 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Row],[خط (T/B  TOT) SAR]]+TABL1234[[#This Row],[خط (S/S  TOT) SAR2]]</f>
        <v>0</v>
      </c>
      <c r="L127" s="45"/>
      <c r="M127" s="46"/>
      <c r="N127" s="46"/>
      <c r="O127" s="40"/>
      <c r="P127" s="3">
        <f>TABL1234[[#This Row],[خط (S/S  TOT) SAR2]]-TABL1234[[#This Row],[(S/S TOT) AJD]]</f>
        <v>0</v>
      </c>
      <c r="Q127" s="40"/>
      <c r="R127" s="3">
        <f>TABL1234[[#This Row],[خط (T/B  TOT) SAR]]-TABL1234[[#This Row],[(T/B TOT) AJD]]</f>
        <v>0</v>
      </c>
      <c r="S127" s="3">
        <f>TABL1234[[#This Row],[الفرق بين بداية ونهاية خط  T/B]]+TABL1234[[#This Row],[الفرق بين بداية ونهاية خط  S/S]]</f>
        <v>0</v>
      </c>
      <c r="T127" s="3">
        <f>TABL1234[[#This Row],[(S/S TOT) AJD]]+TABL1234[[#This Row],[(T/B TOT) AJD]]</f>
        <v>0</v>
      </c>
      <c r="U127" s="44"/>
      <c r="V127" s="44"/>
      <c r="W127" s="3">
        <f>TABL1234[[#This Row],[(A/B TOT) AJD]]+TABL1234[[#This Row],[(A/S TOT)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Row],[البخر  AJD]])</f>
        <v>0</v>
      </c>
      <c r="AE127" s="44"/>
      <c r="AF127" s="45"/>
      <c r="AG127" s="45"/>
      <c r="AH127" s="6"/>
      <c r="AI127" s="45"/>
      <c r="AJ127" s="45">
        <f>TABL1234[[#This Row],[(A/B TOT) AJD]]-TABL1234[[#This Row],[BER_ IN]]</f>
        <v>0</v>
      </c>
      <c r="AK127" s="45"/>
      <c r="AL127" s="45"/>
      <c r="AM127" s="32"/>
      <c r="AN127" s="32">
        <f>TABL1234[[#This Row],[ (RESV. STORGE) SER]]/10</f>
        <v>0</v>
      </c>
      <c r="AO127" s="75"/>
      <c r="AP127" s="75">
        <f>TABL1234[[#This Row],[(A/S TOT) AJD]]-TABL1234[[#This Row],[SER_ 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Row],[خط (T/B  TOT) SAR]]+TABL1234[[#This Row],[خط (S/S  TOT) SAR2]]</f>
        <v>0</v>
      </c>
      <c r="L128" s="41"/>
      <c r="M128" s="42"/>
      <c r="N128" s="42"/>
      <c r="O128" s="39"/>
      <c r="P128" s="3">
        <f>TABL1234[[#This Row],[خط (S/S  TOT) SAR2]]-TABL1234[[#This Row],[(S/S TOT) AJD]]</f>
        <v>0</v>
      </c>
      <c r="Q128" s="39"/>
      <c r="R128" s="3">
        <f>TABL1234[[#This Row],[خط (T/B  TOT) SAR]]-TABL1234[[#This Row],[(T/B TOT) AJD]]</f>
        <v>0</v>
      </c>
      <c r="S128" s="3">
        <f>TABL1234[[#This Row],[الفرق بين بداية ونهاية خط  T/B]]+TABL1234[[#This Row],[الفرق بين بداية ونهاية خط  S/S]]</f>
        <v>0</v>
      </c>
      <c r="T128" s="3">
        <f>TABL1234[[#This Row],[(S/S TOT) AJD]]+TABL1234[[#This Row],[(T/B TOT) AJD]]</f>
        <v>0</v>
      </c>
      <c r="U128" s="41"/>
      <c r="V128" s="41"/>
      <c r="W128" s="3">
        <f>TABL1234[[#This Row],[(A/B TOT) AJD]]+TABL1234[[#This Row],[(A/S TOT)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Row],[البخر  AJD]])</f>
        <v>0</v>
      </c>
      <c r="AE128" s="41"/>
      <c r="AF128" s="43"/>
      <c r="AG128" s="43"/>
      <c r="AH128" s="6"/>
      <c r="AI128" s="43"/>
      <c r="AJ128" s="43">
        <f>TABL1234[[#This Row],[(A/B TOT) AJD]]-TABL1234[[#This Row],[BER_ IN]]</f>
        <v>0</v>
      </c>
      <c r="AK128" s="43"/>
      <c r="AL128" s="43"/>
      <c r="AM128" s="32"/>
      <c r="AN128" s="32">
        <f>TABL1234[[#This Row],[ (RESV. STORGE) SER]]/10</f>
        <v>0</v>
      </c>
      <c r="AO128" s="75"/>
      <c r="AP128" s="75">
        <f>TABL1234[[#This Row],[(A/S TOT) AJD]]-TABL1234[[#This Row],[SER_ 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Row],[خط (T/B  TOT) SAR]]+TABL1234[[#This Row],[خط (S/S  TOT) SAR2]]</f>
        <v>0</v>
      </c>
      <c r="L129" s="45"/>
      <c r="M129" s="46"/>
      <c r="N129" s="46"/>
      <c r="O129" s="40"/>
      <c r="P129" s="3">
        <f>TABL1234[[#This Row],[خط (S/S  TOT) SAR2]]-TABL1234[[#This Row],[(S/S TOT) AJD]]</f>
        <v>0</v>
      </c>
      <c r="Q129" s="40"/>
      <c r="R129" s="3">
        <f>TABL1234[[#This Row],[خط (T/B  TOT) SAR]]-TABL1234[[#This Row],[(T/B TOT) AJD]]</f>
        <v>0</v>
      </c>
      <c r="S129" s="3">
        <f>TABL1234[[#This Row],[الفرق بين بداية ونهاية خط  T/B]]+TABL1234[[#This Row],[الفرق بين بداية ونهاية خط  S/S]]</f>
        <v>0</v>
      </c>
      <c r="T129" s="3">
        <f>TABL1234[[#This Row],[(S/S TOT) AJD]]+TABL1234[[#This Row],[(T/B TOT) AJD]]</f>
        <v>0</v>
      </c>
      <c r="U129" s="44"/>
      <c r="V129" s="44"/>
      <c r="W129" s="3">
        <f>TABL1234[[#This Row],[(A/B TOT) AJD]]+TABL1234[[#This Row],[(A/S TOT)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Row],[البخر  AJD]])</f>
        <v>0</v>
      </c>
      <c r="AE129" s="44"/>
      <c r="AF129" s="45"/>
      <c r="AG129" s="45"/>
      <c r="AH129" s="6"/>
      <c r="AI129" s="45"/>
      <c r="AJ129" s="45">
        <f>TABL1234[[#This Row],[(A/B TOT) AJD]]-TABL1234[[#This Row],[BER_ IN]]</f>
        <v>0</v>
      </c>
      <c r="AK129" s="45"/>
      <c r="AL129" s="45"/>
      <c r="AM129" s="32"/>
      <c r="AN129" s="32">
        <f>TABL1234[[#This Row],[ (RESV. STORGE) SER]]/10</f>
        <v>0</v>
      </c>
      <c r="AO129" s="75"/>
      <c r="AP129" s="75">
        <f>TABL1234[[#This Row],[(A/S TOT) AJD]]-TABL1234[[#This Row],[SER_ 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Row],[خط (T/B  TOT) SAR]]+TABL1234[[#This Row],[خط (S/S  TOT) SAR2]]</f>
        <v>0</v>
      </c>
      <c r="L130" s="41"/>
      <c r="M130" s="42"/>
      <c r="N130" s="42"/>
      <c r="O130" s="39"/>
      <c r="P130" s="3">
        <f>TABL1234[[#This Row],[خط (S/S  TOT) SAR2]]-TABL1234[[#This Row],[(S/S TOT) AJD]]</f>
        <v>0</v>
      </c>
      <c r="Q130" s="39"/>
      <c r="R130" s="3">
        <f>TABL1234[[#This Row],[خط (T/B  TOT) SAR]]-TABL1234[[#This Row],[(T/B TOT) AJD]]</f>
        <v>0</v>
      </c>
      <c r="S130" s="3">
        <f>TABL1234[[#This Row],[الفرق بين بداية ونهاية خط  T/B]]+TABL1234[[#This Row],[الفرق بين بداية ونهاية خط  S/S]]</f>
        <v>0</v>
      </c>
      <c r="T130" s="3">
        <f>TABL1234[[#This Row],[(S/S TOT) AJD]]+TABL1234[[#This Row],[(T/B TOT) AJD]]</f>
        <v>0</v>
      </c>
      <c r="U130" s="41"/>
      <c r="V130" s="41"/>
      <c r="W130" s="3">
        <f>TABL1234[[#This Row],[(A/B TOT) AJD]]+TABL1234[[#This Row],[(A/S TOT)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Row],[البخر  AJD]])</f>
        <v>0</v>
      </c>
      <c r="AE130" s="41"/>
      <c r="AF130" s="43"/>
      <c r="AG130" s="43"/>
      <c r="AH130" s="6"/>
      <c r="AI130" s="43"/>
      <c r="AJ130" s="43">
        <f>TABL1234[[#This Row],[(A/B TOT) AJD]]-TABL1234[[#This Row],[BER_ IN]]</f>
        <v>0</v>
      </c>
      <c r="AK130" s="43"/>
      <c r="AL130" s="43"/>
      <c r="AM130" s="32"/>
      <c r="AN130" s="32">
        <f>TABL1234[[#This Row],[ (RESV. STORGE) SER]]/10</f>
        <v>0</v>
      </c>
      <c r="AO130" s="75"/>
      <c r="AP130" s="75">
        <f>TABL1234[[#This Row],[(A/S TOT) AJD]]-TABL1234[[#This Row],[SER_ 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Row],[خط (T/B  TOT) SAR]]+TABL1234[[#This Row],[خط (S/S  TOT) SAR2]]</f>
        <v>0</v>
      </c>
      <c r="L131" s="45"/>
      <c r="M131" s="46"/>
      <c r="N131" s="46"/>
      <c r="O131" s="40"/>
      <c r="P131" s="3">
        <f>TABL1234[[#This Row],[خط (S/S  TOT) SAR2]]-TABL1234[[#This Row],[(S/S TOT) AJD]]</f>
        <v>0</v>
      </c>
      <c r="Q131" s="40"/>
      <c r="R131" s="3">
        <f>TABL1234[[#This Row],[خط (T/B  TOT) SAR]]-TABL1234[[#This Row],[(T/B TOT) AJD]]</f>
        <v>0</v>
      </c>
      <c r="S131" s="3">
        <f>TABL1234[[#This Row],[الفرق بين بداية ونهاية خط  T/B]]+TABL1234[[#This Row],[الفرق بين بداية ونهاية خط  S/S]]</f>
        <v>0</v>
      </c>
      <c r="T131" s="3">
        <f>TABL1234[[#This Row],[(S/S TOT) AJD]]+TABL1234[[#This Row],[(T/B TOT) AJD]]</f>
        <v>0</v>
      </c>
      <c r="U131" s="44"/>
      <c r="V131" s="44"/>
      <c r="W131" s="3">
        <f>TABL1234[[#This Row],[(A/B TOT) AJD]]+TABL1234[[#This Row],[(A/S TOT)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Row],[البخر  AJD]])</f>
        <v>0</v>
      </c>
      <c r="AE131" s="44"/>
      <c r="AF131" s="45"/>
      <c r="AG131" s="45"/>
      <c r="AH131" s="6"/>
      <c r="AI131" s="45"/>
      <c r="AJ131" s="45">
        <f>TABL1234[[#This Row],[(A/B TOT) AJD]]-TABL1234[[#This Row],[BER_ IN]]</f>
        <v>0</v>
      </c>
      <c r="AK131" s="45"/>
      <c r="AL131" s="45"/>
      <c r="AM131" s="32"/>
      <c r="AN131" s="32">
        <f>TABL1234[[#This Row],[ (RESV. STORGE) SER]]/10</f>
        <v>0</v>
      </c>
      <c r="AO131" s="75"/>
      <c r="AP131" s="75">
        <f>TABL1234[[#This Row],[(A/S TOT) AJD]]-TABL1234[[#This Row],[SER_ 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Row],[خط (T/B  TOT) SAR]]+TABL1234[[#This Row],[خط (S/S  TOT) SAR2]]</f>
        <v>0</v>
      </c>
      <c r="L132" s="41"/>
      <c r="M132" s="42"/>
      <c r="N132" s="42"/>
      <c r="O132" s="39"/>
      <c r="P132" s="3">
        <f>TABL1234[[#This Row],[خط (S/S  TOT) SAR2]]-TABL1234[[#This Row],[(S/S TOT) AJD]]</f>
        <v>0</v>
      </c>
      <c r="Q132" s="39"/>
      <c r="R132" s="3">
        <f>TABL1234[[#This Row],[خط (T/B  TOT) SAR]]-TABL1234[[#This Row],[(T/B TOT) AJD]]</f>
        <v>0</v>
      </c>
      <c r="S132" s="3">
        <f>TABL1234[[#This Row],[الفرق بين بداية ونهاية خط  T/B]]+TABL1234[[#This Row],[الفرق بين بداية ونهاية خط  S/S]]</f>
        <v>0</v>
      </c>
      <c r="T132" s="3">
        <f>TABL1234[[#This Row],[(S/S TOT) AJD]]+TABL1234[[#This Row],[(T/B TOT) AJD]]</f>
        <v>0</v>
      </c>
      <c r="U132" s="41"/>
      <c r="V132" s="41"/>
      <c r="W132" s="3">
        <f>TABL1234[[#This Row],[(A/B TOT) AJD]]+TABL1234[[#This Row],[(A/S TOT)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(Z132-Z131)/1000</f>
        <v>0</v>
      </c>
      <c r="AC132" s="5"/>
      <c r="AD132" s="39">
        <f>TABL1234[[#This Row],[( S/S+T/B) AJD]]-(TABL1234[[#This Row],[(A/B + A/S) AJD]]+(TABL1234[[#This Row],[(STORGE DIFF.) AJD]]*1000)+TABL1234[[#This Row],[البخر  AJD]])</f>
        <v>0</v>
      </c>
      <c r="AE132" s="41"/>
      <c r="AF132" s="43"/>
      <c r="AG132" s="75"/>
      <c r="AH132" s="6"/>
      <c r="AI132" s="43"/>
      <c r="AJ132" s="75">
        <f>TABL1234[[#This Row],[(A/B TOT) AJD]]-TABL1234[[#This Row],[BER_ IN]]</f>
        <v>0</v>
      </c>
      <c r="AK132" s="43"/>
      <c r="AL132" s="43"/>
      <c r="AM132" s="32"/>
      <c r="AN132" s="32">
        <f>TABL1234[[#This Row],[ (RESV. STORGE) SER]]/10</f>
        <v>0</v>
      </c>
      <c r="AO132" s="75"/>
      <c r="AP132" s="75">
        <f>TABL1234[[#This Row],[(A/S TOT) AJD]]-TABL1234[[#This Row],[SER_ 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Row],[خط (T/B  TOT) SAR]]+TABL1234[[#This Row],[خط (S/S  TOT) SAR2]]</f>
        <v>0</v>
      </c>
      <c r="L133" s="45"/>
      <c r="M133" s="46"/>
      <c r="N133" s="46"/>
      <c r="O133" s="40"/>
      <c r="P133" s="3">
        <f>TABL1234[[#This Row],[خط (S/S  TOT) SAR2]]-TABL1234[[#This Row],[(S/S TOT) AJD]]</f>
        <v>0</v>
      </c>
      <c r="Q133" s="40"/>
      <c r="R133" s="3">
        <f>TABL1234[[#This Row],[خط (T/B  TOT) SAR]]-TABL1234[[#This Row],[(T/B TOT) AJD]]</f>
        <v>0</v>
      </c>
      <c r="S133" s="3">
        <f>TABL1234[[#This Row],[الفرق بين بداية ونهاية خط  T/B]]+TABL1234[[#This Row],[الفرق بين بداية ونهاية خط  S/S]]</f>
        <v>0</v>
      </c>
      <c r="T133" s="3">
        <f>TABL1234[[#This Row],[(S/S TOT) AJD]]+TABL1234[[#This Row],[(T/B TOT) AJD]]</f>
        <v>0</v>
      </c>
      <c r="U133" s="44"/>
      <c r="V133" s="44"/>
      <c r="W133" s="3">
        <f>TABL1234[[#This Row],[(A/B TOT) AJD]]+TABL1234[[#This Row],[(A/S TOT)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Row],[البخر  AJD]])</f>
        <v>0</v>
      </c>
      <c r="AE133" s="44"/>
      <c r="AF133" s="45"/>
      <c r="AG133" s="45"/>
      <c r="AH133" s="6"/>
      <c r="AI133" s="45"/>
      <c r="AJ133" s="45">
        <f>TABL1234[[#This Row],[(A/B TOT) AJD]]-TABL1234[[#This Row],[BER_ IN]]</f>
        <v>0</v>
      </c>
      <c r="AK133" s="45"/>
      <c r="AL133" s="45"/>
      <c r="AM133" s="32"/>
      <c r="AN133" s="32">
        <f>TABL1234[[#This Row],[ (RESV. STORGE) SER]]/10</f>
        <v>0</v>
      </c>
      <c r="AO133" s="75"/>
      <c r="AP133" s="75">
        <f>TABL1234[[#This Row],[(A/S TOT) AJD]]-TABL1234[[#This Row],[SER_ 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Row],[خط (T/B  TOT) SAR]]+TABL1234[[#This Row],[خط (S/S  TOT) SAR2]]</f>
        <v>0</v>
      </c>
      <c r="L134" s="41"/>
      <c r="M134" s="42"/>
      <c r="N134" s="42"/>
      <c r="O134" s="39"/>
      <c r="P134" s="3">
        <f>TABL1234[[#This Row],[خط (S/S  TOT) SAR2]]-TABL1234[[#This Row],[(S/S TOT) AJD]]</f>
        <v>0</v>
      </c>
      <c r="Q134" s="39"/>
      <c r="R134" s="3">
        <f>TABL1234[[#This Row],[خط (T/B  TOT) SAR]]-TABL1234[[#This Row],[(T/B TOT) AJD]]</f>
        <v>0</v>
      </c>
      <c r="S134" s="3">
        <f>TABL1234[[#This Row],[الفرق بين بداية ونهاية خط  T/B]]+TABL1234[[#This Row],[الفرق بين بداية ونهاية خط  S/S]]</f>
        <v>0</v>
      </c>
      <c r="T134" s="3">
        <f>TABL1234[[#This Row],[(S/S TOT) AJD]]+TABL1234[[#This Row],[(T/B TOT) AJD]]</f>
        <v>0</v>
      </c>
      <c r="U134" s="41"/>
      <c r="V134" s="41"/>
      <c r="W134" s="3">
        <f>TABL1234[[#This Row],[(A/B TOT) AJD]]+TABL1234[[#This Row],[(A/S TOT)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Row],[البخر  AJD]])</f>
        <v>0</v>
      </c>
      <c r="AE134" s="41"/>
      <c r="AF134" s="43"/>
      <c r="AG134" s="43"/>
      <c r="AH134" s="6"/>
      <c r="AI134" s="43"/>
      <c r="AJ134" s="43">
        <f>TABL1234[[#This Row],[(A/B TOT) AJD]]-TABL1234[[#This Row],[BER_ IN]]</f>
        <v>0</v>
      </c>
      <c r="AK134" s="43"/>
      <c r="AL134" s="43"/>
      <c r="AM134" s="32"/>
      <c r="AN134" s="32">
        <f>TABL1234[[#This Row],[ (RESV. STORGE) SER]]/10</f>
        <v>0</v>
      </c>
      <c r="AO134" s="75"/>
      <c r="AP134" s="75">
        <f>TABL1234[[#This Row],[(A/S TOT) AJD]]-TABL1234[[#This Row],[SER_ 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Row],[خط (T/B  TOT) SAR]]+TABL1234[[#This Row],[خط (S/S  TOT) SAR2]]</f>
        <v>0</v>
      </c>
      <c r="L135" s="45"/>
      <c r="M135" s="46"/>
      <c r="N135" s="46"/>
      <c r="O135" s="40"/>
      <c r="P135" s="3">
        <f>TABL1234[[#This Row],[خط (S/S  TOT) SAR2]]-TABL1234[[#This Row],[(S/S TOT) AJD]]</f>
        <v>0</v>
      </c>
      <c r="Q135" s="40"/>
      <c r="R135" s="3">
        <f>TABL1234[[#This Row],[خط (T/B  TOT) SAR]]-TABL1234[[#This Row],[(T/B TOT) AJD]]</f>
        <v>0</v>
      </c>
      <c r="S135" s="3">
        <f>TABL1234[[#This Row],[الفرق بين بداية ونهاية خط  T/B]]+TABL1234[[#This Row],[الفرق بين بداية ونهاية خط  S/S]]</f>
        <v>0</v>
      </c>
      <c r="T135" s="3">
        <f>TABL1234[[#This Row],[(S/S TOT) AJD]]+TABL1234[[#This Row],[(T/B TOT) AJD]]</f>
        <v>0</v>
      </c>
      <c r="U135" s="44"/>
      <c r="V135" s="44"/>
      <c r="W135" s="3">
        <f>TABL1234[[#This Row],[(A/B TOT) AJD]]+TABL1234[[#This Row],[(A/S TOT)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Row],[البخر  AJD]])</f>
        <v>0</v>
      </c>
      <c r="AE135" s="44"/>
      <c r="AF135" s="45"/>
      <c r="AG135" s="45"/>
      <c r="AH135" s="6"/>
      <c r="AI135" s="45"/>
      <c r="AJ135" s="45">
        <f>TABL1234[[#This Row],[(A/B TOT) AJD]]-TABL1234[[#This Row],[BER_ IN]]</f>
        <v>0</v>
      </c>
      <c r="AK135" s="45"/>
      <c r="AL135" s="45"/>
      <c r="AM135" s="32"/>
      <c r="AN135" s="32">
        <f>TABL1234[[#This Row],[ (RESV. STORGE) SER]]/10</f>
        <v>0</v>
      </c>
      <c r="AO135" s="75"/>
      <c r="AP135" s="75">
        <f>TABL1234[[#This Row],[(A/S TOT) AJD]]-TABL1234[[#This Row],[SER_ 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Row],[خط (T/B  TOT) SAR]]+TABL1234[[#This Row],[خط (S/S  TOT) SAR2]]</f>
        <v>0</v>
      </c>
      <c r="L136" s="41"/>
      <c r="M136" s="42"/>
      <c r="N136" s="42"/>
      <c r="O136" s="39"/>
      <c r="P136" s="3">
        <f>TABL1234[[#This Row],[خط (S/S  TOT) SAR2]]-TABL1234[[#This Row],[(S/S TOT) AJD]]</f>
        <v>0</v>
      </c>
      <c r="Q136" s="39"/>
      <c r="R136" s="3">
        <f>TABL1234[[#This Row],[خط (T/B  TOT) SAR]]-TABL1234[[#This Row],[(T/B TOT) AJD]]</f>
        <v>0</v>
      </c>
      <c r="S136" s="3">
        <f>TABL1234[[#This Row],[الفرق بين بداية ونهاية خط  T/B]]+TABL1234[[#This Row],[الفرق بين بداية ونهاية خط  S/S]]</f>
        <v>0</v>
      </c>
      <c r="T136" s="3">
        <f>TABL1234[[#This Row],[(S/S TOT) AJD]]+TABL1234[[#This Row],[(T/B TOT) AJD]]</f>
        <v>0</v>
      </c>
      <c r="U136" s="41"/>
      <c r="V136" s="41"/>
      <c r="W136" s="3">
        <f>TABL1234[[#This Row],[(A/B TOT) AJD]]+TABL1234[[#This Row],[(A/S TOT)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Row],[البخر  AJD]])</f>
        <v>0</v>
      </c>
      <c r="AE136" s="41"/>
      <c r="AF136" s="43"/>
      <c r="AG136" s="43"/>
      <c r="AH136" s="6"/>
      <c r="AI136" s="43"/>
      <c r="AJ136" s="43">
        <f>TABL1234[[#This Row],[(A/B TOT) AJD]]-TABL1234[[#This Row],[BER_ IN]]</f>
        <v>0</v>
      </c>
      <c r="AK136" s="43"/>
      <c r="AL136" s="43"/>
      <c r="AM136" s="32"/>
      <c r="AN136" s="32">
        <f>TABL1234[[#This Row],[ (RESV. STORGE) SER]]/10</f>
        <v>0</v>
      </c>
      <c r="AO136" s="75"/>
      <c r="AP136" s="75">
        <f>TABL1234[[#This Row],[(A/S TOT) AJD]]-TABL1234[[#This Row],[SER_ 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Row],[خط (T/B  TOT) SAR]]+TABL1234[[#This Row],[خط (S/S  TOT) SAR2]]</f>
        <v>0</v>
      </c>
      <c r="L137" s="45"/>
      <c r="M137" s="46"/>
      <c r="N137" s="46"/>
      <c r="O137" s="40"/>
      <c r="P137" s="3">
        <f>TABL1234[[#This Row],[خط (S/S  TOT) SAR2]]-TABL1234[[#This Row],[(S/S TOT) AJD]]</f>
        <v>0</v>
      </c>
      <c r="Q137" s="40"/>
      <c r="R137" s="3">
        <f>TABL1234[[#This Row],[خط (T/B  TOT) SAR]]-TABL1234[[#This Row],[(T/B TOT) AJD]]</f>
        <v>0</v>
      </c>
      <c r="S137" s="3">
        <f>TABL1234[[#This Row],[الفرق بين بداية ونهاية خط  T/B]]+TABL1234[[#This Row],[الفرق بين بداية ونهاية خط  S/S]]</f>
        <v>0</v>
      </c>
      <c r="T137" s="3">
        <f>TABL1234[[#This Row],[(S/S TOT) AJD]]+TABL1234[[#This Row],[(T/B TOT) AJD]]</f>
        <v>0</v>
      </c>
      <c r="U137" s="44"/>
      <c r="V137" s="44"/>
      <c r="W137" s="3">
        <f>TABL1234[[#This Row],[(A/B TOT) AJD]]+TABL1234[[#This Row],[(A/S TOT)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Row],[البخر  AJD]])</f>
        <v>0</v>
      </c>
      <c r="AE137" s="44"/>
      <c r="AF137" s="45"/>
      <c r="AG137" s="45"/>
      <c r="AH137" s="6"/>
      <c r="AI137" s="45"/>
      <c r="AJ137" s="45">
        <f>TABL1234[[#This Row],[(A/B TOT) AJD]]-TABL1234[[#This Row],[BER_ IN]]</f>
        <v>0</v>
      </c>
      <c r="AK137" s="45"/>
      <c r="AL137" s="45"/>
      <c r="AM137" s="32"/>
      <c r="AN137" s="32">
        <f>TABL1234[[#This Row],[ (RESV. STORGE) SER]]/10</f>
        <v>0</v>
      </c>
      <c r="AO137" s="75"/>
      <c r="AP137" s="75">
        <f>TABL1234[[#This Row],[(A/S TOT) AJD]]-TABL1234[[#This Row],[SER_ 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Row],[خط (T/B  TOT) SAR]]+TABL1234[[#This Row],[خط (S/S  TOT) SAR2]]</f>
        <v>0</v>
      </c>
      <c r="L138" s="41"/>
      <c r="M138" s="42"/>
      <c r="N138" s="42"/>
      <c r="O138" s="39"/>
      <c r="P138" s="3">
        <f>TABL1234[[#This Row],[خط (S/S  TOT) SAR2]]-TABL1234[[#This Row],[(S/S TOT) AJD]]</f>
        <v>0</v>
      </c>
      <c r="Q138" s="39"/>
      <c r="R138" s="3">
        <f>TABL1234[[#This Row],[خط (T/B  TOT) SAR]]-TABL1234[[#This Row],[(T/B TOT) AJD]]</f>
        <v>0</v>
      </c>
      <c r="S138" s="3">
        <f>TABL1234[[#This Row],[الفرق بين بداية ونهاية خط  T/B]]+TABL1234[[#This Row],[الفرق بين بداية ونهاية خط  S/S]]</f>
        <v>0</v>
      </c>
      <c r="T138" s="3">
        <f>TABL1234[[#This Row],[(S/S TOT) AJD]]+TABL1234[[#This Row],[(T/B TOT) AJD]]</f>
        <v>0</v>
      </c>
      <c r="U138" s="41"/>
      <c r="V138" s="41"/>
      <c r="W138" s="3">
        <f>TABL1234[[#This Row],[(A/B TOT) AJD]]+TABL1234[[#This Row],[(A/S TOT)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Row],[البخر  AJD]])</f>
        <v>0</v>
      </c>
      <c r="AE138" s="41"/>
      <c r="AF138" s="43"/>
      <c r="AG138" s="43"/>
      <c r="AH138" s="6"/>
      <c r="AI138" s="43"/>
      <c r="AJ138" s="43">
        <f>TABL1234[[#This Row],[(A/B TOT) AJD]]-TABL1234[[#This Row],[BER_ IN]]</f>
        <v>0</v>
      </c>
      <c r="AK138" s="43"/>
      <c r="AL138" s="43"/>
      <c r="AM138" s="32"/>
      <c r="AN138" s="32">
        <f>TABL1234[[#This Row],[ (RESV. STORGE) SER]]/10</f>
        <v>0</v>
      </c>
      <c r="AO138" s="75"/>
      <c r="AP138" s="75">
        <f>TABL1234[[#This Row],[(A/S TOT) AJD]]-TABL1234[[#This Row],[SER_ 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Row],[خط (T/B  TOT) SAR]]+TABL1234[[#This Row],[خط (S/S  TOT) SAR2]]</f>
        <v>0</v>
      </c>
      <c r="L139" s="45"/>
      <c r="M139" s="46"/>
      <c r="N139" s="46"/>
      <c r="O139" s="40"/>
      <c r="P139" s="3">
        <f>TABL1234[[#This Row],[خط (S/S  TOT) SAR2]]-TABL1234[[#This Row],[(S/S TOT) AJD]]</f>
        <v>0</v>
      </c>
      <c r="Q139" s="40"/>
      <c r="R139" s="3">
        <f>TABL1234[[#This Row],[خط (T/B  TOT) SAR]]-TABL1234[[#This Row],[(T/B TOT) AJD]]</f>
        <v>0</v>
      </c>
      <c r="S139" s="3">
        <f>TABL1234[[#This Row],[الفرق بين بداية ونهاية خط  T/B]]+TABL1234[[#This Row],[الفرق بين بداية ونهاية خط  S/S]]</f>
        <v>0</v>
      </c>
      <c r="T139" s="3">
        <f>TABL1234[[#This Row],[(S/S TOT) AJD]]+TABL1234[[#This Row],[(T/B TOT) AJD]]</f>
        <v>0</v>
      </c>
      <c r="U139" s="44"/>
      <c r="V139" s="44"/>
      <c r="W139" s="3">
        <f>TABL1234[[#This Row],[(A/B TOT) AJD]]+TABL1234[[#This Row],[(A/S TOT)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Row],[البخر  AJD]])</f>
        <v>0</v>
      </c>
      <c r="AE139" s="44"/>
      <c r="AF139" s="45"/>
      <c r="AG139" s="45"/>
      <c r="AH139" s="6"/>
      <c r="AI139" s="45"/>
      <c r="AJ139" s="45">
        <f>TABL1234[[#This Row],[(A/B TOT) AJD]]-TABL1234[[#This Row],[BER_ IN]]</f>
        <v>0</v>
      </c>
      <c r="AK139" s="45"/>
      <c r="AL139" s="45"/>
      <c r="AM139" s="32"/>
      <c r="AN139" s="32">
        <f>TABL1234[[#This Row],[ (RESV. STORGE) SER]]/10</f>
        <v>0</v>
      </c>
      <c r="AO139" s="75"/>
      <c r="AP139" s="75">
        <f>TABL1234[[#This Row],[(A/S TOT) AJD]]-TABL1234[[#This Row],[SER_ 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Row],[خط (T/B  TOT) SAR]]+TABL1234[[#This Row],[خط (S/S  TOT) SAR2]]</f>
        <v>0</v>
      </c>
      <c r="L140" s="41"/>
      <c r="M140" s="42"/>
      <c r="N140" s="42"/>
      <c r="O140" s="39"/>
      <c r="P140" s="3">
        <f>TABL1234[[#This Row],[خط (S/S  TOT) SAR2]]-TABL1234[[#This Row],[(S/S TOT) AJD]]</f>
        <v>0</v>
      </c>
      <c r="Q140" s="39"/>
      <c r="R140" s="3">
        <f>TABL1234[[#This Row],[خط (T/B  TOT) SAR]]-TABL1234[[#This Row],[(T/B TOT) AJD]]</f>
        <v>0</v>
      </c>
      <c r="S140" s="3">
        <f>TABL1234[[#This Row],[الفرق بين بداية ونهاية خط  T/B]]+TABL1234[[#This Row],[الفرق بين بداية ونهاية خط  S/S]]</f>
        <v>0</v>
      </c>
      <c r="T140" s="3">
        <f>TABL1234[[#This Row],[(S/S TOT) AJD]]+TABL1234[[#This Row],[(T/B TOT) AJD]]</f>
        <v>0</v>
      </c>
      <c r="U140" s="41"/>
      <c r="V140" s="41"/>
      <c r="W140" s="3">
        <f>TABL1234[[#This Row],[(A/B TOT) AJD]]+TABL1234[[#This Row],[(A/S TOT)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Row],[البخر  AJD]])</f>
        <v>0</v>
      </c>
      <c r="AE140" s="41"/>
      <c r="AF140" s="43"/>
      <c r="AG140" s="43"/>
      <c r="AH140" s="6"/>
      <c r="AI140" s="43"/>
      <c r="AJ140" s="43">
        <f>TABL1234[[#This Row],[(A/B TOT) AJD]]-TABL1234[[#This Row],[BER_ IN]]</f>
        <v>0</v>
      </c>
      <c r="AK140" s="43"/>
      <c r="AL140" s="43"/>
      <c r="AM140" s="32"/>
      <c r="AN140" s="32">
        <f>TABL1234[[#This Row],[ (RESV. STORGE) SER]]/10</f>
        <v>0</v>
      </c>
      <c r="AO140" s="75"/>
      <c r="AP140" s="75">
        <f>TABL1234[[#This Row],[(A/S TOT) AJD]]-TABL1234[[#This Row],[SER_ 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Row],[خط (T/B  TOT) SAR]]+TABL1234[[#This Row],[خط (S/S  TOT) SAR2]]</f>
        <v>0</v>
      </c>
      <c r="L141" s="45"/>
      <c r="M141" s="46"/>
      <c r="N141" s="46"/>
      <c r="O141" s="40"/>
      <c r="P141" s="3">
        <f>TABL1234[[#This Row],[خط (S/S  TOT) SAR2]]-TABL1234[[#This Row],[(S/S TOT) AJD]]</f>
        <v>0</v>
      </c>
      <c r="Q141" s="40"/>
      <c r="R141" s="3">
        <f>TABL1234[[#This Row],[خط (T/B  TOT) SAR]]-TABL1234[[#This Row],[(T/B TOT) AJD]]</f>
        <v>0</v>
      </c>
      <c r="S141" s="3">
        <f>TABL1234[[#This Row],[الفرق بين بداية ونهاية خط  T/B]]+TABL1234[[#This Row],[الفرق بين بداية ونهاية خط  S/S]]</f>
        <v>0</v>
      </c>
      <c r="T141" s="3">
        <f>TABL1234[[#This Row],[(S/S TOT) AJD]]+TABL1234[[#This Row],[(T/B TOT) AJD]]</f>
        <v>0</v>
      </c>
      <c r="U141" s="44"/>
      <c r="V141" s="44"/>
      <c r="W141" s="3">
        <f>TABL1234[[#This Row],[(A/B TOT) AJD]]+TABL1234[[#This Row],[(A/S TOT)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Row],[البخر  AJD]])</f>
        <v>0</v>
      </c>
      <c r="AE141" s="44"/>
      <c r="AF141" s="45"/>
      <c r="AG141" s="45"/>
      <c r="AH141" s="6"/>
      <c r="AI141" s="45"/>
      <c r="AJ141" s="45">
        <f>TABL1234[[#This Row],[(A/B TOT) AJD]]-TABL1234[[#This Row],[BER_ IN]]</f>
        <v>0</v>
      </c>
      <c r="AK141" s="45"/>
      <c r="AL141" s="45"/>
      <c r="AM141" s="32"/>
      <c r="AN141" s="32">
        <f>TABL1234[[#This Row],[ (RESV. STORGE) SER]]/10</f>
        <v>0</v>
      </c>
      <c r="AO141" s="75"/>
      <c r="AP141" s="75">
        <f>TABL1234[[#This Row],[(A/S TOT) AJD]]-TABL1234[[#This Row],[SER_ 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Row],[خط (T/B  TOT) SAR]]+TABL1234[[#This Row],[خط (S/S  TOT) SAR2]]</f>
        <v>0</v>
      </c>
      <c r="L142" s="41"/>
      <c r="M142" s="42"/>
      <c r="N142" s="42"/>
      <c r="O142" s="39"/>
      <c r="P142" s="3">
        <f>TABL1234[[#This Row],[خط (S/S  TOT) SAR2]]-TABL1234[[#This Row],[(S/S TOT) AJD]]</f>
        <v>0</v>
      </c>
      <c r="Q142" s="39"/>
      <c r="R142" s="3">
        <f>TABL1234[[#This Row],[خط (T/B  TOT) SAR]]-TABL1234[[#This Row],[(T/B TOT) AJD]]</f>
        <v>0</v>
      </c>
      <c r="S142" s="3">
        <f>TABL1234[[#This Row],[الفرق بين بداية ونهاية خط  T/B]]+TABL1234[[#This Row],[الفرق بين بداية ونهاية خط  S/S]]</f>
        <v>0</v>
      </c>
      <c r="T142" s="3">
        <f>TABL1234[[#This Row],[(S/S TOT) AJD]]+TABL1234[[#This Row],[(T/B TOT) AJD]]</f>
        <v>0</v>
      </c>
      <c r="U142" s="41"/>
      <c r="V142" s="41"/>
      <c r="W142" s="3">
        <f>TABL1234[[#This Row],[(A/B TOT) AJD]]+TABL1234[[#This Row],[(A/S TOT)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Row],[البخر  AJD]])</f>
        <v>0</v>
      </c>
      <c r="AE142" s="41"/>
      <c r="AF142" s="43"/>
      <c r="AG142" s="43"/>
      <c r="AH142" s="6"/>
      <c r="AI142" s="43"/>
      <c r="AJ142" s="43">
        <f>TABL1234[[#This Row],[(A/B TOT) AJD]]-TABL1234[[#This Row],[BER_ IN]]</f>
        <v>0</v>
      </c>
      <c r="AK142" s="43"/>
      <c r="AL142" s="43"/>
      <c r="AM142" s="32"/>
      <c r="AN142" s="32">
        <f>TABL1234[[#This Row],[ (RESV. STORGE) SER]]/10</f>
        <v>0</v>
      </c>
      <c r="AO142" s="75"/>
      <c r="AP142" s="75">
        <f>TABL1234[[#This Row],[(A/S TOT) AJD]]-TABL1234[[#This Row],[SER_ 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Row],[خط (T/B  TOT) SAR]]+TABL1234[[#This Row],[خط (S/S  TOT) SAR2]]</f>
        <v>0</v>
      </c>
      <c r="L143" s="45"/>
      <c r="M143" s="46"/>
      <c r="N143" s="46"/>
      <c r="O143" s="40"/>
      <c r="P143" s="3">
        <f>TABL1234[[#This Row],[خط (S/S  TOT) SAR2]]-TABL1234[[#This Row],[(S/S TOT) AJD]]</f>
        <v>0</v>
      </c>
      <c r="Q143" s="40"/>
      <c r="R143" s="3">
        <f>TABL1234[[#This Row],[خط (T/B  TOT) SAR]]-TABL1234[[#This Row],[(T/B TOT) AJD]]</f>
        <v>0</v>
      </c>
      <c r="S143" s="3">
        <f>TABL1234[[#This Row],[الفرق بين بداية ونهاية خط  T/B]]+TABL1234[[#This Row],[الفرق بين بداية ونهاية خط  S/S]]</f>
        <v>0</v>
      </c>
      <c r="T143" s="3">
        <f>TABL1234[[#This Row],[(S/S TOT) AJD]]+TABL1234[[#This Row],[(T/B TOT) AJD]]</f>
        <v>0</v>
      </c>
      <c r="U143" s="44"/>
      <c r="V143" s="44"/>
      <c r="W143" s="3">
        <f>TABL1234[[#This Row],[(A/B TOT) AJD]]+TABL1234[[#This Row],[(A/S TOT)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Row],[البخر  AJD]])</f>
        <v>0</v>
      </c>
      <c r="AE143" s="44"/>
      <c r="AF143" s="45"/>
      <c r="AG143" s="45"/>
      <c r="AH143" s="6"/>
      <c r="AI143" s="45"/>
      <c r="AJ143" s="45">
        <f>TABL1234[[#This Row],[(A/B TOT) AJD]]-TABL1234[[#This Row],[BER_ IN]]</f>
        <v>0</v>
      </c>
      <c r="AK143" s="45"/>
      <c r="AL143" s="45"/>
      <c r="AM143" s="32"/>
      <c r="AN143" s="32">
        <f>TABL1234[[#This Row],[ (RESV. STORGE) SER]]/10</f>
        <v>0</v>
      </c>
      <c r="AO143" s="75"/>
      <c r="AP143" s="75">
        <f>TABL1234[[#This Row],[(A/S TOT) AJD]]-TABL1234[[#This Row],[SER_ 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Row],[خط (T/B  TOT) SAR]]+TABL1234[[#This Row],[خط (S/S  TOT) SAR2]]</f>
        <v>0</v>
      </c>
      <c r="L144" s="41"/>
      <c r="M144" s="42"/>
      <c r="N144" s="42"/>
      <c r="O144" s="39"/>
      <c r="P144" s="3">
        <f>TABL1234[[#This Row],[خط (S/S  TOT) SAR2]]-TABL1234[[#This Row],[(S/S TOT) AJD]]</f>
        <v>0</v>
      </c>
      <c r="Q144" s="39"/>
      <c r="R144" s="3">
        <f>TABL1234[[#This Row],[خط (T/B  TOT) SAR]]-TABL1234[[#This Row],[(T/B TOT) AJD]]</f>
        <v>0</v>
      </c>
      <c r="S144" s="3">
        <f>TABL1234[[#This Row],[الفرق بين بداية ونهاية خط  T/B]]+TABL1234[[#This Row],[الفرق بين بداية ونهاية خط  S/S]]</f>
        <v>0</v>
      </c>
      <c r="T144" s="3">
        <f>TABL1234[[#This Row],[(S/S TOT) AJD]]+TABL1234[[#This Row],[(T/B TOT) AJD]]</f>
        <v>0</v>
      </c>
      <c r="U144" s="41"/>
      <c r="V144" s="41"/>
      <c r="W144" s="3">
        <f>TABL1234[[#This Row],[(A/B TOT) AJD]]+TABL1234[[#This Row],[(A/S TOT)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Row],[البخر  AJD]])</f>
        <v>0</v>
      </c>
      <c r="AE144" s="41"/>
      <c r="AF144" s="43"/>
      <c r="AG144" s="43"/>
      <c r="AH144" s="6"/>
      <c r="AI144" s="43"/>
      <c r="AJ144" s="43">
        <f>TABL1234[[#This Row],[(A/B TOT) AJD]]-TABL1234[[#This Row],[BER_ IN]]</f>
        <v>0</v>
      </c>
      <c r="AK144" s="43"/>
      <c r="AL144" s="43"/>
      <c r="AM144" s="32"/>
      <c r="AN144" s="32">
        <f>TABL1234[[#This Row],[ (RESV. STORGE) SER]]/10</f>
        <v>0</v>
      </c>
      <c r="AO144" s="75"/>
      <c r="AP144" s="75">
        <f>TABL1234[[#This Row],[(A/S TOT) AJD]]-TABL1234[[#This Row],[SER_ 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Row],[خط (T/B  TOT) SAR]]+TABL1234[[#This Row],[خط (S/S  TOT) SAR2]]</f>
        <v>0</v>
      </c>
      <c r="L145" s="45"/>
      <c r="M145" s="46"/>
      <c r="N145" s="46"/>
      <c r="O145" s="40"/>
      <c r="P145" s="3">
        <f>TABL1234[[#This Row],[خط (S/S  TOT) SAR2]]-TABL1234[[#This Row],[(S/S TOT) AJD]]</f>
        <v>0</v>
      </c>
      <c r="Q145" s="40"/>
      <c r="R145" s="3">
        <f>TABL1234[[#This Row],[خط (T/B  TOT) SAR]]-TABL1234[[#This Row],[(T/B TOT) AJD]]</f>
        <v>0</v>
      </c>
      <c r="S145" s="3">
        <f>TABL1234[[#This Row],[الفرق بين بداية ونهاية خط  T/B]]+TABL1234[[#This Row],[الفرق بين بداية ونهاية خط  S/S]]</f>
        <v>0</v>
      </c>
      <c r="T145" s="3">
        <f>TABL1234[[#This Row],[(S/S TOT) AJD]]+TABL1234[[#This Row],[(T/B TOT) AJD]]</f>
        <v>0</v>
      </c>
      <c r="U145" s="44"/>
      <c r="V145" s="44"/>
      <c r="W145" s="3">
        <f>TABL1234[[#This Row],[(A/B TOT) AJD]]+TABL1234[[#This Row],[(A/S TOT)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Row],[البخر  AJD]])</f>
        <v>0</v>
      </c>
      <c r="AE145" s="44"/>
      <c r="AF145" s="45"/>
      <c r="AG145" s="45"/>
      <c r="AH145" s="6"/>
      <c r="AI145" s="45"/>
      <c r="AJ145" s="45">
        <f>TABL1234[[#This Row],[(A/B TOT) AJD]]-TABL1234[[#This Row],[BER_ IN]]</f>
        <v>0</v>
      </c>
      <c r="AK145" s="45"/>
      <c r="AL145" s="45"/>
      <c r="AM145" s="32"/>
      <c r="AN145" s="32">
        <f>TABL1234[[#This Row],[ (RESV. STORGE) SER]]/10</f>
        <v>0</v>
      </c>
      <c r="AO145" s="75"/>
      <c r="AP145" s="75">
        <f>TABL1234[[#This Row],[(A/S TOT) AJD]]-TABL1234[[#This Row],[SER_ 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Row],[خط (T/B  TOT) SAR]]+TABL1234[[#This Row],[خط (S/S  TOT) SAR2]]</f>
        <v>0</v>
      </c>
      <c r="L146" s="41"/>
      <c r="M146" s="42"/>
      <c r="N146" s="42"/>
      <c r="O146" s="39"/>
      <c r="P146" s="3">
        <f>TABL1234[[#This Row],[خط (S/S  TOT) SAR2]]-TABL1234[[#This Row],[(S/S TOT) AJD]]</f>
        <v>0</v>
      </c>
      <c r="Q146" s="39"/>
      <c r="R146" s="3">
        <f>TABL1234[[#This Row],[خط (T/B  TOT) SAR]]-TABL1234[[#This Row],[(T/B TOT) AJD]]</f>
        <v>0</v>
      </c>
      <c r="S146" s="3">
        <f>TABL1234[[#This Row],[الفرق بين بداية ونهاية خط  T/B]]+TABL1234[[#This Row],[الفرق بين بداية ونهاية خط  S/S]]</f>
        <v>0</v>
      </c>
      <c r="T146" s="3">
        <f>TABL1234[[#This Row],[(S/S TOT) AJD]]+TABL1234[[#This Row],[(T/B TOT) AJD]]</f>
        <v>0</v>
      </c>
      <c r="U146" s="41"/>
      <c r="V146" s="41"/>
      <c r="W146" s="3">
        <f>TABL1234[[#This Row],[(A/B TOT) AJD]]+TABL1234[[#This Row],[(A/S TOT)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Row],[البخر  AJD]])</f>
        <v>0</v>
      </c>
      <c r="AE146" s="41"/>
      <c r="AF146" s="43"/>
      <c r="AG146" s="43"/>
      <c r="AH146" s="6"/>
      <c r="AI146" s="43"/>
      <c r="AJ146" s="43">
        <f>TABL1234[[#This Row],[(A/B TOT) AJD]]-TABL1234[[#This Row],[BER_ IN]]</f>
        <v>0</v>
      </c>
      <c r="AK146" s="43"/>
      <c r="AL146" s="43"/>
      <c r="AM146" s="32"/>
      <c r="AN146" s="32">
        <f>TABL1234[[#This Row],[ (RESV. STORGE) SER]]/10</f>
        <v>0</v>
      </c>
      <c r="AO146" s="75"/>
      <c r="AP146" s="75">
        <f>TABL1234[[#This Row],[(A/S TOT) AJD]]-TABL1234[[#This Row],[SER_ 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Row],[خط (T/B  TOT) SAR]]+TABL1234[[#This Row],[خط (S/S  TOT) SAR2]]</f>
        <v>0</v>
      </c>
      <c r="L147" s="45"/>
      <c r="M147" s="46"/>
      <c r="N147" s="46"/>
      <c r="O147" s="40"/>
      <c r="P147" s="3">
        <f>TABL1234[[#This Row],[خط (S/S  TOT) SAR2]]-TABL1234[[#This Row],[(S/S TOT) AJD]]</f>
        <v>0</v>
      </c>
      <c r="Q147" s="40"/>
      <c r="R147" s="3">
        <f>TABL1234[[#This Row],[خط (T/B  TOT) SAR]]-TABL1234[[#This Row],[(T/B TOT) AJD]]</f>
        <v>0</v>
      </c>
      <c r="S147" s="3">
        <f>TABL1234[[#This Row],[الفرق بين بداية ونهاية خط  T/B]]+TABL1234[[#This Row],[الفرق بين بداية ونهاية خط  S/S]]</f>
        <v>0</v>
      </c>
      <c r="T147" s="3">
        <f>TABL1234[[#This Row],[(S/S TOT) AJD]]+TABL1234[[#This Row],[(T/B TOT) AJD]]</f>
        <v>0</v>
      </c>
      <c r="U147" s="44"/>
      <c r="V147" s="44"/>
      <c r="W147" s="3">
        <f>TABL1234[[#This Row],[(A/B TOT) AJD]]+TABL1234[[#This Row],[(A/S TOT)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Row],[البخر  AJD]])</f>
        <v>0</v>
      </c>
      <c r="AE147" s="44"/>
      <c r="AF147" s="45"/>
      <c r="AG147" s="45"/>
      <c r="AH147" s="6"/>
      <c r="AI147" s="45"/>
      <c r="AJ147" s="45">
        <f>TABL1234[[#This Row],[(A/B TOT) AJD]]-TABL1234[[#This Row],[BER_ IN]]</f>
        <v>0</v>
      </c>
      <c r="AK147" s="45"/>
      <c r="AL147" s="45"/>
      <c r="AM147" s="32"/>
      <c r="AN147" s="32">
        <f>TABL1234[[#This Row],[ (RESV. STORGE) SER]]/10</f>
        <v>0</v>
      </c>
      <c r="AO147" s="75"/>
      <c r="AP147" s="75">
        <f>TABL1234[[#This Row],[(A/S TOT) AJD]]-TABL1234[[#This Row],[SER_ 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Row],[خط (T/B  TOT) SAR]]+TABL1234[[#This Row],[خط (S/S  TOT) SAR2]]</f>
        <v>0</v>
      </c>
      <c r="L148" s="41"/>
      <c r="M148" s="42"/>
      <c r="N148" s="42"/>
      <c r="O148" s="39"/>
      <c r="P148" s="3">
        <f>TABL1234[[#This Row],[خط (S/S  TOT) SAR2]]-TABL1234[[#This Row],[(S/S TOT) AJD]]</f>
        <v>0</v>
      </c>
      <c r="Q148" s="39"/>
      <c r="R148" s="3">
        <f>TABL1234[[#This Row],[خط (T/B  TOT) SAR]]-TABL1234[[#This Row],[(T/B TOT) AJD]]</f>
        <v>0</v>
      </c>
      <c r="S148" s="3">
        <f>TABL1234[[#This Row],[الفرق بين بداية ونهاية خط  T/B]]+TABL1234[[#This Row],[الفرق بين بداية ونهاية خط  S/S]]</f>
        <v>0</v>
      </c>
      <c r="T148" s="3">
        <f>TABL1234[[#This Row],[(S/S TOT) AJD]]+TABL1234[[#This Row],[(T/B TOT) AJD]]</f>
        <v>0</v>
      </c>
      <c r="U148" s="41"/>
      <c r="V148" s="41"/>
      <c r="W148" s="3">
        <f>TABL1234[[#This Row],[(A/B TOT) AJD]]+TABL1234[[#This Row],[(A/S TOT)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Row],[البخر  AJD]])</f>
        <v>0</v>
      </c>
      <c r="AE148" s="41"/>
      <c r="AF148" s="43"/>
      <c r="AG148" s="43"/>
      <c r="AH148" s="6"/>
      <c r="AI148" s="43"/>
      <c r="AJ148" s="43">
        <f>TABL1234[[#This Row],[(A/B TOT) AJD]]-TABL1234[[#This Row],[BER_ IN]]</f>
        <v>0</v>
      </c>
      <c r="AK148" s="43"/>
      <c r="AL148" s="43"/>
      <c r="AM148" s="32"/>
      <c r="AN148" s="32">
        <f>TABL1234[[#This Row],[ (RESV. STORGE) SER]]/10</f>
        <v>0</v>
      </c>
      <c r="AO148" s="75"/>
      <c r="AP148" s="75">
        <f>TABL1234[[#This Row],[(A/S TOT) AJD]]-TABL1234[[#This Row],[SER_ 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Row],[خط (T/B  TOT) SAR]]+TABL1234[[#This Row],[خط (S/S  TOT) SAR2]]</f>
        <v>0</v>
      </c>
      <c r="L149" s="45"/>
      <c r="M149" s="46"/>
      <c r="N149" s="46"/>
      <c r="O149" s="40"/>
      <c r="P149" s="3">
        <f>TABL1234[[#This Row],[خط (S/S  TOT) SAR2]]-TABL1234[[#This Row],[(S/S TOT) AJD]]</f>
        <v>0</v>
      </c>
      <c r="Q149" s="40"/>
      <c r="R149" s="3">
        <f>TABL1234[[#This Row],[خط (T/B  TOT) SAR]]-TABL1234[[#This Row],[(T/B TOT) AJD]]</f>
        <v>0</v>
      </c>
      <c r="S149" s="3">
        <f>TABL1234[[#This Row],[الفرق بين بداية ونهاية خط  T/B]]+TABL1234[[#This Row],[الفرق بين بداية ونهاية خط  S/S]]</f>
        <v>0</v>
      </c>
      <c r="T149" s="3">
        <f>TABL1234[[#This Row],[(S/S TOT) AJD]]+TABL1234[[#This Row],[(T/B TOT) AJD]]</f>
        <v>0</v>
      </c>
      <c r="U149" s="44"/>
      <c r="V149" s="44"/>
      <c r="W149" s="3">
        <f>TABL1234[[#This Row],[(A/B TOT) AJD]]+TABL1234[[#This Row],[(A/S TOT)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Row],[البخر  AJD]])</f>
        <v>0</v>
      </c>
      <c r="AE149" s="44"/>
      <c r="AF149" s="45"/>
      <c r="AG149" s="45"/>
      <c r="AH149" s="6"/>
      <c r="AI149" s="45"/>
      <c r="AJ149" s="45">
        <f>TABL1234[[#This Row],[(A/B TOT) AJD]]-TABL1234[[#This Row],[BER_ IN]]</f>
        <v>0</v>
      </c>
      <c r="AK149" s="45"/>
      <c r="AL149" s="45"/>
      <c r="AM149" s="32"/>
      <c r="AN149" s="32">
        <f>TABL1234[[#This Row],[ (RESV. STORGE) SER]]/10</f>
        <v>0</v>
      </c>
      <c r="AO149" s="75"/>
      <c r="AP149" s="75">
        <f>TABL1234[[#This Row],[(A/S TOT) AJD]]-TABL1234[[#This Row],[SER_ 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Row],[خط (T/B  TOT) SAR]]+TABL1234[[#This Row],[خط (S/S  TOT) SAR2]]</f>
        <v>0</v>
      </c>
      <c r="L150" s="41"/>
      <c r="M150" s="42"/>
      <c r="N150" s="42"/>
      <c r="O150" s="39"/>
      <c r="P150" s="3">
        <f>TABL1234[[#This Row],[خط (S/S  TOT) SAR2]]-TABL1234[[#This Row],[(S/S TOT) AJD]]</f>
        <v>0</v>
      </c>
      <c r="Q150" s="39"/>
      <c r="R150" s="3">
        <f>TABL1234[[#This Row],[خط (T/B  TOT) SAR]]-TABL1234[[#This Row],[(T/B TOT) AJD]]</f>
        <v>0</v>
      </c>
      <c r="S150" s="3">
        <f>TABL1234[[#This Row],[الفرق بين بداية ونهاية خط  T/B]]+TABL1234[[#This Row],[الفرق بين بداية ونهاية خط  S/S]]</f>
        <v>0</v>
      </c>
      <c r="T150" s="3">
        <f>TABL1234[[#This Row],[(S/S TOT) AJD]]+TABL1234[[#This Row],[(T/B TOT) AJD]]</f>
        <v>0</v>
      </c>
      <c r="U150" s="41"/>
      <c r="V150" s="41"/>
      <c r="W150" s="3">
        <f>TABL1234[[#This Row],[(A/B TOT) AJD]]+TABL1234[[#This Row],[(A/S TOT)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Row],[البخر  AJD]])</f>
        <v>0</v>
      </c>
      <c r="AE150" s="41"/>
      <c r="AF150" s="43"/>
      <c r="AG150" s="43"/>
      <c r="AH150" s="6"/>
      <c r="AI150" s="43"/>
      <c r="AJ150" s="43">
        <f>TABL1234[[#This Row],[(A/B TOT) AJD]]-TABL1234[[#This Row],[BER_ IN]]</f>
        <v>0</v>
      </c>
      <c r="AK150" s="43"/>
      <c r="AL150" s="43"/>
      <c r="AM150" s="32"/>
      <c r="AN150" s="32">
        <f>TABL1234[[#This Row],[ (RESV. STORGE) SER]]/10</f>
        <v>0</v>
      </c>
      <c r="AO150" s="75"/>
      <c r="AP150" s="75">
        <f>TABL1234[[#This Row],[(A/S TOT) AJD]]-TABL1234[[#This Row],[SER_ 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Row],[خط (T/B  TOT) SAR]]+TABL1234[[#This Row],[خط (S/S  TOT) SAR2]]</f>
        <v>0</v>
      </c>
      <c r="L151" s="45"/>
      <c r="M151" s="46"/>
      <c r="N151" s="46"/>
      <c r="O151" s="40"/>
      <c r="P151" s="3">
        <f>TABL1234[[#This Row],[خط (S/S  TOT) SAR2]]-TABL1234[[#This Row],[(S/S TOT) AJD]]</f>
        <v>0</v>
      </c>
      <c r="Q151" s="40"/>
      <c r="R151" s="3">
        <f>TABL1234[[#This Row],[خط (T/B  TOT) SAR]]-TABL1234[[#This Row],[(T/B TOT) AJD]]</f>
        <v>0</v>
      </c>
      <c r="S151" s="3">
        <f>TABL1234[[#This Row],[الفرق بين بداية ونهاية خط  T/B]]+TABL1234[[#This Row],[الفرق بين بداية ونهاية خط  S/S]]</f>
        <v>0</v>
      </c>
      <c r="T151" s="3">
        <f>TABL1234[[#This Row],[(S/S TOT) AJD]]+TABL1234[[#This Row],[(T/B TOT) AJD]]</f>
        <v>0</v>
      </c>
      <c r="U151" s="44"/>
      <c r="V151" s="44"/>
      <c r="W151" s="3">
        <f>TABL1234[[#This Row],[(A/B TOT) AJD]]+TABL1234[[#This Row],[(A/S TOT)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7">
        <f>TABL1234[[#This Row],[( S/S+T/B) AJD]]-(TABL1234[[#This Row],[(A/B + A/S) AJD]]+(TABL1234[[#This Row],[(STORGE DIFF.) AJD]]*1000)+TABL1234[[#This Row],[البخر  AJD]])</f>
        <v>0</v>
      </c>
      <c r="AE151" s="44"/>
      <c r="AF151" s="45"/>
      <c r="AG151" s="45"/>
      <c r="AH151" s="6"/>
      <c r="AI151" s="45"/>
      <c r="AJ151" s="99">
        <f>TABL1234[[#This Row],[(A/B TOT) AJD]]-TABL1234[[#This Row],[BER_ IN]]</f>
        <v>0</v>
      </c>
      <c r="AK151" s="45"/>
      <c r="AL151" s="45"/>
      <c r="AM151" s="32"/>
      <c r="AN151" s="32">
        <f>TABL1234[[#This Row],[ (RESV. STORGE) SER]]/10</f>
        <v>0</v>
      </c>
      <c r="AO151" s="75"/>
      <c r="AP151" s="75">
        <f>TABL1234[[#This Row],[(A/S TOT) AJD]]-TABL1234[[#This Row],[SER_ 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Row],[خط (T/B  TOT) SAR]]+TABL1234[[#This Row],[خط (S/S  TOT) SAR2]]</f>
        <v>0</v>
      </c>
      <c r="L152" s="41"/>
      <c r="M152" s="42"/>
      <c r="N152" s="42"/>
      <c r="O152" s="39"/>
      <c r="P152" s="3">
        <f>TABL1234[[#This Row],[خط (S/S  TOT) SAR2]]-TABL1234[[#This Row],[(S/S TOT) AJD]]</f>
        <v>0</v>
      </c>
      <c r="Q152" s="39"/>
      <c r="R152" s="3">
        <f>TABL1234[[#This Row],[خط (T/B  TOT) SAR]]-TABL1234[[#This Row],[(T/B TOT) AJD]]</f>
        <v>0</v>
      </c>
      <c r="S152" s="3">
        <f>TABL1234[[#This Row],[الفرق بين بداية ونهاية خط  T/B]]+TABL1234[[#This Row],[الفرق بين بداية ونهاية خط  S/S]]</f>
        <v>0</v>
      </c>
      <c r="T152" s="3">
        <f>TABL1234[[#This Row],[(S/S TOT) AJD]]+TABL1234[[#This Row],[(T/B TOT) AJD]]</f>
        <v>0</v>
      </c>
      <c r="U152" s="41"/>
      <c r="V152" s="41"/>
      <c r="W152" s="3">
        <f>TABL1234[[#This Row],[(A/B TOT) AJD]]+TABL1234[[#This Row],[(A/S TOT)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Row],[البخر  AJD]])</f>
        <v>0</v>
      </c>
      <c r="AE152" s="41"/>
      <c r="AF152" s="43"/>
      <c r="AG152" s="43"/>
      <c r="AH152" s="6"/>
      <c r="AI152" s="43"/>
      <c r="AJ152" s="43">
        <f>TABL1234[[#This Row],[(A/B TOT) AJD]]-TABL1234[[#This Row],[BER_ IN]]</f>
        <v>0</v>
      </c>
      <c r="AK152" s="43"/>
      <c r="AL152" s="43"/>
      <c r="AM152" s="32"/>
      <c r="AN152" s="32">
        <f>TABL1234[[#This Row],[ (RESV. STORGE) SER]]/10</f>
        <v>0</v>
      </c>
      <c r="AO152" s="75"/>
      <c r="AP152" s="75">
        <f>TABL1234[[#This Row],[(A/S TOT) AJD]]-TABL1234[[#This Row],[SER_ 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Row],[خط (T/B  TOT) SAR]]+TABL1234[[#This Row],[خط (S/S  TOT) SAR2]]</f>
        <v>0</v>
      </c>
      <c r="L153" s="41"/>
      <c r="M153" s="42"/>
      <c r="N153" s="42"/>
      <c r="O153" s="39"/>
      <c r="P153" s="10">
        <f>TABL1234[[#This Row],[خط (S/S  TOT) SAR2]]-TABL1234[[#This Row],[(S/S TOT) AJD]]</f>
        <v>0</v>
      </c>
      <c r="Q153" s="39"/>
      <c r="R153" s="10">
        <f>TABL1234[[#This Row],[خط (T/B  TOT) SAR]]-TABL1234[[#This Row],[(T/B TOT) AJD]]</f>
        <v>0</v>
      </c>
      <c r="S153" s="10">
        <f>TABL1234[[#This Row],[الفرق بين بداية ونهاية خط  T/B]]+TABL1234[[#This Row],[الفرق بين بداية ونهاية خط  S/S]]</f>
        <v>0</v>
      </c>
      <c r="T153" s="10">
        <f>TABL1234[[#This Row],[(S/S TOT) AJD]]+TABL1234[[#This Row],[(T/B TOT) AJD]]</f>
        <v>0</v>
      </c>
      <c r="U153" s="41"/>
      <c r="V153" s="41"/>
      <c r="W153" s="10">
        <f>TABL1234[[#This Row],[(A/B TOT) AJD]]+TABL1234[[#This Row],[(A/S TOT)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Row],[البخر  AJD]])</f>
        <v>0</v>
      </c>
      <c r="AE153" s="41"/>
      <c r="AF153" s="43"/>
      <c r="AG153" s="43"/>
      <c r="AH153" s="6"/>
      <c r="AI153" s="43"/>
      <c r="AJ153" s="43">
        <f>TABL1234[[#This Row],[(A/B TOT) AJD]]-TABL1234[[#This Row],[BER_ IN]]</f>
        <v>0</v>
      </c>
      <c r="AK153" s="43"/>
      <c r="AL153" s="43"/>
      <c r="AM153" s="32"/>
      <c r="AN153" s="32">
        <f>TABL1234[[#This Row],[ (RESV. STORGE) SER]]/10</f>
        <v>0</v>
      </c>
      <c r="AO153" s="75"/>
      <c r="AP153" s="75">
        <f>TABL1234[[#This Row],[(A/S TOT) AJD]]-TABL1234[[#This Row],[SER_ 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Row],[خط (T/B  TOT) SAR]]+TABL1234[[#This Row],[خط (S/S  TOT) SAR2]]</f>
        <v>0</v>
      </c>
      <c r="L154" s="45"/>
      <c r="M154" s="46"/>
      <c r="N154" s="46"/>
      <c r="O154" s="40"/>
      <c r="P154" s="10">
        <f>TABL1234[[#This Row],[خط (S/S  TOT) SAR2]]-TABL1234[[#This Row],[(S/S TOT) AJD]]</f>
        <v>0</v>
      </c>
      <c r="Q154" s="40"/>
      <c r="R154" s="10">
        <f>TABL1234[[#This Row],[خط (T/B  TOT) SAR]]-TABL1234[[#This Row],[(T/B TOT) AJD]]</f>
        <v>0</v>
      </c>
      <c r="S154" s="10">
        <f>TABL1234[[#This Row],[الفرق بين بداية ونهاية خط  T/B]]+TABL1234[[#This Row],[الفرق بين بداية ونهاية خط  S/S]]</f>
        <v>0</v>
      </c>
      <c r="T154" s="10">
        <f>TABL1234[[#This Row],[(S/S TOT) AJD]]+TABL1234[[#This Row],[(T/B TOT) AJD]]</f>
        <v>0</v>
      </c>
      <c r="U154" s="44"/>
      <c r="V154" s="44"/>
      <c r="W154" s="10">
        <f>TABL1234[[#This Row],[(A/B TOT) AJD]]+TABL1234[[#This Row],[(A/S TOT)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Row],[البخر  AJD]])</f>
        <v>0</v>
      </c>
      <c r="AE154" s="44"/>
      <c r="AF154" s="45"/>
      <c r="AG154" s="45"/>
      <c r="AH154" s="6"/>
      <c r="AI154" s="45"/>
      <c r="AJ154" s="45">
        <f>TABL1234[[#This Row],[(A/B TOT) AJD]]-TABL1234[[#This Row],[BER_ IN]]</f>
        <v>0</v>
      </c>
      <c r="AK154" s="45"/>
      <c r="AL154" s="45"/>
      <c r="AM154" s="32"/>
      <c r="AN154" s="32">
        <f>TABL1234[[#This Row],[ (RESV. STORGE) SER]]/10</f>
        <v>0</v>
      </c>
      <c r="AO154" s="75"/>
      <c r="AP154" s="75">
        <f>TABL1234[[#This Row],[(A/S TOT) AJD]]-TABL1234[[#This Row],[SER_ 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Row],[خط (T/B  TOT) SAR]]+TABL1234[[#This Row],[خط (S/S  TOT) SAR2]]</f>
        <v>0</v>
      </c>
      <c r="L155" s="41"/>
      <c r="M155" s="42"/>
      <c r="N155" s="42"/>
      <c r="O155" s="39"/>
      <c r="P155" s="10">
        <f>TABL1234[[#This Row],[خط (S/S  TOT) SAR2]]-TABL1234[[#This Row],[(S/S TOT) AJD]]</f>
        <v>0</v>
      </c>
      <c r="Q155" s="39"/>
      <c r="R155" s="10">
        <f>TABL1234[[#This Row],[خط (T/B  TOT) SAR]]-TABL1234[[#This Row],[(T/B TOT) AJD]]</f>
        <v>0</v>
      </c>
      <c r="S155" s="10">
        <f>TABL1234[[#This Row],[الفرق بين بداية ونهاية خط  T/B]]+TABL1234[[#This Row],[الفرق بين بداية ونهاية خط  S/S]]</f>
        <v>0</v>
      </c>
      <c r="T155" s="10">
        <f>TABL1234[[#This Row],[(S/S TOT) AJD]]+TABL1234[[#This Row],[(T/B TOT) AJD]]</f>
        <v>0</v>
      </c>
      <c r="U155" s="41"/>
      <c r="V155" s="41"/>
      <c r="W155" s="10">
        <f>TABL1234[[#This Row],[(A/B TOT) AJD]]+TABL1234[[#This Row],[(A/S TOT)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Row],[البخر  AJD]])</f>
        <v>0</v>
      </c>
      <c r="AE155" s="41"/>
      <c r="AF155" s="43"/>
      <c r="AG155" s="43"/>
      <c r="AH155" s="6"/>
      <c r="AI155" s="43"/>
      <c r="AJ155" s="43">
        <f>TABL1234[[#This Row],[(A/B TOT) AJD]]-TABL1234[[#This Row],[BER_ IN]]</f>
        <v>0</v>
      </c>
      <c r="AK155" s="43"/>
      <c r="AL155" s="43"/>
      <c r="AM155" s="32"/>
      <c r="AN155" s="32">
        <f>TABL1234[[#This Row],[ (RESV. STORGE) SER]]/10</f>
        <v>0</v>
      </c>
      <c r="AO155" s="75"/>
      <c r="AP155" s="75">
        <f>TABL1234[[#This Row],[(A/S TOT) AJD]]-TABL1234[[#This Row],[SER_ 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Row],[خط (T/B  TOT) SAR]]+TABL1234[[#This Row],[خط (S/S  TOT) SAR2]]</f>
        <v>0</v>
      </c>
      <c r="L156" s="45"/>
      <c r="M156" s="46"/>
      <c r="N156" s="46"/>
      <c r="O156" s="40"/>
      <c r="P156" s="10">
        <f>TABL1234[[#This Row],[خط (S/S  TOT) SAR2]]-TABL1234[[#This Row],[(S/S TOT) AJD]]</f>
        <v>0</v>
      </c>
      <c r="Q156" s="40"/>
      <c r="R156" s="10">
        <f>TABL1234[[#This Row],[خط (T/B  TOT) SAR]]-TABL1234[[#This Row],[(T/B TOT) AJD]]</f>
        <v>0</v>
      </c>
      <c r="S156" s="10">
        <f>TABL1234[[#This Row],[الفرق بين بداية ونهاية خط  T/B]]+TABL1234[[#This Row],[الفرق بين بداية ونهاية خط  S/S]]</f>
        <v>0</v>
      </c>
      <c r="T156" s="10">
        <f>TABL1234[[#This Row],[(S/S TOT) AJD]]+TABL1234[[#This Row],[(T/B TOT) AJD]]</f>
        <v>0</v>
      </c>
      <c r="U156" s="44"/>
      <c r="V156" s="44"/>
      <c r="W156" s="10">
        <f>TABL1234[[#This Row],[(A/B TOT) AJD]]+TABL1234[[#This Row],[(A/S TOT)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Row],[البخر  AJD]])</f>
        <v>0</v>
      </c>
      <c r="AE156" s="44"/>
      <c r="AF156" s="45"/>
      <c r="AG156" s="45"/>
      <c r="AH156" s="6"/>
      <c r="AI156" s="45"/>
      <c r="AJ156" s="45">
        <f>TABL1234[[#This Row],[(A/B TOT) AJD]]-TABL1234[[#This Row],[BER_ IN]]</f>
        <v>0</v>
      </c>
      <c r="AK156" s="45"/>
      <c r="AL156" s="45"/>
      <c r="AM156" s="32"/>
      <c r="AN156" s="32">
        <f>TABL1234[[#This Row],[ (RESV. STORGE) SER]]/10</f>
        <v>0</v>
      </c>
      <c r="AO156" s="75"/>
      <c r="AP156" s="75">
        <f>TABL1234[[#This Row],[(A/S TOT) AJD]]-TABL1234[[#This Row],[SER_ 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Row],[خط (T/B  TOT) SAR]]+TABL1234[[#This Row],[خط (S/S  TOT) SAR2]]</f>
        <v>0</v>
      </c>
      <c r="L157" s="41"/>
      <c r="M157" s="42"/>
      <c r="N157" s="42"/>
      <c r="O157" s="39"/>
      <c r="P157" s="10">
        <f>TABL1234[[#This Row],[خط (S/S  TOT) SAR2]]-TABL1234[[#This Row],[(S/S TOT) AJD]]</f>
        <v>0</v>
      </c>
      <c r="Q157" s="39"/>
      <c r="R157" s="10">
        <f>TABL1234[[#This Row],[خط (T/B  TOT) SAR]]-TABL1234[[#This Row],[(T/B TOT) AJD]]</f>
        <v>0</v>
      </c>
      <c r="S157" s="10">
        <f>TABL1234[[#This Row],[الفرق بين بداية ونهاية خط  T/B]]+TABL1234[[#This Row],[الفرق بين بداية ونهاية خط  S/S]]</f>
        <v>0</v>
      </c>
      <c r="T157" s="10">
        <f>TABL1234[[#This Row],[(S/S TOT) AJD]]+TABL1234[[#This Row],[(T/B TOT) AJD]]</f>
        <v>0</v>
      </c>
      <c r="U157" s="41"/>
      <c r="V157" s="41"/>
      <c r="W157" s="10">
        <f>TABL1234[[#This Row],[(A/B TOT) AJD]]+TABL1234[[#This Row],[(A/S TOT)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Row],[البخر  AJD]])</f>
        <v>0</v>
      </c>
      <c r="AE157" s="41"/>
      <c r="AF157" s="43"/>
      <c r="AG157" s="43"/>
      <c r="AH157" s="6"/>
      <c r="AI157" s="43"/>
      <c r="AJ157" s="43">
        <f>TABL1234[[#This Row],[(A/B TOT) AJD]]-TABL1234[[#This Row],[BER_ IN]]</f>
        <v>0</v>
      </c>
      <c r="AK157" s="43"/>
      <c r="AL157" s="43"/>
      <c r="AM157" s="32"/>
      <c r="AN157" s="32">
        <f>TABL1234[[#This Row],[ (RESV. STORGE) SER]]/10</f>
        <v>0</v>
      </c>
      <c r="AO157" s="75"/>
      <c r="AP157" s="75">
        <f>TABL1234[[#This Row],[(A/S TOT) AJD]]-TABL1234[[#This Row],[SER_ 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Row],[خط (T/B  TOT) SAR]]+TABL1234[[#This Row],[خط (S/S  TOT) SAR2]]</f>
        <v>0</v>
      </c>
      <c r="L158" s="45"/>
      <c r="M158" s="46"/>
      <c r="N158" s="46"/>
      <c r="O158" s="40"/>
      <c r="P158" s="10">
        <f>TABL1234[[#This Row],[خط (S/S  TOT) SAR2]]-TABL1234[[#This Row],[(S/S TOT) AJD]]</f>
        <v>0</v>
      </c>
      <c r="Q158" s="40"/>
      <c r="R158" s="10">
        <f>TABL1234[[#This Row],[خط (T/B  TOT) SAR]]-TABL1234[[#This Row],[(T/B TOT) AJD]]</f>
        <v>0</v>
      </c>
      <c r="S158" s="10">
        <f>TABL1234[[#This Row],[الفرق بين بداية ونهاية خط  T/B]]+TABL1234[[#This Row],[الفرق بين بداية ونهاية خط  S/S]]</f>
        <v>0</v>
      </c>
      <c r="T158" s="10">
        <f>TABL1234[[#This Row],[(S/S TOT) AJD]]+TABL1234[[#This Row],[(T/B TOT) AJD]]</f>
        <v>0</v>
      </c>
      <c r="U158" s="44"/>
      <c r="V158" s="44"/>
      <c r="W158" s="10">
        <f>TABL1234[[#This Row],[(A/B TOT) AJD]]+TABL1234[[#This Row],[(A/S TOT)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Row],[البخر  AJD]])</f>
        <v>0</v>
      </c>
      <c r="AE158" s="44"/>
      <c r="AF158" s="45"/>
      <c r="AG158" s="45"/>
      <c r="AH158" s="6"/>
      <c r="AI158" s="45"/>
      <c r="AJ158" s="45">
        <f>TABL1234[[#This Row],[(A/B TOT) AJD]]-TABL1234[[#This Row],[BER_ IN]]</f>
        <v>0</v>
      </c>
      <c r="AK158" s="45"/>
      <c r="AL158" s="45"/>
      <c r="AM158" s="32"/>
      <c r="AN158" s="32">
        <f>TABL1234[[#This Row],[ (RESV. STORGE) SER]]/10</f>
        <v>0</v>
      </c>
      <c r="AO158" s="75"/>
      <c r="AP158" s="75">
        <f>TABL1234[[#This Row],[(A/S TOT) AJD]]-TABL1234[[#This Row],[SER_ 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Row],[خط (T/B  TOT) SAR]]+TABL1234[[#This Row],[خط (S/S  TOT) SAR2]]</f>
        <v>0</v>
      </c>
      <c r="L159" s="41"/>
      <c r="M159" s="42"/>
      <c r="N159" s="42"/>
      <c r="O159" s="39"/>
      <c r="P159" s="10">
        <f>TABL1234[[#This Row],[خط (S/S  TOT) SAR2]]-TABL1234[[#This Row],[(S/S TOT) AJD]]</f>
        <v>0</v>
      </c>
      <c r="Q159" s="39"/>
      <c r="R159" s="10">
        <f>TABL1234[[#This Row],[خط (T/B  TOT) SAR]]-TABL1234[[#This Row],[(T/B TOT) AJD]]</f>
        <v>0</v>
      </c>
      <c r="S159" s="10">
        <f>TABL1234[[#This Row],[الفرق بين بداية ونهاية خط  T/B]]+TABL1234[[#This Row],[الفرق بين بداية ونهاية خط  S/S]]</f>
        <v>0</v>
      </c>
      <c r="T159" s="10">
        <f>TABL1234[[#This Row],[(S/S TOT) AJD]]+TABL1234[[#This Row],[(T/B TOT) AJD]]</f>
        <v>0</v>
      </c>
      <c r="U159" s="41"/>
      <c r="V159" s="41"/>
      <c r="W159" s="10">
        <f>TABL1234[[#This Row],[(A/B TOT) AJD]]+TABL1234[[#This Row],[(A/S TOT)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Row],[البخر  AJD]])</f>
        <v>0</v>
      </c>
      <c r="AE159" s="41"/>
      <c r="AF159" s="43"/>
      <c r="AG159" s="43"/>
      <c r="AH159" s="6"/>
      <c r="AI159" s="43"/>
      <c r="AJ159" s="43">
        <f>TABL1234[[#This Row],[(A/B TOT) AJD]]-TABL1234[[#This Row],[BER_ IN]]</f>
        <v>0</v>
      </c>
      <c r="AK159" s="43"/>
      <c r="AL159" s="43"/>
      <c r="AM159" s="32"/>
      <c r="AN159" s="32">
        <f>TABL1234[[#This Row],[ (RESV. STORGE) SER]]/10</f>
        <v>0</v>
      </c>
      <c r="AO159" s="75"/>
      <c r="AP159" s="75">
        <f>TABL1234[[#This Row],[(A/S TOT) AJD]]-TABL1234[[#This Row],[SER_ 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Row],[خط (T/B  TOT) SAR]]+TABL1234[[#This Row],[خط (S/S  TOT) SAR2]]</f>
        <v>0</v>
      </c>
      <c r="L160" s="45"/>
      <c r="M160" s="46"/>
      <c r="N160" s="46"/>
      <c r="O160" s="40"/>
      <c r="P160" s="10">
        <f>TABL1234[[#This Row],[خط (S/S  TOT) SAR2]]-TABL1234[[#This Row],[(S/S TOT) AJD]]</f>
        <v>0</v>
      </c>
      <c r="Q160" s="40"/>
      <c r="R160" s="10">
        <f>TABL1234[[#This Row],[خط (T/B  TOT) SAR]]-TABL1234[[#This Row],[(T/B TOT) AJD]]</f>
        <v>0</v>
      </c>
      <c r="S160" s="10">
        <f>TABL1234[[#This Row],[الفرق بين بداية ونهاية خط  T/B]]+TABL1234[[#This Row],[الفرق بين بداية ونهاية خط  S/S]]</f>
        <v>0</v>
      </c>
      <c r="T160" s="10">
        <f>TABL1234[[#This Row],[(S/S TOT) AJD]]+TABL1234[[#This Row],[(T/B TOT) AJD]]</f>
        <v>0</v>
      </c>
      <c r="U160" s="44"/>
      <c r="V160" s="44"/>
      <c r="W160" s="10">
        <f>TABL1234[[#This Row],[(A/B TOT) AJD]]+TABL1234[[#This Row],[(A/S TOT)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Row],[البخر  AJD]])</f>
        <v>0</v>
      </c>
      <c r="AE160" s="44"/>
      <c r="AF160" s="45"/>
      <c r="AG160" s="45"/>
      <c r="AH160" s="6"/>
      <c r="AI160" s="45"/>
      <c r="AJ160" s="45">
        <f>TABL1234[[#This Row],[(A/B TOT) AJD]]-TABL1234[[#This Row],[BER_ IN]]</f>
        <v>0</v>
      </c>
      <c r="AK160" s="45"/>
      <c r="AL160" s="45"/>
      <c r="AM160" s="32"/>
      <c r="AN160" s="32">
        <f>TABL1234[[#This Row],[ (RESV. STORGE) SER]]/10</f>
        <v>0</v>
      </c>
      <c r="AO160" s="75"/>
      <c r="AP160" s="75">
        <f>TABL1234[[#This Row],[(A/S TOT) AJD]]-TABL1234[[#This Row],[SER_ 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Row],[خط (T/B  TOT) SAR]]+TABL1234[[#This Row],[خط (S/S  TOT) SAR2]]</f>
        <v>0</v>
      </c>
      <c r="L161" s="41"/>
      <c r="M161" s="42"/>
      <c r="N161" s="42"/>
      <c r="O161" s="39"/>
      <c r="P161" s="10">
        <f>TABL1234[[#This Row],[خط (S/S  TOT) SAR2]]-TABL1234[[#This Row],[(S/S TOT) AJD]]</f>
        <v>0</v>
      </c>
      <c r="Q161" s="39"/>
      <c r="R161" s="10">
        <f>TABL1234[[#This Row],[خط (T/B  TOT) SAR]]-TABL1234[[#This Row],[(T/B TOT) AJD]]</f>
        <v>0</v>
      </c>
      <c r="S161" s="10">
        <f>TABL1234[[#This Row],[الفرق بين بداية ونهاية خط  T/B]]+TABL1234[[#This Row],[الفرق بين بداية ونهاية خط  S/S]]</f>
        <v>0</v>
      </c>
      <c r="T161" s="10">
        <f>TABL1234[[#This Row],[(S/S TOT) AJD]]+TABL1234[[#This Row],[(T/B TOT) AJD]]</f>
        <v>0</v>
      </c>
      <c r="U161" s="41"/>
      <c r="V161" s="41"/>
      <c r="W161" s="10">
        <f>TABL1234[[#This Row],[(A/B TOT) AJD]]+TABL1234[[#This Row],[(A/S TOT)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Row],[البخر  AJD]])</f>
        <v>0</v>
      </c>
      <c r="AE161" s="41"/>
      <c r="AF161" s="43"/>
      <c r="AG161" s="43"/>
      <c r="AH161" s="6"/>
      <c r="AI161" s="43"/>
      <c r="AJ161" s="43">
        <f>TABL1234[[#This Row],[(A/B TOT) AJD]]-TABL1234[[#This Row],[BER_ IN]]</f>
        <v>0</v>
      </c>
      <c r="AK161" s="43"/>
      <c r="AL161" s="43"/>
      <c r="AM161" s="32"/>
      <c r="AN161" s="32">
        <f>TABL1234[[#This Row],[ (RESV. STORGE) SER]]/10</f>
        <v>0</v>
      </c>
      <c r="AO161" s="75"/>
      <c r="AP161" s="75">
        <f>TABL1234[[#This Row],[(A/S TOT) AJD]]-TABL1234[[#This Row],[SER_ 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Row],[خط (T/B  TOT) SAR]]+TABL1234[[#This Row],[خط (S/S  TOT) SAR2]]</f>
        <v>0</v>
      </c>
      <c r="L162" s="45"/>
      <c r="M162" s="46"/>
      <c r="N162" s="46"/>
      <c r="O162" s="40"/>
      <c r="P162" s="10">
        <f>TABL1234[[#This Row],[خط (S/S  TOT) SAR2]]-TABL1234[[#This Row],[(S/S TOT) AJD]]</f>
        <v>0</v>
      </c>
      <c r="Q162" s="40"/>
      <c r="R162" s="10">
        <f>TABL1234[[#This Row],[خط (T/B  TOT) SAR]]-TABL1234[[#This Row],[(T/B TOT) AJD]]</f>
        <v>0</v>
      </c>
      <c r="S162" s="10">
        <f>TABL1234[[#This Row],[الفرق بين بداية ونهاية خط  T/B]]+TABL1234[[#This Row],[الفرق بين بداية ونهاية خط  S/S]]</f>
        <v>0</v>
      </c>
      <c r="T162" s="10">
        <f>TABL1234[[#This Row],[(S/S TOT) AJD]]+TABL1234[[#This Row],[(T/B TOT) AJD]]</f>
        <v>0</v>
      </c>
      <c r="U162" s="44"/>
      <c r="V162" s="44"/>
      <c r="W162" s="10">
        <f>TABL1234[[#This Row],[(A/B TOT) AJD]]+TABL1234[[#This Row],[(A/S TOT)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Row],[البخر  AJD]])</f>
        <v>0</v>
      </c>
      <c r="AE162" s="44"/>
      <c r="AF162" s="45"/>
      <c r="AG162" s="45"/>
      <c r="AH162" s="6"/>
      <c r="AI162" s="45"/>
      <c r="AJ162" s="45">
        <f>TABL1234[[#This Row],[(A/B TOT) AJD]]-TABL1234[[#This Row],[BER_ IN]]</f>
        <v>0</v>
      </c>
      <c r="AK162" s="45"/>
      <c r="AL162" s="45"/>
      <c r="AM162" s="32"/>
      <c r="AN162" s="32">
        <f>TABL1234[[#This Row],[ (RESV. STORGE) SER]]/10</f>
        <v>0</v>
      </c>
      <c r="AO162" s="75"/>
      <c r="AP162" s="75">
        <f>TABL1234[[#This Row],[(A/S TOT) AJD]]-TABL1234[[#This Row],[SER_ 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Row],[خط (T/B  TOT) SAR]]+TABL1234[[#This Row],[خط (S/S  TOT) SAR2]]</f>
        <v>0</v>
      </c>
      <c r="L163" s="41"/>
      <c r="M163" s="42"/>
      <c r="N163" s="42"/>
      <c r="O163" s="39"/>
      <c r="P163" s="10">
        <f>TABL1234[[#This Row],[خط (S/S  TOT) SAR2]]-TABL1234[[#This Row],[(S/S TOT) AJD]]</f>
        <v>0</v>
      </c>
      <c r="Q163" s="39"/>
      <c r="R163" s="10">
        <f>TABL1234[[#This Row],[خط (T/B  TOT) SAR]]-TABL1234[[#This Row],[(T/B TOT) AJD]]</f>
        <v>0</v>
      </c>
      <c r="S163" s="10">
        <f>TABL1234[[#This Row],[الفرق بين بداية ونهاية خط  T/B]]+TABL1234[[#This Row],[الفرق بين بداية ونهاية خط  S/S]]</f>
        <v>0</v>
      </c>
      <c r="T163" s="10">
        <f>TABL1234[[#This Row],[(S/S TOT) AJD]]+TABL1234[[#This Row],[(T/B TOT) AJD]]</f>
        <v>0</v>
      </c>
      <c r="U163" s="41"/>
      <c r="V163" s="41"/>
      <c r="W163" s="10">
        <f>TABL1234[[#This Row],[(A/B TOT) AJD]]+TABL1234[[#This Row],[(A/S TOT)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Row],[البخر  AJD]])</f>
        <v>0</v>
      </c>
      <c r="AE163" s="41"/>
      <c r="AF163" s="43"/>
      <c r="AG163" s="43"/>
      <c r="AH163" s="6"/>
      <c r="AI163" s="43"/>
      <c r="AJ163" s="43">
        <f>TABL1234[[#This Row],[(A/B TOT) AJD]]-TABL1234[[#This Row],[BER_ IN]]</f>
        <v>0</v>
      </c>
      <c r="AK163" s="43"/>
      <c r="AL163" s="43"/>
      <c r="AM163" s="32"/>
      <c r="AN163" s="32">
        <f>TABL1234[[#This Row],[ (RESV. STORGE) SER]]/10</f>
        <v>0</v>
      </c>
      <c r="AO163" s="75"/>
      <c r="AP163" s="75">
        <f>TABL1234[[#This Row],[(A/S TOT) AJD]]-TABL1234[[#This Row],[SER_ 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Row],[خط (T/B  TOT) SAR]]+TABL1234[[#This Row],[خط (S/S  TOT) SAR2]]</f>
        <v>0</v>
      </c>
      <c r="L164" s="45"/>
      <c r="M164" s="46"/>
      <c r="N164" s="46"/>
      <c r="O164" s="40"/>
      <c r="P164" s="10">
        <f>TABL1234[[#This Row],[خط (S/S  TOT) SAR2]]-TABL1234[[#This Row],[(S/S TOT) AJD]]</f>
        <v>0</v>
      </c>
      <c r="Q164" s="40"/>
      <c r="R164" s="10">
        <f>TABL1234[[#This Row],[خط (T/B  TOT) SAR]]-TABL1234[[#This Row],[(T/B TOT) AJD]]</f>
        <v>0</v>
      </c>
      <c r="S164" s="10">
        <f>TABL1234[[#This Row],[الفرق بين بداية ونهاية خط  T/B]]+TABL1234[[#This Row],[الفرق بين بداية ونهاية خط  S/S]]</f>
        <v>0</v>
      </c>
      <c r="T164" s="10">
        <f>TABL1234[[#This Row],[(S/S TOT) AJD]]+TABL1234[[#This Row],[(T/B TOT) AJD]]</f>
        <v>0</v>
      </c>
      <c r="U164" s="44"/>
      <c r="V164" s="44"/>
      <c r="W164" s="10">
        <f>TABL1234[[#This Row],[(A/B TOT) AJD]]+TABL1234[[#This Row],[(A/S TOT)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Row],[البخر  AJD]])</f>
        <v>0</v>
      </c>
      <c r="AE164" s="44"/>
      <c r="AF164" s="45"/>
      <c r="AG164" s="45"/>
      <c r="AH164" s="6"/>
      <c r="AI164" s="45"/>
      <c r="AJ164" s="45">
        <f>TABL1234[[#This Row],[(A/B TOT) AJD]]-TABL1234[[#This Row],[BER_ IN]]</f>
        <v>0</v>
      </c>
      <c r="AK164" s="45"/>
      <c r="AL164" s="45"/>
      <c r="AM164" s="32"/>
      <c r="AN164" s="32">
        <f>TABL1234[[#This Row],[ (RESV. STORGE) SER]]/10</f>
        <v>0</v>
      </c>
      <c r="AO164" s="75"/>
      <c r="AP164" s="75">
        <f>TABL1234[[#This Row],[(A/S TOT) AJD]]-TABL1234[[#This Row],[SER_ 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Row],[خط (T/B  TOT) SAR]]+TABL1234[[#This Row],[خط (S/S  TOT) SAR2]]</f>
        <v>0</v>
      </c>
      <c r="L165" s="41"/>
      <c r="M165" s="42"/>
      <c r="N165" s="42"/>
      <c r="O165" s="39"/>
      <c r="P165" s="10">
        <f>TABL1234[[#This Row],[خط (S/S  TOT) SAR2]]-TABL1234[[#This Row],[(S/S TOT) AJD]]</f>
        <v>0</v>
      </c>
      <c r="Q165" s="39"/>
      <c r="R165" s="10">
        <f>TABL1234[[#This Row],[خط (T/B  TOT) SAR]]-TABL1234[[#This Row],[(T/B TOT) AJD]]</f>
        <v>0</v>
      </c>
      <c r="S165" s="10">
        <f>TABL1234[[#This Row],[الفرق بين بداية ونهاية خط  T/B]]+TABL1234[[#This Row],[الفرق بين بداية ونهاية خط  S/S]]</f>
        <v>0</v>
      </c>
      <c r="T165" s="10">
        <f>TABL1234[[#This Row],[(S/S TOT) AJD]]+TABL1234[[#This Row],[(T/B TOT) AJD]]</f>
        <v>0</v>
      </c>
      <c r="U165" s="41"/>
      <c r="V165" s="41"/>
      <c r="W165" s="10">
        <f>TABL1234[[#This Row],[(A/B TOT) AJD]]+TABL1234[[#This Row],[(A/S TOT)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Row],[البخر  AJD]])</f>
        <v>0</v>
      </c>
      <c r="AE165" s="41"/>
      <c r="AF165" s="43"/>
      <c r="AG165" s="43"/>
      <c r="AH165" s="6"/>
      <c r="AI165" s="43"/>
      <c r="AJ165" s="43">
        <f>TABL1234[[#This Row],[(A/B TOT) AJD]]-TABL1234[[#This Row],[BER_ IN]]</f>
        <v>0</v>
      </c>
      <c r="AK165" s="43"/>
      <c r="AL165" s="43"/>
      <c r="AM165" s="32"/>
      <c r="AN165" s="32">
        <f>TABL1234[[#This Row],[ (RESV. STORGE) SER]]/10</f>
        <v>0</v>
      </c>
      <c r="AO165" s="75"/>
      <c r="AP165" s="75">
        <f>TABL1234[[#This Row],[(A/S TOT) AJD]]-TABL1234[[#This Row],[SER_ 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Row],[خط (T/B  TOT) SAR]]+TABL1234[[#This Row],[خط (S/S  TOT) SAR2]]</f>
        <v>0</v>
      </c>
      <c r="L166" s="45"/>
      <c r="M166" s="46"/>
      <c r="N166" s="46"/>
      <c r="O166" s="40"/>
      <c r="P166" s="10">
        <f>TABL1234[[#This Row],[خط (S/S  TOT) SAR2]]-TABL1234[[#This Row],[(S/S TOT) AJD]]</f>
        <v>0</v>
      </c>
      <c r="Q166" s="40"/>
      <c r="R166" s="10">
        <f>TABL1234[[#This Row],[خط (T/B  TOT) SAR]]-TABL1234[[#This Row],[(T/B TOT) AJD]]</f>
        <v>0</v>
      </c>
      <c r="S166" s="10">
        <f>TABL1234[[#This Row],[الفرق بين بداية ونهاية خط  T/B]]+TABL1234[[#This Row],[الفرق بين بداية ونهاية خط  S/S]]</f>
        <v>0</v>
      </c>
      <c r="T166" s="10">
        <f>TABL1234[[#This Row],[(S/S TOT) AJD]]+TABL1234[[#This Row],[(T/B TOT) AJD]]</f>
        <v>0</v>
      </c>
      <c r="U166" s="44"/>
      <c r="V166" s="44"/>
      <c r="W166" s="10">
        <f>TABL1234[[#This Row],[(A/B TOT) AJD]]+TABL1234[[#This Row],[(A/S TOT)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Row],[البخر  AJD]])</f>
        <v>0</v>
      </c>
      <c r="AE166" s="44"/>
      <c r="AF166" s="45"/>
      <c r="AG166" s="45"/>
      <c r="AH166" s="6"/>
      <c r="AI166" s="45"/>
      <c r="AJ166" s="45">
        <f>TABL1234[[#This Row],[(A/B TOT) AJD]]-TABL1234[[#This Row],[BER_ IN]]</f>
        <v>0</v>
      </c>
      <c r="AK166" s="45"/>
      <c r="AL166" s="45"/>
      <c r="AM166" s="32"/>
      <c r="AN166" s="32">
        <f>TABL1234[[#This Row],[ (RESV. STORGE) SER]]/10</f>
        <v>0</v>
      </c>
      <c r="AO166" s="75"/>
      <c r="AP166" s="75">
        <f>TABL1234[[#This Row],[(A/S TOT) AJD]]-TABL1234[[#This Row],[SER_ 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Row],[خط (T/B  TOT) SAR]]+TABL1234[[#This Row],[خط (S/S  TOT) SAR2]]</f>
        <v>0</v>
      </c>
      <c r="L167" s="41"/>
      <c r="M167" s="42"/>
      <c r="N167" s="42"/>
      <c r="O167" s="39"/>
      <c r="P167" s="10">
        <f>TABL1234[[#This Row],[خط (S/S  TOT) SAR2]]-TABL1234[[#This Row],[(S/S TOT) AJD]]</f>
        <v>0</v>
      </c>
      <c r="Q167" s="39"/>
      <c r="R167" s="10">
        <f>TABL1234[[#This Row],[خط (T/B  TOT) SAR]]-TABL1234[[#This Row],[(T/B TOT) AJD]]</f>
        <v>0</v>
      </c>
      <c r="S167" s="10">
        <f>TABL1234[[#This Row],[الفرق بين بداية ونهاية خط  T/B]]+TABL1234[[#This Row],[الفرق بين بداية ونهاية خط  S/S]]</f>
        <v>0</v>
      </c>
      <c r="T167" s="10">
        <f>TABL1234[[#This Row],[(S/S TOT) AJD]]+TABL1234[[#This Row],[(T/B TOT) AJD]]</f>
        <v>0</v>
      </c>
      <c r="U167" s="41"/>
      <c r="V167" s="41"/>
      <c r="W167" s="10">
        <f>TABL1234[[#This Row],[(A/B TOT) AJD]]+TABL1234[[#This Row],[(A/S TOT)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Row],[البخر  AJD]])</f>
        <v>0</v>
      </c>
      <c r="AE167" s="41"/>
      <c r="AF167" s="43"/>
      <c r="AG167" s="43"/>
      <c r="AH167" s="6"/>
      <c r="AI167" s="43"/>
      <c r="AJ167" s="43">
        <f>TABL1234[[#This Row],[(A/B TOT) AJD]]-TABL1234[[#This Row],[BER_ IN]]</f>
        <v>0</v>
      </c>
      <c r="AK167" s="43"/>
      <c r="AL167" s="43"/>
      <c r="AM167" s="32"/>
      <c r="AN167" s="32">
        <f>TABL1234[[#This Row],[ (RESV. STORGE) SER]]/10</f>
        <v>0</v>
      </c>
      <c r="AO167" s="75"/>
      <c r="AP167" s="75">
        <f>TABL1234[[#This Row],[(A/S TOT) AJD]]-TABL1234[[#This Row],[SER_ 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Row],[خط (T/B  TOT) SAR]]+TABL1234[[#This Row],[خط (S/S  TOT) SAR2]]</f>
        <v>0</v>
      </c>
      <c r="L168" s="45"/>
      <c r="M168" s="46"/>
      <c r="N168" s="46"/>
      <c r="O168" s="40"/>
      <c r="P168" s="10">
        <f>TABL1234[[#This Row],[خط (S/S  TOT) SAR2]]-TABL1234[[#This Row],[(S/S TOT) AJD]]</f>
        <v>0</v>
      </c>
      <c r="Q168" s="40"/>
      <c r="R168" s="10">
        <f>TABL1234[[#This Row],[خط (T/B  TOT) SAR]]-TABL1234[[#This Row],[(T/B TOT) AJD]]</f>
        <v>0</v>
      </c>
      <c r="S168" s="10">
        <f>TABL1234[[#This Row],[الفرق بين بداية ونهاية خط  T/B]]+TABL1234[[#This Row],[الفرق بين بداية ونهاية خط  S/S]]</f>
        <v>0</v>
      </c>
      <c r="T168" s="10">
        <f>TABL1234[[#This Row],[(S/S TOT) AJD]]+TABL1234[[#This Row],[(T/B TOT) AJD]]</f>
        <v>0</v>
      </c>
      <c r="U168" s="44"/>
      <c r="V168" s="44"/>
      <c r="W168" s="10">
        <f>TABL1234[[#This Row],[(A/B TOT) AJD]]+TABL1234[[#This Row],[(A/S TOT)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Row],[البخر  AJD]])</f>
        <v>0</v>
      </c>
      <c r="AE168" s="44"/>
      <c r="AF168" s="45"/>
      <c r="AG168" s="45"/>
      <c r="AH168" s="6"/>
      <c r="AI168" s="45"/>
      <c r="AJ168" s="45">
        <f>TABL1234[[#This Row],[(A/B TOT) AJD]]-TABL1234[[#This Row],[BER_ IN]]</f>
        <v>0</v>
      </c>
      <c r="AK168" s="45"/>
      <c r="AL168" s="45"/>
      <c r="AM168" s="32"/>
      <c r="AN168" s="32">
        <f>TABL1234[[#This Row],[ (RESV. STORGE) SER]]/10</f>
        <v>0</v>
      </c>
      <c r="AO168" s="75"/>
      <c r="AP168" s="75">
        <f>TABL1234[[#This Row],[(A/S TOT) AJD]]-TABL1234[[#This Row],[SER_ 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Row],[خط (T/B  TOT) SAR]]+TABL1234[[#This Row],[خط (S/S  TOT) SAR2]]</f>
        <v>0</v>
      </c>
      <c r="L169" s="41"/>
      <c r="M169" s="42"/>
      <c r="N169" s="42"/>
      <c r="O169" s="39"/>
      <c r="P169" s="10">
        <f>TABL1234[[#This Row],[خط (S/S  TOT) SAR2]]-TABL1234[[#This Row],[(S/S TOT) AJD]]</f>
        <v>0</v>
      </c>
      <c r="Q169" s="39"/>
      <c r="R169" s="10">
        <f>TABL1234[[#This Row],[خط (T/B  TOT) SAR]]-TABL1234[[#This Row],[(T/B TOT) AJD]]</f>
        <v>0</v>
      </c>
      <c r="S169" s="10">
        <f>TABL1234[[#This Row],[الفرق بين بداية ونهاية خط  T/B]]+TABL1234[[#This Row],[الفرق بين بداية ونهاية خط  S/S]]</f>
        <v>0</v>
      </c>
      <c r="T169" s="10">
        <f>TABL1234[[#This Row],[(S/S TOT) AJD]]+TABL1234[[#This Row],[(T/B TOT) AJD]]</f>
        <v>0</v>
      </c>
      <c r="U169" s="41"/>
      <c r="V169" s="41"/>
      <c r="W169" s="10">
        <f>TABL1234[[#This Row],[(A/B TOT) AJD]]+TABL1234[[#This Row],[(A/S TOT)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Row],[البخر  AJD]])</f>
        <v>0</v>
      </c>
      <c r="AE169" s="41"/>
      <c r="AF169" s="43"/>
      <c r="AG169" s="43"/>
      <c r="AH169" s="6"/>
      <c r="AI169" s="43"/>
      <c r="AJ169" s="43">
        <f>TABL1234[[#This Row],[(A/B TOT) AJD]]-TABL1234[[#This Row],[BER_ IN]]</f>
        <v>0</v>
      </c>
      <c r="AK169" s="43"/>
      <c r="AL169" s="43"/>
      <c r="AM169" s="32"/>
      <c r="AN169" s="32">
        <f>TABL1234[[#This Row],[ (RESV. STORGE) SER]]/10</f>
        <v>0</v>
      </c>
      <c r="AO169" s="75"/>
      <c r="AP169" s="75">
        <f>TABL1234[[#This Row],[(A/S TOT) AJD]]-TABL1234[[#This Row],[SER_ 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Row],[خط (T/B  TOT) SAR]]+TABL1234[[#This Row],[خط (S/S  TOT) SAR2]]</f>
        <v>0</v>
      </c>
      <c r="L170" s="45"/>
      <c r="M170" s="46"/>
      <c r="N170" s="46"/>
      <c r="O170" s="40"/>
      <c r="P170" s="3">
        <f>TABL1234[[#This Row],[خط (S/S  TOT) SAR2]]-TABL1234[[#This Row],[(S/S TOT) AJD]]</f>
        <v>0</v>
      </c>
      <c r="Q170" s="40"/>
      <c r="R170" s="3">
        <f>TABL1234[[#This Row],[خط (T/B  TOT) SAR]]-TABL1234[[#This Row],[(T/B TOT) AJD]]</f>
        <v>0</v>
      </c>
      <c r="S170" s="3">
        <f>TABL1234[[#This Row],[الفرق بين بداية ونهاية خط  T/B]]+TABL1234[[#This Row],[الفرق بين بداية ونهاية خط  S/S]]</f>
        <v>0</v>
      </c>
      <c r="T170" s="3">
        <f>TABL1234[[#This Row],[(S/S TOT) AJD]]+TABL1234[[#This Row],[(T/B TOT) AJD]]</f>
        <v>0</v>
      </c>
      <c r="U170" s="44"/>
      <c r="V170" s="44"/>
      <c r="W170" s="3">
        <f>TABL1234[[#This Row],[(A/B TOT) AJD]]+TABL1234[[#This Row],[(A/S TOT)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Row],[البخر  AJD]])</f>
        <v>0</v>
      </c>
      <c r="AE170" s="44"/>
      <c r="AF170" s="45"/>
      <c r="AG170" s="45"/>
      <c r="AH170" s="6"/>
      <c r="AI170" s="45"/>
      <c r="AJ170" s="45">
        <f>TABL1234[[#This Row],[(A/B TOT) AJD]]-TABL1234[[#This Row],[BER_ IN]]</f>
        <v>0</v>
      </c>
      <c r="AK170" s="45"/>
      <c r="AL170" s="45"/>
      <c r="AM170" s="32"/>
      <c r="AN170" s="32">
        <f>TABL1234[[#This Row],[ (RESV. STORGE) SER]]/10</f>
        <v>0</v>
      </c>
      <c r="AO170" s="75"/>
      <c r="AP170" s="75">
        <f>TABL1234[[#This Row],[(A/S TOT) AJD]]-TABL1234[[#This Row],[SER_ 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Row],[خط (T/B  TOT) SAR]]+TABL1234[[#This Row],[خط (S/S  TOT) SAR2]]</f>
        <v>0</v>
      </c>
      <c r="L171" s="41"/>
      <c r="M171" s="42"/>
      <c r="N171" s="42"/>
      <c r="O171" s="39"/>
      <c r="P171" s="3">
        <f>TABL1234[[#This Row],[خط (S/S  TOT) SAR2]]-TABL1234[[#This Row],[(S/S TOT) AJD]]</f>
        <v>0</v>
      </c>
      <c r="Q171" s="39"/>
      <c r="R171" s="3">
        <f>TABL1234[[#This Row],[خط (T/B  TOT) SAR]]-TABL1234[[#This Row],[(T/B TOT) AJD]]</f>
        <v>0</v>
      </c>
      <c r="S171" s="3">
        <f>TABL1234[[#This Row],[الفرق بين بداية ونهاية خط  T/B]]+TABL1234[[#This Row],[الفرق بين بداية ونهاية خط  S/S]]</f>
        <v>0</v>
      </c>
      <c r="T171" s="3">
        <f>TABL1234[[#This Row],[(S/S TOT) AJD]]+TABL1234[[#This Row],[(T/B TOT) AJD]]</f>
        <v>0</v>
      </c>
      <c r="U171" s="41"/>
      <c r="V171" s="41"/>
      <c r="W171" s="3">
        <f>TABL1234[[#This Row],[(A/B TOT) AJD]]+TABL1234[[#This Row],[(A/S TOT)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Row],[البخر  AJD]])</f>
        <v>0</v>
      </c>
      <c r="AE171" s="41"/>
      <c r="AF171" s="43"/>
      <c r="AG171" s="43"/>
      <c r="AH171" s="6"/>
      <c r="AI171" s="43"/>
      <c r="AJ171" s="43">
        <f>TABL1234[[#This Row],[(A/B TOT) AJD]]-TABL1234[[#This Row],[BER_ IN]]</f>
        <v>0</v>
      </c>
      <c r="AK171" s="43"/>
      <c r="AL171" s="43"/>
      <c r="AM171" s="32"/>
      <c r="AN171" s="32">
        <f>TABL1234[[#This Row],[ (RESV. STORGE) SER]]/10</f>
        <v>0</v>
      </c>
      <c r="AO171" s="75"/>
      <c r="AP171" s="75">
        <f>TABL1234[[#This Row],[(A/S TOT) AJD]]-TABL1234[[#This Row],[SER_ 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Row],[خط (T/B  TOT) SAR]]+TABL1234[[#This Row],[خط (S/S  TOT) SAR2]]</f>
        <v>0</v>
      </c>
      <c r="L172" s="44"/>
      <c r="M172" s="46"/>
      <c r="N172" s="46"/>
      <c r="O172" s="40"/>
      <c r="P172" s="3">
        <f>TABL1234[[#This Row],[خط (S/S  TOT) SAR2]]-TABL1234[[#This Row],[(S/S TOT) AJD]]</f>
        <v>0</v>
      </c>
      <c r="Q172" s="40"/>
      <c r="R172" s="3">
        <f>TABL1234[[#This Row],[خط (T/B  TOT) SAR]]-TABL1234[[#This Row],[(T/B TOT) AJD]]</f>
        <v>0</v>
      </c>
      <c r="S172" s="3">
        <f>TABL1234[[#This Row],[الفرق بين بداية ونهاية خط  T/B]]+TABL1234[[#This Row],[الفرق بين بداية ونهاية خط  S/S]]</f>
        <v>0</v>
      </c>
      <c r="T172" s="3">
        <f>TABL1234[[#This Row],[(S/S TOT) AJD]]+TABL1234[[#This Row],[(T/B TOT) AJD]]</f>
        <v>0</v>
      </c>
      <c r="U172" s="44"/>
      <c r="V172" s="44"/>
      <c r="W172" s="3">
        <f>TABL1234[[#This Row],[(A/B TOT) AJD]]+TABL1234[[#This Row],[(A/S TOT)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Row],[البخر  AJD]])</f>
        <v>0</v>
      </c>
      <c r="AE172" s="44"/>
      <c r="AF172" s="45"/>
      <c r="AG172" s="45"/>
      <c r="AH172" s="6"/>
      <c r="AI172" s="45"/>
      <c r="AJ172" s="45">
        <f>TABL1234[[#This Row],[(A/B TOT) AJD]]-TABL1234[[#This Row],[BER_ IN]]</f>
        <v>0</v>
      </c>
      <c r="AK172" s="45"/>
      <c r="AL172" s="45"/>
      <c r="AM172" s="32"/>
      <c r="AN172" s="32">
        <f>TABL1234[[#This Row],[ (RESV. STORGE) SER]]/10</f>
        <v>0</v>
      </c>
      <c r="AO172" s="75"/>
      <c r="AP172" s="75">
        <f>TABL1234[[#This Row],[(A/S TOT) AJD]]-TABL1234[[#This Row],[SER_ 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Row],[خط (T/B  TOT) SAR]]+TABL1234[[#This Row],[خط (S/S  TOT) SAR2]]</f>
        <v>0</v>
      </c>
      <c r="L173" s="41"/>
      <c r="M173" s="42"/>
      <c r="N173" s="42"/>
      <c r="O173" s="39"/>
      <c r="P173" s="3">
        <f>TABL1234[[#This Row],[خط (S/S  TOT) SAR2]]-TABL1234[[#This Row],[(S/S TOT) AJD]]</f>
        <v>0</v>
      </c>
      <c r="Q173" s="39"/>
      <c r="R173" s="3">
        <f>TABL1234[[#This Row],[خط (T/B  TOT) SAR]]-TABL1234[[#This Row],[(T/B TOT) AJD]]</f>
        <v>0</v>
      </c>
      <c r="S173" s="3">
        <f>TABL1234[[#This Row],[الفرق بين بداية ونهاية خط  T/B]]+TABL1234[[#This Row],[الفرق بين بداية ونهاية خط  S/S]]</f>
        <v>0</v>
      </c>
      <c r="T173" s="3">
        <f>TABL1234[[#This Row],[(S/S TOT) AJD]]+TABL1234[[#This Row],[(T/B TOT) AJD]]</f>
        <v>0</v>
      </c>
      <c r="U173" s="41"/>
      <c r="V173" s="41"/>
      <c r="W173" s="3">
        <f>TABL1234[[#This Row],[(A/B TOT) AJD]]+TABL1234[[#This Row],[(A/S TOT)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Row],[البخر  AJD]])</f>
        <v>0</v>
      </c>
      <c r="AE173" s="41"/>
      <c r="AF173" s="43"/>
      <c r="AG173" s="43"/>
      <c r="AH173" s="6"/>
      <c r="AI173" s="43"/>
      <c r="AJ173" s="43">
        <f>TABL1234[[#This Row],[(A/B TOT) AJD]]-TABL1234[[#This Row],[BER_ IN]]</f>
        <v>0</v>
      </c>
      <c r="AK173" s="43"/>
      <c r="AL173" s="43"/>
      <c r="AM173" s="32"/>
      <c r="AN173" s="32">
        <f>TABL1234[[#This Row],[ (RESV. STORGE) SER]]/10</f>
        <v>0</v>
      </c>
      <c r="AO173" s="75"/>
      <c r="AP173" s="75">
        <f>TABL1234[[#This Row],[(A/S TOT) AJD]]-TABL1234[[#This Row],[SER_ 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Row],[خط (T/B  TOT) SAR]]+TABL1234[[#This Row],[خط (S/S  TOT) SAR2]]</f>
        <v>0</v>
      </c>
      <c r="L174" s="45"/>
      <c r="M174" s="46"/>
      <c r="N174" s="46"/>
      <c r="O174" s="40"/>
      <c r="P174" s="3">
        <f>TABL1234[[#This Row],[خط (S/S  TOT) SAR2]]-TABL1234[[#This Row],[(S/S TOT) AJD]]</f>
        <v>0</v>
      </c>
      <c r="Q174" s="40"/>
      <c r="R174" s="3">
        <f>TABL1234[[#This Row],[خط (T/B  TOT) SAR]]-TABL1234[[#This Row],[(T/B TOT) AJD]]</f>
        <v>0</v>
      </c>
      <c r="S174" s="3">
        <f>TABL1234[[#This Row],[الفرق بين بداية ونهاية خط  T/B]]+TABL1234[[#This Row],[الفرق بين بداية ونهاية خط  S/S]]</f>
        <v>0</v>
      </c>
      <c r="T174" s="3">
        <f>TABL1234[[#This Row],[(S/S TOT) AJD]]+TABL1234[[#This Row],[(T/B TOT) AJD]]</f>
        <v>0</v>
      </c>
      <c r="U174" s="44"/>
      <c r="V174" s="44"/>
      <c r="W174" s="3">
        <f>TABL1234[[#This Row],[(A/B TOT) AJD]]+TABL1234[[#This Row],[(A/S TOT)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Row],[البخر  AJD]])</f>
        <v>0</v>
      </c>
      <c r="AE174" s="44"/>
      <c r="AF174" s="45"/>
      <c r="AG174" s="45"/>
      <c r="AH174" s="6"/>
      <c r="AI174" s="45"/>
      <c r="AJ174" s="45">
        <f>TABL1234[[#This Row],[(A/B TOT) AJD]]-TABL1234[[#This Row],[BER_ IN]]</f>
        <v>0</v>
      </c>
      <c r="AK174" s="45"/>
      <c r="AL174" s="45"/>
      <c r="AM174" s="32"/>
      <c r="AN174" s="32">
        <f>TABL1234[[#This Row],[ (RESV. STORGE) SER]]/10</f>
        <v>0</v>
      </c>
      <c r="AO174" s="75"/>
      <c r="AP174" s="75">
        <f>TABL1234[[#This Row],[(A/S TOT) AJD]]-TABL1234[[#This Row],[SER_ 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Row],[خط (T/B  TOT) SAR]]+TABL1234[[#This Row],[خط (S/S  TOT) SAR2]]</f>
        <v>0</v>
      </c>
      <c r="L175" s="41"/>
      <c r="M175" s="42"/>
      <c r="N175" s="42"/>
      <c r="O175" s="39"/>
      <c r="P175" s="3">
        <f>TABL1234[[#This Row],[خط (S/S  TOT) SAR2]]-TABL1234[[#This Row],[(S/S TOT) AJD]]</f>
        <v>0</v>
      </c>
      <c r="Q175" s="39"/>
      <c r="R175" s="3">
        <f>TABL1234[[#This Row],[خط (T/B  TOT) SAR]]-TABL1234[[#This Row],[(T/B TOT) AJD]]</f>
        <v>0</v>
      </c>
      <c r="S175" s="3">
        <f>TABL1234[[#This Row],[الفرق بين بداية ونهاية خط  T/B]]+TABL1234[[#This Row],[الفرق بين بداية ونهاية خط  S/S]]</f>
        <v>0</v>
      </c>
      <c r="T175" s="3">
        <f>TABL1234[[#This Row],[(S/S TOT) AJD]]+TABL1234[[#This Row],[(T/B TOT) AJD]]</f>
        <v>0</v>
      </c>
      <c r="U175" s="41"/>
      <c r="V175" s="41"/>
      <c r="W175" s="3">
        <f>TABL1234[[#This Row],[(A/B TOT) AJD]]+TABL1234[[#This Row],[(A/S TOT)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Row],[البخر  AJD]])</f>
        <v>0</v>
      </c>
      <c r="AE175" s="41"/>
      <c r="AF175" s="43"/>
      <c r="AG175" s="43"/>
      <c r="AH175" s="6"/>
      <c r="AI175" s="43"/>
      <c r="AJ175" s="43">
        <f>TABL1234[[#This Row],[(A/B TOT) AJD]]-TABL1234[[#This Row],[BER_ IN]]</f>
        <v>0</v>
      </c>
      <c r="AK175" s="43"/>
      <c r="AL175" s="43"/>
      <c r="AM175" s="32"/>
      <c r="AN175" s="32">
        <f>TABL1234[[#This Row],[ (RESV. STORGE) SER]]/10</f>
        <v>0</v>
      </c>
      <c r="AO175" s="75"/>
      <c r="AP175" s="75">
        <f>TABL1234[[#This Row],[(A/S TOT) AJD]]-TABL1234[[#This Row],[SER_ 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Row],[خط (T/B  TOT) SAR]]+TABL1234[[#This Row],[خط (S/S  TOT) SAR2]]</f>
        <v>0</v>
      </c>
      <c r="L176" s="45"/>
      <c r="M176" s="46"/>
      <c r="N176" s="46"/>
      <c r="O176" s="40"/>
      <c r="P176" s="3">
        <f>TABL1234[[#This Row],[خط (S/S  TOT) SAR2]]-TABL1234[[#This Row],[(S/S TOT) AJD]]</f>
        <v>0</v>
      </c>
      <c r="Q176" s="40"/>
      <c r="R176" s="3">
        <f>TABL1234[[#This Row],[خط (T/B  TOT) SAR]]-TABL1234[[#This Row],[(T/B TOT) AJD]]</f>
        <v>0</v>
      </c>
      <c r="S176" s="3">
        <f>TABL1234[[#This Row],[الفرق بين بداية ونهاية خط  T/B]]+TABL1234[[#This Row],[الفرق بين بداية ونهاية خط  S/S]]</f>
        <v>0</v>
      </c>
      <c r="T176" s="3">
        <f>TABL1234[[#This Row],[(S/S TOT) AJD]]+TABL1234[[#This Row],[(T/B TOT) AJD]]</f>
        <v>0</v>
      </c>
      <c r="U176" s="44"/>
      <c r="V176" s="44"/>
      <c r="W176" s="3">
        <f>TABL1234[[#This Row],[(A/B TOT) AJD]]+TABL1234[[#This Row],[(A/S TOT)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Row],[البخر  AJD]])</f>
        <v>0</v>
      </c>
      <c r="AE176" s="44"/>
      <c r="AF176" s="45"/>
      <c r="AG176" s="45"/>
      <c r="AH176" s="6"/>
      <c r="AI176" s="45"/>
      <c r="AJ176" s="45">
        <f>TABL1234[[#This Row],[(A/B TOT) AJD]]-TABL1234[[#This Row],[BER_ IN]]</f>
        <v>0</v>
      </c>
      <c r="AK176" s="45"/>
      <c r="AL176" s="45"/>
      <c r="AM176" s="32"/>
      <c r="AN176" s="32">
        <f>TABL1234[[#This Row],[ (RESV. STORGE) SER]]/10</f>
        <v>0</v>
      </c>
      <c r="AO176" s="75"/>
      <c r="AP176" s="75">
        <f>TABL1234[[#This Row],[(A/S TOT) AJD]]-TABL1234[[#This Row],[SER_ 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Row],[خط (T/B  TOT) SAR]]+TABL1234[[#This Row],[خط (S/S  TOT) SAR2]]</f>
        <v>0</v>
      </c>
      <c r="L177" s="41"/>
      <c r="M177" s="42"/>
      <c r="N177" s="42"/>
      <c r="O177" s="39"/>
      <c r="P177" s="3">
        <f>TABL1234[[#This Row],[خط (S/S  TOT) SAR2]]-TABL1234[[#This Row],[(S/S TOT) AJD]]</f>
        <v>0</v>
      </c>
      <c r="Q177" s="39"/>
      <c r="R177" s="3">
        <f>TABL1234[[#This Row],[خط (T/B  TOT) SAR]]-TABL1234[[#This Row],[(T/B TOT) AJD]]</f>
        <v>0</v>
      </c>
      <c r="S177" s="3">
        <f>TABL1234[[#This Row],[الفرق بين بداية ونهاية خط  T/B]]+TABL1234[[#This Row],[الفرق بين بداية ونهاية خط  S/S]]</f>
        <v>0</v>
      </c>
      <c r="T177" s="3">
        <f>TABL1234[[#This Row],[(S/S TOT) AJD]]+TABL1234[[#This Row],[(T/B TOT) AJD]]</f>
        <v>0</v>
      </c>
      <c r="U177" s="41"/>
      <c r="V177" s="41"/>
      <c r="W177" s="3">
        <f>TABL1234[[#This Row],[(A/B TOT) AJD]]+TABL1234[[#This Row],[(A/S TOT)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Row],[البخر  AJD]])</f>
        <v>0</v>
      </c>
      <c r="AE177" s="41"/>
      <c r="AF177" s="43"/>
      <c r="AG177" s="43"/>
      <c r="AH177" s="6"/>
      <c r="AI177" s="43"/>
      <c r="AJ177" s="43">
        <f>TABL1234[[#This Row],[(A/B TOT) AJD]]-TABL1234[[#This Row],[BER_ IN]]</f>
        <v>0</v>
      </c>
      <c r="AK177" s="43"/>
      <c r="AL177" s="43"/>
      <c r="AM177" s="32"/>
      <c r="AN177" s="32">
        <f>TABL1234[[#This Row],[ (RESV. STORGE) SER]]/10</f>
        <v>0</v>
      </c>
      <c r="AO177" s="75"/>
      <c r="AP177" s="75">
        <f>TABL1234[[#This Row],[(A/S TOT) AJD]]-TABL1234[[#This Row],[SER_ 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Row],[خط (T/B  TOT) SAR]]+TABL1234[[#This Row],[خط (S/S  TOT) SAR2]]</f>
        <v>0</v>
      </c>
      <c r="L178" s="45"/>
      <c r="M178" s="46"/>
      <c r="N178" s="46"/>
      <c r="O178" s="40"/>
      <c r="P178" s="3">
        <f>TABL1234[[#This Row],[خط (S/S  TOT) SAR2]]-TABL1234[[#This Row],[(S/S TOT) AJD]]</f>
        <v>0</v>
      </c>
      <c r="Q178" s="40"/>
      <c r="R178" s="3">
        <f>TABL1234[[#This Row],[خط (T/B  TOT) SAR]]-TABL1234[[#This Row],[(T/B TOT) AJD]]</f>
        <v>0</v>
      </c>
      <c r="S178" s="3">
        <f>TABL1234[[#This Row],[الفرق بين بداية ونهاية خط  T/B]]+TABL1234[[#This Row],[الفرق بين بداية ونهاية خط  S/S]]</f>
        <v>0</v>
      </c>
      <c r="T178" s="3">
        <f>TABL1234[[#This Row],[(S/S TOT) AJD]]+TABL1234[[#This Row],[(T/B TOT) AJD]]</f>
        <v>0</v>
      </c>
      <c r="U178" s="44"/>
      <c r="V178" s="44"/>
      <c r="W178" s="3">
        <f>TABL1234[[#This Row],[(A/B TOT) AJD]]+TABL1234[[#This Row],[(A/S TOT)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Row],[البخر  AJD]])</f>
        <v>0</v>
      </c>
      <c r="AE178" s="44"/>
      <c r="AF178" s="45"/>
      <c r="AG178" s="45"/>
      <c r="AH178" s="6"/>
      <c r="AI178" s="45"/>
      <c r="AJ178" s="45">
        <f>TABL1234[[#This Row],[(A/B TOT) AJD]]-TABL1234[[#This Row],[BER_ IN]]</f>
        <v>0</v>
      </c>
      <c r="AK178" s="45"/>
      <c r="AL178" s="45"/>
      <c r="AM178" s="32"/>
      <c r="AN178" s="32">
        <f>TABL1234[[#This Row],[ (RESV. STORGE) SER]]/10</f>
        <v>0</v>
      </c>
      <c r="AO178" s="75"/>
      <c r="AP178" s="75">
        <f>TABL1234[[#This Row],[(A/S TOT) AJD]]-TABL1234[[#This Row],[SER_ 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Row],[خط (T/B  TOT) SAR]]+TABL1234[[#This Row],[خط (S/S  TOT) SAR2]]</f>
        <v>0</v>
      </c>
      <c r="L179" s="41"/>
      <c r="M179" s="42"/>
      <c r="N179" s="42"/>
      <c r="O179" s="39"/>
      <c r="P179" s="3">
        <f>TABL1234[[#This Row],[خط (S/S  TOT) SAR2]]-TABL1234[[#This Row],[(S/S TOT) AJD]]</f>
        <v>0</v>
      </c>
      <c r="Q179" s="39"/>
      <c r="R179" s="3">
        <f>TABL1234[[#This Row],[خط (T/B  TOT) SAR]]-TABL1234[[#This Row],[(T/B TOT) AJD]]</f>
        <v>0</v>
      </c>
      <c r="S179" s="3">
        <f>TABL1234[[#This Row],[الفرق بين بداية ونهاية خط  T/B]]+TABL1234[[#This Row],[الفرق بين بداية ونهاية خط  S/S]]</f>
        <v>0</v>
      </c>
      <c r="T179" s="3">
        <f>TABL1234[[#This Row],[(S/S TOT) AJD]]+TABL1234[[#This Row],[(T/B TOT) AJD]]</f>
        <v>0</v>
      </c>
      <c r="U179" s="41"/>
      <c r="V179" s="41"/>
      <c r="W179" s="3">
        <f>TABL1234[[#This Row],[(A/B TOT) AJD]]+TABL1234[[#This Row],[(A/S TOT)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Row],[البخر  AJD]])</f>
        <v>0</v>
      </c>
      <c r="AE179" s="41"/>
      <c r="AF179" s="43"/>
      <c r="AG179" s="43"/>
      <c r="AH179" s="6"/>
      <c r="AI179" s="43"/>
      <c r="AJ179" s="43">
        <f>TABL1234[[#This Row],[(A/B TOT) AJD]]-TABL1234[[#This Row],[BER_ IN]]</f>
        <v>0</v>
      </c>
      <c r="AK179" s="43"/>
      <c r="AL179" s="43"/>
      <c r="AM179" s="32"/>
      <c r="AN179" s="32">
        <f>TABL1234[[#This Row],[ (RESV. STORGE) SER]]/10</f>
        <v>0</v>
      </c>
      <c r="AO179" s="75"/>
      <c r="AP179" s="75">
        <f>TABL1234[[#This Row],[(A/S TOT) AJD]]-TABL1234[[#This Row],[SER_ 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Row],[خط (T/B  TOT) SAR]]+TABL1234[[#This Row],[خط (S/S  TOT) SAR2]]</f>
        <v>0</v>
      </c>
      <c r="L180" s="45"/>
      <c r="M180" s="46"/>
      <c r="N180" s="46"/>
      <c r="O180" s="40"/>
      <c r="P180" s="3">
        <f>TABL1234[[#This Row],[خط (S/S  TOT) SAR2]]-TABL1234[[#This Row],[(S/S TOT) AJD]]</f>
        <v>0</v>
      </c>
      <c r="Q180" s="40"/>
      <c r="R180" s="3">
        <f>TABL1234[[#This Row],[خط (T/B  TOT) SAR]]-TABL1234[[#This Row],[(T/B TOT) AJD]]</f>
        <v>0</v>
      </c>
      <c r="S180" s="3">
        <f>TABL1234[[#This Row],[الفرق بين بداية ونهاية خط  T/B]]+TABL1234[[#This Row],[الفرق بين بداية ونهاية خط  S/S]]</f>
        <v>0</v>
      </c>
      <c r="T180" s="3">
        <f>TABL1234[[#This Row],[(S/S TOT) AJD]]+TABL1234[[#This Row],[(T/B TOT) AJD]]</f>
        <v>0</v>
      </c>
      <c r="U180" s="44"/>
      <c r="V180" s="44"/>
      <c r="W180" s="3">
        <f>TABL1234[[#This Row],[(A/B TOT) AJD]]+TABL1234[[#This Row],[(A/S TOT)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Row],[البخر  AJD]])</f>
        <v>0</v>
      </c>
      <c r="AE180" s="44"/>
      <c r="AF180" s="45"/>
      <c r="AG180" s="45"/>
      <c r="AH180" s="6"/>
      <c r="AI180" s="45"/>
      <c r="AJ180" s="45">
        <f>TABL1234[[#This Row],[(A/B TOT) AJD]]-TABL1234[[#This Row],[BER_ IN]]</f>
        <v>0</v>
      </c>
      <c r="AK180" s="45"/>
      <c r="AL180" s="45"/>
      <c r="AM180" s="32"/>
      <c r="AN180" s="32">
        <f>TABL1234[[#This Row],[ (RESV. STORGE) SER]]/10</f>
        <v>0</v>
      </c>
      <c r="AO180" s="75"/>
      <c r="AP180" s="75">
        <f>TABL1234[[#This Row],[(A/S TOT) AJD]]-TABL1234[[#This Row],[SER_ 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Row],[خط (T/B  TOT) SAR]]+TABL1234[[#This Row],[خط (S/S  TOT) SAR2]]</f>
        <v>0</v>
      </c>
      <c r="L181" s="41"/>
      <c r="M181" s="42"/>
      <c r="N181" s="42"/>
      <c r="O181" s="39"/>
      <c r="P181" s="3">
        <f>TABL1234[[#This Row],[خط (S/S  TOT) SAR2]]-TABL1234[[#This Row],[(S/S TOT) AJD]]</f>
        <v>0</v>
      </c>
      <c r="Q181" s="39"/>
      <c r="R181" s="3">
        <f>TABL1234[[#This Row],[خط (T/B  TOT) SAR]]-TABL1234[[#This Row],[(T/B TOT) AJD]]</f>
        <v>0</v>
      </c>
      <c r="S181" s="3">
        <f>TABL1234[[#This Row],[الفرق بين بداية ونهاية خط  T/B]]+TABL1234[[#This Row],[الفرق بين بداية ونهاية خط  S/S]]</f>
        <v>0</v>
      </c>
      <c r="T181" s="3">
        <f>TABL1234[[#This Row],[(S/S TOT) AJD]]+TABL1234[[#This Row],[(T/B TOT) AJD]]</f>
        <v>0</v>
      </c>
      <c r="U181" s="41"/>
      <c r="V181" s="41"/>
      <c r="W181" s="3">
        <f>TABL1234[[#This Row],[(A/B TOT) AJD]]+TABL1234[[#This Row],[(A/S TOT)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Row],[البخر  AJD]])</f>
        <v>0</v>
      </c>
      <c r="AE181" s="41"/>
      <c r="AF181" s="43"/>
      <c r="AG181" s="43"/>
      <c r="AH181" s="6"/>
      <c r="AI181" s="43"/>
      <c r="AJ181" s="43">
        <f>TABL1234[[#This Row],[(A/B TOT) AJD]]-TABL1234[[#This Row],[BER_ IN]]</f>
        <v>0</v>
      </c>
      <c r="AK181" s="43"/>
      <c r="AL181" s="43"/>
      <c r="AM181" s="32"/>
      <c r="AN181" s="32">
        <f>TABL1234[[#This Row],[ (RESV. STORGE) SER]]/10</f>
        <v>0</v>
      </c>
      <c r="AO181" s="75"/>
      <c r="AP181" s="75">
        <f>TABL1234[[#This Row],[(A/S TOT) AJD]]-TABL1234[[#This Row],[SER_ 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Row],[خط (T/B  TOT) SAR]]+TABL1234[[#This Row],[خط (S/S  TOT) SAR2]]</f>
        <v>0</v>
      </c>
      <c r="L182" s="45"/>
      <c r="M182" s="46"/>
      <c r="N182" s="46"/>
      <c r="O182" s="40"/>
      <c r="P182" s="3">
        <f>TABL1234[[#This Row],[خط (S/S  TOT) SAR2]]-TABL1234[[#This Row],[(S/S TOT) AJD]]</f>
        <v>0</v>
      </c>
      <c r="Q182" s="40"/>
      <c r="R182" s="3">
        <f>TABL1234[[#This Row],[خط (T/B  TOT) SAR]]-TABL1234[[#This Row],[(T/B TOT) AJD]]</f>
        <v>0</v>
      </c>
      <c r="S182" s="3">
        <f>TABL1234[[#This Row],[الفرق بين بداية ونهاية خط  T/B]]+TABL1234[[#This Row],[الفرق بين بداية ونهاية خط  S/S]]</f>
        <v>0</v>
      </c>
      <c r="T182" s="3">
        <f>TABL1234[[#This Row],[(S/S TOT) AJD]]+TABL1234[[#This Row],[(T/B TOT) AJD]]</f>
        <v>0</v>
      </c>
      <c r="U182" s="44"/>
      <c r="V182" s="44"/>
      <c r="W182" s="3">
        <f>TABL1234[[#This Row],[(A/B TOT) AJD]]+TABL1234[[#This Row],[(A/S TOT)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Row],[البخر  AJD]])</f>
        <v>0</v>
      </c>
      <c r="AE182" s="44"/>
      <c r="AF182" s="45"/>
      <c r="AG182" s="45"/>
      <c r="AH182" s="6"/>
      <c r="AI182" s="45"/>
      <c r="AJ182" s="45">
        <f>TABL1234[[#This Row],[(A/B TOT) AJD]]-TABL1234[[#This Row],[BER_ IN]]</f>
        <v>0</v>
      </c>
      <c r="AK182" s="45"/>
      <c r="AL182" s="45"/>
      <c r="AM182" s="32"/>
      <c r="AN182" s="32">
        <f>TABL1234[[#This Row],[ (RESV. STORGE) SER]]/10</f>
        <v>0</v>
      </c>
      <c r="AO182" s="75"/>
      <c r="AP182" s="75">
        <f>TABL1234[[#This Row],[(A/S TOT) AJD]]-TABL1234[[#This Row],[SER_ 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Row],[خط (T/B  TOT) SAR]]+TABL1234[[#This Row],[خط (S/S  TOT) SAR2]]</f>
        <v>0</v>
      </c>
      <c r="L183" s="41"/>
      <c r="M183" s="42"/>
      <c r="N183" s="42"/>
      <c r="O183" s="39"/>
      <c r="P183" s="12">
        <f>TABL1234[[#This Row],[خط (S/S  TOT) SAR2]]-TABL1234[[#This Row],[(S/S TOT) AJD]]</f>
        <v>0</v>
      </c>
      <c r="Q183" s="39"/>
      <c r="R183" s="12">
        <f>TABL1234[[#This Row],[خط (T/B  TOT) SAR]]-TABL1234[[#This Row],[(T/B TOT) AJD]]</f>
        <v>0</v>
      </c>
      <c r="S183" s="12">
        <f>TABL1234[[#This Row],[الفرق بين بداية ونهاية خط  T/B]]+TABL1234[[#This Row],[الفرق بين بداية ونهاية خط  S/S]]</f>
        <v>0</v>
      </c>
      <c r="T183" s="12">
        <f>TABL1234[[#This Row],[(S/S TOT) AJD]]+TABL1234[[#This Row],[(T/B TOT) AJD]]</f>
        <v>0</v>
      </c>
      <c r="U183" s="41"/>
      <c r="V183" s="41"/>
      <c r="W183" s="12">
        <f>TABL1234[[#This Row],[(A/B TOT) AJD]]+TABL1234[[#This Row],[(A/S TOT)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Row],[البخر  AJD]])</f>
        <v>0</v>
      </c>
      <c r="AE183" s="41"/>
      <c r="AF183" s="43"/>
      <c r="AG183" s="43"/>
      <c r="AH183" s="6"/>
      <c r="AI183" s="43"/>
      <c r="AJ183" s="43">
        <f>TABL1234[[#This Row],[(A/B TOT) AJD]]-TABL1234[[#This Row],[BER_ IN]]</f>
        <v>0</v>
      </c>
      <c r="AK183" s="43"/>
      <c r="AL183" s="43"/>
      <c r="AM183" s="32"/>
      <c r="AN183" s="32">
        <f>TABL1234[[#This Row],[ (RESV. STORGE) SER]]/10</f>
        <v>0</v>
      </c>
      <c r="AO183" s="75"/>
      <c r="AP183" s="75">
        <f>TABL1234[[#This Row],[(A/S TOT) AJD]]-TABL1234[[#This Row],[SER_ 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Row],[خط (T/B  TOT) SAR]]+TABL1234[[#This Row],[خط (S/S  TOT) SAR2]]</f>
        <v>0</v>
      </c>
      <c r="L184" s="45"/>
      <c r="M184" s="46"/>
      <c r="N184" s="46"/>
      <c r="O184" s="40"/>
      <c r="P184" s="12">
        <f>TABL1234[[#This Row],[خط (S/S  TOT) SAR2]]-TABL1234[[#This Row],[(S/S TOT) AJD]]</f>
        <v>0</v>
      </c>
      <c r="Q184" s="40"/>
      <c r="R184" s="12">
        <f>TABL1234[[#This Row],[خط (T/B  TOT) SAR]]-TABL1234[[#This Row],[(T/B TOT) AJD]]</f>
        <v>0</v>
      </c>
      <c r="S184" s="12">
        <f>TABL1234[[#This Row],[الفرق بين بداية ونهاية خط  T/B]]+TABL1234[[#This Row],[الفرق بين بداية ونهاية خط  S/S]]</f>
        <v>0</v>
      </c>
      <c r="T184" s="12">
        <f>TABL1234[[#This Row],[(S/S TOT) AJD]]+TABL1234[[#This Row],[(T/B TOT) AJD]]</f>
        <v>0</v>
      </c>
      <c r="U184" s="44"/>
      <c r="V184" s="44"/>
      <c r="W184" s="12">
        <f>TABL1234[[#This Row],[(A/B TOT) AJD]]+TABL1234[[#This Row],[(A/S TOT)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Row],[البخر  AJD]])</f>
        <v>0</v>
      </c>
      <c r="AE184" s="44"/>
      <c r="AF184" s="45"/>
      <c r="AG184" s="45"/>
      <c r="AH184" s="6"/>
      <c r="AI184" s="45"/>
      <c r="AJ184" s="45">
        <f>TABL1234[[#This Row],[(A/B TOT) AJD]]-TABL1234[[#This Row],[BER_ IN]]</f>
        <v>0</v>
      </c>
      <c r="AK184" s="45"/>
      <c r="AL184" s="45"/>
      <c r="AM184" s="32"/>
      <c r="AN184" s="32">
        <f>TABL1234[[#This Row],[ (RESV. STORGE) SER]]/10</f>
        <v>0</v>
      </c>
      <c r="AO184" s="75"/>
      <c r="AP184" s="75">
        <f>TABL1234[[#This Row],[(A/S TOT) AJD]]-TABL1234[[#This Row],[SER_ 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Row],[خط (T/B  TOT) SAR]]+TABL1234[[#This Row],[خط (S/S  TOT) SAR2]]</f>
        <v>0</v>
      </c>
      <c r="L185" s="41"/>
      <c r="M185" s="42"/>
      <c r="N185" s="42"/>
      <c r="O185" s="39"/>
      <c r="P185" s="12">
        <f>TABL1234[[#This Row],[خط (S/S  TOT) SAR2]]-TABL1234[[#This Row],[(S/S TOT) AJD]]</f>
        <v>0</v>
      </c>
      <c r="Q185" s="39"/>
      <c r="R185" s="12">
        <f>TABL1234[[#This Row],[خط (T/B  TOT) SAR]]-TABL1234[[#This Row],[(T/B TOT) AJD]]</f>
        <v>0</v>
      </c>
      <c r="S185" s="12">
        <f>TABL1234[[#This Row],[الفرق بين بداية ونهاية خط  T/B]]+TABL1234[[#This Row],[الفرق بين بداية ونهاية خط  S/S]]</f>
        <v>0</v>
      </c>
      <c r="T185" s="12">
        <f>TABL1234[[#This Row],[(S/S TOT) AJD]]+TABL1234[[#This Row],[(T/B TOT) AJD]]</f>
        <v>0</v>
      </c>
      <c r="U185" s="41"/>
      <c r="V185" s="41"/>
      <c r="W185" s="12">
        <f>TABL1234[[#This Row],[(A/B TOT) AJD]]+TABL1234[[#This Row],[(A/S TOT)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Row],[البخر  AJD]])</f>
        <v>0</v>
      </c>
      <c r="AE185" s="41"/>
      <c r="AF185" s="43"/>
      <c r="AG185" s="43"/>
      <c r="AH185" s="6"/>
      <c r="AI185" s="43"/>
      <c r="AJ185" s="43">
        <f>TABL1234[[#This Row],[(A/B TOT) AJD]]-TABL1234[[#This Row],[BER_ IN]]</f>
        <v>0</v>
      </c>
      <c r="AK185" s="43"/>
      <c r="AL185" s="43"/>
      <c r="AM185" s="32"/>
      <c r="AN185" s="32">
        <f>TABL1234[[#This Row],[ (RESV. STORGE) SER]]/10</f>
        <v>0</v>
      </c>
      <c r="AO185" s="75"/>
      <c r="AP185" s="75">
        <f>TABL1234[[#This Row],[(A/S TOT) AJD]]-TABL1234[[#This Row],[SER_ 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Row],[خط (T/B  TOT) SAR]]+TABL1234[[#This Row],[خط (S/S  TOT) SAR2]]</f>
        <v>0</v>
      </c>
      <c r="L186" s="45"/>
      <c r="M186" s="46"/>
      <c r="N186" s="46"/>
      <c r="O186" s="40"/>
      <c r="P186" s="12">
        <f>TABL1234[[#This Row],[خط (S/S  TOT) SAR2]]-TABL1234[[#This Row],[(S/S TOT) AJD]]</f>
        <v>0</v>
      </c>
      <c r="Q186" s="40"/>
      <c r="R186" s="12">
        <f>TABL1234[[#This Row],[خط (T/B  TOT) SAR]]-TABL1234[[#This Row],[(T/B TOT) AJD]]</f>
        <v>0</v>
      </c>
      <c r="S186" s="12">
        <f>TABL1234[[#This Row],[الفرق بين بداية ونهاية خط  T/B]]+TABL1234[[#This Row],[الفرق بين بداية ونهاية خط  S/S]]</f>
        <v>0</v>
      </c>
      <c r="T186" s="12">
        <f>TABL1234[[#This Row],[(S/S TOT) AJD]]+TABL1234[[#This Row],[(T/B TOT) AJD]]</f>
        <v>0</v>
      </c>
      <c r="U186" s="44"/>
      <c r="V186" s="44"/>
      <c r="W186" s="12">
        <f>TABL1234[[#This Row],[(A/B TOT) AJD]]+TABL1234[[#This Row],[(A/S TOT)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Row],[البخر  AJD]])</f>
        <v>0</v>
      </c>
      <c r="AE186" s="44"/>
      <c r="AF186" s="45"/>
      <c r="AG186" s="45"/>
      <c r="AH186" s="6"/>
      <c r="AI186" s="45"/>
      <c r="AJ186" s="45">
        <f>TABL1234[[#This Row],[(A/B TOT) AJD]]-TABL1234[[#This Row],[BER_ IN]]</f>
        <v>0</v>
      </c>
      <c r="AK186" s="45"/>
      <c r="AL186" s="45"/>
      <c r="AM186" s="32"/>
      <c r="AN186" s="32">
        <f>TABL1234[[#This Row],[ (RESV. STORGE) SER]]/10</f>
        <v>0</v>
      </c>
      <c r="AO186" s="75"/>
      <c r="AP186" s="75">
        <f>TABL1234[[#This Row],[(A/S TOT) AJD]]-TABL1234[[#This Row],[SER_ 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Row],[خط (T/B  TOT) SAR]]+TABL1234[[#This Row],[خط (S/S  TOT) SAR2]]</f>
        <v>0</v>
      </c>
      <c r="L187" s="41"/>
      <c r="M187" s="42"/>
      <c r="N187" s="42"/>
      <c r="O187" s="39"/>
      <c r="P187" s="12">
        <f>TABL1234[[#This Row],[خط (S/S  TOT) SAR2]]-TABL1234[[#This Row],[(S/S TOT) AJD]]</f>
        <v>0</v>
      </c>
      <c r="Q187" s="39"/>
      <c r="R187" s="12">
        <f>TABL1234[[#This Row],[خط (T/B  TOT) SAR]]-TABL1234[[#This Row],[(T/B TOT) AJD]]</f>
        <v>0</v>
      </c>
      <c r="S187" s="12">
        <f>TABL1234[[#This Row],[الفرق بين بداية ونهاية خط  T/B]]+TABL1234[[#This Row],[الفرق بين بداية ونهاية خط  S/S]]</f>
        <v>0</v>
      </c>
      <c r="T187" s="12">
        <f>TABL1234[[#This Row],[(S/S TOT) AJD]]+TABL1234[[#This Row],[(T/B TOT) AJD]]</f>
        <v>0</v>
      </c>
      <c r="U187" s="41"/>
      <c r="V187" s="41"/>
      <c r="W187" s="10">
        <f>TABL1234[[#This Row],[(A/B TOT) AJD]]+TABL1234[[#This Row],[(A/S TOT)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Row],[البخر  AJD]])</f>
        <v>0</v>
      </c>
      <c r="AE187" s="41"/>
      <c r="AF187" s="43"/>
      <c r="AG187" s="43"/>
      <c r="AH187" s="6"/>
      <c r="AI187" s="43"/>
      <c r="AJ187" s="43">
        <f>TABL1234[[#This Row],[(A/B TOT) AJD]]-TABL1234[[#This Row],[BER_ IN]]</f>
        <v>0</v>
      </c>
      <c r="AK187" s="43"/>
      <c r="AL187" s="43"/>
      <c r="AM187" s="32"/>
      <c r="AN187" s="32">
        <f>TABL1234[[#This Row],[ (RESV. STORGE) SER]]/10</f>
        <v>0</v>
      </c>
      <c r="AO187" s="75"/>
      <c r="AP187" s="75">
        <f>TABL1234[[#This Row],[(A/S TOT) AJD]]-TABL1234[[#This Row],[SER_ 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Row],[خط (T/B  TOT) SAR]]+TABL1234[[#This Row],[خط (S/S  TOT) SAR2]]</f>
        <v>0</v>
      </c>
      <c r="L188" s="45"/>
      <c r="M188" s="46"/>
      <c r="N188" s="46"/>
      <c r="O188" s="40"/>
      <c r="P188" s="12">
        <f>TABL1234[[#This Row],[خط (S/S  TOT) SAR2]]-TABL1234[[#This Row],[(S/S TOT) AJD]]</f>
        <v>0</v>
      </c>
      <c r="Q188" s="40"/>
      <c r="R188" s="12">
        <f>TABL1234[[#This Row],[خط (T/B  TOT) SAR]]-TABL1234[[#This Row],[(T/B TOT) AJD]]</f>
        <v>0</v>
      </c>
      <c r="S188" s="12">
        <f>TABL1234[[#This Row],[الفرق بين بداية ونهاية خط  T/B]]+TABL1234[[#This Row],[الفرق بين بداية ونهاية خط  S/S]]</f>
        <v>0</v>
      </c>
      <c r="T188" s="12">
        <f>TABL1234[[#This Row],[(S/S TOT) AJD]]+TABL1234[[#This Row],[(T/B TOT) AJD]]</f>
        <v>0</v>
      </c>
      <c r="U188" s="44"/>
      <c r="V188" s="44"/>
      <c r="W188" s="12">
        <f>TABL1234[[#This Row],[(A/B TOT) AJD]]+TABL1234[[#This Row],[(A/S TOT)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Row],[البخر  AJD]])</f>
        <v>0</v>
      </c>
      <c r="AE188" s="44"/>
      <c r="AF188" s="45"/>
      <c r="AG188" s="45"/>
      <c r="AH188" s="6"/>
      <c r="AI188" s="45"/>
      <c r="AJ188" s="45">
        <f>TABL1234[[#This Row],[(A/B TOT) AJD]]-TABL1234[[#This Row],[BER_ IN]]</f>
        <v>0</v>
      </c>
      <c r="AK188" s="45"/>
      <c r="AL188" s="45"/>
      <c r="AM188" s="32"/>
      <c r="AN188" s="32">
        <f>TABL1234[[#This Row],[ (RESV. STORGE) SER]]/10</f>
        <v>0</v>
      </c>
      <c r="AO188" s="75"/>
      <c r="AP188" s="75">
        <f>TABL1234[[#This Row],[(A/S TOT) AJD]]-TABL1234[[#This Row],[SER_ 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Row],[خط (T/B  TOT) SAR]]+TABL1234[[#This Row],[خط (S/S  TOT) SAR2]]</f>
        <v>0</v>
      </c>
      <c r="L189" s="41"/>
      <c r="M189" s="42"/>
      <c r="N189" s="42"/>
      <c r="O189" s="39"/>
      <c r="P189" s="12">
        <f>TABL1234[[#This Row],[خط (S/S  TOT) SAR2]]-TABL1234[[#This Row],[(S/S TOT) AJD]]</f>
        <v>0</v>
      </c>
      <c r="Q189" s="39"/>
      <c r="R189" s="12">
        <f>TABL1234[[#This Row],[خط (T/B  TOT) SAR]]-TABL1234[[#This Row],[(T/B TOT) AJD]]</f>
        <v>0</v>
      </c>
      <c r="S189" s="12">
        <f>TABL1234[[#This Row],[الفرق بين بداية ونهاية خط  T/B]]+TABL1234[[#This Row],[الفرق بين بداية ونهاية خط  S/S]]</f>
        <v>0</v>
      </c>
      <c r="T189" s="12">
        <f>TABL1234[[#This Row],[(S/S TOT) AJD]]+TABL1234[[#This Row],[(T/B TOT) AJD]]</f>
        <v>0</v>
      </c>
      <c r="U189" s="41"/>
      <c r="V189" s="41"/>
      <c r="W189" s="12">
        <f>TABL1234[[#This Row],[(A/B TOT) AJD]]+TABL1234[[#This Row],[(A/S TOT)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Row],[البخر  AJD]])</f>
        <v>0</v>
      </c>
      <c r="AE189" s="41"/>
      <c r="AF189" s="43"/>
      <c r="AG189" s="43"/>
      <c r="AH189" s="6"/>
      <c r="AI189" s="43"/>
      <c r="AJ189" s="43">
        <f>TABL1234[[#This Row],[(A/B TOT) AJD]]-TABL1234[[#This Row],[BER_ IN]]</f>
        <v>0</v>
      </c>
      <c r="AK189" s="43"/>
      <c r="AL189" s="43"/>
      <c r="AM189" s="32"/>
      <c r="AN189" s="32">
        <f>TABL1234[[#This Row],[ (RESV. STORGE) SER]]/10</f>
        <v>0</v>
      </c>
      <c r="AO189" s="75"/>
      <c r="AP189" s="75">
        <f>TABL1234[[#This Row],[(A/S TOT) AJD]]-TABL1234[[#This Row],[SER_ 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Row],[خط (T/B  TOT) SAR]]+TABL1234[[#This Row],[خط (S/S  TOT) SAR2]]</f>
        <v>0</v>
      </c>
      <c r="L190" s="45"/>
      <c r="M190" s="46"/>
      <c r="N190" s="46"/>
      <c r="O190" s="40"/>
      <c r="P190" s="12">
        <f>TABL1234[[#This Row],[خط (S/S  TOT) SAR2]]-TABL1234[[#This Row],[(S/S TOT) AJD]]</f>
        <v>0</v>
      </c>
      <c r="Q190" s="40"/>
      <c r="R190" s="12">
        <f>TABL1234[[#This Row],[خط (T/B  TOT) SAR]]-TABL1234[[#This Row],[(T/B TOT) AJD]]</f>
        <v>0</v>
      </c>
      <c r="S190" s="12">
        <f>TABL1234[[#This Row],[الفرق بين بداية ونهاية خط  T/B]]+TABL1234[[#This Row],[الفرق بين بداية ونهاية خط  S/S]]</f>
        <v>0</v>
      </c>
      <c r="T190" s="12">
        <f>TABL1234[[#This Row],[(S/S TOT) AJD]]+TABL1234[[#This Row],[(T/B TOT) AJD]]</f>
        <v>0</v>
      </c>
      <c r="U190" s="44"/>
      <c r="V190" s="44"/>
      <c r="W190" s="12">
        <f>TABL1234[[#This Row],[(A/B TOT) AJD]]+TABL1234[[#This Row],[(A/S TOT)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Row],[البخر  AJD]])</f>
        <v>0</v>
      </c>
      <c r="AE190" s="44"/>
      <c r="AF190" s="45"/>
      <c r="AG190" s="45"/>
      <c r="AH190" s="6"/>
      <c r="AI190" s="45"/>
      <c r="AJ190" s="45">
        <f>TABL1234[[#This Row],[(A/B TOT) AJD]]-TABL1234[[#This Row],[BER_ IN]]</f>
        <v>0</v>
      </c>
      <c r="AK190" s="45"/>
      <c r="AL190" s="45"/>
      <c r="AM190" s="32"/>
      <c r="AN190" s="32">
        <f>TABL1234[[#This Row],[ (RESV. STORGE) SER]]/10</f>
        <v>0</v>
      </c>
      <c r="AO190" s="75"/>
      <c r="AP190" s="75">
        <f>TABL1234[[#This Row],[(A/S TOT) AJD]]-TABL1234[[#This Row],[SER_ 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Row],[خط (T/B  TOT) SAR]]+TABL1234[[#This Row],[خط (S/S  TOT) SAR2]]</f>
        <v>0</v>
      </c>
      <c r="L191" s="41"/>
      <c r="M191" s="42"/>
      <c r="N191" s="42"/>
      <c r="O191" s="39"/>
      <c r="P191" s="12">
        <f>TABL1234[[#This Row],[خط (S/S  TOT) SAR2]]-TABL1234[[#This Row],[(S/S TOT) AJD]]</f>
        <v>0</v>
      </c>
      <c r="Q191" s="39"/>
      <c r="R191" s="12">
        <f>TABL1234[[#This Row],[خط (T/B  TOT) SAR]]-TABL1234[[#This Row],[(T/B TOT) AJD]]</f>
        <v>0</v>
      </c>
      <c r="S191" s="12">
        <f>TABL1234[[#This Row],[الفرق بين بداية ونهاية خط  T/B]]+TABL1234[[#This Row],[الفرق بين بداية ونهاية خط  S/S]]</f>
        <v>0</v>
      </c>
      <c r="T191" s="12">
        <f>TABL1234[[#This Row],[(S/S TOT) AJD]]+TABL1234[[#This Row],[(T/B TOT) AJD]]</f>
        <v>0</v>
      </c>
      <c r="U191" s="41"/>
      <c r="V191" s="41"/>
      <c r="W191" s="12">
        <f>TABL1234[[#This Row],[(A/B TOT) AJD]]+TABL1234[[#This Row],[(A/S TOT)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Row],[البخر  AJD]])</f>
        <v>0</v>
      </c>
      <c r="AE191" s="41"/>
      <c r="AF191" s="43"/>
      <c r="AG191" s="43"/>
      <c r="AH191" s="6"/>
      <c r="AI191" s="43"/>
      <c r="AJ191" s="43">
        <f>TABL1234[[#This Row],[(A/B TOT) AJD]]-TABL1234[[#This Row],[BER_ IN]]</f>
        <v>0</v>
      </c>
      <c r="AK191" s="43"/>
      <c r="AL191" s="43"/>
      <c r="AM191" s="32"/>
      <c r="AN191" s="32">
        <f>TABL1234[[#This Row],[ (RESV. STORGE) SER]]/10</f>
        <v>0</v>
      </c>
      <c r="AO191" s="75"/>
      <c r="AP191" s="75">
        <f>TABL1234[[#This Row],[(A/S TOT) AJD]]-TABL1234[[#This Row],[SER_ 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Row],[خط (T/B  TOT) SAR]]+TABL1234[[#This Row],[خط (S/S  TOT) SAR2]]</f>
        <v>0</v>
      </c>
      <c r="L192" s="45"/>
      <c r="M192" s="46"/>
      <c r="N192" s="46"/>
      <c r="O192" s="40"/>
      <c r="P192" s="12">
        <f>TABL1234[[#This Row],[خط (S/S  TOT) SAR2]]-TABL1234[[#This Row],[(S/S TOT) AJD]]</f>
        <v>0</v>
      </c>
      <c r="Q192" s="40"/>
      <c r="R192" s="12">
        <f>TABL1234[[#This Row],[خط (T/B  TOT) SAR]]-TABL1234[[#This Row],[(T/B TOT) AJD]]</f>
        <v>0</v>
      </c>
      <c r="S192" s="12">
        <f>TABL1234[[#This Row],[الفرق بين بداية ونهاية خط  T/B]]+TABL1234[[#This Row],[الفرق بين بداية ونهاية خط  S/S]]</f>
        <v>0</v>
      </c>
      <c r="T192" s="12">
        <f>TABL1234[[#This Row],[(S/S TOT) AJD]]+TABL1234[[#This Row],[(T/B TOT) AJD]]</f>
        <v>0</v>
      </c>
      <c r="U192" s="44"/>
      <c r="V192" s="44"/>
      <c r="W192" s="12">
        <f>TABL1234[[#This Row],[(A/B TOT) AJD]]+TABL1234[[#This Row],[(A/S TOT)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Row],[البخر  AJD]])</f>
        <v>0</v>
      </c>
      <c r="AE192" s="44"/>
      <c r="AF192" s="45"/>
      <c r="AG192" s="45"/>
      <c r="AH192" s="6"/>
      <c r="AI192" s="45"/>
      <c r="AJ192" s="45">
        <f>TABL1234[[#This Row],[(A/B TOT) AJD]]-TABL1234[[#This Row],[BER_ IN]]</f>
        <v>0</v>
      </c>
      <c r="AK192" s="45"/>
      <c r="AL192" s="45"/>
      <c r="AM192" s="32"/>
      <c r="AN192" s="32">
        <f>TABL1234[[#This Row],[ (RESV. STORGE) SER]]/10</f>
        <v>0</v>
      </c>
      <c r="AO192" s="75"/>
      <c r="AP192" s="75">
        <f>TABL1234[[#This Row],[(A/S TOT) AJD]]-TABL1234[[#This Row],[SER_ 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Row],[خط (T/B  TOT) SAR]]+TABL1234[[#This Row],[خط (S/S  TOT) SAR2]]</f>
        <v>0</v>
      </c>
      <c r="L193" s="41"/>
      <c r="M193" s="42"/>
      <c r="N193" s="42"/>
      <c r="O193" s="39"/>
      <c r="P193" s="12">
        <f>TABL1234[[#This Row],[خط (S/S  TOT) SAR2]]-TABL1234[[#This Row],[(S/S TOT) AJD]]</f>
        <v>0</v>
      </c>
      <c r="Q193" s="39"/>
      <c r="R193" s="12">
        <f>TABL1234[[#This Row],[خط (T/B  TOT) SAR]]-TABL1234[[#This Row],[(T/B TOT) AJD]]</f>
        <v>0</v>
      </c>
      <c r="S193" s="12">
        <f>TABL1234[[#This Row],[الفرق بين بداية ونهاية خط  T/B]]+TABL1234[[#This Row],[الفرق بين بداية ونهاية خط  S/S]]</f>
        <v>0</v>
      </c>
      <c r="T193" s="12">
        <f>TABL1234[[#This Row],[(S/S TOT) AJD]]+TABL1234[[#This Row],[(T/B TOT) AJD]]</f>
        <v>0</v>
      </c>
      <c r="U193" s="41"/>
      <c r="V193" s="41"/>
      <c r="W193" s="12">
        <f>TABL1234[[#This Row],[(A/B TOT) AJD]]+TABL1234[[#This Row],[(A/S TOT)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Row],[البخر  AJD]])</f>
        <v>0</v>
      </c>
      <c r="AE193" s="41"/>
      <c r="AF193" s="43"/>
      <c r="AG193" s="75"/>
      <c r="AH193" s="6"/>
      <c r="AI193" s="43"/>
      <c r="AJ193" s="75">
        <f>TABL1234[[#This Row],[(A/B TOT) AJD]]-TABL1234[[#This Row],[BER_ IN]]</f>
        <v>0</v>
      </c>
      <c r="AK193" s="43"/>
      <c r="AL193" s="43"/>
      <c r="AM193" s="32"/>
      <c r="AN193" s="32">
        <f>TABL1234[[#This Row],[ (RESV. STORGE) SER]]/10</f>
        <v>0</v>
      </c>
      <c r="AO193" s="75"/>
      <c r="AP193" s="75">
        <f>TABL1234[[#This Row],[(A/S TOT) AJD]]-TABL1234[[#This Row],[SER_ 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Row],[خط (T/B  TOT) SAR]]+TABL1234[[#This Row],[خط (S/S  TOT) SAR2]]</f>
        <v>0</v>
      </c>
      <c r="L194" s="45"/>
      <c r="M194" s="46"/>
      <c r="N194" s="46"/>
      <c r="O194" s="40"/>
      <c r="P194" s="12">
        <f>TABL1234[[#This Row],[خط (S/S  TOT) SAR2]]-TABL1234[[#This Row],[(S/S TOT) AJD]]</f>
        <v>0</v>
      </c>
      <c r="Q194" s="40"/>
      <c r="R194" s="12">
        <f>TABL1234[[#This Row],[خط (T/B  TOT) SAR]]-TABL1234[[#This Row],[(T/B TOT) AJD]]</f>
        <v>0</v>
      </c>
      <c r="S194" s="12">
        <f>TABL1234[[#This Row],[الفرق بين بداية ونهاية خط  T/B]]+TABL1234[[#This Row],[الفرق بين بداية ونهاية خط  S/S]]</f>
        <v>0</v>
      </c>
      <c r="T194" s="12">
        <f>TABL1234[[#This Row],[(S/S TOT) AJD]]+TABL1234[[#This Row],[(T/B TOT) AJD]]</f>
        <v>0</v>
      </c>
      <c r="U194" s="44"/>
      <c r="V194" s="44"/>
      <c r="W194" s="12">
        <f>TABL1234[[#This Row],[(A/B TOT) AJD]]+TABL1234[[#This Row],[(A/S TOT)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Row],[البخر  AJD]])</f>
        <v>0</v>
      </c>
      <c r="AE194" s="44"/>
      <c r="AF194" s="45"/>
      <c r="AG194" s="45"/>
      <c r="AH194" s="6"/>
      <c r="AI194" s="45"/>
      <c r="AJ194" s="45">
        <f>TABL1234[[#This Row],[(A/B TOT) AJD]]-TABL1234[[#This Row],[BER_ IN]]</f>
        <v>0</v>
      </c>
      <c r="AK194" s="45"/>
      <c r="AL194" s="45"/>
      <c r="AM194" s="32"/>
      <c r="AN194" s="32">
        <f>TABL1234[[#This Row],[ (RESV. STORGE) SER]]/10</f>
        <v>0</v>
      </c>
      <c r="AO194" s="75"/>
      <c r="AP194" s="75">
        <f>TABL1234[[#This Row],[(A/S TOT) AJD]]-TABL1234[[#This Row],[SER_ 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Row],[خط (T/B  TOT) SAR]]+TABL1234[[#This Row],[خط (S/S  TOT) SAR2]]</f>
        <v>0</v>
      </c>
      <c r="L195" s="41"/>
      <c r="M195" s="42"/>
      <c r="N195" s="42"/>
      <c r="O195" s="39"/>
      <c r="P195" s="12">
        <f>TABL1234[[#This Row],[خط (S/S  TOT) SAR2]]-TABL1234[[#This Row],[(S/S TOT) AJD]]</f>
        <v>0</v>
      </c>
      <c r="Q195" s="39"/>
      <c r="R195" s="12">
        <f>TABL1234[[#This Row],[خط (T/B  TOT) SAR]]-TABL1234[[#This Row],[(T/B TOT) AJD]]</f>
        <v>0</v>
      </c>
      <c r="S195" s="12">
        <f>TABL1234[[#This Row],[الفرق بين بداية ونهاية خط  T/B]]+TABL1234[[#This Row],[الفرق بين بداية ونهاية خط  S/S]]</f>
        <v>0</v>
      </c>
      <c r="T195" s="12">
        <f>TABL1234[[#This Row],[(S/S TOT) AJD]]+TABL1234[[#This Row],[(T/B TOT) AJD]]</f>
        <v>0</v>
      </c>
      <c r="U195" s="41"/>
      <c r="V195" s="41"/>
      <c r="W195" s="12">
        <f>TABL1234[[#This Row],[(A/B TOT) AJD]]+TABL1234[[#This Row],[(A/S TOT)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Row],[البخر  AJD]])</f>
        <v>0</v>
      </c>
      <c r="AE195" s="41"/>
      <c r="AF195" s="43"/>
      <c r="AG195" s="43"/>
      <c r="AH195" s="6"/>
      <c r="AI195" s="43"/>
      <c r="AJ195" s="43">
        <f>TABL1234[[#This Row],[(A/B TOT) AJD]]-TABL1234[[#This Row],[BER_ IN]]</f>
        <v>0</v>
      </c>
      <c r="AK195" s="43"/>
      <c r="AL195" s="43"/>
      <c r="AM195" s="32"/>
      <c r="AN195" s="32">
        <f>TABL1234[[#This Row],[ (RESV. STORGE) SER]]/10</f>
        <v>0</v>
      </c>
      <c r="AO195" s="75"/>
      <c r="AP195" s="75">
        <f>TABL1234[[#This Row],[(A/S TOT) AJD]]-TABL1234[[#This Row],[SER_ 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Row],[خط (T/B  TOT) SAR]]+TABL1234[[#This Row],[خط (S/S  TOT) SAR2]]</f>
        <v>0</v>
      </c>
      <c r="L196" s="45"/>
      <c r="M196" s="46"/>
      <c r="N196" s="46"/>
      <c r="O196" s="40"/>
      <c r="P196" s="12">
        <f>TABL1234[[#This Row],[خط (S/S  TOT) SAR2]]-TABL1234[[#This Row],[(S/S TOT) AJD]]</f>
        <v>0</v>
      </c>
      <c r="Q196" s="40"/>
      <c r="R196" s="12">
        <f>TABL1234[[#This Row],[خط (T/B  TOT) SAR]]-TABL1234[[#This Row],[(T/B TOT) AJD]]</f>
        <v>0</v>
      </c>
      <c r="S196" s="12">
        <f>TABL1234[[#This Row],[الفرق بين بداية ونهاية خط  T/B]]+TABL1234[[#This Row],[الفرق بين بداية ونهاية خط  S/S]]</f>
        <v>0</v>
      </c>
      <c r="T196" s="12">
        <f>TABL1234[[#This Row],[(S/S TOT) AJD]]+TABL1234[[#This Row],[(T/B TOT) AJD]]</f>
        <v>0</v>
      </c>
      <c r="U196" s="44"/>
      <c r="V196" s="44"/>
      <c r="W196" s="12">
        <f>TABL1234[[#This Row],[(A/B TOT) AJD]]+TABL1234[[#This Row],[(A/S TOT)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(Z196-Z195)/1000</f>
        <v>0</v>
      </c>
      <c r="AC196" s="5"/>
      <c r="AD196" s="40">
        <f>TABL1234[[#This Row],[( S/S+T/B) AJD]]-(TABL1234[[#This Row],[(A/B + A/S) AJD]]+(TABL1234[[#This Row],[(STORGE DIFF.) AJD]]*1000)+TABL1234[[#This Row],[البخر  AJD]])</f>
        <v>0</v>
      </c>
      <c r="AE196" s="44"/>
      <c r="AF196" s="45"/>
      <c r="AG196" s="45"/>
      <c r="AH196" s="6"/>
      <c r="AI196" s="45"/>
      <c r="AJ196" s="45">
        <f>TABL1234[[#This Row],[(A/B TOT) AJD]]-TABL1234[[#This Row],[BER_ IN]]</f>
        <v>0</v>
      </c>
      <c r="AK196" s="45"/>
      <c r="AL196" s="45"/>
      <c r="AM196" s="32"/>
      <c r="AN196" s="32">
        <f>TABL1234[[#This Row],[ (RESV. STORGE) SER]]/10</f>
        <v>0</v>
      </c>
      <c r="AO196" s="75"/>
      <c r="AP196" s="75">
        <f>TABL1234[[#This Row],[(A/S TOT) AJD]]-TABL1234[[#This Row],[SER_ 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Row],[خط (T/B  TOT) SAR]]+TABL1234[[#This Row],[خط (S/S  TOT) SAR2]]</f>
        <v>0</v>
      </c>
      <c r="L197" s="41"/>
      <c r="M197" s="42"/>
      <c r="N197" s="42"/>
      <c r="O197" s="39"/>
      <c r="P197" s="12">
        <f>TABL1234[[#This Row],[خط (S/S  TOT) SAR2]]-TABL1234[[#This Row],[(S/S TOT) AJD]]</f>
        <v>0</v>
      </c>
      <c r="Q197" s="39"/>
      <c r="R197" s="12">
        <f>TABL1234[[#This Row],[خط (T/B  TOT) SAR]]-TABL1234[[#This Row],[(T/B TOT) AJD]]</f>
        <v>0</v>
      </c>
      <c r="S197" s="12">
        <f>TABL1234[[#This Row],[الفرق بين بداية ونهاية خط  T/B]]+TABL1234[[#This Row],[الفرق بين بداية ونهاية خط  S/S]]</f>
        <v>0</v>
      </c>
      <c r="T197" s="12">
        <f>TABL1234[[#This Row],[(S/S TOT) AJD]]+TABL1234[[#This Row],[(T/B TOT) AJD]]</f>
        <v>0</v>
      </c>
      <c r="U197" s="41"/>
      <c r="V197" s="41"/>
      <c r="W197" s="12">
        <f>TABL1234[[#This Row],[(A/B TOT) AJD]]+TABL1234[[#This Row],[(A/S TOT)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Row],[البخر  AJD]])</f>
        <v>0</v>
      </c>
      <c r="AE197" s="41"/>
      <c r="AF197" s="43"/>
      <c r="AG197" s="43"/>
      <c r="AH197" s="6"/>
      <c r="AI197" s="43"/>
      <c r="AJ197" s="43">
        <f>TABL1234[[#This Row],[(A/B TOT) AJD]]-TABL1234[[#This Row],[BER_ IN]]</f>
        <v>0</v>
      </c>
      <c r="AK197" s="43"/>
      <c r="AL197" s="43"/>
      <c r="AM197" s="32"/>
      <c r="AN197" s="32">
        <f>TABL1234[[#This Row],[ (RESV. STORGE) SER]]/10</f>
        <v>0</v>
      </c>
      <c r="AO197" s="75"/>
      <c r="AP197" s="75">
        <f>TABL1234[[#This Row],[(A/S TOT) AJD]]-TABL1234[[#This Row],[SER_ 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Row],[خط (T/B  TOT) SAR]]+TABL1234[[#This Row],[خط (S/S  TOT) SAR2]]</f>
        <v>0</v>
      </c>
      <c r="L198" s="45"/>
      <c r="M198" s="46"/>
      <c r="N198" s="46"/>
      <c r="O198" s="40"/>
      <c r="P198" s="12">
        <f>TABL1234[[#This Row],[خط (S/S  TOT) SAR2]]-TABL1234[[#This Row],[(S/S TOT) AJD]]</f>
        <v>0</v>
      </c>
      <c r="Q198" s="40"/>
      <c r="R198" s="12">
        <f>TABL1234[[#This Row],[خط (T/B  TOT) SAR]]-TABL1234[[#This Row],[(T/B TOT) AJD]]</f>
        <v>0</v>
      </c>
      <c r="S198" s="12">
        <f>TABL1234[[#This Row],[الفرق بين بداية ونهاية خط  T/B]]+TABL1234[[#This Row],[الفرق بين بداية ونهاية خط  S/S]]</f>
        <v>0</v>
      </c>
      <c r="T198" s="12">
        <f>TABL1234[[#This Row],[(S/S TOT) AJD]]+TABL1234[[#This Row],[(T/B TOT) AJD]]</f>
        <v>0</v>
      </c>
      <c r="U198" s="44"/>
      <c r="V198" s="44"/>
      <c r="W198" s="12">
        <f>TABL1234[[#This Row],[(A/B TOT) AJD]]+TABL1234[[#This Row],[(A/S TOT)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Row],[البخر  AJD]])</f>
        <v>0</v>
      </c>
      <c r="AE198" s="44"/>
      <c r="AF198" s="45"/>
      <c r="AG198" s="45"/>
      <c r="AH198" s="6"/>
      <c r="AI198" s="45"/>
      <c r="AJ198" s="45">
        <f>TABL1234[[#This Row],[(A/B TOT) AJD]]-TABL1234[[#This Row],[BER_ IN]]</f>
        <v>0</v>
      </c>
      <c r="AK198" s="45"/>
      <c r="AL198" s="45"/>
      <c r="AM198" s="32"/>
      <c r="AN198" s="32">
        <f>TABL1234[[#This Row],[ (RESV. STORGE) SER]]/10</f>
        <v>0</v>
      </c>
      <c r="AO198" s="75"/>
      <c r="AP198" s="75">
        <f>TABL1234[[#This Row],[(A/S TOT) AJD]]-TABL1234[[#This Row],[SER_ 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Row],[خط (T/B  TOT) SAR]]+TABL1234[[#This Row],[خط (S/S  TOT) SAR2]]</f>
        <v>0</v>
      </c>
      <c r="L199" s="41"/>
      <c r="M199" s="42"/>
      <c r="N199" s="42"/>
      <c r="O199" s="39"/>
      <c r="P199" s="12">
        <f>TABL1234[[#This Row],[خط (S/S  TOT) SAR2]]-TABL1234[[#This Row],[(S/S TOT) AJD]]</f>
        <v>0</v>
      </c>
      <c r="Q199" s="39"/>
      <c r="R199" s="12">
        <f>TABL1234[[#This Row],[خط (T/B  TOT) SAR]]-TABL1234[[#This Row],[(T/B TOT) AJD]]</f>
        <v>0</v>
      </c>
      <c r="S199" s="12">
        <f>TABL1234[[#This Row],[الفرق بين بداية ونهاية خط  T/B]]+TABL1234[[#This Row],[الفرق بين بداية ونهاية خط  S/S]]</f>
        <v>0</v>
      </c>
      <c r="T199" s="12">
        <f>TABL1234[[#This Row],[(S/S TOT) AJD]]+TABL1234[[#This Row],[(T/B TOT) AJD]]</f>
        <v>0</v>
      </c>
      <c r="U199" s="41"/>
      <c r="V199" s="41"/>
      <c r="W199" s="12">
        <f>TABL1234[[#This Row],[(A/B TOT) AJD]]+TABL1234[[#This Row],[(A/S TOT)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Row],[البخر  AJD]])</f>
        <v>0</v>
      </c>
      <c r="AE199" s="41"/>
      <c r="AF199" s="43"/>
      <c r="AG199" s="43"/>
      <c r="AH199" s="6"/>
      <c r="AI199" s="43"/>
      <c r="AJ199" s="43">
        <f>TABL1234[[#This Row],[(A/B TOT) AJD]]-TABL1234[[#This Row],[BER_ IN]]</f>
        <v>0</v>
      </c>
      <c r="AK199" s="43"/>
      <c r="AL199" s="43"/>
      <c r="AM199" s="32"/>
      <c r="AN199" s="32">
        <f>TABL1234[[#This Row],[ (RESV. STORGE) SER]]/10</f>
        <v>0</v>
      </c>
      <c r="AO199" s="75"/>
      <c r="AP199" s="75">
        <f>TABL1234[[#This Row],[(A/S TOT) AJD]]-TABL1234[[#This Row],[SER_ 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Row],[خط (T/B  TOT) SAR]]+TABL1234[[#This Row],[خط (S/S  TOT) SAR2]]</f>
        <v>0</v>
      </c>
      <c r="L200" s="45"/>
      <c r="M200" s="46"/>
      <c r="N200" s="46"/>
      <c r="O200" s="40"/>
      <c r="P200" s="12">
        <f>TABL1234[[#This Row],[خط (S/S  TOT) SAR2]]-TABL1234[[#This Row],[(S/S TOT) AJD]]</f>
        <v>0</v>
      </c>
      <c r="Q200" s="40"/>
      <c r="R200" s="12">
        <f>TABL1234[[#This Row],[خط (T/B  TOT) SAR]]-TABL1234[[#This Row],[(T/B TOT) AJD]]</f>
        <v>0</v>
      </c>
      <c r="S200" s="12">
        <f>TABL1234[[#This Row],[الفرق بين بداية ونهاية خط  T/B]]+TABL1234[[#This Row],[الفرق بين بداية ونهاية خط  S/S]]</f>
        <v>0</v>
      </c>
      <c r="T200" s="12">
        <f>TABL1234[[#This Row],[(S/S TOT) AJD]]+TABL1234[[#This Row],[(T/B TOT) AJD]]</f>
        <v>0</v>
      </c>
      <c r="U200" s="44"/>
      <c r="V200" s="44"/>
      <c r="W200" s="12">
        <f>TABL1234[[#This Row],[(A/B TOT) AJD]]+TABL1234[[#This Row],[(A/S TOT)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Row],[البخر  AJD]])</f>
        <v>0</v>
      </c>
      <c r="AE200" s="44"/>
      <c r="AF200" s="45"/>
      <c r="AG200" s="45"/>
      <c r="AH200" s="6"/>
      <c r="AI200" s="45"/>
      <c r="AJ200" s="45">
        <f>TABL1234[[#This Row],[(A/B TOT) AJD]]-TABL1234[[#This Row],[BER_ IN]]</f>
        <v>0</v>
      </c>
      <c r="AK200" s="45"/>
      <c r="AL200" s="45"/>
      <c r="AM200" s="32"/>
      <c r="AN200" s="32">
        <f>TABL1234[[#This Row],[ (RESV. STORGE) SER]]/10</f>
        <v>0</v>
      </c>
      <c r="AO200" s="75"/>
      <c r="AP200" s="75">
        <f>TABL1234[[#This Row],[(A/S TOT) AJD]]-TABL1234[[#This Row],[SER_ 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Row],[خط (T/B  TOT) SAR]]+TABL1234[[#This Row],[خط (S/S  TOT) SAR2]]</f>
        <v>0</v>
      </c>
      <c r="L201" s="41"/>
      <c r="M201" s="42"/>
      <c r="N201" s="42"/>
      <c r="O201" s="39"/>
      <c r="P201" s="12">
        <f>TABL1234[[#This Row],[خط (S/S  TOT) SAR2]]-TABL1234[[#This Row],[(S/S TOT) AJD]]</f>
        <v>0</v>
      </c>
      <c r="Q201" s="39"/>
      <c r="R201" s="12">
        <f>TABL1234[[#This Row],[خط (T/B  TOT) SAR]]-TABL1234[[#This Row],[(T/B TOT) AJD]]</f>
        <v>0</v>
      </c>
      <c r="S201" s="12">
        <f>TABL1234[[#This Row],[الفرق بين بداية ونهاية خط  T/B]]+TABL1234[[#This Row],[الفرق بين بداية ونهاية خط  S/S]]</f>
        <v>0</v>
      </c>
      <c r="T201" s="12">
        <f>TABL1234[[#This Row],[(S/S TOT) AJD]]+TABL1234[[#This Row],[(T/B TOT) AJD]]</f>
        <v>0</v>
      </c>
      <c r="U201" s="41"/>
      <c r="V201" s="41"/>
      <c r="W201" s="12">
        <f>TABL1234[[#This Row],[(A/B TOT) AJD]]+TABL1234[[#This Row],[(A/S TOT)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Row],[البخر  AJD]])</f>
        <v>0</v>
      </c>
      <c r="AE201" s="41"/>
      <c r="AF201" s="43"/>
      <c r="AG201" s="43"/>
      <c r="AH201" s="6"/>
      <c r="AI201" s="43"/>
      <c r="AJ201" s="43">
        <f>TABL1234[[#This Row],[(A/B TOT) AJD]]-TABL1234[[#This Row],[BER_ IN]]</f>
        <v>0</v>
      </c>
      <c r="AK201" s="43"/>
      <c r="AL201" s="43"/>
      <c r="AM201" s="32"/>
      <c r="AN201" s="32">
        <f>TABL1234[[#This Row],[ (RESV. STORGE) SER]]/10</f>
        <v>0</v>
      </c>
      <c r="AO201" s="75"/>
      <c r="AP201" s="75">
        <f>TABL1234[[#This Row],[(A/S TOT) AJD]]-TABL1234[[#This Row],[SER_ 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Row],[خط (T/B  TOT) SAR]]+TABL1234[[#This Row],[خط (S/S  TOT) SAR2]]</f>
        <v>0</v>
      </c>
      <c r="L202" s="45"/>
      <c r="M202" s="46"/>
      <c r="N202" s="46"/>
      <c r="O202" s="40"/>
      <c r="P202" s="12">
        <f>TABL1234[[#This Row],[خط (S/S  TOT) SAR2]]-TABL1234[[#This Row],[(S/S TOT) AJD]]</f>
        <v>0</v>
      </c>
      <c r="Q202" s="40"/>
      <c r="R202" s="12">
        <f>TABL1234[[#This Row],[خط (T/B  TOT) SAR]]-TABL1234[[#This Row],[(T/B TOT) AJD]]</f>
        <v>0</v>
      </c>
      <c r="S202" s="12">
        <f>TABL1234[[#This Row],[الفرق بين بداية ونهاية خط  T/B]]+TABL1234[[#This Row],[الفرق بين بداية ونهاية خط  S/S]]</f>
        <v>0</v>
      </c>
      <c r="T202" s="12">
        <f>TABL1234[[#This Row],[(S/S TOT) AJD]]+TABL1234[[#This Row],[(T/B TOT) AJD]]</f>
        <v>0</v>
      </c>
      <c r="U202" s="44"/>
      <c r="V202" s="44"/>
      <c r="W202" s="12">
        <f>TABL1234[[#This Row],[(A/B TOT) AJD]]+TABL1234[[#This Row],[(A/S TOT)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Row],[البخر  AJD]])</f>
        <v>0</v>
      </c>
      <c r="AE202" s="44"/>
      <c r="AF202" s="45"/>
      <c r="AG202" s="45"/>
      <c r="AH202" s="6"/>
      <c r="AI202" s="45"/>
      <c r="AJ202" s="45">
        <f>TABL1234[[#This Row],[(A/B TOT) AJD]]-TABL1234[[#This Row],[BER_ IN]]</f>
        <v>0</v>
      </c>
      <c r="AK202" s="45"/>
      <c r="AL202" s="45"/>
      <c r="AM202" s="32"/>
      <c r="AN202" s="32">
        <f>TABL1234[[#This Row],[ (RESV. STORGE) SER]]/10</f>
        <v>0</v>
      </c>
      <c r="AO202" s="75"/>
      <c r="AP202" s="75">
        <f>TABL1234[[#This Row],[(A/S TOT) AJD]]-TABL1234[[#This Row],[SER_ 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Row],[خط (T/B  TOT) SAR]]+TABL1234[[#This Row],[خط (S/S  TOT) SAR2]]</f>
        <v>0</v>
      </c>
      <c r="L203" s="41"/>
      <c r="M203" s="42"/>
      <c r="N203" s="42"/>
      <c r="O203" s="39"/>
      <c r="P203" s="12">
        <f>TABL1234[[#This Row],[خط (S/S  TOT) SAR2]]-TABL1234[[#This Row],[(S/S TOT) AJD]]</f>
        <v>0</v>
      </c>
      <c r="Q203" s="39"/>
      <c r="R203" s="12">
        <f>TABL1234[[#This Row],[خط (T/B  TOT) SAR]]-TABL1234[[#This Row],[(T/B TOT) AJD]]</f>
        <v>0</v>
      </c>
      <c r="S203" s="12">
        <f>TABL1234[[#This Row],[الفرق بين بداية ونهاية خط  T/B]]+TABL1234[[#This Row],[الفرق بين بداية ونهاية خط  S/S]]</f>
        <v>0</v>
      </c>
      <c r="T203" s="12">
        <f>TABL1234[[#This Row],[(S/S TOT) AJD]]+TABL1234[[#This Row],[(T/B TOT) AJD]]</f>
        <v>0</v>
      </c>
      <c r="U203" s="41"/>
      <c r="V203" s="41"/>
      <c r="W203" s="12">
        <f>TABL1234[[#This Row],[(A/B TOT) AJD]]+TABL1234[[#This Row],[(A/S TOT)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Row],[البخر  AJD]])</f>
        <v>0</v>
      </c>
      <c r="AE203" s="41"/>
      <c r="AF203" s="43"/>
      <c r="AG203" s="43"/>
      <c r="AH203" s="6"/>
      <c r="AI203" s="43"/>
      <c r="AJ203" s="43">
        <f>TABL1234[[#This Row],[(A/B TOT) AJD]]-TABL1234[[#This Row],[BER_ IN]]</f>
        <v>0</v>
      </c>
      <c r="AK203" s="43"/>
      <c r="AL203" s="43"/>
      <c r="AM203" s="32"/>
      <c r="AN203" s="32">
        <f>TABL1234[[#This Row],[ (RESV. STORGE) SER]]/10</f>
        <v>0</v>
      </c>
      <c r="AO203" s="75"/>
      <c r="AP203" s="75">
        <f>TABL1234[[#This Row],[(A/S TOT) AJD]]-TABL1234[[#This Row],[SER_ 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Row],[خط (T/B  TOT) SAR]]+TABL1234[[#This Row],[خط (S/S  TOT) SAR2]]</f>
        <v>0</v>
      </c>
      <c r="L204" s="45"/>
      <c r="M204" s="46"/>
      <c r="N204" s="46"/>
      <c r="O204" s="40"/>
      <c r="P204" s="12">
        <f>TABL1234[[#This Row],[خط (S/S  TOT) SAR2]]-TABL1234[[#This Row],[(S/S TOT) AJD]]</f>
        <v>0</v>
      </c>
      <c r="Q204" s="40"/>
      <c r="R204" s="12">
        <f>TABL1234[[#This Row],[خط (T/B  TOT) SAR]]-TABL1234[[#This Row],[(T/B TOT) AJD]]</f>
        <v>0</v>
      </c>
      <c r="S204" s="12">
        <f>TABL1234[[#This Row],[الفرق بين بداية ونهاية خط  T/B]]+TABL1234[[#This Row],[الفرق بين بداية ونهاية خط  S/S]]</f>
        <v>0</v>
      </c>
      <c r="T204" s="12">
        <f>TABL1234[[#This Row],[(S/S TOT) AJD]]+TABL1234[[#This Row],[(T/B TOT) AJD]]</f>
        <v>0</v>
      </c>
      <c r="U204" s="44"/>
      <c r="V204" s="44"/>
      <c r="W204" s="12">
        <f>TABL1234[[#This Row],[(A/B TOT) AJD]]+TABL1234[[#This Row],[(A/S TOT)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Row],[البخر  AJD]])</f>
        <v>0</v>
      </c>
      <c r="AE204" s="44"/>
      <c r="AF204" s="45"/>
      <c r="AG204" s="45"/>
      <c r="AH204" s="6"/>
      <c r="AI204" s="45"/>
      <c r="AJ204" s="45">
        <f>TABL1234[[#This Row],[(A/B TOT) AJD]]-TABL1234[[#This Row],[BER_ IN]]</f>
        <v>0</v>
      </c>
      <c r="AK204" s="45"/>
      <c r="AL204" s="45"/>
      <c r="AM204" s="32"/>
      <c r="AN204" s="32">
        <f>TABL1234[[#This Row],[ (RESV. STORGE) SER]]/10</f>
        <v>0</v>
      </c>
      <c r="AO204" s="75"/>
      <c r="AP204" s="75">
        <f>TABL1234[[#This Row],[(A/S TOT) AJD]]-TABL1234[[#This Row],[SER_ 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Row],[خط (T/B  TOT) SAR]]+TABL1234[[#This Row],[خط (S/S  TOT) SAR2]]</f>
        <v>0</v>
      </c>
      <c r="L205" s="41"/>
      <c r="M205" s="42"/>
      <c r="N205" s="42"/>
      <c r="O205" s="39"/>
      <c r="P205" s="12">
        <f>TABL1234[[#This Row],[خط (S/S  TOT) SAR2]]-TABL1234[[#This Row],[(S/S TOT) AJD]]</f>
        <v>0</v>
      </c>
      <c r="Q205" s="39"/>
      <c r="R205" s="12">
        <f>TABL1234[[#This Row],[خط (T/B  TOT) SAR]]-TABL1234[[#This Row],[(T/B TOT) AJD]]</f>
        <v>0</v>
      </c>
      <c r="S205" s="12">
        <f>TABL1234[[#This Row],[الفرق بين بداية ونهاية خط  T/B]]+TABL1234[[#This Row],[الفرق بين بداية ونهاية خط  S/S]]</f>
        <v>0</v>
      </c>
      <c r="T205" s="12">
        <f>TABL1234[[#This Row],[(S/S TOT) AJD]]+TABL1234[[#This Row],[(T/B TOT) AJD]]</f>
        <v>0</v>
      </c>
      <c r="U205" s="41"/>
      <c r="V205" s="41"/>
      <c r="W205" s="12">
        <f>TABL1234[[#This Row],[(A/B TOT) AJD]]+TABL1234[[#This Row],[(A/S TOT)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Row],[البخر  AJD]])</f>
        <v>0</v>
      </c>
      <c r="AE205" s="41"/>
      <c r="AF205" s="43"/>
      <c r="AG205" s="43"/>
      <c r="AH205" s="6"/>
      <c r="AI205" s="43"/>
      <c r="AJ205" s="43">
        <f>TABL1234[[#This Row],[(A/B TOT) AJD]]-TABL1234[[#This Row],[BER_ IN]]</f>
        <v>0</v>
      </c>
      <c r="AK205" s="43"/>
      <c r="AL205" s="43"/>
      <c r="AM205" s="32"/>
      <c r="AN205" s="32">
        <f>TABL1234[[#This Row],[ (RESV. STORGE) SER]]/10</f>
        <v>0</v>
      </c>
      <c r="AO205" s="75"/>
      <c r="AP205" s="75">
        <f>TABL1234[[#This Row],[(A/S TOT) AJD]]-TABL1234[[#This Row],[SER_ 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Row],[خط (T/B  TOT) SAR]]+TABL1234[[#This Row],[خط (S/S  TOT) SAR2]]</f>
        <v>0</v>
      </c>
      <c r="L206" s="45"/>
      <c r="M206" s="46"/>
      <c r="N206" s="46"/>
      <c r="O206" s="40"/>
      <c r="P206" s="12">
        <f>TABL1234[[#This Row],[خط (S/S  TOT) SAR2]]-TABL1234[[#This Row],[(S/S TOT) AJD]]</f>
        <v>0</v>
      </c>
      <c r="Q206" s="45"/>
      <c r="R206" s="12">
        <f>TABL1234[[#This Row],[خط (T/B  TOT) SAR]]-TABL1234[[#This Row],[(T/B TOT) AJD]]</f>
        <v>0</v>
      </c>
      <c r="S206" s="12">
        <f>TABL1234[[#This Row],[الفرق بين بداية ونهاية خط  T/B]]+TABL1234[[#This Row],[الفرق بين بداية ونهاية خط  S/S]]</f>
        <v>0</v>
      </c>
      <c r="T206" s="12">
        <f>TABL1234[[#This Row],[(S/S TOT) AJD]]+TABL1234[[#This Row],[(T/B TOT) AJD]]</f>
        <v>0</v>
      </c>
      <c r="U206" s="44"/>
      <c r="V206" s="44"/>
      <c r="W206" s="12">
        <f>TABL1234[[#This Row],[(A/B TOT) AJD]]+TABL1234[[#This Row],[(A/S TOT)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Row],[البخر  AJD]])</f>
        <v>0</v>
      </c>
      <c r="AE206" s="44"/>
      <c r="AF206" s="45"/>
      <c r="AG206" s="45"/>
      <c r="AH206" s="6"/>
      <c r="AI206" s="45"/>
      <c r="AJ206" s="45">
        <f>TABL1234[[#This Row],[(A/B TOT) AJD]]-TABL1234[[#This Row],[BER_ IN]]</f>
        <v>0</v>
      </c>
      <c r="AK206" s="45"/>
      <c r="AL206" s="45"/>
      <c r="AM206" s="32"/>
      <c r="AN206" s="32">
        <f>TABL1234[[#This Row],[ (RESV. STORGE) SER]]/10</f>
        <v>0</v>
      </c>
      <c r="AO206" s="75"/>
      <c r="AP206" s="75">
        <f>TABL1234[[#This Row],[(A/S TOT) AJD]]-TABL1234[[#This Row],[SER_ 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Row],[خط (T/B  TOT) SAR]]+TABL1234[[#This Row],[خط (S/S  TOT) SAR2]]</f>
        <v>0</v>
      </c>
      <c r="L207" s="41"/>
      <c r="M207" s="42"/>
      <c r="N207" s="42"/>
      <c r="O207" s="39"/>
      <c r="P207" s="12">
        <f>TABL1234[[#This Row],[خط (S/S  TOT) SAR2]]-TABL1234[[#This Row],[(S/S TOT) AJD]]</f>
        <v>0</v>
      </c>
      <c r="Q207" s="43"/>
      <c r="R207" s="12">
        <f>TABL1234[[#This Row],[خط (T/B  TOT) SAR]]-TABL1234[[#This Row],[(T/B TOT) AJD]]</f>
        <v>0</v>
      </c>
      <c r="S207" s="12">
        <f>TABL1234[[#This Row],[الفرق بين بداية ونهاية خط  T/B]]+TABL1234[[#This Row],[الفرق بين بداية ونهاية خط  S/S]]</f>
        <v>0</v>
      </c>
      <c r="T207" s="12">
        <f>TABL1234[[#This Row],[(S/S TOT) AJD]]+TABL1234[[#This Row],[(T/B TOT) AJD]]</f>
        <v>0</v>
      </c>
      <c r="U207" s="41"/>
      <c r="V207" s="41"/>
      <c r="W207" s="12">
        <f>TABL1234[[#This Row],[(A/B TOT) AJD]]+TABL1234[[#This Row],[(A/S TOT)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Row],[البخر  AJD]])</f>
        <v>0</v>
      </c>
      <c r="AE207" s="41"/>
      <c r="AF207" s="43"/>
      <c r="AG207" s="43"/>
      <c r="AH207" s="6"/>
      <c r="AI207" s="43"/>
      <c r="AJ207" s="43">
        <f>TABL1234[[#This Row],[(A/B TOT) AJD]]-TABL1234[[#This Row],[BER_ IN]]</f>
        <v>0</v>
      </c>
      <c r="AK207" s="43"/>
      <c r="AL207" s="43"/>
      <c r="AM207" s="32"/>
      <c r="AN207" s="32">
        <f>TABL1234[[#This Row],[ (RESV. STORGE) SER]]/10</f>
        <v>0</v>
      </c>
      <c r="AO207" s="75"/>
      <c r="AP207" s="75">
        <f>TABL1234[[#This Row],[(A/S TOT) AJD]]-TABL1234[[#This Row],[SER_ 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Row],[خط (T/B  TOT) SAR]]+TABL1234[[#This Row],[خط (S/S  TOT) SAR2]]</f>
        <v>0</v>
      </c>
      <c r="L208" s="45"/>
      <c r="M208" s="46"/>
      <c r="N208" s="46"/>
      <c r="O208" s="40"/>
      <c r="P208" s="12">
        <f>TABL1234[[#This Row],[خط (S/S  TOT) SAR2]]-TABL1234[[#This Row],[(S/S TOT) AJD]]</f>
        <v>0</v>
      </c>
      <c r="Q208" s="45"/>
      <c r="R208" s="12">
        <f>TABL1234[[#This Row],[خط (T/B  TOT) SAR]]-TABL1234[[#This Row],[(T/B TOT) AJD]]</f>
        <v>0</v>
      </c>
      <c r="S208" s="12">
        <f>TABL1234[[#This Row],[الفرق بين بداية ونهاية خط  T/B]]+TABL1234[[#This Row],[الفرق بين بداية ونهاية خط  S/S]]</f>
        <v>0</v>
      </c>
      <c r="T208" s="12">
        <f>TABL1234[[#This Row],[(S/S TOT) AJD]]+TABL1234[[#This Row],[(T/B TOT) AJD]]</f>
        <v>0</v>
      </c>
      <c r="U208" s="44"/>
      <c r="V208" s="44"/>
      <c r="W208" s="12">
        <f>TABL1234[[#This Row],[(A/B TOT) AJD]]+TABL1234[[#This Row],[(A/S TOT)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Row],[البخر  AJD]])</f>
        <v>0</v>
      </c>
      <c r="AE208" s="44"/>
      <c r="AF208" s="45"/>
      <c r="AG208" s="45"/>
      <c r="AH208" s="6"/>
      <c r="AI208" s="45"/>
      <c r="AJ208" s="45">
        <f>TABL1234[[#This Row],[(A/B TOT) AJD]]-TABL1234[[#This Row],[BER_ IN]]</f>
        <v>0</v>
      </c>
      <c r="AK208" s="45"/>
      <c r="AL208" s="45"/>
      <c r="AM208" s="32"/>
      <c r="AN208" s="32">
        <f>TABL1234[[#This Row],[ (RESV. STORGE) SER]]/10</f>
        <v>0</v>
      </c>
      <c r="AO208" s="75"/>
      <c r="AP208" s="75">
        <f>TABL1234[[#This Row],[(A/S TOT) AJD]]-TABL1234[[#This Row],[SER_ 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Row],[خط (T/B  TOT) SAR]]+TABL1234[[#This Row],[خط (S/S  TOT) SAR2]]</f>
        <v>0</v>
      </c>
      <c r="L209" s="41"/>
      <c r="M209" s="42"/>
      <c r="N209" s="42"/>
      <c r="O209" s="39"/>
      <c r="P209" s="12">
        <f>TABL1234[[#This Row],[خط (S/S  TOT) SAR2]]-TABL1234[[#This Row],[(S/S TOT) AJD]]</f>
        <v>0</v>
      </c>
      <c r="Q209" s="39"/>
      <c r="R209" s="12">
        <f>TABL1234[[#This Row],[خط (T/B  TOT) SAR]]-TABL1234[[#This Row],[(T/B TOT) AJD]]</f>
        <v>0</v>
      </c>
      <c r="S209" s="12">
        <f>TABL1234[[#This Row],[الفرق بين بداية ونهاية خط  T/B]]+TABL1234[[#This Row],[الفرق بين بداية ونهاية خط  S/S]]</f>
        <v>0</v>
      </c>
      <c r="T209" s="12">
        <f>TABL1234[[#This Row],[(S/S TOT) AJD]]+TABL1234[[#This Row],[(T/B TOT) AJD]]</f>
        <v>0</v>
      </c>
      <c r="U209" s="41"/>
      <c r="V209" s="41"/>
      <c r="W209" s="12">
        <f>TABL1234[[#This Row],[(A/B TOT) AJD]]+TABL1234[[#This Row],[(A/S TOT)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Row],[البخر  AJD]])</f>
        <v>0</v>
      </c>
      <c r="AE209" s="41"/>
      <c r="AF209" s="43"/>
      <c r="AG209" s="43"/>
      <c r="AH209" s="6"/>
      <c r="AI209" s="43"/>
      <c r="AJ209" s="43">
        <f>TABL1234[[#This Row],[(A/B TOT) AJD]]-TABL1234[[#This Row],[BER_ IN]]</f>
        <v>0</v>
      </c>
      <c r="AK209" s="43"/>
      <c r="AL209" s="43"/>
      <c r="AM209" s="32"/>
      <c r="AN209" s="32">
        <f>TABL1234[[#This Row],[ (RESV. STORGE) SER]]/10</f>
        <v>0</v>
      </c>
      <c r="AO209" s="75"/>
      <c r="AP209" s="75">
        <f>TABL1234[[#This Row],[(A/S TOT) AJD]]-TABL1234[[#This Row],[SER_ 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Row],[خط (T/B  TOT) SAR]]+TABL1234[[#This Row],[خط (S/S  TOT) SAR2]]</f>
        <v>0</v>
      </c>
      <c r="L210" s="45"/>
      <c r="M210" s="46"/>
      <c r="N210" s="46"/>
      <c r="O210" s="40"/>
      <c r="P210" s="12">
        <f>TABL1234[[#This Row],[خط (S/S  TOT) SAR2]]-TABL1234[[#This Row],[(S/S TOT) AJD]]</f>
        <v>0</v>
      </c>
      <c r="Q210" s="40"/>
      <c r="R210" s="12">
        <f>TABL1234[[#This Row],[خط (T/B  TOT) SAR]]-TABL1234[[#This Row],[(T/B TOT) AJD]]</f>
        <v>0</v>
      </c>
      <c r="S210" s="12">
        <f>TABL1234[[#This Row],[الفرق بين بداية ونهاية خط  T/B]]+TABL1234[[#This Row],[الفرق بين بداية ونهاية خط  S/S]]</f>
        <v>0</v>
      </c>
      <c r="T210" s="12">
        <f>TABL1234[[#This Row],[(S/S TOT) AJD]]+TABL1234[[#This Row],[(T/B TOT) AJD]]</f>
        <v>0</v>
      </c>
      <c r="U210" s="44"/>
      <c r="V210" s="44"/>
      <c r="W210" s="12">
        <f>TABL1234[[#This Row],[(A/B TOT) AJD]]+TABL1234[[#This Row],[(A/S TOT)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Row],[البخر  AJD]])</f>
        <v>0</v>
      </c>
      <c r="AE210" s="44"/>
      <c r="AF210" s="45"/>
      <c r="AG210" s="45"/>
      <c r="AH210" s="6"/>
      <c r="AI210" s="45"/>
      <c r="AJ210" s="45">
        <f>TABL1234[[#This Row],[(A/B TOT) AJD]]-TABL1234[[#This Row],[BER_ IN]]</f>
        <v>0</v>
      </c>
      <c r="AK210" s="45"/>
      <c r="AL210" s="45"/>
      <c r="AM210" s="32"/>
      <c r="AN210" s="32">
        <f>TABL1234[[#This Row],[ (RESV. STORGE) SER]]/10</f>
        <v>0</v>
      </c>
      <c r="AO210" s="75"/>
      <c r="AP210" s="75">
        <f>TABL1234[[#This Row],[(A/S TOT) AJD]]-TABL1234[[#This Row],[SER_ 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Row],[خط (T/B  TOT) SAR]]+TABL1234[[#This Row],[خط (S/S  TOT) SAR2]]</f>
        <v>0</v>
      </c>
      <c r="L211" s="41"/>
      <c r="M211" s="42"/>
      <c r="N211" s="42"/>
      <c r="O211" s="39"/>
      <c r="P211" s="12">
        <f>TABL1234[[#This Row],[خط (S/S  TOT) SAR2]]-TABL1234[[#This Row],[(S/S TOT) AJD]]</f>
        <v>0</v>
      </c>
      <c r="Q211" s="39"/>
      <c r="R211" s="12">
        <f>TABL1234[[#This Row],[خط (T/B  TOT) SAR]]-TABL1234[[#This Row],[(T/B TOT) AJD]]</f>
        <v>0</v>
      </c>
      <c r="S211" s="12">
        <f>TABL1234[[#This Row],[الفرق بين بداية ونهاية خط  T/B]]+TABL1234[[#This Row],[الفرق بين بداية ونهاية خط  S/S]]</f>
        <v>0</v>
      </c>
      <c r="T211" s="12">
        <f>TABL1234[[#This Row],[(S/S TOT) AJD]]+TABL1234[[#This Row],[(T/B TOT) AJD]]</f>
        <v>0</v>
      </c>
      <c r="U211" s="41"/>
      <c r="V211" s="41"/>
      <c r="W211" s="12">
        <f>TABL1234[[#This Row],[(A/B TOT) AJD]]+TABL1234[[#This Row],[(A/S TOT)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Row],[البخر  AJD]])</f>
        <v>0</v>
      </c>
      <c r="AE211" s="41"/>
      <c r="AF211" s="43"/>
      <c r="AG211" s="43"/>
      <c r="AH211" s="6"/>
      <c r="AI211" s="43"/>
      <c r="AJ211" s="43">
        <f>TABL1234[[#This Row],[(A/B TOT) AJD]]-TABL1234[[#This Row],[BER_ IN]]</f>
        <v>0</v>
      </c>
      <c r="AK211" s="43"/>
      <c r="AL211" s="43"/>
      <c r="AM211" s="32"/>
      <c r="AN211" s="32">
        <f>TABL1234[[#This Row],[ (RESV. STORGE) SER]]/10</f>
        <v>0</v>
      </c>
      <c r="AO211" s="75"/>
      <c r="AP211" s="75">
        <f>TABL1234[[#This Row],[(A/S TOT) AJD]]-TABL1234[[#This Row],[SER_ 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Row],[خط (T/B  TOT) SAR]]+TABL1234[[#This Row],[خط (S/S  TOT) SAR2]]</f>
        <v>0</v>
      </c>
      <c r="L212" s="45"/>
      <c r="M212" s="46"/>
      <c r="N212" s="46"/>
      <c r="O212" s="40"/>
      <c r="P212" s="12">
        <f>TABL1234[[#This Row],[خط (S/S  TOT) SAR2]]-TABL1234[[#This Row],[(S/S TOT) AJD]]</f>
        <v>0</v>
      </c>
      <c r="Q212" s="40"/>
      <c r="R212" s="12">
        <f>TABL1234[[#This Row],[خط (T/B  TOT) SAR]]-TABL1234[[#This Row],[(T/B TOT) AJD]]</f>
        <v>0</v>
      </c>
      <c r="S212" s="12">
        <f>TABL1234[[#This Row],[الفرق بين بداية ونهاية خط  T/B]]+TABL1234[[#This Row],[الفرق بين بداية ونهاية خط  S/S]]</f>
        <v>0</v>
      </c>
      <c r="T212" s="12">
        <f>TABL1234[[#This Row],[(S/S TOT) AJD]]+TABL1234[[#This Row],[(T/B TOT) AJD]]</f>
        <v>0</v>
      </c>
      <c r="U212" s="44"/>
      <c r="V212" s="44"/>
      <c r="W212" s="12">
        <f>TABL1234[[#This Row],[(A/B TOT) AJD]]+TABL1234[[#This Row],[(A/S TOT)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7">
        <f>TABL1234[[#This Row],[( S/S+T/B) AJD]]-(TABL1234[[#This Row],[(A/B + A/S) AJD]]+(TABL1234[[#This Row],[(STORGE DIFF.) AJD]]*1000)+TABL1234[[#This Row],[البخر  AJD]])</f>
        <v>0</v>
      </c>
      <c r="AE212" s="44"/>
      <c r="AF212" s="45"/>
      <c r="AG212" s="45"/>
      <c r="AH212" s="6"/>
      <c r="AI212" s="45"/>
      <c r="AJ212" s="99">
        <f>TABL1234[[#This Row],[(A/B TOT) AJD]]-TABL1234[[#This Row],[BER_ IN]]</f>
        <v>0</v>
      </c>
      <c r="AK212" s="45"/>
      <c r="AL212" s="45"/>
      <c r="AM212" s="32"/>
      <c r="AN212" s="32">
        <f>TABL1234[[#This Row],[ (RESV. STORGE) SER]]/10</f>
        <v>0</v>
      </c>
      <c r="AO212" s="75"/>
      <c r="AP212" s="75">
        <f>TABL1234[[#This Row],[(A/S TOT) AJD]]-TABL1234[[#This Row],[SER_ 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Row],[خط (T/B  TOT) SAR]]+TABL1234[[#This Row],[خط (S/S  TOT) SAR2]]</f>
        <v>0</v>
      </c>
      <c r="L213" s="41"/>
      <c r="M213" s="42"/>
      <c r="N213" s="42"/>
      <c r="O213" s="39"/>
      <c r="P213" s="12">
        <f>TABL1234[[#This Row],[خط (S/S  TOT) SAR2]]-TABL1234[[#This Row],[(S/S TOT) AJD]]</f>
        <v>0</v>
      </c>
      <c r="Q213" s="39"/>
      <c r="R213" s="12">
        <f>TABL1234[[#This Row],[خط (T/B  TOT) SAR]]-TABL1234[[#This Row],[(T/B TOT) AJD]]</f>
        <v>0</v>
      </c>
      <c r="S213" s="12">
        <f>TABL1234[[#This Row],[الفرق بين بداية ونهاية خط  T/B]]+TABL1234[[#This Row],[الفرق بين بداية ونهاية خط  S/S]]</f>
        <v>0</v>
      </c>
      <c r="T213" s="12">
        <f>TABL1234[[#This Row],[(S/S TOT) AJD]]+TABL1234[[#This Row],[(T/B TOT) AJD]]</f>
        <v>0</v>
      </c>
      <c r="U213" s="41"/>
      <c r="V213" s="41"/>
      <c r="W213" s="12">
        <f>TABL1234[[#This Row],[(A/B TOT) AJD]]+TABL1234[[#This Row],[(A/S TOT)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Row],[البخر  AJD]])</f>
        <v>0</v>
      </c>
      <c r="AE213" s="41"/>
      <c r="AF213" s="43"/>
      <c r="AG213" s="43"/>
      <c r="AH213" s="6"/>
      <c r="AI213" s="43"/>
      <c r="AJ213" s="43">
        <f>TABL1234[[#This Row],[(A/B TOT) AJD]]-TABL1234[[#This Row],[BER_ IN]]</f>
        <v>0</v>
      </c>
      <c r="AK213" s="43"/>
      <c r="AL213" s="43"/>
      <c r="AM213" s="32"/>
      <c r="AN213" s="32">
        <f>TABL1234[[#This Row],[ (RESV. STORGE) SER]]/10</f>
        <v>0</v>
      </c>
      <c r="AO213" s="75"/>
      <c r="AP213" s="75">
        <f>TABL1234[[#This Row],[(A/S TOT) AJD]]-TABL1234[[#This Row],[SER_ 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Row],[خط (T/B  TOT) SAR]]+TABL1234[[#This Row],[خط (S/S  TOT) SAR2]]</f>
        <v>0</v>
      </c>
      <c r="L214" s="41"/>
      <c r="M214" s="42"/>
      <c r="N214" s="42"/>
      <c r="O214" s="39"/>
      <c r="P214" s="3">
        <f>TABL1234[[#This Row],[خط (S/S  TOT) SAR2]]-TABL1234[[#This Row],[(S/S TOT) AJD]]</f>
        <v>0</v>
      </c>
      <c r="Q214" s="39"/>
      <c r="R214" s="3">
        <f>TABL1234[[#This Row],[خط (T/B  TOT) SAR]]-TABL1234[[#This Row],[(T/B TOT) AJD]]</f>
        <v>0</v>
      </c>
      <c r="S214" s="3">
        <f>TABL1234[[#This Row],[الفرق بين بداية ونهاية خط  T/B]]+TABL1234[[#This Row],[الفرق بين بداية ونهاية خط  S/S]]</f>
        <v>0</v>
      </c>
      <c r="T214" s="3">
        <f>TABL1234[[#This Row],[(S/S TOT) AJD]]+TABL1234[[#This Row],[(T/B TOT) AJD]]</f>
        <v>0</v>
      </c>
      <c r="U214" s="41"/>
      <c r="V214" s="41"/>
      <c r="W214" s="3">
        <f>TABL1234[[#This Row],[(A/B TOT) AJD]]+TABL1234[[#This Row],[(A/S TOT)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Row],[البخر  AJD]])</f>
        <v>0</v>
      </c>
      <c r="AE214" s="41"/>
      <c r="AF214" s="43"/>
      <c r="AG214" s="43"/>
      <c r="AH214" s="6"/>
      <c r="AI214" s="43"/>
      <c r="AJ214" s="43">
        <f>TABL1234[[#This Row],[(A/B TOT) AJD]]-TABL1234[[#This Row],[BER_ IN]]</f>
        <v>0</v>
      </c>
      <c r="AK214" s="43"/>
      <c r="AL214" s="43"/>
      <c r="AM214" s="32"/>
      <c r="AN214" s="32">
        <f>TABL1234[[#This Row],[ (RESV. STORGE) SER]]/10</f>
        <v>0</v>
      </c>
      <c r="AO214" s="75"/>
      <c r="AP214" s="75">
        <f>TABL1234[[#This Row],[(A/S TOT) AJD]]-TABL1234[[#This Row],[SER_ 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Row],[خط (T/B  TOT) SAR]]+TABL1234[[#This Row],[خط (S/S  TOT) SAR2]]</f>
        <v>0</v>
      </c>
      <c r="L215" s="45"/>
      <c r="M215" s="46"/>
      <c r="N215" s="46"/>
      <c r="O215" s="40"/>
      <c r="P215" s="3">
        <f>TABL1234[[#This Row],[خط (S/S  TOT) SAR2]]-TABL1234[[#This Row],[(S/S TOT) AJD]]</f>
        <v>0</v>
      </c>
      <c r="Q215" s="40"/>
      <c r="R215" s="3">
        <f>TABL1234[[#This Row],[خط (T/B  TOT) SAR]]-TABL1234[[#This Row],[(T/B TOT) AJD]]</f>
        <v>0</v>
      </c>
      <c r="S215" s="3">
        <f>TABL1234[[#This Row],[الفرق بين بداية ونهاية خط  T/B]]+TABL1234[[#This Row],[الفرق بين بداية ونهاية خط  S/S]]</f>
        <v>0</v>
      </c>
      <c r="T215" s="3">
        <f>TABL1234[[#This Row],[(S/S TOT) AJD]]+TABL1234[[#This Row],[(T/B TOT) AJD]]</f>
        <v>0</v>
      </c>
      <c r="U215" s="44"/>
      <c r="V215" s="44"/>
      <c r="W215" s="3">
        <f>TABL1234[[#This Row],[(A/B TOT) AJD]]+TABL1234[[#This Row],[(A/S TOT)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Row],[البخر  AJD]])</f>
        <v>0</v>
      </c>
      <c r="AE215" s="44"/>
      <c r="AF215" s="45"/>
      <c r="AG215" s="45"/>
      <c r="AH215" s="6"/>
      <c r="AI215" s="45"/>
      <c r="AJ215" s="45">
        <f>TABL1234[[#This Row],[(A/B TOT) AJD]]-TABL1234[[#This Row],[BER_ IN]]</f>
        <v>0</v>
      </c>
      <c r="AK215" s="45"/>
      <c r="AL215" s="45"/>
      <c r="AM215" s="32"/>
      <c r="AN215" s="32">
        <f>TABL1234[[#This Row],[ (RESV. STORGE) SER]]/10</f>
        <v>0</v>
      </c>
      <c r="AO215" s="75"/>
      <c r="AP215" s="75">
        <f>TABL1234[[#This Row],[(A/S TOT) AJD]]-TABL1234[[#This Row],[SER_ 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Row],[خط (T/B  TOT) SAR]]+TABL1234[[#This Row],[خط (S/S  TOT) SAR2]]</f>
        <v>0</v>
      </c>
      <c r="L216" s="41"/>
      <c r="M216" s="42"/>
      <c r="N216" s="42"/>
      <c r="O216" s="39"/>
      <c r="P216" s="3">
        <f>TABL1234[[#This Row],[خط (S/S  TOT) SAR2]]-TABL1234[[#This Row],[(S/S TOT) AJD]]</f>
        <v>0</v>
      </c>
      <c r="Q216" s="39"/>
      <c r="R216" s="3">
        <f>TABL1234[[#This Row],[خط (T/B  TOT) SAR]]-TABL1234[[#This Row],[(T/B TOT) AJD]]</f>
        <v>0</v>
      </c>
      <c r="S216" s="3">
        <f>TABL1234[[#This Row],[الفرق بين بداية ونهاية خط  T/B]]+TABL1234[[#This Row],[الفرق بين بداية ونهاية خط  S/S]]</f>
        <v>0</v>
      </c>
      <c r="T216" s="3">
        <f>TABL1234[[#This Row],[(S/S TOT) AJD]]+TABL1234[[#This Row],[(T/B TOT) AJD]]</f>
        <v>0</v>
      </c>
      <c r="U216" s="41"/>
      <c r="V216" s="41"/>
      <c r="W216" s="3">
        <f>TABL1234[[#This Row],[(A/B TOT) AJD]]+TABL1234[[#This Row],[(A/S TOT)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Row],[البخر  AJD]])</f>
        <v>0</v>
      </c>
      <c r="AE216" s="41"/>
      <c r="AF216" s="43"/>
      <c r="AG216" s="43"/>
      <c r="AH216" s="6"/>
      <c r="AI216" s="43"/>
      <c r="AJ216" s="43">
        <f>TABL1234[[#This Row],[(A/B TOT) AJD]]-TABL1234[[#This Row],[BER_ IN]]</f>
        <v>0</v>
      </c>
      <c r="AK216" s="43"/>
      <c r="AL216" s="43"/>
      <c r="AM216" s="32"/>
      <c r="AN216" s="32">
        <f>TABL1234[[#This Row],[ (RESV. STORGE) SER]]/10</f>
        <v>0</v>
      </c>
      <c r="AO216" s="75"/>
      <c r="AP216" s="75">
        <f>TABL1234[[#This Row],[(A/S TOT) AJD]]-TABL1234[[#This Row],[SER_ 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Row],[خط (T/B  TOT) SAR]]+TABL1234[[#This Row],[خط (S/S  TOT) SAR2]]</f>
        <v>0</v>
      </c>
      <c r="L217" s="45"/>
      <c r="M217" s="46"/>
      <c r="N217" s="46"/>
      <c r="O217" s="40"/>
      <c r="P217" s="3">
        <f>TABL1234[[#This Row],[خط (S/S  TOT) SAR2]]-TABL1234[[#This Row],[(S/S TOT) AJD]]</f>
        <v>0</v>
      </c>
      <c r="Q217" s="40"/>
      <c r="R217" s="3">
        <f>TABL1234[[#This Row],[خط (T/B  TOT) SAR]]-TABL1234[[#This Row],[(T/B TOT) AJD]]</f>
        <v>0</v>
      </c>
      <c r="S217" s="3">
        <f>TABL1234[[#This Row],[الفرق بين بداية ونهاية خط  T/B]]+TABL1234[[#This Row],[الفرق بين بداية ونهاية خط  S/S]]</f>
        <v>0</v>
      </c>
      <c r="T217" s="3">
        <f>TABL1234[[#This Row],[(S/S TOT) AJD]]+TABL1234[[#This Row],[(T/B TOT) AJD]]</f>
        <v>0</v>
      </c>
      <c r="U217" s="44"/>
      <c r="V217" s="44"/>
      <c r="W217" s="3">
        <f>TABL1234[[#This Row],[(A/B TOT) AJD]]+TABL1234[[#This Row],[(A/S TOT)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Row],[البخر  AJD]])</f>
        <v>0</v>
      </c>
      <c r="AE217" s="44"/>
      <c r="AF217" s="45"/>
      <c r="AG217" s="45"/>
      <c r="AH217" s="6"/>
      <c r="AI217" s="45"/>
      <c r="AJ217" s="45">
        <f>TABL1234[[#This Row],[(A/B TOT) AJD]]-TABL1234[[#This Row],[BER_ IN]]</f>
        <v>0</v>
      </c>
      <c r="AK217" s="45"/>
      <c r="AL217" s="45"/>
      <c r="AM217" s="32"/>
      <c r="AN217" s="32">
        <f>TABL1234[[#This Row],[ (RESV. STORGE) SER]]/10</f>
        <v>0</v>
      </c>
      <c r="AO217" s="75"/>
      <c r="AP217" s="75">
        <f>TABL1234[[#This Row],[(A/S TOT) AJD]]-TABL1234[[#This Row],[SER_ 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Row],[خط (T/B  TOT) SAR]]+TABL1234[[#This Row],[خط (S/S  TOT) SAR2]]</f>
        <v>0</v>
      </c>
      <c r="L218" s="41"/>
      <c r="M218" s="42"/>
      <c r="N218" s="42"/>
      <c r="O218" s="39"/>
      <c r="P218" s="3">
        <f>TABL1234[[#This Row],[خط (S/S  TOT) SAR2]]-TABL1234[[#This Row],[(S/S TOT) AJD]]</f>
        <v>0</v>
      </c>
      <c r="Q218" s="39"/>
      <c r="R218" s="3">
        <f>TABL1234[[#This Row],[خط (T/B  TOT) SAR]]-TABL1234[[#This Row],[(T/B TOT) AJD]]</f>
        <v>0</v>
      </c>
      <c r="S218" s="3">
        <f>TABL1234[[#This Row],[الفرق بين بداية ونهاية خط  T/B]]+TABL1234[[#This Row],[الفرق بين بداية ونهاية خط  S/S]]</f>
        <v>0</v>
      </c>
      <c r="T218" s="3">
        <f>TABL1234[[#This Row],[(S/S TOT) AJD]]+TABL1234[[#This Row],[(T/B TOT) AJD]]</f>
        <v>0</v>
      </c>
      <c r="U218" s="41"/>
      <c r="V218" s="41"/>
      <c r="W218" s="3">
        <f>TABL1234[[#This Row],[(A/B TOT) AJD]]+TABL1234[[#This Row],[(A/S TOT)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Row],[البخر  AJD]])</f>
        <v>0</v>
      </c>
      <c r="AE218" s="41"/>
      <c r="AF218" s="43"/>
      <c r="AG218" s="43"/>
      <c r="AH218" s="6"/>
      <c r="AI218" s="43"/>
      <c r="AJ218" s="43">
        <f>TABL1234[[#This Row],[(A/B TOT) AJD]]-TABL1234[[#This Row],[BER_ IN]]</f>
        <v>0</v>
      </c>
      <c r="AK218" s="43"/>
      <c r="AL218" s="43"/>
      <c r="AM218" s="32"/>
      <c r="AN218" s="32">
        <f>TABL1234[[#This Row],[ (RESV. STORGE) SER]]/10</f>
        <v>0</v>
      </c>
      <c r="AO218" s="75"/>
      <c r="AP218" s="75">
        <f>TABL1234[[#This Row],[(A/S TOT) AJD]]-TABL1234[[#This Row],[SER_ 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Row],[خط (T/B  TOT) SAR]]+TABL1234[[#This Row],[خط (S/S  TOT) SAR2]]</f>
        <v>0</v>
      </c>
      <c r="L219" s="45"/>
      <c r="M219" s="46"/>
      <c r="N219" s="46"/>
      <c r="O219" s="40"/>
      <c r="P219" s="3">
        <f>TABL1234[[#This Row],[خط (S/S  TOT) SAR2]]-TABL1234[[#This Row],[(S/S TOT) AJD]]</f>
        <v>0</v>
      </c>
      <c r="Q219" s="40"/>
      <c r="R219" s="3">
        <f>TABL1234[[#This Row],[خط (T/B  TOT) SAR]]-TABL1234[[#This Row],[(T/B TOT) AJD]]</f>
        <v>0</v>
      </c>
      <c r="S219" s="3">
        <f>TABL1234[[#This Row],[الفرق بين بداية ونهاية خط  T/B]]+TABL1234[[#This Row],[الفرق بين بداية ونهاية خط  S/S]]</f>
        <v>0</v>
      </c>
      <c r="T219" s="3">
        <f>TABL1234[[#This Row],[(S/S TOT) AJD]]+TABL1234[[#This Row],[(T/B TOT) AJD]]</f>
        <v>0</v>
      </c>
      <c r="U219" s="44"/>
      <c r="V219" s="44"/>
      <c r="W219" s="3">
        <f>TABL1234[[#This Row],[(A/B TOT) AJD]]+TABL1234[[#This Row],[(A/S TOT)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Row],[البخر  AJD]])</f>
        <v>0</v>
      </c>
      <c r="AE219" s="44"/>
      <c r="AF219" s="45"/>
      <c r="AG219" s="45"/>
      <c r="AH219" s="6"/>
      <c r="AI219" s="45"/>
      <c r="AJ219" s="45">
        <f>TABL1234[[#This Row],[(A/B TOT) AJD]]-TABL1234[[#This Row],[BER_ IN]]</f>
        <v>0</v>
      </c>
      <c r="AK219" s="45"/>
      <c r="AL219" s="45"/>
      <c r="AM219" s="32"/>
      <c r="AN219" s="32">
        <f>TABL1234[[#This Row],[ (RESV. STORGE) SER]]/10</f>
        <v>0</v>
      </c>
      <c r="AO219" s="75"/>
      <c r="AP219" s="75">
        <f>TABL1234[[#This Row],[(A/S TOT) AJD]]-TABL1234[[#This Row],[SER_ 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Row],[خط (T/B  TOT) SAR]]+TABL1234[[#This Row],[خط (S/S  TOT) SAR2]]</f>
        <v>0</v>
      </c>
      <c r="L220" s="41"/>
      <c r="M220" s="42"/>
      <c r="N220" s="42"/>
      <c r="O220" s="39"/>
      <c r="P220" s="3">
        <f>TABL1234[[#This Row],[خط (S/S  TOT) SAR2]]-TABL1234[[#This Row],[(S/S TOT) AJD]]</f>
        <v>0</v>
      </c>
      <c r="Q220" s="39"/>
      <c r="R220" s="3">
        <f>TABL1234[[#This Row],[خط (T/B  TOT) SAR]]-TABL1234[[#This Row],[(T/B TOT) AJD]]</f>
        <v>0</v>
      </c>
      <c r="S220" s="3">
        <f>TABL1234[[#This Row],[الفرق بين بداية ونهاية خط  T/B]]+TABL1234[[#This Row],[الفرق بين بداية ونهاية خط  S/S]]</f>
        <v>0</v>
      </c>
      <c r="T220" s="3">
        <f>TABL1234[[#This Row],[(S/S TOT) AJD]]+TABL1234[[#This Row],[(T/B TOT) AJD]]</f>
        <v>0</v>
      </c>
      <c r="U220" s="41"/>
      <c r="V220" s="41"/>
      <c r="W220" s="3">
        <f>TABL1234[[#This Row],[(A/B TOT) AJD]]+TABL1234[[#This Row],[(A/S TOT)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Row],[البخر  AJD]])</f>
        <v>0</v>
      </c>
      <c r="AE220" s="41"/>
      <c r="AF220" s="43"/>
      <c r="AG220" s="43"/>
      <c r="AH220" s="6"/>
      <c r="AI220" s="43"/>
      <c r="AJ220" s="43">
        <f>TABL1234[[#This Row],[(A/B TOT) AJD]]-TABL1234[[#This Row],[BER_ IN]]</f>
        <v>0</v>
      </c>
      <c r="AK220" s="43"/>
      <c r="AL220" s="43"/>
      <c r="AM220" s="32"/>
      <c r="AN220" s="32">
        <f>TABL1234[[#This Row],[ (RESV. STORGE) SER]]/10</f>
        <v>0</v>
      </c>
      <c r="AO220" s="75"/>
      <c r="AP220" s="75">
        <f>TABL1234[[#This Row],[(A/S TOT) AJD]]-TABL1234[[#This Row],[SER_ 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Row],[خط (T/B  TOT) SAR]]+TABL1234[[#This Row],[خط (S/S  TOT) SAR2]]</f>
        <v>0</v>
      </c>
      <c r="L221" s="45"/>
      <c r="M221" s="46"/>
      <c r="N221" s="46"/>
      <c r="O221" s="40"/>
      <c r="P221" s="3">
        <f>TABL1234[[#This Row],[خط (S/S  TOT) SAR2]]-TABL1234[[#This Row],[(S/S TOT) AJD]]</f>
        <v>0</v>
      </c>
      <c r="Q221" s="40"/>
      <c r="R221" s="3">
        <f>TABL1234[[#This Row],[خط (T/B  TOT) SAR]]-TABL1234[[#This Row],[(T/B TOT) AJD]]</f>
        <v>0</v>
      </c>
      <c r="S221" s="3">
        <f>TABL1234[[#This Row],[الفرق بين بداية ونهاية خط  T/B]]+TABL1234[[#This Row],[الفرق بين بداية ونهاية خط  S/S]]</f>
        <v>0</v>
      </c>
      <c r="T221" s="3">
        <f>TABL1234[[#This Row],[(S/S TOT) AJD]]+TABL1234[[#This Row],[(T/B TOT) AJD]]</f>
        <v>0</v>
      </c>
      <c r="U221" s="44"/>
      <c r="V221" s="44"/>
      <c r="W221" s="3">
        <f>TABL1234[[#This Row],[(A/B TOT) AJD]]+TABL1234[[#This Row],[(A/S TOT)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Row],[البخر  AJD]])</f>
        <v>0</v>
      </c>
      <c r="AE221" s="44"/>
      <c r="AF221" s="45"/>
      <c r="AG221" s="45"/>
      <c r="AH221" s="6"/>
      <c r="AI221" s="45"/>
      <c r="AJ221" s="45">
        <f>TABL1234[[#This Row],[(A/B TOT) AJD]]-TABL1234[[#This Row],[BER_ IN]]</f>
        <v>0</v>
      </c>
      <c r="AK221" s="45"/>
      <c r="AL221" s="45"/>
      <c r="AM221" s="32"/>
      <c r="AN221" s="32">
        <f>TABL1234[[#This Row],[ (RESV. STORGE) SER]]/10</f>
        <v>0</v>
      </c>
      <c r="AO221" s="75"/>
      <c r="AP221" s="75">
        <f>TABL1234[[#This Row],[(A/S TOT) AJD]]-TABL1234[[#This Row],[SER_ 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Row],[خط (T/B  TOT) SAR]]+TABL1234[[#This Row],[خط (S/S  TOT) SAR2]]</f>
        <v>0</v>
      </c>
      <c r="L222" s="41"/>
      <c r="M222" s="42"/>
      <c r="N222" s="42"/>
      <c r="O222" s="39"/>
      <c r="P222" s="3">
        <f>TABL1234[[#This Row],[خط (S/S  TOT) SAR2]]-TABL1234[[#This Row],[(S/S TOT) AJD]]</f>
        <v>0</v>
      </c>
      <c r="Q222" s="39"/>
      <c r="R222" s="3">
        <f>TABL1234[[#This Row],[خط (T/B  TOT) SAR]]-TABL1234[[#This Row],[(T/B TOT) AJD]]</f>
        <v>0</v>
      </c>
      <c r="S222" s="3">
        <f>TABL1234[[#This Row],[الفرق بين بداية ونهاية خط  T/B]]+TABL1234[[#This Row],[الفرق بين بداية ونهاية خط  S/S]]</f>
        <v>0</v>
      </c>
      <c r="T222" s="3">
        <f>TABL1234[[#This Row],[(S/S TOT) AJD]]+TABL1234[[#This Row],[(T/B TOT) AJD]]</f>
        <v>0</v>
      </c>
      <c r="U222" s="41"/>
      <c r="V222" s="41"/>
      <c r="W222" s="3">
        <f>TABL1234[[#This Row],[(A/B TOT) AJD]]+TABL1234[[#This Row],[(A/S TOT)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Row],[البخر  AJD]])</f>
        <v>0</v>
      </c>
      <c r="AE222" s="41"/>
      <c r="AF222" s="43"/>
      <c r="AG222" s="43"/>
      <c r="AH222" s="6"/>
      <c r="AI222" s="43"/>
      <c r="AJ222" s="43">
        <f>TABL1234[[#This Row],[(A/B TOT) AJD]]-TABL1234[[#This Row],[BER_ IN]]</f>
        <v>0</v>
      </c>
      <c r="AK222" s="43"/>
      <c r="AL222" s="43"/>
      <c r="AM222" s="32"/>
      <c r="AN222" s="32">
        <f>TABL1234[[#This Row],[ (RESV. STORGE) SER]]/10</f>
        <v>0</v>
      </c>
      <c r="AO222" s="75"/>
      <c r="AP222" s="75">
        <f>TABL1234[[#This Row],[(A/S TOT) AJD]]-TABL1234[[#This Row],[SER_ 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Row],[خط (T/B  TOT) SAR]]+TABL1234[[#This Row],[خط (S/S  TOT) SAR2]]</f>
        <v>0</v>
      </c>
      <c r="L223" s="45"/>
      <c r="M223" s="46"/>
      <c r="N223" s="46"/>
      <c r="O223" s="40"/>
      <c r="P223" s="3">
        <f>TABL1234[[#This Row],[خط (S/S  TOT) SAR2]]-TABL1234[[#This Row],[(S/S TOT) AJD]]</f>
        <v>0</v>
      </c>
      <c r="Q223" s="40"/>
      <c r="R223" s="3">
        <f>TABL1234[[#This Row],[خط (T/B  TOT) SAR]]-TABL1234[[#This Row],[(T/B TOT) AJD]]</f>
        <v>0</v>
      </c>
      <c r="S223" s="3">
        <f>TABL1234[[#This Row],[الفرق بين بداية ونهاية خط  T/B]]+TABL1234[[#This Row],[الفرق بين بداية ونهاية خط  S/S]]</f>
        <v>0</v>
      </c>
      <c r="T223" s="3">
        <f>TABL1234[[#This Row],[(S/S TOT) AJD]]+TABL1234[[#This Row],[(T/B TOT) AJD]]</f>
        <v>0</v>
      </c>
      <c r="U223" s="44"/>
      <c r="V223" s="44"/>
      <c r="W223" s="3">
        <f>TABL1234[[#This Row],[(A/B TOT) AJD]]+TABL1234[[#This Row],[(A/S TOT)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Row],[البخر  AJD]])</f>
        <v>0</v>
      </c>
      <c r="AE223" s="44"/>
      <c r="AF223" s="45"/>
      <c r="AG223" s="45"/>
      <c r="AH223" s="6"/>
      <c r="AI223" s="45"/>
      <c r="AJ223" s="45">
        <f>TABL1234[[#This Row],[(A/B TOT) AJD]]-TABL1234[[#This Row],[BER_ IN]]</f>
        <v>0</v>
      </c>
      <c r="AK223" s="45"/>
      <c r="AL223" s="45"/>
      <c r="AM223" s="32"/>
      <c r="AN223" s="32">
        <f>TABL1234[[#This Row],[ (RESV. STORGE) SER]]/10</f>
        <v>0</v>
      </c>
      <c r="AO223" s="75"/>
      <c r="AP223" s="75">
        <f>TABL1234[[#This Row],[(A/S TOT) AJD]]-TABL1234[[#This Row],[SER_ 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Row],[خط (T/B  TOT) SAR]]+TABL1234[[#This Row],[خط (S/S  TOT) SAR2]]</f>
        <v>0</v>
      </c>
      <c r="L224" s="41"/>
      <c r="M224" s="42"/>
      <c r="N224" s="42"/>
      <c r="O224" s="39"/>
      <c r="P224" s="3">
        <f>TABL1234[[#This Row],[خط (S/S  TOT) SAR2]]-TABL1234[[#This Row],[(S/S TOT) AJD]]</f>
        <v>0</v>
      </c>
      <c r="Q224" s="39"/>
      <c r="R224" s="3">
        <f>TABL1234[[#This Row],[خط (T/B  TOT) SAR]]-TABL1234[[#This Row],[(T/B TOT) AJD]]</f>
        <v>0</v>
      </c>
      <c r="S224" s="3">
        <f>TABL1234[[#This Row],[الفرق بين بداية ونهاية خط  T/B]]+TABL1234[[#This Row],[الفرق بين بداية ونهاية خط  S/S]]</f>
        <v>0</v>
      </c>
      <c r="T224" s="3">
        <f>TABL1234[[#This Row],[(S/S TOT) AJD]]+TABL1234[[#This Row],[(T/B TOT) AJD]]</f>
        <v>0</v>
      </c>
      <c r="U224" s="41"/>
      <c r="V224" s="41"/>
      <c r="W224" s="3">
        <f>TABL1234[[#This Row],[(A/B TOT) AJD]]+TABL1234[[#This Row],[(A/S TOT)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Row],[البخر  AJD]])</f>
        <v>0</v>
      </c>
      <c r="AE224" s="41"/>
      <c r="AF224" s="43"/>
      <c r="AG224" s="75"/>
      <c r="AH224" s="6"/>
      <c r="AI224" s="43"/>
      <c r="AJ224" s="75">
        <f>TABL1234[[#This Row],[(A/B TOT) AJD]]-TABL1234[[#This Row],[BER_ IN]]</f>
        <v>0</v>
      </c>
      <c r="AK224" s="43"/>
      <c r="AL224" s="43"/>
      <c r="AM224" s="32"/>
      <c r="AN224" s="32">
        <f>TABL1234[[#This Row],[ (RESV. STORGE) SER]]/10</f>
        <v>0</v>
      </c>
      <c r="AO224" s="75"/>
      <c r="AP224" s="75">
        <f>TABL1234[[#This Row],[(A/S TOT) AJD]]-TABL1234[[#This Row],[SER_ 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Row],[خط (T/B  TOT) SAR]]+TABL1234[[#This Row],[خط (S/S  TOT) SAR2]]</f>
        <v>0</v>
      </c>
      <c r="L225" s="45"/>
      <c r="M225" s="46"/>
      <c r="N225" s="46"/>
      <c r="O225" s="40"/>
      <c r="P225" s="3">
        <f>TABL1234[[#This Row],[خط (S/S  TOT) SAR2]]-TABL1234[[#This Row],[(S/S TOT) AJD]]</f>
        <v>0</v>
      </c>
      <c r="Q225" s="40"/>
      <c r="R225" s="3">
        <f>TABL1234[[#This Row],[خط (T/B  TOT) SAR]]-TABL1234[[#This Row],[(T/B TOT) AJD]]</f>
        <v>0</v>
      </c>
      <c r="S225" s="3">
        <f>TABL1234[[#This Row],[الفرق بين بداية ونهاية خط  T/B]]+TABL1234[[#This Row],[الفرق بين بداية ونهاية خط  S/S]]</f>
        <v>0</v>
      </c>
      <c r="T225" s="3">
        <f>TABL1234[[#This Row],[(S/S TOT) AJD]]+TABL1234[[#This Row],[(T/B TOT) AJD]]</f>
        <v>0</v>
      </c>
      <c r="U225" s="44"/>
      <c r="V225" s="44"/>
      <c r="W225" s="3">
        <f>TABL1234[[#This Row],[(A/B TOT) AJD]]+TABL1234[[#This Row],[(A/S TOT)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Row],[البخر  AJD]])</f>
        <v>0</v>
      </c>
      <c r="AE225" s="44"/>
      <c r="AF225" s="45"/>
      <c r="AG225" s="45"/>
      <c r="AH225" s="6"/>
      <c r="AI225" s="45"/>
      <c r="AJ225" s="45">
        <f>TABL1234[[#This Row],[(A/B TOT) AJD]]-TABL1234[[#This Row],[BER_ IN]]</f>
        <v>0</v>
      </c>
      <c r="AK225" s="45"/>
      <c r="AL225" s="45"/>
      <c r="AM225" s="32"/>
      <c r="AN225" s="32">
        <f>TABL1234[[#This Row],[ (RESV. STORGE) SER]]/10</f>
        <v>0</v>
      </c>
      <c r="AO225" s="75"/>
      <c r="AP225" s="75">
        <f>TABL1234[[#This Row],[(A/S TOT) AJD]]-TABL1234[[#This Row],[SER_ 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Row],[خط (T/B  TOT) SAR]]+TABL1234[[#This Row],[خط (S/S  TOT) SAR2]]</f>
        <v>0</v>
      </c>
      <c r="L226" s="41"/>
      <c r="M226" s="42"/>
      <c r="N226" s="42"/>
      <c r="O226" s="39"/>
      <c r="P226" s="3">
        <f>TABL1234[[#This Row],[خط (S/S  TOT) SAR2]]-TABL1234[[#This Row],[(S/S TOT) AJD]]</f>
        <v>0</v>
      </c>
      <c r="Q226" s="39"/>
      <c r="R226" s="3">
        <f>TABL1234[[#This Row],[خط (T/B  TOT) SAR]]-TABL1234[[#This Row],[(T/B TOT) AJD]]</f>
        <v>0</v>
      </c>
      <c r="S226" s="3">
        <f>TABL1234[[#This Row],[الفرق بين بداية ونهاية خط  T/B]]+TABL1234[[#This Row],[الفرق بين بداية ونهاية خط  S/S]]</f>
        <v>0</v>
      </c>
      <c r="T226" s="3">
        <f>TABL1234[[#This Row],[(S/S TOT) AJD]]+TABL1234[[#This Row],[(T/B TOT) AJD]]</f>
        <v>0</v>
      </c>
      <c r="U226" s="41"/>
      <c r="V226" s="41"/>
      <c r="W226" s="3">
        <f>TABL1234[[#This Row],[(A/B TOT) AJD]]+TABL1234[[#This Row],[(A/S TOT)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Row],[البخر  AJD]])</f>
        <v>0</v>
      </c>
      <c r="AE226" s="41"/>
      <c r="AF226" s="43"/>
      <c r="AG226" s="43"/>
      <c r="AH226" s="6"/>
      <c r="AI226" s="43"/>
      <c r="AJ226" s="43">
        <f>TABL1234[[#This Row],[(A/B TOT) AJD]]-TABL1234[[#This Row],[BER_ IN]]</f>
        <v>0</v>
      </c>
      <c r="AK226" s="43"/>
      <c r="AL226" s="43"/>
      <c r="AM226" s="32"/>
      <c r="AN226" s="32">
        <f>TABL1234[[#This Row],[ (RESV. STORGE) SER]]/10</f>
        <v>0</v>
      </c>
      <c r="AO226" s="75"/>
      <c r="AP226" s="75">
        <f>TABL1234[[#This Row],[(A/S TOT) AJD]]-TABL1234[[#This Row],[SER_ 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Row],[خط (T/B  TOT) SAR]]+TABL1234[[#This Row],[خط (S/S  TOT) SAR2]]</f>
        <v>0</v>
      </c>
      <c r="L227" s="45"/>
      <c r="M227" s="46"/>
      <c r="N227" s="46"/>
      <c r="O227" s="40"/>
      <c r="P227" s="3">
        <f>TABL1234[[#This Row],[خط (S/S  TOT) SAR2]]-TABL1234[[#This Row],[(S/S TOT) AJD]]</f>
        <v>0</v>
      </c>
      <c r="Q227" s="40"/>
      <c r="R227" s="3">
        <f>TABL1234[[#This Row],[خط (T/B  TOT) SAR]]-TABL1234[[#This Row],[(T/B TOT) AJD]]</f>
        <v>0</v>
      </c>
      <c r="S227" s="3">
        <f>TABL1234[[#This Row],[الفرق بين بداية ونهاية خط  T/B]]+TABL1234[[#This Row],[الفرق بين بداية ونهاية خط  S/S]]</f>
        <v>0</v>
      </c>
      <c r="T227" s="3">
        <f>TABL1234[[#This Row],[(S/S TOT) AJD]]+TABL1234[[#This Row],[(T/B TOT) AJD]]</f>
        <v>0</v>
      </c>
      <c r="U227" s="44"/>
      <c r="V227" s="44"/>
      <c r="W227" s="3">
        <f>TABL1234[[#This Row],[(A/B TOT) AJD]]+TABL1234[[#This Row],[(A/S TOT)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Row],[البخر  AJD]])</f>
        <v>0</v>
      </c>
      <c r="AE227" s="44"/>
      <c r="AF227" s="45"/>
      <c r="AG227" s="45"/>
      <c r="AH227" s="6"/>
      <c r="AI227" s="45"/>
      <c r="AJ227" s="45">
        <f>TABL1234[[#This Row],[(A/B TOT) AJD]]-TABL1234[[#This Row],[BER_ IN]]</f>
        <v>0</v>
      </c>
      <c r="AK227" s="45"/>
      <c r="AL227" s="45"/>
      <c r="AM227" s="32"/>
      <c r="AN227" s="32">
        <f>TABL1234[[#This Row],[ (RESV. STORGE) SER]]/10</f>
        <v>0</v>
      </c>
      <c r="AO227" s="75"/>
      <c r="AP227" s="75">
        <f>TABL1234[[#This Row],[(A/S TOT) AJD]]-TABL1234[[#This Row],[SER_ 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Row],[خط (T/B  TOT) SAR]]+TABL1234[[#This Row],[خط (S/S  TOT) SAR2]]</f>
        <v>0</v>
      </c>
      <c r="L228" s="41"/>
      <c r="M228" s="42"/>
      <c r="N228" s="42"/>
      <c r="O228" s="39"/>
      <c r="P228" s="3">
        <f>TABL1234[[#This Row],[خط (S/S  TOT) SAR2]]-TABL1234[[#This Row],[(S/S TOT) AJD]]</f>
        <v>0</v>
      </c>
      <c r="Q228" s="39"/>
      <c r="R228" s="3">
        <f>TABL1234[[#This Row],[خط (T/B  TOT) SAR]]-TABL1234[[#This Row],[(T/B TOT) AJD]]</f>
        <v>0</v>
      </c>
      <c r="S228" s="3">
        <f>TABL1234[[#This Row],[الفرق بين بداية ونهاية خط  T/B]]+TABL1234[[#This Row],[الفرق بين بداية ونهاية خط  S/S]]</f>
        <v>0</v>
      </c>
      <c r="T228" s="3">
        <f>TABL1234[[#This Row],[(S/S TOT) AJD]]+TABL1234[[#This Row],[(T/B TOT) AJD]]</f>
        <v>0</v>
      </c>
      <c r="U228" s="41"/>
      <c r="V228" s="41"/>
      <c r="W228" s="3">
        <f>TABL1234[[#This Row],[(A/B TOT) AJD]]+TABL1234[[#This Row],[(A/S TOT)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Row],[البخر  AJD]])</f>
        <v>0</v>
      </c>
      <c r="AE228" s="41"/>
      <c r="AF228" s="43"/>
      <c r="AG228" s="43"/>
      <c r="AH228" s="6"/>
      <c r="AI228" s="43"/>
      <c r="AJ228" s="43">
        <f>TABL1234[[#This Row],[(A/B TOT) AJD]]-TABL1234[[#This Row],[BER_ IN]]</f>
        <v>0</v>
      </c>
      <c r="AK228" s="43"/>
      <c r="AL228" s="43"/>
      <c r="AM228" s="32"/>
      <c r="AN228" s="32">
        <f>TABL1234[[#This Row],[ (RESV. STORGE) SER]]/10</f>
        <v>0</v>
      </c>
      <c r="AO228" s="75"/>
      <c r="AP228" s="75">
        <f>TABL1234[[#This Row],[(A/S TOT) AJD]]-TABL1234[[#This Row],[SER_ 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Row],[خط (T/B  TOT) SAR]]+TABL1234[[#This Row],[خط (S/S  TOT) SAR2]]</f>
        <v>0</v>
      </c>
      <c r="L229" s="45"/>
      <c r="M229" s="46"/>
      <c r="N229" s="46"/>
      <c r="O229" s="40"/>
      <c r="P229" s="3">
        <f>TABL1234[[#This Row],[خط (S/S  TOT) SAR2]]-TABL1234[[#This Row],[(S/S TOT) AJD]]</f>
        <v>0</v>
      </c>
      <c r="Q229" s="40"/>
      <c r="R229" s="3">
        <f>TABL1234[[#This Row],[خط (T/B  TOT) SAR]]-TABL1234[[#This Row],[(T/B TOT) AJD]]</f>
        <v>0</v>
      </c>
      <c r="S229" s="3">
        <f>TABL1234[[#This Row],[الفرق بين بداية ونهاية خط  T/B]]+TABL1234[[#This Row],[الفرق بين بداية ونهاية خط  S/S]]</f>
        <v>0</v>
      </c>
      <c r="T229" s="3">
        <f>TABL1234[[#This Row],[(S/S TOT) AJD]]+TABL1234[[#This Row],[(T/B TOT) AJD]]</f>
        <v>0</v>
      </c>
      <c r="U229" s="44"/>
      <c r="V229" s="44"/>
      <c r="W229" s="3">
        <f>TABL1234[[#This Row],[(A/B TOT) AJD]]+TABL1234[[#This Row],[(A/S TOT)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Row],[البخر  AJD]])</f>
        <v>0</v>
      </c>
      <c r="AE229" s="44"/>
      <c r="AF229" s="45"/>
      <c r="AG229" s="45"/>
      <c r="AH229" s="6"/>
      <c r="AI229" s="45"/>
      <c r="AJ229" s="45">
        <f>TABL1234[[#This Row],[(A/B TOT) AJD]]-TABL1234[[#This Row],[BER_ IN]]</f>
        <v>0</v>
      </c>
      <c r="AK229" s="45"/>
      <c r="AL229" s="45"/>
      <c r="AM229" s="32"/>
      <c r="AN229" s="32">
        <f>TABL1234[[#This Row],[ (RESV. STORGE) SER]]/10</f>
        <v>0</v>
      </c>
      <c r="AO229" s="75"/>
      <c r="AP229" s="75">
        <f>TABL1234[[#This Row],[(A/S TOT) AJD]]-TABL1234[[#This Row],[SER_ 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Row],[خط (T/B  TOT) SAR]]+TABL1234[[#This Row],[خط (S/S  TOT) SAR2]]</f>
        <v>0</v>
      </c>
      <c r="L230" s="41"/>
      <c r="M230" s="42"/>
      <c r="N230" s="42"/>
      <c r="O230" s="39"/>
      <c r="P230" s="3">
        <f>TABL1234[[#This Row],[خط (S/S  TOT) SAR2]]-TABL1234[[#This Row],[(S/S TOT) AJD]]</f>
        <v>0</v>
      </c>
      <c r="Q230" s="39"/>
      <c r="R230" s="3">
        <f>TABL1234[[#This Row],[خط (T/B  TOT) SAR]]-TABL1234[[#This Row],[(T/B TOT) AJD]]</f>
        <v>0</v>
      </c>
      <c r="S230" s="3">
        <f>TABL1234[[#This Row],[الفرق بين بداية ونهاية خط  T/B]]+TABL1234[[#This Row],[الفرق بين بداية ونهاية خط  S/S]]</f>
        <v>0</v>
      </c>
      <c r="T230" s="3">
        <f>TABL1234[[#This Row],[(S/S TOT) AJD]]+TABL1234[[#This Row],[(T/B TOT) AJD]]</f>
        <v>0</v>
      </c>
      <c r="U230" s="41"/>
      <c r="V230" s="41"/>
      <c r="W230" s="3">
        <f>TABL1234[[#This Row],[(A/B TOT) AJD]]+TABL1234[[#This Row],[(A/S TOT)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Row],[البخر  AJD]])</f>
        <v>0</v>
      </c>
      <c r="AE230" s="41"/>
      <c r="AF230" s="43"/>
      <c r="AG230" s="43"/>
      <c r="AH230" s="6"/>
      <c r="AI230" s="43"/>
      <c r="AJ230" s="43">
        <f>TABL1234[[#This Row],[(A/B TOT) AJD]]-TABL1234[[#This Row],[BER_ IN]]</f>
        <v>0</v>
      </c>
      <c r="AK230" s="43"/>
      <c r="AL230" s="43"/>
      <c r="AM230" s="32"/>
      <c r="AN230" s="32">
        <f>TABL1234[[#This Row],[ (RESV. STORGE) SER]]/10</f>
        <v>0</v>
      </c>
      <c r="AO230" s="75"/>
      <c r="AP230" s="75">
        <f>TABL1234[[#This Row],[(A/S TOT) AJD]]-TABL1234[[#This Row],[SER_ 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Row],[خط (T/B  TOT) SAR]]+TABL1234[[#This Row],[خط (S/S  TOT) SAR2]]</f>
        <v>0</v>
      </c>
      <c r="L231" s="45"/>
      <c r="M231" s="46"/>
      <c r="N231" s="46"/>
      <c r="O231" s="40"/>
      <c r="P231" s="3">
        <f>TABL1234[[#This Row],[خط (S/S  TOT) SAR2]]-TABL1234[[#This Row],[(S/S TOT) AJD]]</f>
        <v>0</v>
      </c>
      <c r="Q231" s="40"/>
      <c r="R231" s="3">
        <f>TABL1234[[#This Row],[خط (T/B  TOT) SAR]]-TABL1234[[#This Row],[(T/B TOT) AJD]]</f>
        <v>0</v>
      </c>
      <c r="S231" s="3">
        <f>TABL1234[[#This Row],[الفرق بين بداية ونهاية خط  T/B]]+TABL1234[[#This Row],[الفرق بين بداية ونهاية خط  S/S]]</f>
        <v>0</v>
      </c>
      <c r="T231" s="3">
        <f>TABL1234[[#This Row],[(S/S TOT) AJD]]+TABL1234[[#This Row],[(T/B TOT) AJD]]</f>
        <v>0</v>
      </c>
      <c r="U231" s="44"/>
      <c r="V231" s="44"/>
      <c r="W231" s="3">
        <f>TABL1234[[#This Row],[(A/B TOT) AJD]]+TABL1234[[#This Row],[(A/S TOT)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Row],[البخر  AJD]])</f>
        <v>0</v>
      </c>
      <c r="AE231" s="44"/>
      <c r="AF231" s="45"/>
      <c r="AG231" s="45"/>
      <c r="AH231" s="6"/>
      <c r="AI231" s="45"/>
      <c r="AJ231" s="45">
        <f>TABL1234[[#This Row],[(A/B TOT) AJD]]-TABL1234[[#This Row],[BER_ IN]]</f>
        <v>0</v>
      </c>
      <c r="AK231" s="45"/>
      <c r="AL231" s="45"/>
      <c r="AM231" s="32"/>
      <c r="AN231" s="32">
        <f>TABL1234[[#This Row],[ (RESV. STORGE) SER]]/10</f>
        <v>0</v>
      </c>
      <c r="AO231" s="75"/>
      <c r="AP231" s="75">
        <f>TABL1234[[#This Row],[(A/S TOT) AJD]]-TABL1234[[#This Row],[SER_ 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9"/>
      <c r="J232" s="39"/>
      <c r="K232" s="28">
        <f>TABL1234[[#This Row],[خط (T/B  TOT) SAR]]+TABL1234[[#This Row],[خط (S/S  TOT) SAR2]]</f>
        <v>0</v>
      </c>
      <c r="L232" s="41"/>
      <c r="M232" s="42"/>
      <c r="N232" s="42"/>
      <c r="O232" s="39"/>
      <c r="P232" s="3">
        <f>TABL1234[[#This Row],[خط (S/S  TOT) SAR2]]-TABL1234[[#This Row],[(S/S TOT) AJD]]</f>
        <v>0</v>
      </c>
      <c r="Q232" s="39"/>
      <c r="R232" s="3">
        <f>TABL1234[[#This Row],[خط (T/B  TOT) SAR]]-TABL1234[[#This Row],[(T/B TOT) AJD]]</f>
        <v>0</v>
      </c>
      <c r="S232" s="3">
        <f>TABL1234[[#This Row],[الفرق بين بداية ونهاية خط  T/B]]+TABL1234[[#This Row],[الفرق بين بداية ونهاية خط  S/S]]</f>
        <v>0</v>
      </c>
      <c r="T232" s="3">
        <f>TABL1234[[#This Row],[(S/S TOT) AJD]]+TABL1234[[#This Row],[(T/B TOT) AJD]]</f>
        <v>0</v>
      </c>
      <c r="U232" s="41"/>
      <c r="V232" s="41"/>
      <c r="W232" s="3">
        <f>TABL1234[[#This Row],[(A/B TOT) AJD]]+TABL1234[[#This Row],[(A/S TOT)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Row],[البخر  AJD]])</f>
        <v>0</v>
      </c>
      <c r="AE232" s="41"/>
      <c r="AF232" s="43"/>
      <c r="AG232" s="43"/>
      <c r="AH232" s="6"/>
      <c r="AI232" s="43"/>
      <c r="AJ232" s="43">
        <f>TABL1234[[#This Row],[(A/B TOT) AJD]]-TABL1234[[#This Row],[BER_ IN]]</f>
        <v>0</v>
      </c>
      <c r="AK232" s="43"/>
      <c r="AL232" s="43"/>
      <c r="AM232" s="32"/>
      <c r="AN232" s="32">
        <f>TABL1234[[#This Row],[ (RESV. STORGE) SER]]/10</f>
        <v>0</v>
      </c>
      <c r="AO232" s="75"/>
      <c r="AP232" s="75">
        <f>TABL1234[[#This Row],[(A/S TOT) AJD]]-TABL1234[[#This Row],[SER_ 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Row],[خط (T/B  TOT) SAR]]+TABL1234[[#This Row],[خط (S/S  TOT) SAR2]]</f>
        <v>0</v>
      </c>
      <c r="L233" s="45"/>
      <c r="M233" s="46"/>
      <c r="N233" s="46"/>
      <c r="O233" s="40"/>
      <c r="P233" s="3">
        <f>TABL1234[[#This Row],[خط (S/S  TOT) SAR2]]-TABL1234[[#This Row],[(S/S TOT) AJD]]</f>
        <v>0</v>
      </c>
      <c r="Q233" s="40"/>
      <c r="R233" s="3">
        <f>TABL1234[[#This Row],[خط (T/B  TOT) SAR]]-TABL1234[[#This Row],[(T/B TOT) AJD]]</f>
        <v>0</v>
      </c>
      <c r="S233" s="3">
        <f>TABL1234[[#This Row],[الفرق بين بداية ونهاية خط  T/B]]+TABL1234[[#This Row],[الفرق بين بداية ونهاية خط  S/S]]</f>
        <v>0</v>
      </c>
      <c r="T233" s="3">
        <f>TABL1234[[#This Row],[(S/S TOT) AJD]]+TABL1234[[#This Row],[(T/B TOT) AJD]]</f>
        <v>0</v>
      </c>
      <c r="U233" s="44"/>
      <c r="V233" s="44"/>
      <c r="W233" s="3">
        <f>TABL1234[[#This Row],[(A/B TOT) AJD]]+TABL1234[[#This Row],[(A/S TOT)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Row],[البخر  AJD]])</f>
        <v>0</v>
      </c>
      <c r="AE233" s="44"/>
      <c r="AF233" s="45"/>
      <c r="AG233" s="45"/>
      <c r="AH233" s="6"/>
      <c r="AI233" s="45"/>
      <c r="AJ233" s="45">
        <f>TABL1234[[#This Row],[(A/B TOT) AJD]]-TABL1234[[#This Row],[BER_ IN]]</f>
        <v>0</v>
      </c>
      <c r="AK233" s="45"/>
      <c r="AL233" s="45"/>
      <c r="AM233" s="32"/>
      <c r="AN233" s="32">
        <f>TABL1234[[#This Row],[ (RESV. STORGE) SER]]/10</f>
        <v>0</v>
      </c>
      <c r="AO233" s="75"/>
      <c r="AP233" s="75">
        <f>TABL1234[[#This Row],[(A/S TOT) AJD]]-TABL1234[[#This Row],[SER_ 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Row],[خط (T/B  TOT) SAR]]+TABL1234[[#This Row],[خط (S/S  TOT) SAR2]]</f>
        <v>0</v>
      </c>
      <c r="L234" s="41"/>
      <c r="M234" s="42"/>
      <c r="N234" s="42"/>
      <c r="O234" s="39"/>
      <c r="P234" s="3">
        <f>TABL1234[[#This Row],[خط (S/S  TOT) SAR2]]-TABL1234[[#This Row],[(S/S TOT) AJD]]</f>
        <v>0</v>
      </c>
      <c r="Q234" s="39"/>
      <c r="R234" s="3">
        <f>TABL1234[[#This Row],[خط (T/B  TOT) SAR]]-TABL1234[[#This Row],[(T/B TOT) AJD]]</f>
        <v>0</v>
      </c>
      <c r="S234" s="3">
        <f>TABL1234[[#This Row],[الفرق بين بداية ونهاية خط  T/B]]+TABL1234[[#This Row],[الفرق بين بداية ونهاية خط  S/S]]</f>
        <v>0</v>
      </c>
      <c r="T234" s="3">
        <f>TABL1234[[#This Row],[(S/S TOT) AJD]]+TABL1234[[#This Row],[(T/B TOT) AJD]]</f>
        <v>0</v>
      </c>
      <c r="U234" s="41"/>
      <c r="V234" s="41"/>
      <c r="W234" s="3">
        <f>TABL1234[[#This Row],[(A/B TOT) AJD]]+TABL1234[[#This Row],[(A/S TOT)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Row],[البخر  AJD]])</f>
        <v>0</v>
      </c>
      <c r="AE234" s="41"/>
      <c r="AF234" s="43"/>
      <c r="AG234" s="43"/>
      <c r="AH234" s="6"/>
      <c r="AI234" s="43"/>
      <c r="AJ234" s="43">
        <f>TABL1234[[#This Row],[(A/B TOT) AJD]]-TABL1234[[#This Row],[BER_ IN]]</f>
        <v>0</v>
      </c>
      <c r="AK234" s="43"/>
      <c r="AL234" s="43"/>
      <c r="AM234" s="32"/>
      <c r="AN234" s="32">
        <f>TABL1234[[#This Row],[ (RESV. STORGE) SER]]/10</f>
        <v>0</v>
      </c>
      <c r="AO234" s="75"/>
      <c r="AP234" s="75">
        <f>TABL1234[[#This Row],[(A/S TOT) AJD]]-TABL1234[[#This Row],[SER_ 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Row],[خط (T/B  TOT) SAR]]+TABL1234[[#This Row],[خط (S/S  TOT) SAR2]]</f>
        <v>0</v>
      </c>
      <c r="L235" s="45"/>
      <c r="M235" s="46"/>
      <c r="N235" s="46"/>
      <c r="O235" s="40"/>
      <c r="P235" s="3">
        <f>TABL1234[[#This Row],[خط (S/S  TOT) SAR2]]-TABL1234[[#This Row],[(S/S TOT) AJD]]</f>
        <v>0</v>
      </c>
      <c r="Q235" s="40"/>
      <c r="R235" s="3">
        <f>TABL1234[[#This Row],[خط (T/B  TOT) SAR]]-TABL1234[[#This Row],[(T/B TOT) AJD]]</f>
        <v>0</v>
      </c>
      <c r="S235" s="3">
        <f>TABL1234[[#This Row],[الفرق بين بداية ونهاية خط  T/B]]+TABL1234[[#This Row],[الفرق بين بداية ونهاية خط  S/S]]</f>
        <v>0</v>
      </c>
      <c r="T235" s="3">
        <f>TABL1234[[#This Row],[(S/S TOT) AJD]]+TABL1234[[#This Row],[(T/B TOT) AJD]]</f>
        <v>0</v>
      </c>
      <c r="U235" s="44"/>
      <c r="V235" s="44"/>
      <c r="W235" s="3">
        <f>TABL1234[[#This Row],[(A/B TOT) AJD]]+TABL1234[[#This Row],[(A/S TOT)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Row],[البخر  AJD]])</f>
        <v>0</v>
      </c>
      <c r="AE235" s="44"/>
      <c r="AF235" s="45"/>
      <c r="AG235" s="45"/>
      <c r="AH235" s="6"/>
      <c r="AI235" s="45"/>
      <c r="AJ235" s="45">
        <f>TABL1234[[#This Row],[(A/B TOT) AJD]]-TABL1234[[#This Row],[BER_ IN]]</f>
        <v>0</v>
      </c>
      <c r="AK235" s="45"/>
      <c r="AL235" s="45"/>
      <c r="AM235" s="32"/>
      <c r="AN235" s="32">
        <f>TABL1234[[#This Row],[ (RESV. STORGE) SER]]/10</f>
        <v>0</v>
      </c>
      <c r="AO235" s="75"/>
      <c r="AP235" s="75">
        <f>TABL1234[[#This Row],[(A/S TOT) AJD]]-TABL1234[[#This Row],[SER_ 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Row],[خط (T/B  TOT) SAR]]+TABL1234[[#This Row],[خط (S/S  TOT) SAR2]]</f>
        <v>0</v>
      </c>
      <c r="L236" s="41"/>
      <c r="M236" s="42"/>
      <c r="N236" s="42"/>
      <c r="O236" s="39"/>
      <c r="P236" s="3">
        <f>TABL1234[[#This Row],[خط (S/S  TOT) SAR2]]-TABL1234[[#This Row],[(S/S TOT) AJD]]</f>
        <v>0</v>
      </c>
      <c r="Q236" s="39"/>
      <c r="R236" s="3">
        <f>TABL1234[[#This Row],[خط (T/B  TOT) SAR]]-TABL1234[[#This Row],[(T/B TOT) AJD]]</f>
        <v>0</v>
      </c>
      <c r="S236" s="3">
        <f>TABL1234[[#This Row],[الفرق بين بداية ونهاية خط  T/B]]+TABL1234[[#This Row],[الفرق بين بداية ونهاية خط  S/S]]</f>
        <v>0</v>
      </c>
      <c r="T236" s="3">
        <f>TABL1234[[#This Row],[(S/S TOT) AJD]]+TABL1234[[#This Row],[(T/B TOT) AJD]]</f>
        <v>0</v>
      </c>
      <c r="U236" s="41"/>
      <c r="V236" s="41"/>
      <c r="W236" s="3">
        <f>TABL1234[[#This Row],[(A/B TOT) AJD]]+TABL1234[[#This Row],[(A/S TOT)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Row],[البخر  AJD]])</f>
        <v>0</v>
      </c>
      <c r="AE236" s="41"/>
      <c r="AF236" s="43"/>
      <c r="AG236" s="43"/>
      <c r="AH236" s="6"/>
      <c r="AI236" s="43"/>
      <c r="AJ236" s="43">
        <f>TABL1234[[#This Row],[(A/B TOT) AJD]]-TABL1234[[#This Row],[BER_ IN]]</f>
        <v>0</v>
      </c>
      <c r="AK236" s="43"/>
      <c r="AL236" s="43"/>
      <c r="AM236" s="32"/>
      <c r="AN236" s="32">
        <f>TABL1234[[#This Row],[ (RESV. STORGE) SER]]/10</f>
        <v>0</v>
      </c>
      <c r="AO236" s="75"/>
      <c r="AP236" s="75">
        <f>TABL1234[[#This Row],[(A/S TOT) AJD]]-TABL1234[[#This Row],[SER_ 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Row],[خط (T/B  TOT) SAR]]+TABL1234[[#This Row],[خط (S/S  TOT) SAR2]]</f>
        <v>0</v>
      </c>
      <c r="L237" s="45"/>
      <c r="M237" s="46"/>
      <c r="N237" s="46"/>
      <c r="O237" s="40"/>
      <c r="P237" s="3">
        <f>TABL1234[[#This Row],[خط (S/S  TOT) SAR2]]-TABL1234[[#This Row],[(S/S TOT) AJD]]</f>
        <v>0</v>
      </c>
      <c r="Q237" s="40"/>
      <c r="R237" s="3">
        <f>TABL1234[[#This Row],[خط (T/B  TOT) SAR]]-TABL1234[[#This Row],[(T/B TOT) AJD]]</f>
        <v>0</v>
      </c>
      <c r="S237" s="3">
        <f>TABL1234[[#This Row],[الفرق بين بداية ونهاية خط  T/B]]+TABL1234[[#This Row],[الفرق بين بداية ونهاية خط  S/S]]</f>
        <v>0</v>
      </c>
      <c r="T237" s="3">
        <f>TABL1234[[#This Row],[(S/S TOT) AJD]]+TABL1234[[#This Row],[(T/B TOT) AJD]]</f>
        <v>0</v>
      </c>
      <c r="U237" s="44"/>
      <c r="V237" s="44"/>
      <c r="W237" s="3">
        <f>TABL1234[[#This Row],[(A/B TOT) AJD]]+TABL1234[[#This Row],[(A/S TOT)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Row],[البخر  AJD]])</f>
        <v>0</v>
      </c>
      <c r="AE237" s="44"/>
      <c r="AF237" s="45"/>
      <c r="AG237" s="45"/>
      <c r="AH237" s="6"/>
      <c r="AI237" s="45"/>
      <c r="AJ237" s="45">
        <f>TABL1234[[#This Row],[(A/B TOT) AJD]]-TABL1234[[#This Row],[BER_ IN]]</f>
        <v>0</v>
      </c>
      <c r="AK237" s="45"/>
      <c r="AL237" s="45"/>
      <c r="AM237" s="32"/>
      <c r="AN237" s="32">
        <f>TABL1234[[#This Row],[ (RESV. STORGE) SER]]/10</f>
        <v>0</v>
      </c>
      <c r="AO237" s="75"/>
      <c r="AP237" s="75">
        <f>TABL1234[[#This Row],[(A/S TOT) AJD]]-TABL1234[[#This Row],[SER_ 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Row],[خط (T/B  TOT) SAR]]+TABL1234[[#This Row],[خط (S/S  TOT) SAR2]]</f>
        <v>0</v>
      </c>
      <c r="L238" s="41"/>
      <c r="M238" s="42"/>
      <c r="N238" s="42"/>
      <c r="O238" s="39"/>
      <c r="P238" s="3">
        <f>TABL1234[[#This Row],[خط (S/S  TOT) SAR2]]-TABL1234[[#This Row],[(S/S TOT) AJD]]</f>
        <v>0</v>
      </c>
      <c r="Q238" s="39"/>
      <c r="R238" s="3">
        <f>TABL1234[[#This Row],[خط (T/B  TOT) SAR]]-TABL1234[[#This Row],[(T/B TOT) AJD]]</f>
        <v>0</v>
      </c>
      <c r="S238" s="3">
        <f>TABL1234[[#This Row],[الفرق بين بداية ونهاية خط  T/B]]+TABL1234[[#This Row],[الفرق بين بداية ونهاية خط  S/S]]</f>
        <v>0</v>
      </c>
      <c r="T238" s="3">
        <f>TABL1234[[#This Row],[(S/S TOT) AJD]]+TABL1234[[#This Row],[(T/B TOT) AJD]]</f>
        <v>0</v>
      </c>
      <c r="U238" s="41"/>
      <c r="V238" s="41"/>
      <c r="W238" s="3">
        <f>TABL1234[[#This Row],[(A/B TOT) AJD]]+TABL1234[[#This Row],[(A/S TOT)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Row],[البخر  AJD]])</f>
        <v>0</v>
      </c>
      <c r="AE238" s="41"/>
      <c r="AF238" s="43"/>
      <c r="AG238" s="43"/>
      <c r="AH238" s="6"/>
      <c r="AI238" s="43"/>
      <c r="AJ238" s="43">
        <f>TABL1234[[#This Row],[(A/B TOT) AJD]]-TABL1234[[#This Row],[BER_ IN]]</f>
        <v>0</v>
      </c>
      <c r="AK238" s="43"/>
      <c r="AL238" s="43"/>
      <c r="AM238" s="32"/>
      <c r="AN238" s="32">
        <f>TABL1234[[#This Row],[ (RESV. STORGE) SER]]/10</f>
        <v>0</v>
      </c>
      <c r="AO238" s="75"/>
      <c r="AP238" s="75">
        <f>TABL1234[[#This Row],[(A/S TOT) AJD]]-TABL1234[[#This Row],[SER_ 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Row],[خط (T/B  TOT) SAR]]+TABL1234[[#This Row],[خط (S/S  TOT) SAR2]]</f>
        <v>0</v>
      </c>
      <c r="L239" s="45"/>
      <c r="M239" s="46"/>
      <c r="N239" s="46"/>
      <c r="O239" s="40"/>
      <c r="P239" s="3">
        <f>TABL1234[[#This Row],[خط (S/S  TOT) SAR2]]-TABL1234[[#This Row],[(S/S TOT) AJD]]</f>
        <v>0</v>
      </c>
      <c r="Q239" s="40"/>
      <c r="R239" s="3">
        <f>TABL1234[[#This Row],[خط (T/B  TOT) SAR]]-TABL1234[[#This Row],[(T/B TOT) AJD]]</f>
        <v>0</v>
      </c>
      <c r="S239" s="3">
        <f>TABL1234[[#This Row],[الفرق بين بداية ونهاية خط  T/B]]+TABL1234[[#This Row],[الفرق بين بداية ونهاية خط  S/S]]</f>
        <v>0</v>
      </c>
      <c r="T239" s="3">
        <f>TABL1234[[#This Row],[(S/S TOT) AJD]]+TABL1234[[#This Row],[(T/B TOT) AJD]]</f>
        <v>0</v>
      </c>
      <c r="U239" s="44"/>
      <c r="V239" s="44"/>
      <c r="W239" s="3">
        <f>TABL1234[[#This Row],[(A/B TOT) AJD]]+TABL1234[[#This Row],[(A/S TOT)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Row],[البخر  AJD]])</f>
        <v>0</v>
      </c>
      <c r="AE239" s="44"/>
      <c r="AF239" s="45"/>
      <c r="AG239" s="45"/>
      <c r="AH239" s="6"/>
      <c r="AI239" s="45"/>
      <c r="AJ239" s="45">
        <f>TABL1234[[#This Row],[(A/B TOT) AJD]]-TABL1234[[#This Row],[BER_ IN]]</f>
        <v>0</v>
      </c>
      <c r="AK239" s="45"/>
      <c r="AL239" s="45"/>
      <c r="AM239" s="32"/>
      <c r="AN239" s="32">
        <f>TABL1234[[#This Row],[ (RESV. STORGE) SER]]/10</f>
        <v>0</v>
      </c>
      <c r="AO239" s="75"/>
      <c r="AP239" s="75">
        <f>TABL1234[[#This Row],[(A/S TOT) AJD]]-TABL1234[[#This Row],[SER_ 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Row],[خط (T/B  TOT) SAR]]+TABL1234[[#This Row],[خط (S/S  TOT) SAR2]]</f>
        <v>0</v>
      </c>
      <c r="L240" s="41"/>
      <c r="M240" s="42"/>
      <c r="N240" s="42"/>
      <c r="O240" s="39"/>
      <c r="P240" s="3">
        <f>TABL1234[[#This Row],[خط (S/S  TOT) SAR2]]-TABL1234[[#This Row],[(S/S TOT) AJD]]</f>
        <v>0</v>
      </c>
      <c r="Q240" s="39"/>
      <c r="R240" s="3">
        <f>TABL1234[[#This Row],[خط (T/B  TOT) SAR]]-TABL1234[[#This Row],[(T/B TOT) AJD]]</f>
        <v>0</v>
      </c>
      <c r="S240" s="3">
        <f>TABL1234[[#This Row],[الفرق بين بداية ونهاية خط  T/B]]+TABL1234[[#This Row],[الفرق بين بداية ونهاية خط  S/S]]</f>
        <v>0</v>
      </c>
      <c r="T240" s="3">
        <f>TABL1234[[#This Row],[(S/S TOT) AJD]]+TABL1234[[#This Row],[(T/B TOT) AJD]]</f>
        <v>0</v>
      </c>
      <c r="U240" s="41"/>
      <c r="V240" s="41"/>
      <c r="W240" s="3">
        <f>TABL1234[[#This Row],[(A/B TOT) AJD]]+TABL1234[[#This Row],[(A/S TOT)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Row],[البخر  AJD]])</f>
        <v>0</v>
      </c>
      <c r="AE240" s="41"/>
      <c r="AF240" s="43"/>
      <c r="AG240" s="43"/>
      <c r="AH240" s="6"/>
      <c r="AI240" s="43"/>
      <c r="AJ240" s="43">
        <f>TABL1234[[#This Row],[(A/B TOT) AJD]]-TABL1234[[#This Row],[BER_ IN]]</f>
        <v>0</v>
      </c>
      <c r="AK240" s="43"/>
      <c r="AL240" s="43"/>
      <c r="AM240" s="32"/>
      <c r="AN240" s="32">
        <f>TABL1234[[#This Row],[ (RESV. STORGE) SER]]/10</f>
        <v>0</v>
      </c>
      <c r="AO240" s="75"/>
      <c r="AP240" s="75">
        <f>TABL1234[[#This Row],[(A/S TOT) AJD]]-TABL1234[[#This Row],[SER_ 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Row],[خط (T/B  TOT) SAR]]+TABL1234[[#This Row],[خط (S/S  TOT) SAR2]]</f>
        <v>0</v>
      </c>
      <c r="L241" s="45"/>
      <c r="M241" s="46"/>
      <c r="N241" s="46"/>
      <c r="O241" s="40"/>
      <c r="P241" s="3">
        <f>TABL1234[[#This Row],[خط (S/S  TOT) SAR2]]-TABL1234[[#This Row],[(S/S TOT) AJD]]</f>
        <v>0</v>
      </c>
      <c r="Q241" s="40"/>
      <c r="R241" s="3">
        <f>TABL1234[[#This Row],[خط (T/B  TOT) SAR]]-TABL1234[[#This Row],[(T/B TOT) AJD]]</f>
        <v>0</v>
      </c>
      <c r="S241" s="3">
        <f>TABL1234[[#This Row],[الفرق بين بداية ونهاية خط  T/B]]+TABL1234[[#This Row],[الفرق بين بداية ونهاية خط  S/S]]</f>
        <v>0</v>
      </c>
      <c r="T241" s="3">
        <f>TABL1234[[#This Row],[(S/S TOT) AJD]]+TABL1234[[#This Row],[(T/B TOT) AJD]]</f>
        <v>0</v>
      </c>
      <c r="U241" s="44"/>
      <c r="V241" s="44"/>
      <c r="W241" s="3">
        <f>TABL1234[[#This Row],[(A/B TOT) AJD]]+TABL1234[[#This Row],[(A/S TOT)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Row],[البخر  AJD]])</f>
        <v>0</v>
      </c>
      <c r="AE241" s="44"/>
      <c r="AF241" s="45"/>
      <c r="AG241" s="45"/>
      <c r="AH241" s="6"/>
      <c r="AI241" s="45"/>
      <c r="AJ241" s="45">
        <f>TABL1234[[#This Row],[(A/B TOT) AJD]]-TABL1234[[#This Row],[BER_ IN]]</f>
        <v>0</v>
      </c>
      <c r="AK241" s="45"/>
      <c r="AL241" s="45"/>
      <c r="AM241" s="32"/>
      <c r="AN241" s="32">
        <f>TABL1234[[#This Row],[ (RESV. STORGE) SER]]/10</f>
        <v>0</v>
      </c>
      <c r="AO241" s="75"/>
      <c r="AP241" s="75">
        <f>TABL1234[[#This Row],[(A/S TOT) AJD]]-TABL1234[[#This Row],[SER_ 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Row],[خط (T/B  TOT) SAR]]+TABL1234[[#This Row],[خط (S/S  TOT) SAR2]]</f>
        <v>0</v>
      </c>
      <c r="L242" s="41"/>
      <c r="M242" s="42"/>
      <c r="N242" s="42"/>
      <c r="O242" s="39"/>
      <c r="P242" s="3">
        <f>TABL1234[[#This Row],[خط (S/S  TOT) SAR2]]-TABL1234[[#This Row],[(S/S TOT) AJD]]</f>
        <v>0</v>
      </c>
      <c r="Q242" s="39"/>
      <c r="R242" s="3">
        <f>TABL1234[[#This Row],[خط (T/B  TOT) SAR]]-TABL1234[[#This Row],[(T/B TOT) AJD]]</f>
        <v>0</v>
      </c>
      <c r="S242" s="3">
        <f>TABL1234[[#This Row],[الفرق بين بداية ونهاية خط  T/B]]+TABL1234[[#This Row],[الفرق بين بداية ونهاية خط  S/S]]</f>
        <v>0</v>
      </c>
      <c r="T242" s="3">
        <f>TABL1234[[#This Row],[(S/S TOT) AJD]]+TABL1234[[#This Row],[(T/B TOT) AJD]]</f>
        <v>0</v>
      </c>
      <c r="U242" s="41"/>
      <c r="V242" s="41"/>
      <c r="W242" s="3">
        <f>TABL1234[[#This Row],[(A/B TOT) AJD]]+TABL1234[[#This Row],[(A/S TOT)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Row],[البخر  AJD]])</f>
        <v>0</v>
      </c>
      <c r="AE242" s="41"/>
      <c r="AF242" s="43"/>
      <c r="AG242" s="43"/>
      <c r="AH242" s="6"/>
      <c r="AI242" s="43"/>
      <c r="AJ242" s="43">
        <f>TABL1234[[#This Row],[(A/B TOT) AJD]]-TABL1234[[#This Row],[BER_ IN]]</f>
        <v>0</v>
      </c>
      <c r="AK242" s="43"/>
      <c r="AL242" s="43"/>
      <c r="AM242" s="32"/>
      <c r="AN242" s="32">
        <f>TABL1234[[#This Row],[ (RESV. STORGE) SER]]/10</f>
        <v>0</v>
      </c>
      <c r="AO242" s="75"/>
      <c r="AP242" s="75">
        <f>TABL1234[[#This Row],[(A/S TOT) AJD]]-TABL1234[[#This Row],[SER_ 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Row],[خط (T/B  TOT) SAR]]+TABL1234[[#This Row],[خط (S/S  TOT) SAR2]]</f>
        <v>0</v>
      </c>
      <c r="L243" s="45"/>
      <c r="M243" s="46"/>
      <c r="N243" s="46"/>
      <c r="O243" s="40"/>
      <c r="P243" s="3">
        <f>TABL1234[[#This Row],[خط (S/S  TOT) SAR2]]-TABL1234[[#This Row],[(S/S TOT) AJD]]</f>
        <v>0</v>
      </c>
      <c r="Q243" s="40"/>
      <c r="R243" s="3">
        <f>TABL1234[[#This Row],[خط (T/B  TOT) SAR]]-TABL1234[[#This Row],[(T/B TOT) AJD]]</f>
        <v>0</v>
      </c>
      <c r="S243" s="3">
        <f>TABL1234[[#This Row],[الفرق بين بداية ونهاية خط  T/B]]+TABL1234[[#This Row],[الفرق بين بداية ونهاية خط  S/S]]</f>
        <v>0</v>
      </c>
      <c r="T243" s="3">
        <f>TABL1234[[#This Row],[(S/S TOT) AJD]]+TABL1234[[#This Row],[(T/B TOT) AJD]]</f>
        <v>0</v>
      </c>
      <c r="U243" s="44"/>
      <c r="V243" s="44"/>
      <c r="W243" s="3">
        <f>TABL1234[[#This Row],[(A/B TOT) AJD]]+TABL1234[[#This Row],[(A/S TOT)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7">
        <f>TABL1234[[#This Row],[( S/S+T/B) AJD]]-(TABL1234[[#This Row],[(A/B + A/S) AJD]]+(TABL1234[[#This Row],[(STORGE DIFF.) AJD]]*1000)+TABL1234[[#This Row],[البخر  AJD]])</f>
        <v>0</v>
      </c>
      <c r="AE243" s="44"/>
      <c r="AF243" s="45"/>
      <c r="AG243" s="45"/>
      <c r="AH243" s="6"/>
      <c r="AI243" s="45"/>
      <c r="AJ243" s="99">
        <f>TABL1234[[#This Row],[(A/B TOT) AJD]]-TABL1234[[#This Row],[BER_ IN]]</f>
        <v>0</v>
      </c>
      <c r="AK243" s="45"/>
      <c r="AL243" s="45"/>
      <c r="AM243" s="32"/>
      <c r="AN243" s="32">
        <f>TABL1234[[#This Row],[ (RESV. STORGE) SER]]/10</f>
        <v>0</v>
      </c>
      <c r="AO243" s="75"/>
      <c r="AP243" s="75">
        <f>TABL1234[[#This Row],[(A/S TOT) AJD]]-TABL1234[[#This Row],[SER_ 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Row],[خط (T/B  TOT) SAR]]+TABL1234[[#This Row],[خط (S/S  TOT) SAR2]]</f>
        <v>0</v>
      </c>
      <c r="L244" s="41"/>
      <c r="M244" s="42"/>
      <c r="N244" s="42"/>
      <c r="O244" s="39"/>
      <c r="P244" s="3">
        <f>TABL1234[[#This Row],[خط (S/S  TOT) SAR2]]-TABL1234[[#This Row],[(S/S TOT) AJD]]</f>
        <v>0</v>
      </c>
      <c r="Q244" s="39"/>
      <c r="R244" s="3">
        <f>TABL1234[[#This Row],[خط (T/B  TOT) SAR]]-TABL1234[[#This Row],[(T/B TOT) AJD]]</f>
        <v>0</v>
      </c>
      <c r="S244" s="3">
        <f>TABL1234[[#This Row],[الفرق بين بداية ونهاية خط  T/B]]+TABL1234[[#This Row],[الفرق بين بداية ونهاية خط  S/S]]</f>
        <v>0</v>
      </c>
      <c r="T244" s="3">
        <f>TABL1234[[#This Row],[(S/S TOT) AJD]]+TABL1234[[#This Row],[(T/B TOT) AJD]]</f>
        <v>0</v>
      </c>
      <c r="U244" s="41"/>
      <c r="V244" s="41"/>
      <c r="W244" s="3">
        <f>TABL1234[[#This Row],[(A/B TOT) AJD]]+TABL1234[[#This Row],[(A/S TOT)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Row],[البخر  AJD]])</f>
        <v>0</v>
      </c>
      <c r="AE244" s="41"/>
      <c r="AF244" s="43"/>
      <c r="AG244" s="43"/>
      <c r="AH244" s="6"/>
      <c r="AI244" s="43"/>
      <c r="AJ244" s="43">
        <f>TABL1234[[#This Row],[(A/B TOT) AJD]]-TABL1234[[#This Row],[BER_ IN]]</f>
        <v>0</v>
      </c>
      <c r="AK244" s="43"/>
      <c r="AL244" s="43"/>
      <c r="AM244" s="32"/>
      <c r="AN244" s="32">
        <f>TABL1234[[#This Row],[ (RESV. STORGE) SER]]/10</f>
        <v>0</v>
      </c>
      <c r="AO244" s="75"/>
      <c r="AP244" s="75">
        <f>TABL1234[[#This Row],[(A/S TOT) AJD]]-TABL1234[[#This Row],[SER_ 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Row],[خط (T/B  TOT) SAR]]+TABL1234[[#This Row],[خط (S/S  TOT) SAR2]]</f>
        <v>0</v>
      </c>
      <c r="L245" s="41"/>
      <c r="M245" s="42"/>
      <c r="N245" s="42"/>
      <c r="O245" s="39"/>
      <c r="P245" s="14">
        <f>TABL1234[[#This Row],[خط (S/S  TOT) SAR2]]-TABL1234[[#This Row],[(S/S TOT) AJD]]</f>
        <v>0</v>
      </c>
      <c r="Q245" s="39"/>
      <c r="R245" s="14">
        <f>TABL1234[[#This Row],[خط (T/B  TOT) SAR]]-TABL1234[[#This Row],[(T/B TOT) AJD]]</f>
        <v>0</v>
      </c>
      <c r="S245" s="14">
        <f>TABL1234[[#This Row],[الفرق بين بداية ونهاية خط  T/B]]+TABL1234[[#This Row],[الفرق بين بداية ونهاية خط  S/S]]</f>
        <v>0</v>
      </c>
      <c r="T245" s="9">
        <f>TABL1234[[#This Row],[(S/S TOT) AJD]]+TABL1234[[#This Row],[(T/B TOT) AJD]]</f>
        <v>0</v>
      </c>
      <c r="U245" s="41"/>
      <c r="V245" s="41"/>
      <c r="W245" s="9">
        <f>TABL1234[[#This Row],[(A/B TOT) AJD]]+TABL1234[[#This Row],[(A/S TOT)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Row],[البخر  AJD]])</f>
        <v>0</v>
      </c>
      <c r="AE245" s="41"/>
      <c r="AF245" s="43"/>
      <c r="AG245" s="43"/>
      <c r="AH245" s="6"/>
      <c r="AI245" s="43"/>
      <c r="AJ245" s="43">
        <f>TABL1234[[#This Row],[(A/B TOT) AJD]]-TABL1234[[#This Row],[BER_ IN]]</f>
        <v>0</v>
      </c>
      <c r="AK245" s="43"/>
      <c r="AL245" s="43"/>
      <c r="AM245" s="32"/>
      <c r="AN245" s="32">
        <f>TABL1234[[#This Row],[ (RESV. STORGE) SER]]/10</f>
        <v>0</v>
      </c>
      <c r="AO245" s="75"/>
      <c r="AP245" s="75">
        <f>TABL1234[[#This Row],[(A/S TOT) AJD]]-TABL1234[[#This Row],[SER_ 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Row],[خط (T/B  TOT) SAR]]+TABL1234[[#This Row],[خط (S/S  TOT) SAR2]]</f>
        <v>0</v>
      </c>
      <c r="L246" s="45"/>
      <c r="M246" s="46"/>
      <c r="N246" s="46"/>
      <c r="O246" s="40"/>
      <c r="P246" s="14">
        <f>TABL1234[[#This Row],[خط (S/S  TOT) SAR2]]-TABL1234[[#This Row],[(S/S TOT) AJD]]</f>
        <v>0</v>
      </c>
      <c r="Q246" s="40"/>
      <c r="R246" s="14">
        <f>TABL1234[[#This Row],[خط (T/B  TOT) SAR]]-TABL1234[[#This Row],[(T/B TOT) AJD]]</f>
        <v>0</v>
      </c>
      <c r="S246" s="14">
        <f>TABL1234[[#This Row],[الفرق بين بداية ونهاية خط  T/B]]+TABL1234[[#This Row],[الفرق بين بداية ونهاية خط  S/S]]</f>
        <v>0</v>
      </c>
      <c r="T246" s="9">
        <f>TABL1234[[#This Row],[(S/S TOT) AJD]]+TABL1234[[#This Row],[(T/B TOT) AJD]]</f>
        <v>0</v>
      </c>
      <c r="U246" s="44"/>
      <c r="V246" s="44"/>
      <c r="W246" s="9">
        <f>TABL1234[[#This Row],[(A/B TOT) AJD]]+TABL1234[[#This Row],[(A/S TOT)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Row],[البخر  AJD]])</f>
        <v>0</v>
      </c>
      <c r="AE246" s="44"/>
      <c r="AF246" s="45"/>
      <c r="AG246" s="45"/>
      <c r="AH246" s="6"/>
      <c r="AI246" s="45"/>
      <c r="AJ246" s="45">
        <f>TABL1234[[#This Row],[(A/B TOT) AJD]]-TABL1234[[#This Row],[BER_ IN]]</f>
        <v>0</v>
      </c>
      <c r="AK246" s="45"/>
      <c r="AL246" s="45"/>
      <c r="AM246" s="32"/>
      <c r="AN246" s="32">
        <f>TABL1234[[#This Row],[ (RESV. STORGE) SER]]/10</f>
        <v>0</v>
      </c>
      <c r="AO246" s="75"/>
      <c r="AP246" s="75">
        <f>TABL1234[[#This Row],[(A/S TOT) AJD]]-TABL1234[[#This Row],[SER_ 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Row],[خط (T/B  TOT) SAR]]+TABL1234[[#This Row],[خط (S/S  TOT) SAR2]]</f>
        <v>0</v>
      </c>
      <c r="L247" s="41"/>
      <c r="M247" s="42"/>
      <c r="N247" s="42"/>
      <c r="O247" s="39"/>
      <c r="P247" s="14">
        <f>TABL1234[[#This Row],[خط (S/S  TOT) SAR2]]-TABL1234[[#This Row],[(S/S TOT) AJD]]</f>
        <v>0</v>
      </c>
      <c r="Q247" s="39"/>
      <c r="R247" s="14">
        <f>TABL1234[[#This Row],[خط (T/B  TOT) SAR]]-TABL1234[[#This Row],[(T/B TOT) AJD]]</f>
        <v>0</v>
      </c>
      <c r="S247" s="14">
        <f>TABL1234[[#This Row],[الفرق بين بداية ونهاية خط  T/B]]+TABL1234[[#This Row],[الفرق بين بداية ونهاية خط  S/S]]</f>
        <v>0</v>
      </c>
      <c r="T247" s="9">
        <f>TABL1234[[#This Row],[(S/S TOT) AJD]]+TABL1234[[#This Row],[(T/B TOT) AJD]]</f>
        <v>0</v>
      </c>
      <c r="U247" s="41"/>
      <c r="V247" s="41"/>
      <c r="W247" s="9">
        <f>TABL1234[[#This Row],[(A/B TOT) AJD]]+TABL1234[[#This Row],[(A/S TOT)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Row],[البخر  AJD]])</f>
        <v>0</v>
      </c>
      <c r="AE247" s="41"/>
      <c r="AF247" s="43"/>
      <c r="AG247" s="43"/>
      <c r="AH247" s="6"/>
      <c r="AI247" s="43"/>
      <c r="AJ247" s="43">
        <f>TABL1234[[#This Row],[(A/B TOT) AJD]]-TABL1234[[#This Row],[BER_ IN]]</f>
        <v>0</v>
      </c>
      <c r="AK247" s="43"/>
      <c r="AL247" s="43"/>
      <c r="AM247" s="32"/>
      <c r="AN247" s="32">
        <f>TABL1234[[#This Row],[ (RESV. STORGE) SER]]/10</f>
        <v>0</v>
      </c>
      <c r="AO247" s="75"/>
      <c r="AP247" s="75">
        <f>TABL1234[[#This Row],[(A/S TOT) AJD]]-TABL1234[[#This Row],[SER_ 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Row],[خط (T/B  TOT) SAR]]+TABL1234[[#This Row],[خط (S/S  TOT) SAR2]]</f>
        <v>0</v>
      </c>
      <c r="L248" s="45"/>
      <c r="M248" s="46"/>
      <c r="N248" s="46"/>
      <c r="O248" s="40"/>
      <c r="P248" s="14">
        <f>TABL1234[[#This Row],[خط (S/S  TOT) SAR2]]-TABL1234[[#This Row],[(S/S TOT) AJD]]</f>
        <v>0</v>
      </c>
      <c r="Q248" s="40"/>
      <c r="R248" s="14">
        <f>TABL1234[[#This Row],[خط (T/B  TOT) SAR]]-TABL1234[[#This Row],[(T/B TOT) AJD]]</f>
        <v>0</v>
      </c>
      <c r="S248" s="14">
        <f>TABL1234[[#This Row],[الفرق بين بداية ونهاية خط  T/B]]+TABL1234[[#This Row],[الفرق بين بداية ونهاية خط  S/S]]</f>
        <v>0</v>
      </c>
      <c r="T248" s="9">
        <f>TABL1234[[#This Row],[(S/S TOT) AJD]]+TABL1234[[#This Row],[(T/B TOT) AJD]]</f>
        <v>0</v>
      </c>
      <c r="U248" s="44"/>
      <c r="V248" s="44"/>
      <c r="W248" s="9">
        <f>TABL1234[[#This Row],[(A/B TOT) AJD]]+TABL1234[[#This Row],[(A/S TOT)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Row],[البخر  AJD]])</f>
        <v>0</v>
      </c>
      <c r="AE248" s="44"/>
      <c r="AF248" s="45"/>
      <c r="AG248" s="45"/>
      <c r="AH248" s="6"/>
      <c r="AI248" s="45"/>
      <c r="AJ248" s="45">
        <f>TABL1234[[#This Row],[(A/B TOT) AJD]]-TABL1234[[#This Row],[BER_ IN]]</f>
        <v>0</v>
      </c>
      <c r="AK248" s="45"/>
      <c r="AL248" s="45"/>
      <c r="AM248" s="32"/>
      <c r="AN248" s="32">
        <f>TABL1234[[#This Row],[ (RESV. STORGE) SER]]/10</f>
        <v>0</v>
      </c>
      <c r="AO248" s="75"/>
      <c r="AP248" s="75">
        <f>TABL1234[[#This Row],[(A/S TOT) AJD]]-TABL1234[[#This Row],[SER_ 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Row],[خط (T/B  TOT) SAR]]+TABL1234[[#This Row],[خط (S/S  TOT) SAR2]]</f>
        <v>0</v>
      </c>
      <c r="L249" s="41"/>
      <c r="M249" s="42"/>
      <c r="N249" s="42"/>
      <c r="O249" s="39"/>
      <c r="P249" s="14">
        <f>TABL1234[[#This Row],[خط (S/S  TOT) SAR2]]-TABL1234[[#This Row],[(S/S TOT) AJD]]</f>
        <v>0</v>
      </c>
      <c r="Q249" s="39"/>
      <c r="R249" s="14">
        <f>TABL1234[[#This Row],[خط (T/B  TOT) SAR]]-TABL1234[[#This Row],[(T/B TOT) AJD]]</f>
        <v>0</v>
      </c>
      <c r="S249" s="14">
        <f>TABL1234[[#This Row],[الفرق بين بداية ونهاية خط  T/B]]+TABL1234[[#This Row],[الفرق بين بداية ونهاية خط  S/S]]</f>
        <v>0</v>
      </c>
      <c r="T249" s="9">
        <f>TABL1234[[#This Row],[(S/S TOT) AJD]]+TABL1234[[#This Row],[(T/B TOT) AJD]]</f>
        <v>0</v>
      </c>
      <c r="U249" s="41"/>
      <c r="V249" s="41"/>
      <c r="W249" s="9">
        <f>TABL1234[[#This Row],[(A/B TOT) AJD]]+TABL1234[[#This Row],[(A/S TOT)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Row],[البخر  AJD]])</f>
        <v>0</v>
      </c>
      <c r="AE249" s="41"/>
      <c r="AF249" s="43"/>
      <c r="AG249" s="43"/>
      <c r="AH249" s="6"/>
      <c r="AI249" s="43"/>
      <c r="AJ249" s="43">
        <f>TABL1234[[#This Row],[(A/B TOT) AJD]]-TABL1234[[#This Row],[BER_ IN]]</f>
        <v>0</v>
      </c>
      <c r="AK249" s="43"/>
      <c r="AL249" s="43"/>
      <c r="AM249" s="32"/>
      <c r="AN249" s="32">
        <f>TABL1234[[#This Row],[ (RESV. STORGE) SER]]/10</f>
        <v>0</v>
      </c>
      <c r="AO249" s="75"/>
      <c r="AP249" s="75">
        <f>TABL1234[[#This Row],[(A/S TOT) AJD]]-TABL1234[[#This Row],[SER_ 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Row],[خط (T/B  TOT) SAR]]+TABL1234[[#This Row],[خط (S/S  TOT) SAR2]]</f>
        <v>0</v>
      </c>
      <c r="L250" s="45"/>
      <c r="M250" s="46"/>
      <c r="N250" s="46"/>
      <c r="O250" s="40"/>
      <c r="P250" s="9">
        <f>TABL1234[[#This Row],[خط (S/S  TOT) SAR2]]-TABL1234[[#This Row],[(S/S TOT) AJD]]</f>
        <v>0</v>
      </c>
      <c r="Q250" s="40"/>
      <c r="R250" s="9">
        <f>TABL1234[[#This Row],[خط (T/B  TOT) SAR]]-TABL1234[[#This Row],[(T/B TOT) AJD]]</f>
        <v>0</v>
      </c>
      <c r="S250" s="9">
        <f>TABL1234[[#This Row],[الفرق بين بداية ونهاية خط  T/B]]+TABL1234[[#This Row],[الفرق بين بداية ونهاية خط  S/S]]</f>
        <v>0</v>
      </c>
      <c r="T250" s="9">
        <f>TABL1234[[#This Row],[(S/S TOT) AJD]]+TABL1234[[#This Row],[(T/B TOT) AJD]]</f>
        <v>0</v>
      </c>
      <c r="U250" s="44"/>
      <c r="V250" s="44"/>
      <c r="W250" s="9">
        <f>TABL1234[[#This Row],[(A/B TOT) AJD]]+TABL1234[[#This Row],[(A/S TOT)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Row],[البخر  AJD]])</f>
        <v>0</v>
      </c>
      <c r="AE250" s="44"/>
      <c r="AF250" s="45"/>
      <c r="AG250" s="45"/>
      <c r="AH250" s="6"/>
      <c r="AI250" s="45"/>
      <c r="AJ250" s="45">
        <f>TABL1234[[#This Row],[(A/B TOT) AJD]]-TABL1234[[#This Row],[BER_ IN]]</f>
        <v>0</v>
      </c>
      <c r="AK250" s="45"/>
      <c r="AL250" s="45"/>
      <c r="AM250" s="32"/>
      <c r="AN250" s="32">
        <f>TABL1234[[#This Row],[ (RESV. STORGE) SER]]/10</f>
        <v>0</v>
      </c>
      <c r="AO250" s="75"/>
      <c r="AP250" s="75">
        <f>TABL1234[[#This Row],[(A/S TOT) AJD]]-TABL1234[[#This Row],[SER_ 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Row],[خط (T/B  TOT) SAR]]+TABL1234[[#This Row],[خط (S/S  TOT) SAR2]]</f>
        <v>0</v>
      </c>
      <c r="L251" s="41"/>
      <c r="M251" s="42"/>
      <c r="N251" s="42"/>
      <c r="O251" s="39"/>
      <c r="P251" s="9">
        <f>TABL1234[[#This Row],[خط (S/S  TOT) SAR2]]-TABL1234[[#This Row],[(S/S TOT) AJD]]</f>
        <v>0</v>
      </c>
      <c r="Q251" s="39"/>
      <c r="R251" s="9">
        <f>TABL1234[[#This Row],[خط (T/B  TOT) SAR]]-TABL1234[[#This Row],[(T/B TOT) AJD]]</f>
        <v>0</v>
      </c>
      <c r="S251" s="9">
        <f>TABL1234[[#This Row],[الفرق بين بداية ونهاية خط  T/B]]+TABL1234[[#This Row],[الفرق بين بداية ونهاية خط  S/S]]</f>
        <v>0</v>
      </c>
      <c r="T251" s="9">
        <f>TABL1234[[#This Row],[(S/S TOT) AJD]]+TABL1234[[#This Row],[(T/B TOT) AJD]]</f>
        <v>0</v>
      </c>
      <c r="U251" s="41"/>
      <c r="V251" s="41"/>
      <c r="W251" s="9">
        <f>TABL1234[[#This Row],[(A/B TOT) AJD]]+TABL1234[[#This Row],[(A/S TOT)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Row],[البخر  AJD]])</f>
        <v>0</v>
      </c>
      <c r="AE251" s="41"/>
      <c r="AF251" s="43"/>
      <c r="AG251" s="43"/>
      <c r="AH251" s="6"/>
      <c r="AI251" s="43"/>
      <c r="AJ251" s="43">
        <f>TABL1234[[#This Row],[(A/B TOT) AJD]]-TABL1234[[#This Row],[BER_ IN]]</f>
        <v>0</v>
      </c>
      <c r="AK251" s="43"/>
      <c r="AL251" s="43"/>
      <c r="AM251" s="32"/>
      <c r="AN251" s="32">
        <f>TABL1234[[#This Row],[ (RESV. STORGE) SER]]/10</f>
        <v>0</v>
      </c>
      <c r="AO251" s="75"/>
      <c r="AP251" s="75">
        <f>TABL1234[[#This Row],[(A/S TOT) AJD]]-TABL1234[[#This Row],[SER_ 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Row],[خط (T/B  TOT) SAR]]+TABL1234[[#This Row],[خط (S/S  TOT) SAR2]]</f>
        <v>0</v>
      </c>
      <c r="L252" s="45"/>
      <c r="M252" s="46"/>
      <c r="N252" s="46"/>
      <c r="O252" s="40"/>
      <c r="P252" s="9">
        <f>TABL1234[[#This Row],[خط (S/S  TOT) SAR2]]-TABL1234[[#This Row],[(S/S TOT) AJD]]</f>
        <v>0</v>
      </c>
      <c r="Q252" s="40"/>
      <c r="R252" s="9">
        <f>TABL1234[[#This Row],[خط (T/B  TOT) SAR]]-TABL1234[[#This Row],[(T/B TOT) AJD]]</f>
        <v>0</v>
      </c>
      <c r="S252" s="9">
        <f>TABL1234[[#This Row],[الفرق بين بداية ونهاية خط  T/B]]+TABL1234[[#This Row],[الفرق بين بداية ونهاية خط  S/S]]</f>
        <v>0</v>
      </c>
      <c r="T252" s="9">
        <f>TABL1234[[#This Row],[(S/S TOT) AJD]]+TABL1234[[#This Row],[(T/B TOT) AJD]]</f>
        <v>0</v>
      </c>
      <c r="U252" s="44"/>
      <c r="V252" s="44"/>
      <c r="W252" s="9">
        <f>TABL1234[[#This Row],[(A/B TOT) AJD]]+TABL1234[[#This Row],[(A/S TOT)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Row],[البخر  AJD]])</f>
        <v>0</v>
      </c>
      <c r="AE252" s="44"/>
      <c r="AF252" s="45"/>
      <c r="AG252" s="45"/>
      <c r="AH252" s="6"/>
      <c r="AI252" s="45"/>
      <c r="AJ252" s="45">
        <f>TABL1234[[#This Row],[(A/B TOT) AJD]]-TABL1234[[#This Row],[BER_ IN]]</f>
        <v>0</v>
      </c>
      <c r="AK252" s="45"/>
      <c r="AL252" s="45"/>
      <c r="AM252" s="32"/>
      <c r="AN252" s="32">
        <f>TABL1234[[#This Row],[ (RESV. STORGE) SER]]/10</f>
        <v>0</v>
      </c>
      <c r="AO252" s="75"/>
      <c r="AP252" s="75">
        <f>TABL1234[[#This Row],[(A/S TOT) AJD]]-TABL1234[[#This Row],[SER_ 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Row],[خط (T/B  TOT) SAR]]+TABL1234[[#This Row],[خط (S/S  TOT) SAR2]]</f>
        <v>0</v>
      </c>
      <c r="L253" s="41"/>
      <c r="M253" s="42"/>
      <c r="N253" s="42"/>
      <c r="O253" s="39"/>
      <c r="P253" s="9">
        <f>TABL1234[[#This Row],[خط (S/S  TOT) SAR2]]-TABL1234[[#This Row],[(S/S TOT) AJD]]</f>
        <v>0</v>
      </c>
      <c r="Q253" s="39"/>
      <c r="R253" s="9">
        <f>TABL1234[[#This Row],[خط (T/B  TOT) SAR]]-TABL1234[[#This Row],[(T/B TOT) AJD]]</f>
        <v>0</v>
      </c>
      <c r="S253" s="9">
        <f>TABL1234[[#This Row],[الفرق بين بداية ونهاية خط  T/B]]+TABL1234[[#This Row],[الفرق بين بداية ونهاية خط  S/S]]</f>
        <v>0</v>
      </c>
      <c r="T253" s="9">
        <f>TABL1234[[#This Row],[(S/S TOT) AJD]]+TABL1234[[#This Row],[(T/B TOT) AJD]]</f>
        <v>0</v>
      </c>
      <c r="U253" s="41"/>
      <c r="V253" s="41"/>
      <c r="W253" s="9">
        <f>TABL1234[[#This Row],[(A/B TOT) AJD]]+TABL1234[[#This Row],[(A/S TOT)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Row],[البخر  AJD]])</f>
        <v>0</v>
      </c>
      <c r="AE253" s="41"/>
      <c r="AF253" s="43"/>
      <c r="AG253" s="43"/>
      <c r="AH253" s="6"/>
      <c r="AI253" s="43"/>
      <c r="AJ253" s="43">
        <f>TABL1234[[#This Row],[(A/B TOT) AJD]]-TABL1234[[#This Row],[BER_ IN]]</f>
        <v>0</v>
      </c>
      <c r="AK253" s="43"/>
      <c r="AL253" s="43"/>
      <c r="AM253" s="32"/>
      <c r="AN253" s="32">
        <f>TABL1234[[#This Row],[ (RESV. STORGE) SER]]/10</f>
        <v>0</v>
      </c>
      <c r="AO253" s="75"/>
      <c r="AP253" s="75">
        <f>TABL1234[[#This Row],[(A/S TOT) AJD]]-TABL1234[[#This Row],[SER_ 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Row],[خط (T/B  TOT) SAR]]+TABL1234[[#This Row],[خط (S/S  TOT) SAR2]]</f>
        <v>0</v>
      </c>
      <c r="L254" s="45"/>
      <c r="M254" s="46"/>
      <c r="N254" s="46"/>
      <c r="O254" s="40"/>
      <c r="P254" s="9">
        <f>TABL1234[[#This Row],[خط (S/S  TOT) SAR2]]-TABL1234[[#This Row],[(S/S TOT) AJD]]</f>
        <v>0</v>
      </c>
      <c r="Q254" s="40"/>
      <c r="R254" s="9">
        <f>TABL1234[[#This Row],[خط (T/B  TOT) SAR]]-TABL1234[[#This Row],[(T/B TOT) AJD]]</f>
        <v>0</v>
      </c>
      <c r="S254" s="9">
        <f>TABL1234[[#This Row],[الفرق بين بداية ونهاية خط  T/B]]+TABL1234[[#This Row],[الفرق بين بداية ونهاية خط  S/S]]</f>
        <v>0</v>
      </c>
      <c r="T254" s="9">
        <f>TABL1234[[#This Row],[(S/S TOT) AJD]]+TABL1234[[#This Row],[(T/B TOT) AJD]]</f>
        <v>0</v>
      </c>
      <c r="U254" s="44"/>
      <c r="V254" s="44"/>
      <c r="W254" s="9">
        <f>TABL1234[[#This Row],[(A/B TOT) AJD]]+TABL1234[[#This Row],[(A/S TOT)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Row],[البخر  AJD]])</f>
        <v>0</v>
      </c>
      <c r="AE254" s="44"/>
      <c r="AF254" s="45"/>
      <c r="AG254" s="45"/>
      <c r="AH254" s="6"/>
      <c r="AI254" s="45"/>
      <c r="AJ254" s="45">
        <f>TABL1234[[#This Row],[(A/B TOT) AJD]]-TABL1234[[#This Row],[BER_ IN]]</f>
        <v>0</v>
      </c>
      <c r="AK254" s="45"/>
      <c r="AL254" s="45"/>
      <c r="AM254" s="32"/>
      <c r="AN254" s="32">
        <f>TABL1234[[#This Row],[ (RESV. STORGE) SER]]/10</f>
        <v>0</v>
      </c>
      <c r="AO254" s="75"/>
      <c r="AP254" s="75">
        <f>TABL1234[[#This Row],[(A/S TOT) AJD]]-TABL1234[[#This Row],[SER_ 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Row],[خط (T/B  TOT) SAR]]+TABL1234[[#This Row],[خط (S/S  TOT) SAR2]]</f>
        <v>0</v>
      </c>
      <c r="L255" s="41"/>
      <c r="M255" s="42"/>
      <c r="N255" s="42"/>
      <c r="O255" s="39"/>
      <c r="P255" s="9">
        <f>TABL1234[[#This Row],[خط (S/S  TOT) SAR2]]-TABL1234[[#This Row],[(S/S TOT) AJD]]</f>
        <v>0</v>
      </c>
      <c r="Q255" s="39"/>
      <c r="R255" s="9">
        <f>TABL1234[[#This Row],[خط (T/B  TOT) SAR]]-TABL1234[[#This Row],[(T/B TOT) AJD]]</f>
        <v>0</v>
      </c>
      <c r="S255" s="9">
        <f>TABL1234[[#This Row],[الفرق بين بداية ونهاية خط  T/B]]+TABL1234[[#This Row],[الفرق بين بداية ونهاية خط  S/S]]</f>
        <v>0</v>
      </c>
      <c r="T255" s="9">
        <f>TABL1234[[#This Row],[(S/S TOT) AJD]]+TABL1234[[#This Row],[(T/B TOT) AJD]]</f>
        <v>0</v>
      </c>
      <c r="U255" s="41"/>
      <c r="V255" s="41"/>
      <c r="W255" s="9">
        <f>TABL1234[[#This Row],[(A/B TOT) AJD]]+TABL1234[[#This Row],[(A/S TOT)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Row],[البخر  AJD]])</f>
        <v>0</v>
      </c>
      <c r="AE255" s="41"/>
      <c r="AF255" s="43"/>
      <c r="AG255" s="43"/>
      <c r="AH255" s="6"/>
      <c r="AI255" s="43"/>
      <c r="AJ255" s="43">
        <f>TABL1234[[#This Row],[(A/B TOT) AJD]]-TABL1234[[#This Row],[BER_ IN]]</f>
        <v>0</v>
      </c>
      <c r="AK255" s="43"/>
      <c r="AL255" s="43"/>
      <c r="AM255" s="32"/>
      <c r="AN255" s="32">
        <f>TABL1234[[#This Row],[ (RESV. STORGE) SER]]/10</f>
        <v>0</v>
      </c>
      <c r="AO255" s="75"/>
      <c r="AP255" s="75">
        <f>TABL1234[[#This Row],[(A/S TOT) AJD]]-TABL1234[[#This Row],[SER_ 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Row],[خط (T/B  TOT) SAR]]+TABL1234[[#This Row],[خط (S/S  TOT) SAR2]]</f>
        <v>0</v>
      </c>
      <c r="L256" s="45"/>
      <c r="M256" s="46"/>
      <c r="N256" s="46"/>
      <c r="O256" s="40"/>
      <c r="P256" s="9">
        <f>TABL1234[[#This Row],[خط (S/S  TOT) SAR2]]-TABL1234[[#This Row],[(S/S TOT) AJD]]</f>
        <v>0</v>
      </c>
      <c r="Q256" s="40"/>
      <c r="R256" s="9">
        <f>TABL1234[[#This Row],[خط (T/B  TOT) SAR]]-TABL1234[[#This Row],[(T/B TOT) AJD]]</f>
        <v>0</v>
      </c>
      <c r="S256" s="9">
        <f>TABL1234[[#This Row],[الفرق بين بداية ونهاية خط  T/B]]+TABL1234[[#This Row],[الفرق بين بداية ونهاية خط  S/S]]</f>
        <v>0</v>
      </c>
      <c r="T256" s="9">
        <f>TABL1234[[#This Row],[(S/S TOT) AJD]]+TABL1234[[#This Row],[(T/B TOT) AJD]]</f>
        <v>0</v>
      </c>
      <c r="U256" s="44"/>
      <c r="V256" s="44"/>
      <c r="W256" s="9">
        <f>TABL1234[[#This Row],[(A/B TOT) AJD]]+TABL1234[[#This Row],[(A/S TOT)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Row],[البخر  AJD]])</f>
        <v>0</v>
      </c>
      <c r="AE256" s="44"/>
      <c r="AF256" s="45"/>
      <c r="AG256" s="45"/>
      <c r="AH256" s="6"/>
      <c r="AI256" s="45"/>
      <c r="AJ256" s="45">
        <f>TABL1234[[#This Row],[(A/B TOT) AJD]]-TABL1234[[#This Row],[BER_ IN]]</f>
        <v>0</v>
      </c>
      <c r="AK256" s="45"/>
      <c r="AL256" s="45"/>
      <c r="AM256" s="32"/>
      <c r="AN256" s="32">
        <f>TABL1234[[#This Row],[ (RESV. STORGE) SER]]/10</f>
        <v>0</v>
      </c>
      <c r="AO256" s="75"/>
      <c r="AP256" s="75">
        <f>TABL1234[[#This Row],[(A/S TOT) AJD]]-TABL1234[[#This Row],[SER_ 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Row],[خط (T/B  TOT) SAR]]+TABL1234[[#This Row],[خط (S/S  TOT) SAR2]]</f>
        <v>0</v>
      </c>
      <c r="L257" s="41"/>
      <c r="M257" s="42"/>
      <c r="N257" s="42"/>
      <c r="O257" s="39"/>
      <c r="P257" s="9">
        <f>TABL1234[[#This Row],[خط (S/S  TOT) SAR2]]-TABL1234[[#This Row],[(S/S TOT) AJD]]</f>
        <v>0</v>
      </c>
      <c r="Q257" s="39"/>
      <c r="R257" s="9">
        <f>TABL1234[[#This Row],[خط (T/B  TOT) SAR]]-TABL1234[[#This Row],[(T/B TOT) AJD]]</f>
        <v>0</v>
      </c>
      <c r="S257" s="9">
        <f>TABL1234[[#This Row],[الفرق بين بداية ونهاية خط  T/B]]+TABL1234[[#This Row],[الفرق بين بداية ونهاية خط  S/S]]</f>
        <v>0</v>
      </c>
      <c r="T257" s="9">
        <f>TABL1234[[#This Row],[(S/S TOT) AJD]]+TABL1234[[#This Row],[(T/B TOT) AJD]]</f>
        <v>0</v>
      </c>
      <c r="U257" s="41"/>
      <c r="V257" s="41"/>
      <c r="W257" s="9">
        <f>TABL1234[[#This Row],[(A/B TOT) AJD]]+TABL1234[[#This Row],[(A/S TOT)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Row],[البخر  AJD]])</f>
        <v>0</v>
      </c>
      <c r="AE257" s="41"/>
      <c r="AF257" s="43"/>
      <c r="AG257" s="43"/>
      <c r="AH257" s="6"/>
      <c r="AI257" s="43"/>
      <c r="AJ257" s="43">
        <f>TABL1234[[#This Row],[(A/B TOT) AJD]]-TABL1234[[#This Row],[BER_ IN]]</f>
        <v>0</v>
      </c>
      <c r="AK257" s="43"/>
      <c r="AL257" s="43"/>
      <c r="AM257" s="32"/>
      <c r="AN257" s="32">
        <f>TABL1234[[#This Row],[ (RESV. STORGE) SER]]/10</f>
        <v>0</v>
      </c>
      <c r="AO257" s="75"/>
      <c r="AP257" s="75">
        <f>TABL1234[[#This Row],[(A/S TOT) AJD]]-TABL1234[[#This Row],[SER_ 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Row],[خط (T/B  TOT) SAR]]+TABL1234[[#This Row],[خط (S/S  TOT) SAR2]]</f>
        <v>0</v>
      </c>
      <c r="L258" s="45"/>
      <c r="M258" s="46"/>
      <c r="N258" s="46"/>
      <c r="O258" s="40"/>
      <c r="P258" s="9">
        <f>TABL1234[[#This Row],[خط (S/S  TOT) SAR2]]-TABL1234[[#This Row],[(S/S TOT) AJD]]</f>
        <v>0</v>
      </c>
      <c r="Q258" s="40"/>
      <c r="R258" s="9">
        <f>TABL1234[[#This Row],[خط (T/B  TOT) SAR]]-TABL1234[[#This Row],[(T/B TOT) AJD]]</f>
        <v>0</v>
      </c>
      <c r="S258" s="9">
        <f>TABL1234[[#This Row],[الفرق بين بداية ونهاية خط  T/B]]+TABL1234[[#This Row],[الفرق بين بداية ونهاية خط  S/S]]</f>
        <v>0</v>
      </c>
      <c r="T258" s="9">
        <f>TABL1234[[#This Row],[(S/S TOT) AJD]]+TABL1234[[#This Row],[(T/B TOT) AJD]]</f>
        <v>0</v>
      </c>
      <c r="U258" s="44"/>
      <c r="V258" s="44"/>
      <c r="W258" s="9">
        <f>TABL1234[[#This Row],[(A/B TOT) AJD]]+TABL1234[[#This Row],[(A/S TOT)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Row],[البخر  AJD]])</f>
        <v>0</v>
      </c>
      <c r="AE258" s="44"/>
      <c r="AF258" s="45"/>
      <c r="AG258" s="45"/>
      <c r="AH258" s="6"/>
      <c r="AI258" s="45"/>
      <c r="AJ258" s="45">
        <f>TABL1234[[#This Row],[(A/B TOT) AJD]]-TABL1234[[#This Row],[BER_ IN]]</f>
        <v>0</v>
      </c>
      <c r="AK258" s="45"/>
      <c r="AL258" s="45"/>
      <c r="AM258" s="32"/>
      <c r="AN258" s="32">
        <f>TABL1234[[#This Row],[ (RESV. STORGE) SER]]/10</f>
        <v>0</v>
      </c>
      <c r="AO258" s="75"/>
      <c r="AP258" s="75">
        <f>TABL1234[[#This Row],[(A/S TOT) AJD]]-TABL1234[[#This Row],[SER_ 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Row],[خط (T/B  TOT) SAR]]+TABL1234[[#This Row],[خط (S/S  TOT) SAR2]]</f>
        <v>0</v>
      </c>
      <c r="L259" s="41"/>
      <c r="M259" s="42"/>
      <c r="N259" s="42"/>
      <c r="O259" s="39"/>
      <c r="P259" s="9">
        <f>TABL1234[[#This Row],[خط (S/S  TOT) SAR2]]-TABL1234[[#This Row],[(S/S TOT) AJD]]</f>
        <v>0</v>
      </c>
      <c r="Q259" s="39"/>
      <c r="R259" s="9">
        <f>TABL1234[[#This Row],[خط (T/B  TOT) SAR]]-TABL1234[[#This Row],[(T/B TOT) AJD]]</f>
        <v>0</v>
      </c>
      <c r="S259" s="9">
        <f>TABL1234[[#This Row],[الفرق بين بداية ونهاية خط  T/B]]+TABL1234[[#This Row],[الفرق بين بداية ونهاية خط  S/S]]</f>
        <v>0</v>
      </c>
      <c r="T259" s="9">
        <f>TABL1234[[#This Row],[(S/S TOT) AJD]]+TABL1234[[#This Row],[(T/B TOT) AJD]]</f>
        <v>0</v>
      </c>
      <c r="U259" s="41"/>
      <c r="V259" s="41"/>
      <c r="W259" s="9">
        <f>TABL1234[[#This Row],[(A/B TOT) AJD]]+TABL1234[[#This Row],[(A/S TOT)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Row],[البخر  AJD]])</f>
        <v>0</v>
      </c>
      <c r="AE259" s="41"/>
      <c r="AF259" s="43"/>
      <c r="AG259" s="43"/>
      <c r="AH259" s="6"/>
      <c r="AI259" s="43"/>
      <c r="AJ259" s="43">
        <f>TABL1234[[#This Row],[(A/B TOT) AJD]]-TABL1234[[#This Row],[BER_ IN]]</f>
        <v>0</v>
      </c>
      <c r="AK259" s="43"/>
      <c r="AL259" s="43"/>
      <c r="AM259" s="32"/>
      <c r="AN259" s="32">
        <f>TABL1234[[#This Row],[ (RESV. STORGE) SER]]/10</f>
        <v>0</v>
      </c>
      <c r="AO259" s="75"/>
      <c r="AP259" s="75">
        <f>TABL1234[[#This Row],[(A/S TOT) AJD]]-TABL1234[[#This Row],[SER_ 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Row],[خط (T/B  TOT) SAR]]+TABL1234[[#This Row],[خط (S/S  TOT) SAR2]]</f>
        <v>0</v>
      </c>
      <c r="L260" s="45"/>
      <c r="M260" s="46"/>
      <c r="N260" s="46"/>
      <c r="O260" s="40"/>
      <c r="P260" s="9">
        <f>TABL1234[[#This Row],[خط (S/S  TOT) SAR2]]-TABL1234[[#This Row],[(S/S TOT) AJD]]</f>
        <v>0</v>
      </c>
      <c r="Q260" s="40"/>
      <c r="R260" s="9">
        <f>TABL1234[[#This Row],[خط (T/B  TOT) SAR]]-TABL1234[[#This Row],[(T/B TOT) AJD]]</f>
        <v>0</v>
      </c>
      <c r="S260" s="9">
        <f>TABL1234[[#This Row],[الفرق بين بداية ونهاية خط  T/B]]+TABL1234[[#This Row],[الفرق بين بداية ونهاية خط  S/S]]</f>
        <v>0</v>
      </c>
      <c r="T260" s="9">
        <f>TABL1234[[#This Row],[(S/S TOT) AJD]]+TABL1234[[#This Row],[(T/B TOT) AJD]]</f>
        <v>0</v>
      </c>
      <c r="U260" s="44"/>
      <c r="V260" s="44"/>
      <c r="W260" s="9">
        <f>TABL1234[[#This Row],[(A/B TOT) AJD]]+TABL1234[[#This Row],[(A/S TOT)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(Z260-Z259)/1000</f>
        <v>0</v>
      </c>
      <c r="AC260" s="5"/>
      <c r="AD260" s="40">
        <f>TABL1234[[#This Row],[( S/S+T/B) AJD]]-(TABL1234[[#This Row],[(A/B + A/S) AJD]]+(TABL1234[[#This Row],[(STORGE DIFF.) AJD]]*1000)+TABL1234[[#This Row],[البخر  AJD]])</f>
        <v>0</v>
      </c>
      <c r="AE260" s="44"/>
      <c r="AF260" s="45"/>
      <c r="AG260" s="45"/>
      <c r="AH260" s="6"/>
      <c r="AI260" s="45"/>
      <c r="AJ260" s="45">
        <f>TABL1234[[#This Row],[(A/B TOT) AJD]]-TABL1234[[#This Row],[BER_ IN]]</f>
        <v>0</v>
      </c>
      <c r="AK260" s="45"/>
      <c r="AL260" s="45"/>
      <c r="AM260" s="32"/>
      <c r="AN260" s="32">
        <f>TABL1234[[#This Row],[ (RESV. STORGE) SER]]/10</f>
        <v>0</v>
      </c>
      <c r="AO260" s="75"/>
      <c r="AP260" s="75">
        <f>TABL1234[[#This Row],[(A/S TOT) AJD]]-TABL1234[[#This Row],[SER_ 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Row],[خط (T/B  TOT) SAR]]+TABL1234[[#This Row],[خط (S/S  TOT) SAR2]]</f>
        <v>0</v>
      </c>
      <c r="L261" s="41"/>
      <c r="M261" s="42"/>
      <c r="N261" s="42"/>
      <c r="O261" s="39"/>
      <c r="P261" s="9">
        <f>TABL1234[[#This Row],[خط (S/S  TOT) SAR2]]-TABL1234[[#This Row],[(S/S TOT) AJD]]</f>
        <v>0</v>
      </c>
      <c r="Q261" s="39"/>
      <c r="R261" s="9">
        <f>TABL1234[[#This Row],[خط (T/B  TOT) SAR]]-TABL1234[[#This Row],[(T/B TOT) AJD]]</f>
        <v>0</v>
      </c>
      <c r="S261" s="9">
        <f>TABL1234[[#This Row],[الفرق بين بداية ونهاية خط  T/B]]+TABL1234[[#This Row],[الفرق بين بداية ونهاية خط  S/S]]</f>
        <v>0</v>
      </c>
      <c r="T261" s="9">
        <f>TABL1234[[#This Row],[(S/S TOT) AJD]]+TABL1234[[#This Row],[(T/B TOT) AJD]]</f>
        <v>0</v>
      </c>
      <c r="U261" s="41"/>
      <c r="V261" s="41"/>
      <c r="W261" s="9">
        <f>TABL1234[[#This Row],[(A/B TOT) AJD]]+TABL1234[[#This Row],[(A/S TOT)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Row],[البخر  AJD]])</f>
        <v>0</v>
      </c>
      <c r="AE261" s="41"/>
      <c r="AF261" s="43"/>
      <c r="AG261" s="43"/>
      <c r="AH261" s="6"/>
      <c r="AI261" s="43"/>
      <c r="AJ261" s="43">
        <f>TABL1234[[#This Row],[(A/B TOT) AJD]]-TABL1234[[#This Row],[BER_ IN]]</f>
        <v>0</v>
      </c>
      <c r="AK261" s="43"/>
      <c r="AL261" s="43"/>
      <c r="AM261" s="32"/>
      <c r="AN261" s="32">
        <f>TABL1234[[#This Row],[ (RESV. STORGE) SER]]/10</f>
        <v>0</v>
      </c>
      <c r="AO261" s="75"/>
      <c r="AP261" s="75">
        <f>TABL1234[[#This Row],[(A/S TOT) AJD]]-TABL1234[[#This Row],[SER_ 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Row],[خط (T/B  TOT) SAR]]+TABL1234[[#This Row],[خط (S/S  TOT) SAR2]]</f>
        <v>0</v>
      </c>
      <c r="L262" s="45"/>
      <c r="M262" s="46"/>
      <c r="N262" s="46"/>
      <c r="O262" s="40"/>
      <c r="P262" s="9">
        <f>TABL1234[[#This Row],[خط (S/S  TOT) SAR2]]-TABL1234[[#This Row],[(S/S TOT) AJD]]</f>
        <v>0</v>
      </c>
      <c r="Q262" s="40"/>
      <c r="R262" s="9">
        <f>TABL1234[[#This Row],[خط (T/B  TOT) SAR]]-TABL1234[[#This Row],[(T/B TOT) AJD]]</f>
        <v>0</v>
      </c>
      <c r="S262" s="9">
        <f>TABL1234[[#This Row],[الفرق بين بداية ونهاية خط  T/B]]+TABL1234[[#This Row],[الفرق بين بداية ونهاية خط  S/S]]</f>
        <v>0</v>
      </c>
      <c r="T262" s="9">
        <f>TABL1234[[#This Row],[(S/S TOT) AJD]]+TABL1234[[#This Row],[(T/B TOT) AJD]]</f>
        <v>0</v>
      </c>
      <c r="U262" s="44"/>
      <c r="V262" s="44"/>
      <c r="W262" s="9">
        <f>TABL1234[[#This Row],[(A/B TOT) AJD]]+TABL1234[[#This Row],[(A/S TOT)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Row],[البخر  AJD]])</f>
        <v>0</v>
      </c>
      <c r="AE262" s="44"/>
      <c r="AF262" s="45"/>
      <c r="AG262" s="45"/>
      <c r="AH262" s="6"/>
      <c r="AI262" s="45"/>
      <c r="AJ262" s="45">
        <f>TABL1234[[#This Row],[(A/B TOT) AJD]]-TABL1234[[#This Row],[BER_ IN]]</f>
        <v>0</v>
      </c>
      <c r="AK262" s="45"/>
      <c r="AL262" s="45"/>
      <c r="AM262" s="32"/>
      <c r="AN262" s="32">
        <f>TABL1234[[#This Row],[ (RESV. STORGE) SER]]/10</f>
        <v>0</v>
      </c>
      <c r="AO262" s="75"/>
      <c r="AP262" s="75">
        <f>TABL1234[[#This Row],[(A/S TOT) AJD]]-TABL1234[[#This Row],[SER_ 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Row],[خط (T/B  TOT) SAR]]+TABL1234[[#This Row],[خط (S/S  TOT) SAR2]]</f>
        <v>0</v>
      </c>
      <c r="L263" s="41"/>
      <c r="M263" s="42"/>
      <c r="N263" s="42"/>
      <c r="O263" s="39"/>
      <c r="P263" s="9">
        <f>TABL1234[[#This Row],[خط (S/S  TOT) SAR2]]-TABL1234[[#This Row],[(S/S TOT) AJD]]</f>
        <v>0</v>
      </c>
      <c r="Q263" s="39"/>
      <c r="R263" s="9">
        <f>TABL1234[[#This Row],[خط (T/B  TOT) SAR]]-TABL1234[[#This Row],[(T/B TOT) AJD]]</f>
        <v>0</v>
      </c>
      <c r="S263" s="9">
        <f>TABL1234[[#This Row],[الفرق بين بداية ونهاية خط  T/B]]+TABL1234[[#This Row],[الفرق بين بداية ونهاية خط  S/S]]</f>
        <v>0</v>
      </c>
      <c r="T263" s="9">
        <f>TABL1234[[#This Row],[(S/S TOT) AJD]]+TABL1234[[#This Row],[(T/B TOT) AJD]]</f>
        <v>0</v>
      </c>
      <c r="U263" s="41"/>
      <c r="V263" s="41"/>
      <c r="W263" s="9">
        <f>TABL1234[[#This Row],[(A/B TOT) AJD]]+TABL1234[[#This Row],[(A/S TOT)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Row],[البخر  AJD]])</f>
        <v>0</v>
      </c>
      <c r="AE263" s="41"/>
      <c r="AF263" s="43"/>
      <c r="AG263" s="43"/>
      <c r="AH263" s="6"/>
      <c r="AI263" s="43"/>
      <c r="AJ263" s="43">
        <f>TABL1234[[#This Row],[(A/B TOT) AJD]]-TABL1234[[#This Row],[BER_ IN]]</f>
        <v>0</v>
      </c>
      <c r="AK263" s="43"/>
      <c r="AL263" s="43"/>
      <c r="AM263" s="32"/>
      <c r="AN263" s="32">
        <f>TABL1234[[#This Row],[ (RESV. STORGE) SER]]/10</f>
        <v>0</v>
      </c>
      <c r="AO263" s="75"/>
      <c r="AP263" s="75">
        <f>TABL1234[[#This Row],[(A/S TOT) AJD]]-TABL1234[[#This Row],[SER_ 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Row],[خط (T/B  TOT) SAR]]+TABL1234[[#This Row],[خط (S/S  TOT) SAR2]]</f>
        <v>0</v>
      </c>
      <c r="L264" s="45"/>
      <c r="M264" s="46"/>
      <c r="N264" s="46"/>
      <c r="O264" s="40"/>
      <c r="P264" s="9">
        <f>TABL1234[[#This Row],[خط (S/S  TOT) SAR2]]-TABL1234[[#This Row],[(S/S TOT) AJD]]</f>
        <v>0</v>
      </c>
      <c r="Q264" s="40"/>
      <c r="R264" s="9">
        <f>TABL1234[[#This Row],[خط (T/B  TOT) SAR]]-TABL1234[[#This Row],[(T/B TOT) AJD]]</f>
        <v>0</v>
      </c>
      <c r="S264" s="9">
        <f>TABL1234[[#This Row],[الفرق بين بداية ونهاية خط  T/B]]+TABL1234[[#This Row],[الفرق بين بداية ونهاية خط  S/S]]</f>
        <v>0</v>
      </c>
      <c r="T264" s="9">
        <f>TABL1234[[#This Row],[(S/S TOT) AJD]]+TABL1234[[#This Row],[(T/B TOT) AJD]]</f>
        <v>0</v>
      </c>
      <c r="U264" s="44"/>
      <c r="V264" s="44"/>
      <c r="W264" s="9">
        <f>TABL1234[[#This Row],[(A/B TOT) AJD]]+TABL1234[[#This Row],[(A/S TOT)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Row],[البخر  AJD]])</f>
        <v>0</v>
      </c>
      <c r="AE264" s="44"/>
      <c r="AF264" s="45"/>
      <c r="AG264" s="45"/>
      <c r="AH264" s="6"/>
      <c r="AI264" s="45"/>
      <c r="AJ264" s="45">
        <f>TABL1234[[#This Row],[(A/B TOT) AJD]]-TABL1234[[#This Row],[BER_ IN]]</f>
        <v>0</v>
      </c>
      <c r="AK264" s="45"/>
      <c r="AL264" s="45"/>
      <c r="AM264" s="32"/>
      <c r="AN264" s="32">
        <f>TABL1234[[#This Row],[ (RESV. STORGE) SER]]/10</f>
        <v>0</v>
      </c>
      <c r="AO264" s="75"/>
      <c r="AP264" s="75">
        <f>TABL1234[[#This Row],[(A/S TOT) AJD]]-TABL1234[[#This Row],[SER_ 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Row],[خط (T/B  TOT) SAR]]+TABL1234[[#This Row],[خط (S/S  TOT) SAR2]]</f>
        <v>0</v>
      </c>
      <c r="L265" s="41"/>
      <c r="M265" s="42"/>
      <c r="N265" s="42"/>
      <c r="O265" s="39"/>
      <c r="P265" s="9">
        <f>TABL1234[[#This Row],[خط (S/S  TOT) SAR2]]-TABL1234[[#This Row],[(S/S TOT) AJD]]</f>
        <v>0</v>
      </c>
      <c r="Q265" s="39"/>
      <c r="R265" s="9">
        <f>TABL1234[[#This Row],[خط (T/B  TOT) SAR]]-TABL1234[[#This Row],[(T/B TOT) AJD]]</f>
        <v>0</v>
      </c>
      <c r="S265" s="9">
        <f>TABL1234[[#This Row],[الفرق بين بداية ونهاية خط  T/B]]+TABL1234[[#This Row],[الفرق بين بداية ونهاية خط  S/S]]</f>
        <v>0</v>
      </c>
      <c r="T265" s="9">
        <f>TABL1234[[#This Row],[(S/S TOT) AJD]]+TABL1234[[#This Row],[(T/B TOT) AJD]]</f>
        <v>0</v>
      </c>
      <c r="U265" s="41"/>
      <c r="V265" s="41"/>
      <c r="W265" s="9">
        <f>TABL1234[[#This Row],[(A/B TOT) AJD]]+TABL1234[[#This Row],[(A/S TOT)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Row],[البخر  AJD]])</f>
        <v>0</v>
      </c>
      <c r="AE265" s="41"/>
      <c r="AF265" s="43"/>
      <c r="AG265" s="43"/>
      <c r="AH265" s="6"/>
      <c r="AI265" s="43"/>
      <c r="AJ265" s="43">
        <f>TABL1234[[#This Row],[(A/B TOT) AJD]]-TABL1234[[#This Row],[BER_ IN]]</f>
        <v>0</v>
      </c>
      <c r="AK265" s="43"/>
      <c r="AL265" s="43"/>
      <c r="AM265" s="32"/>
      <c r="AN265" s="32">
        <f>TABL1234[[#This Row],[ (RESV. STORGE) SER]]/10</f>
        <v>0</v>
      </c>
      <c r="AO265" s="75"/>
      <c r="AP265" s="75">
        <f>TABL1234[[#This Row],[(A/S TOT) AJD]]-TABL1234[[#This Row],[SER_ 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Row],[خط (T/B  TOT) SAR]]+TABL1234[[#This Row],[خط (S/S  TOT) SAR2]]</f>
        <v>0</v>
      </c>
      <c r="L266" s="45"/>
      <c r="M266" s="46"/>
      <c r="N266" s="46"/>
      <c r="O266" s="40"/>
      <c r="P266" s="9">
        <f>TABL1234[[#This Row],[خط (S/S  TOT) SAR2]]-TABL1234[[#This Row],[(S/S TOT) AJD]]</f>
        <v>0</v>
      </c>
      <c r="Q266" s="40"/>
      <c r="R266" s="9">
        <f>TABL1234[[#This Row],[خط (T/B  TOT) SAR]]-TABL1234[[#This Row],[(T/B TOT) AJD]]</f>
        <v>0</v>
      </c>
      <c r="S266" s="9">
        <f>TABL1234[[#This Row],[الفرق بين بداية ونهاية خط  T/B]]+TABL1234[[#This Row],[الفرق بين بداية ونهاية خط  S/S]]</f>
        <v>0</v>
      </c>
      <c r="T266" s="9">
        <f>TABL1234[[#This Row],[(S/S TOT) AJD]]+TABL1234[[#This Row],[(T/B TOT) AJD]]</f>
        <v>0</v>
      </c>
      <c r="U266" s="44"/>
      <c r="V266" s="44"/>
      <c r="W266" s="9">
        <f>TABL1234[[#This Row],[(A/B TOT) AJD]]+TABL1234[[#This Row],[(A/S TOT)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Row],[البخر  AJD]])</f>
        <v>0</v>
      </c>
      <c r="AE266" s="44"/>
      <c r="AF266" s="45"/>
      <c r="AG266" s="45"/>
      <c r="AH266" s="6"/>
      <c r="AI266" s="45"/>
      <c r="AJ266" s="45">
        <f>TABL1234[[#This Row],[(A/B TOT) AJD]]-TABL1234[[#This Row],[BER_ IN]]</f>
        <v>0</v>
      </c>
      <c r="AK266" s="45"/>
      <c r="AL266" s="45"/>
      <c r="AM266" s="32"/>
      <c r="AN266" s="32">
        <f>TABL1234[[#This Row],[ (RESV. STORGE) SER]]/10</f>
        <v>0</v>
      </c>
      <c r="AO266" s="75"/>
      <c r="AP266" s="75">
        <f>TABL1234[[#This Row],[(A/S TOT) AJD]]-TABL1234[[#This Row],[SER_ 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Row],[خط (T/B  TOT) SAR]]+TABL1234[[#This Row],[خط (S/S  TOT) SAR2]]</f>
        <v>0</v>
      </c>
      <c r="L267" s="41"/>
      <c r="M267" s="42"/>
      <c r="N267" s="42"/>
      <c r="O267" s="39"/>
      <c r="P267" s="9">
        <f>TABL1234[[#This Row],[خط (S/S  TOT) SAR2]]-TABL1234[[#This Row],[(S/S TOT) AJD]]</f>
        <v>0</v>
      </c>
      <c r="Q267" s="39"/>
      <c r="R267" s="9">
        <f>TABL1234[[#This Row],[خط (T/B  TOT) SAR]]-TABL1234[[#This Row],[(T/B TOT) AJD]]</f>
        <v>0</v>
      </c>
      <c r="S267" s="9">
        <f>TABL1234[[#This Row],[الفرق بين بداية ونهاية خط  T/B]]+TABL1234[[#This Row],[الفرق بين بداية ونهاية خط  S/S]]</f>
        <v>0</v>
      </c>
      <c r="T267" s="9">
        <f>TABL1234[[#This Row],[(S/S TOT) AJD]]+TABL1234[[#This Row],[(T/B TOT) AJD]]</f>
        <v>0</v>
      </c>
      <c r="U267" s="41"/>
      <c r="V267" s="41"/>
      <c r="W267" s="9">
        <f>TABL1234[[#This Row],[(A/B TOT) AJD]]+TABL1234[[#This Row],[(A/S TOT)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Row],[البخر  AJD]])</f>
        <v>0</v>
      </c>
      <c r="AE267" s="41"/>
      <c r="AF267" s="43"/>
      <c r="AG267" s="43"/>
      <c r="AH267" s="6"/>
      <c r="AI267" s="43"/>
      <c r="AJ267" s="43">
        <f>TABL1234[[#This Row],[(A/B TOT) AJD]]-TABL1234[[#This Row],[BER_ IN]]</f>
        <v>0</v>
      </c>
      <c r="AK267" s="43"/>
      <c r="AL267" s="43"/>
      <c r="AM267" s="32"/>
      <c r="AN267" s="32">
        <f>TABL1234[[#This Row],[ (RESV. STORGE) SER]]/10</f>
        <v>0</v>
      </c>
      <c r="AO267" s="75"/>
      <c r="AP267" s="75">
        <f>TABL1234[[#This Row],[(A/S TOT) AJD]]-TABL1234[[#This Row],[SER_ 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Row],[خط (T/B  TOT) SAR]]+TABL1234[[#This Row],[خط (S/S  TOT) SAR2]]</f>
        <v>0</v>
      </c>
      <c r="L268" s="45"/>
      <c r="M268" s="46"/>
      <c r="N268" s="46"/>
      <c r="O268" s="40"/>
      <c r="P268" s="9">
        <f>TABL1234[[#This Row],[خط (S/S  TOT) SAR2]]-TABL1234[[#This Row],[(S/S TOT) AJD]]</f>
        <v>0</v>
      </c>
      <c r="Q268" s="40"/>
      <c r="R268" s="9">
        <f>TABL1234[[#This Row],[خط (T/B  TOT) SAR]]-TABL1234[[#This Row],[(T/B TOT) AJD]]</f>
        <v>0</v>
      </c>
      <c r="S268" s="9">
        <f>TABL1234[[#This Row],[الفرق بين بداية ونهاية خط  T/B]]+TABL1234[[#This Row],[الفرق بين بداية ونهاية خط  S/S]]</f>
        <v>0</v>
      </c>
      <c r="T268" s="9">
        <f>TABL1234[[#This Row],[(S/S TOT) AJD]]+TABL1234[[#This Row],[(T/B TOT) AJD]]</f>
        <v>0</v>
      </c>
      <c r="U268" s="44"/>
      <c r="V268" s="44"/>
      <c r="W268" s="9">
        <f>TABL1234[[#This Row],[(A/B TOT) AJD]]+TABL1234[[#This Row],[(A/S TOT)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Row],[البخر  AJD]])</f>
        <v>0</v>
      </c>
      <c r="AE268" s="44"/>
      <c r="AF268" s="45"/>
      <c r="AG268" s="45"/>
      <c r="AH268" s="6"/>
      <c r="AI268" s="45"/>
      <c r="AJ268" s="45">
        <f>TABL1234[[#This Row],[(A/B TOT) AJD]]-TABL1234[[#This Row],[BER_ IN]]</f>
        <v>0</v>
      </c>
      <c r="AK268" s="45"/>
      <c r="AL268" s="45"/>
      <c r="AM268" s="32"/>
      <c r="AN268" s="32">
        <f>TABL1234[[#This Row],[ (RESV. STORGE) SER]]/10</f>
        <v>0</v>
      </c>
      <c r="AO268" s="75"/>
      <c r="AP268" s="75">
        <f>TABL1234[[#This Row],[(A/S TOT) AJD]]-TABL1234[[#This Row],[SER_ 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Row],[خط (T/B  TOT) SAR]]+TABL1234[[#This Row],[خط (S/S  TOT) SAR2]]</f>
        <v>0</v>
      </c>
      <c r="L269" s="41"/>
      <c r="M269" s="42"/>
      <c r="N269" s="42"/>
      <c r="O269" s="39"/>
      <c r="P269" s="9">
        <f>TABL1234[[#This Row],[خط (S/S  TOT) SAR2]]-TABL1234[[#This Row],[(S/S TOT) AJD]]</f>
        <v>0</v>
      </c>
      <c r="Q269" s="39"/>
      <c r="R269" s="9">
        <f>TABL1234[[#This Row],[خط (T/B  TOT) SAR]]-TABL1234[[#This Row],[(T/B TOT) AJD]]</f>
        <v>0</v>
      </c>
      <c r="S269" s="9">
        <f>TABL1234[[#This Row],[الفرق بين بداية ونهاية خط  T/B]]+TABL1234[[#This Row],[الفرق بين بداية ونهاية خط  S/S]]</f>
        <v>0</v>
      </c>
      <c r="T269" s="9">
        <f>TABL1234[[#This Row],[(S/S TOT) AJD]]+TABL1234[[#This Row],[(T/B TOT) AJD]]</f>
        <v>0</v>
      </c>
      <c r="U269" s="41"/>
      <c r="V269" s="41"/>
      <c r="W269" s="9">
        <f>TABL1234[[#This Row],[(A/B TOT) AJD]]+TABL1234[[#This Row],[(A/S TOT)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Row],[البخر  AJD]])</f>
        <v>0</v>
      </c>
      <c r="AE269" s="41"/>
      <c r="AF269" s="43"/>
      <c r="AG269" s="43"/>
      <c r="AH269" s="6"/>
      <c r="AI269" s="43"/>
      <c r="AJ269" s="43">
        <f>TABL1234[[#This Row],[(A/B TOT) AJD]]-TABL1234[[#This Row],[BER_ IN]]</f>
        <v>0</v>
      </c>
      <c r="AK269" s="43"/>
      <c r="AL269" s="43"/>
      <c r="AM269" s="32"/>
      <c r="AN269" s="32">
        <f>TABL1234[[#This Row],[ (RESV. STORGE) SER]]/10</f>
        <v>0</v>
      </c>
      <c r="AO269" s="75"/>
      <c r="AP269" s="75">
        <f>TABL1234[[#This Row],[(A/S TOT) AJD]]-TABL1234[[#This Row],[SER_ 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Row],[خط (T/B  TOT) SAR]]+TABL1234[[#This Row],[خط (S/S  TOT) SAR2]]</f>
        <v>0</v>
      </c>
      <c r="L270" s="45"/>
      <c r="M270" s="46"/>
      <c r="N270" s="46"/>
      <c r="O270" s="40"/>
      <c r="P270" s="9">
        <f>TABL1234[[#This Row],[خط (S/S  TOT) SAR2]]-TABL1234[[#This Row],[(S/S TOT) AJD]]</f>
        <v>0</v>
      </c>
      <c r="Q270" s="40"/>
      <c r="R270" s="9">
        <f>TABL1234[[#This Row],[خط (T/B  TOT) SAR]]-TABL1234[[#This Row],[(T/B TOT) AJD]]</f>
        <v>0</v>
      </c>
      <c r="S270" s="9">
        <f>TABL1234[[#This Row],[الفرق بين بداية ونهاية خط  T/B]]+TABL1234[[#This Row],[الفرق بين بداية ونهاية خط  S/S]]</f>
        <v>0</v>
      </c>
      <c r="T270" s="9">
        <f>TABL1234[[#This Row],[(S/S TOT) AJD]]+TABL1234[[#This Row],[(T/B TOT) AJD]]</f>
        <v>0</v>
      </c>
      <c r="U270" s="44"/>
      <c r="V270" s="44"/>
      <c r="W270" s="9">
        <f>TABL1234[[#This Row],[(A/B TOT) AJD]]+TABL1234[[#This Row],[(A/S TOT)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Row],[البخر  AJD]])</f>
        <v>0</v>
      </c>
      <c r="AE270" s="44"/>
      <c r="AF270" s="45"/>
      <c r="AG270" s="45"/>
      <c r="AH270" s="6"/>
      <c r="AI270" s="45"/>
      <c r="AJ270" s="45">
        <f>TABL1234[[#This Row],[(A/B TOT) AJD]]-TABL1234[[#This Row],[BER_ IN]]</f>
        <v>0</v>
      </c>
      <c r="AK270" s="45"/>
      <c r="AL270" s="45"/>
      <c r="AM270" s="32"/>
      <c r="AN270" s="32">
        <f>TABL1234[[#This Row],[ (RESV. STORGE) SER]]/10</f>
        <v>0</v>
      </c>
      <c r="AO270" s="75"/>
      <c r="AP270" s="75">
        <f>TABL1234[[#This Row],[(A/S TOT) AJD]]-TABL1234[[#This Row],[SER_ 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Row],[خط (T/B  TOT) SAR]]+TABL1234[[#This Row],[خط (S/S  TOT) SAR2]]</f>
        <v>0</v>
      </c>
      <c r="L271" s="41"/>
      <c r="M271" s="42"/>
      <c r="N271" s="42"/>
      <c r="O271" s="39"/>
      <c r="P271" s="9">
        <f>TABL1234[[#This Row],[خط (S/S  TOT) SAR2]]-TABL1234[[#This Row],[(S/S TOT) AJD]]</f>
        <v>0</v>
      </c>
      <c r="Q271" s="9"/>
      <c r="R271" s="9">
        <f>TABL1234[[#This Row],[خط (T/B  TOT) SAR]]-TABL1234[[#This Row],[(T/B TOT) AJD]]</f>
        <v>0</v>
      </c>
      <c r="S271" s="9">
        <f>TABL1234[[#This Row],[الفرق بين بداية ونهاية خط  T/B]]+TABL1234[[#This Row],[الفرق بين بداية ونهاية خط  S/S]]</f>
        <v>0</v>
      </c>
      <c r="T271" s="9">
        <f>TABL1234[[#This Row],[(S/S TOT) AJD]]+TABL1234[[#This Row],[(T/B TOT) AJD]]</f>
        <v>0</v>
      </c>
      <c r="U271" s="41"/>
      <c r="V271" s="41"/>
      <c r="W271" s="9">
        <f>TABL1234[[#This Row],[(A/B TOT) AJD]]+TABL1234[[#This Row],[(A/S TOT)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Row],[البخر  AJD]])</f>
        <v>0</v>
      </c>
      <c r="AE271" s="41"/>
      <c r="AF271" s="43"/>
      <c r="AG271" s="43"/>
      <c r="AH271" s="6"/>
      <c r="AI271" s="43"/>
      <c r="AJ271" s="43">
        <f>TABL1234[[#This Row],[(A/B TOT) AJD]]-TABL1234[[#This Row],[BER_ IN]]</f>
        <v>0</v>
      </c>
      <c r="AK271" s="43"/>
      <c r="AL271" s="43"/>
      <c r="AM271" s="32"/>
      <c r="AN271" s="32">
        <f>TABL1234[[#This Row],[ (RESV. STORGE) SER]]/10</f>
        <v>0</v>
      </c>
      <c r="AO271" s="75"/>
      <c r="AP271" s="75">
        <f>TABL1234[[#This Row],[(A/S TOT) AJD]]-TABL1234[[#This Row],[SER_ 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Row],[خط (T/B  TOT) SAR]]+TABL1234[[#This Row],[خط (S/S  TOT) SAR2]]</f>
        <v>0</v>
      </c>
      <c r="L272" s="45"/>
      <c r="M272" s="46"/>
      <c r="N272" s="46"/>
      <c r="O272" s="9"/>
      <c r="P272" s="9">
        <f>TABL1234[[#This Row],[خط (S/S  TOT) SAR2]]-TABL1234[[#This Row],[(S/S TOT) AJD]]</f>
        <v>0</v>
      </c>
      <c r="Q272" s="9"/>
      <c r="R272" s="9">
        <f>TABL1234[[#This Row],[خط (T/B  TOT) SAR]]-TABL1234[[#This Row],[(T/B TOT) AJD]]</f>
        <v>0</v>
      </c>
      <c r="S272" s="9">
        <f>TABL1234[[#This Row],[الفرق بين بداية ونهاية خط  T/B]]+TABL1234[[#This Row],[الفرق بين بداية ونهاية خط  S/S]]</f>
        <v>0</v>
      </c>
      <c r="T272" s="9">
        <f>TABL1234[[#This Row],[(S/S TOT) AJD]]+TABL1234[[#This Row],[(T/B TOT) AJD]]</f>
        <v>0</v>
      </c>
      <c r="U272" s="9"/>
      <c r="V272" s="9"/>
      <c r="W272" s="9">
        <f>TABL1234[[#This Row],[(A/B TOT) AJD]]+TABL1234[[#This Row],[(A/S TOT)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Row],[البخر  AJD]])</f>
        <v>0</v>
      </c>
      <c r="AE272" s="44"/>
      <c r="AF272" s="45"/>
      <c r="AG272" s="45"/>
      <c r="AH272" s="6"/>
      <c r="AI272" s="6"/>
      <c r="AJ272" s="33">
        <f>TABL1234[[#This Row],[(A/B TOT) AJD]]-TABL1234[[#This Row],[BER_ IN]]</f>
        <v>0</v>
      </c>
      <c r="AK272" s="6"/>
      <c r="AL272" s="6"/>
      <c r="AM272" s="32"/>
      <c r="AN272" s="32">
        <f>TABL1234[[#This Row],[ (RESV. STORGE) SER]]/10</f>
        <v>0</v>
      </c>
      <c r="AO272" s="75"/>
      <c r="AP272" s="75">
        <f>TABL1234[[#This Row],[(A/S TOT) AJD]]-TABL1234[[#This Row],[SER_ 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Row],[خط (T/B  TOT) SAR]]+TABL1234[[#This Row],[خط (S/S  TOT) SAR2]]</f>
        <v>0</v>
      </c>
      <c r="L273" s="28"/>
      <c r="M273" s="29"/>
      <c r="N273" s="30"/>
      <c r="O273" s="9"/>
      <c r="P273" s="9">
        <f>TABL1234[[#This Row],[خط (S/S  TOT) SAR2]]-TABL1234[[#This Row],[(S/S TOT) AJD]]</f>
        <v>0</v>
      </c>
      <c r="Q273" s="9"/>
      <c r="R273" s="9">
        <f>TABL1234[[#This Row],[خط (T/B  TOT) SAR]]-TABL1234[[#This Row],[(T/B TOT) AJD]]</f>
        <v>0</v>
      </c>
      <c r="S273" s="9">
        <f>TABL1234[[#This Row],[الفرق بين بداية ونهاية خط  T/B]]+TABL1234[[#This Row],[الفرق بين بداية ونهاية خط  S/S]]</f>
        <v>0</v>
      </c>
      <c r="T273" s="9">
        <f>TABL1234[[#This Row],[(S/S TOT) AJD]]+TABL1234[[#This Row],[(T/B TOT) AJD]]</f>
        <v>0</v>
      </c>
      <c r="U273" s="9"/>
      <c r="V273" s="9"/>
      <c r="W273" s="9">
        <f>TABL1234[[#This Row],[(A/B TOT) AJD]]+TABL1234[[#This Row],[(A/S TOT)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Row],[البخر  AJD]])</f>
        <v>0</v>
      </c>
      <c r="AE273" s="41"/>
      <c r="AF273" s="43"/>
      <c r="AG273" s="43"/>
      <c r="AH273" s="6"/>
      <c r="AI273" s="6"/>
      <c r="AJ273" s="33">
        <f>TABL1234[[#This Row],[(A/B TOT) AJD]]-TABL1234[[#This Row],[BER_ IN]]</f>
        <v>0</v>
      </c>
      <c r="AK273" s="6"/>
      <c r="AL273" s="6"/>
      <c r="AM273" s="32"/>
      <c r="AN273" s="32">
        <f>TABL1234[[#This Row],[ (RESV. STORGE) SER]]/10</f>
        <v>0</v>
      </c>
      <c r="AO273" s="75"/>
      <c r="AP273" s="75">
        <f>TABL1234[[#This Row],[(A/S TOT) AJD]]-TABL1234[[#This Row],[SER_ 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Row],[خط (T/B  TOT) SAR]]+TABL1234[[#This Row],[خط (S/S  TOT) SAR2]]</f>
        <v>0</v>
      </c>
      <c r="L274" s="28"/>
      <c r="M274" s="29"/>
      <c r="N274" s="30"/>
      <c r="O274" s="9"/>
      <c r="P274" s="9">
        <f>TABL1234[[#This Row],[خط (S/S  TOT) SAR2]]-TABL1234[[#This Row],[(S/S TOT) AJD]]</f>
        <v>0</v>
      </c>
      <c r="Q274" s="9"/>
      <c r="R274" s="9">
        <f>TABL1234[[#This Row],[خط (T/B  TOT) SAR]]-TABL1234[[#This Row],[(T/B TOT) AJD]]</f>
        <v>0</v>
      </c>
      <c r="S274" s="9">
        <f>TABL1234[[#This Row],[الفرق بين بداية ونهاية خط  T/B]]+TABL1234[[#This Row],[الفرق بين بداية ونهاية خط  S/S]]</f>
        <v>0</v>
      </c>
      <c r="T274" s="9">
        <f>TABL1234[[#This Row],[(S/S TOT) AJD]]+TABL1234[[#This Row],[(T/B TOT) AJD]]</f>
        <v>0</v>
      </c>
      <c r="U274" s="9"/>
      <c r="V274" s="9"/>
      <c r="W274" s="9">
        <f>TABL1234[[#This Row],[(A/B TOT) AJD]]+TABL1234[[#This Row],[(A/S TOT)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Row],[البخر  AJD]])</f>
        <v>0</v>
      </c>
      <c r="AE274" s="33"/>
      <c r="AF274" s="6"/>
      <c r="AG274" s="6"/>
      <c r="AH274" s="6"/>
      <c r="AI274" s="6"/>
      <c r="AJ274" s="33">
        <f>TABL1234[[#This Row],[(A/B TOT) AJD]]-TABL1234[[#This Row],[BER_ IN]]</f>
        <v>0</v>
      </c>
      <c r="AK274" s="6"/>
      <c r="AL274" s="6"/>
      <c r="AM274" s="32"/>
      <c r="AN274" s="32">
        <f>TABL1234[[#This Row],[ (RESV. STORGE) SER]]/10</f>
        <v>0</v>
      </c>
      <c r="AO274" s="75"/>
      <c r="AP274" s="75">
        <f>TABL1234[[#This Row],[(A/S TOT) AJD]]-TABL1234[[#This Row],[SER_ 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Row],[خط (T/B  TOT) SAR]]+TABL1234[[#This Row],[خط (S/S  TOT) SAR2]]</f>
        <v>0</v>
      </c>
      <c r="L275" s="28"/>
      <c r="M275" s="29"/>
      <c r="N275" s="30"/>
      <c r="O275" s="14"/>
      <c r="P275" s="9">
        <f>TABL1234[[#This Row],[خط (S/S  TOT) SAR2]]-TABL1234[[#This Row],[(S/S TOT) AJD]]</f>
        <v>0</v>
      </c>
      <c r="Q275" s="14"/>
      <c r="R275" s="9">
        <f>TABL1234[[#This Row],[خط (T/B  TOT) SAR]]-TABL1234[[#This Row],[(T/B TOT) AJD]]</f>
        <v>0</v>
      </c>
      <c r="S275" s="9">
        <f>TABL1234[[#This Row],[الفرق بين بداية ونهاية خط  T/B]]+TABL1234[[#This Row],[الفرق بين بداية ونهاية خط  S/S]]</f>
        <v>0</v>
      </c>
      <c r="T275" s="9">
        <f>TABL1234[[#This Row],[(S/S TOT) AJD]]+TABL1234[[#This Row],[(T/B TOT) AJD]]</f>
        <v>0</v>
      </c>
      <c r="U275" s="14"/>
      <c r="V275" s="14"/>
      <c r="W275" s="9">
        <f>TABL1234[[#This Row],[(A/B TOT) AJD]]+TABL1234[[#This Row],[(A/S TOT)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Row],[البخر  AJD]])</f>
        <v>0</v>
      </c>
      <c r="AE275" s="33"/>
      <c r="AF275" s="6"/>
      <c r="AG275" s="6"/>
      <c r="AH275" s="6"/>
      <c r="AI275" s="6"/>
      <c r="AJ275" s="33">
        <f>TABL1234[[#This Row],[(A/B TOT) AJD]]-TABL1234[[#This Row],[BER_ IN]]</f>
        <v>0</v>
      </c>
      <c r="AK275" s="6"/>
      <c r="AL275" s="6"/>
      <c r="AM275" s="32"/>
      <c r="AN275" s="32">
        <f>TABL1234[[#This Row],[ (RESV. STORGE) SER]]/10</f>
        <v>0</v>
      </c>
      <c r="AO275" s="75"/>
      <c r="AP275" s="75">
        <f>TABL1234[[#This Row],[(A/S TOT) AJD]]-TABL1234[[#This Row],[SER_ 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Row],[خط (T/B  TOT) SAR]]+TABL1234[[#This Row],[خط (S/S  TOT) SAR2]]</f>
        <v>0</v>
      </c>
      <c r="L276" s="28"/>
      <c r="M276" s="29"/>
      <c r="N276" s="30"/>
      <c r="O276" s="14"/>
      <c r="P276" s="9">
        <f>TABL1234[[#This Row],[خط (S/S  TOT) SAR2]]-TABL1234[[#This Row],[(S/S TOT) AJD]]</f>
        <v>0</v>
      </c>
      <c r="Q276" s="14"/>
      <c r="R276" s="9">
        <f>TABL1234[[#This Row],[خط (T/B  TOT) SAR]]-TABL1234[[#This Row],[(T/B TOT) AJD]]</f>
        <v>0</v>
      </c>
      <c r="S276" s="9">
        <f>TABL1234[[#This Row],[الفرق بين بداية ونهاية خط  T/B]]+TABL1234[[#This Row],[الفرق بين بداية ونهاية خط  S/S]]</f>
        <v>0</v>
      </c>
      <c r="T276" s="9">
        <f>TABL1234[[#This Row],[(S/S TOT) AJD]]+TABL1234[[#This Row],[(T/B TOT) AJD]]</f>
        <v>0</v>
      </c>
      <c r="U276" s="14"/>
      <c r="V276" s="14"/>
      <c r="W276" s="9">
        <f>TABL1234[[#This Row],[(A/B TOT) AJD]]+TABL1234[[#This Row],[(A/S TOT)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Row],[البخر  AJD]])</f>
        <v>0</v>
      </c>
      <c r="AE276" s="33"/>
      <c r="AF276" s="6"/>
      <c r="AG276" s="6"/>
      <c r="AH276" s="6"/>
      <c r="AI276" s="6"/>
      <c r="AJ276" s="33">
        <f>TABL1234[[#This Row],[(A/B TOT) AJD]]-TABL1234[[#This Row],[BER_ IN]]</f>
        <v>0</v>
      </c>
      <c r="AK276" s="6"/>
      <c r="AL276" s="6"/>
      <c r="AM276" s="32"/>
      <c r="AN276" s="32">
        <f>TABL1234[[#This Row],[ (RESV. STORGE) SER]]/10</f>
        <v>0</v>
      </c>
      <c r="AO276" s="75"/>
      <c r="AP276" s="75">
        <f>TABL1234[[#This Row],[(A/S TOT) AJD]]-TABL1234[[#This Row],[SER_ 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Row],[خط (T/B  TOT) SAR]]+TABL1234[[#This Row],[خط (S/S  TOT) SAR2]]</f>
        <v>0</v>
      </c>
      <c r="L277" s="28"/>
      <c r="M277" s="29"/>
      <c r="N277" s="30"/>
      <c r="O277" s="14"/>
      <c r="P277" s="9">
        <f>TABL1234[[#This Row],[خط (S/S  TOT) SAR2]]-TABL1234[[#This Row],[(S/S TOT) AJD]]</f>
        <v>0</v>
      </c>
      <c r="Q277" s="14"/>
      <c r="R277" s="9">
        <f>TABL1234[[#This Row],[خط (T/B  TOT) SAR]]-TABL1234[[#This Row],[(T/B TOT) AJD]]</f>
        <v>0</v>
      </c>
      <c r="S277" s="9">
        <f>TABL1234[[#This Row],[الفرق بين بداية ونهاية خط  T/B]]+TABL1234[[#This Row],[الفرق بين بداية ونهاية خط  S/S]]</f>
        <v>0</v>
      </c>
      <c r="T277" s="9">
        <f>TABL1234[[#This Row],[(S/S TOT) AJD]]+TABL1234[[#This Row],[(T/B TOT) AJD]]</f>
        <v>0</v>
      </c>
      <c r="U277" s="14"/>
      <c r="V277" s="14"/>
      <c r="W277" s="9">
        <f>TABL1234[[#This Row],[(A/B TOT) AJD]]+TABL1234[[#This Row],[(A/S TOT)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Row],[البخر  AJD]])</f>
        <v>0</v>
      </c>
      <c r="AE277" s="33"/>
      <c r="AF277" s="6"/>
      <c r="AG277" s="6"/>
      <c r="AH277" s="6"/>
      <c r="AI277" s="6"/>
      <c r="AJ277" s="33">
        <f>TABL1234[[#This Row],[(A/B TOT) AJD]]-TABL1234[[#This Row],[BER_ IN]]</f>
        <v>0</v>
      </c>
      <c r="AK277" s="6"/>
      <c r="AL277" s="6"/>
      <c r="AM277" s="32"/>
      <c r="AN277" s="32">
        <f>TABL1234[[#This Row],[ (RESV. STORGE) SER]]/10</f>
        <v>0</v>
      </c>
      <c r="AO277" s="75"/>
      <c r="AP277" s="75">
        <f>TABL1234[[#This Row],[(A/S TOT) AJD]]-TABL1234[[#This Row],[SER_ 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Row],[خط (T/B  TOT) SAR]]+TABL1234[[#This Row],[خط (S/S  TOT) SAR2]]</f>
        <v>0</v>
      </c>
      <c r="L278" s="28"/>
      <c r="M278" s="29"/>
      <c r="N278" s="30"/>
      <c r="O278" s="14"/>
      <c r="P278" s="9">
        <f>TABL1234[[#This Row],[خط (S/S  TOT) SAR2]]-TABL1234[[#This Row],[(S/S TOT) AJD]]</f>
        <v>0</v>
      </c>
      <c r="Q278" s="14"/>
      <c r="R278" s="9">
        <f>TABL1234[[#This Row],[خط (T/B  TOT) SAR]]-TABL1234[[#This Row],[(T/B TOT) AJD]]</f>
        <v>0</v>
      </c>
      <c r="S278" s="9">
        <f>TABL1234[[#This Row],[الفرق بين بداية ونهاية خط  T/B]]+TABL1234[[#This Row],[الفرق بين بداية ونهاية خط  S/S]]</f>
        <v>0</v>
      </c>
      <c r="T278" s="9">
        <f>TABL1234[[#This Row],[(S/S TOT) AJD]]+TABL1234[[#This Row],[(T/B TOT) AJD]]</f>
        <v>0</v>
      </c>
      <c r="U278" s="14"/>
      <c r="V278" s="14"/>
      <c r="W278" s="9">
        <f>TABL1234[[#This Row],[(A/B TOT) AJD]]+TABL1234[[#This Row],[(A/S TOT)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Row],[البخر  AJD]])</f>
        <v>0</v>
      </c>
      <c r="AE278" s="33"/>
      <c r="AF278" s="6"/>
      <c r="AG278" s="6"/>
      <c r="AH278" s="6"/>
      <c r="AI278" s="6"/>
      <c r="AJ278" s="33">
        <f>TABL1234[[#This Row],[(A/B TOT) AJD]]-TABL1234[[#This Row],[BER_ IN]]</f>
        <v>0</v>
      </c>
      <c r="AK278" s="6"/>
      <c r="AL278" s="6"/>
      <c r="AM278" s="32"/>
      <c r="AN278" s="32">
        <f>TABL1234[[#This Row],[ (RESV. STORGE) SER]]/10</f>
        <v>0</v>
      </c>
      <c r="AO278" s="75"/>
      <c r="AP278" s="75">
        <f>TABL1234[[#This Row],[(A/S TOT) AJD]]-TABL1234[[#This Row],[SER_ 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Row],[خط (T/B  TOT) SAR]]+TABL1234[[#This Row],[خط (S/S  TOT) SAR2]]</f>
        <v>0</v>
      </c>
      <c r="L279" s="28"/>
      <c r="M279" s="29"/>
      <c r="N279" s="30"/>
      <c r="O279" s="14"/>
      <c r="P279" s="9">
        <f>TABL1234[[#This Row],[خط (S/S  TOT) SAR2]]-TABL1234[[#This Row],[(S/S TOT) AJD]]</f>
        <v>0</v>
      </c>
      <c r="Q279" s="14"/>
      <c r="R279" s="9">
        <f>TABL1234[[#This Row],[خط (T/B  TOT) SAR]]-TABL1234[[#This Row],[(T/B TOT) AJD]]</f>
        <v>0</v>
      </c>
      <c r="S279" s="9">
        <f>TABL1234[[#This Row],[الفرق بين بداية ونهاية خط  T/B]]+TABL1234[[#This Row],[الفرق بين بداية ونهاية خط  S/S]]</f>
        <v>0</v>
      </c>
      <c r="T279" s="9">
        <f>TABL1234[[#This Row],[(S/S TOT) AJD]]+TABL1234[[#This Row],[(T/B TOT) AJD]]</f>
        <v>0</v>
      </c>
      <c r="U279" s="14"/>
      <c r="V279" s="14"/>
      <c r="W279" s="9">
        <f>TABL1234[[#This Row],[(A/B TOT) AJD]]+TABL1234[[#This Row],[(A/S TOT)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Row],[البخر  AJD]])</f>
        <v>0</v>
      </c>
      <c r="AE279" s="33"/>
      <c r="AF279" s="6"/>
      <c r="AG279" s="6"/>
      <c r="AH279" s="6"/>
      <c r="AI279" s="6"/>
      <c r="AJ279" s="33">
        <f>TABL1234[[#This Row],[(A/B TOT) AJD]]-TABL1234[[#This Row],[BER_ IN]]</f>
        <v>0</v>
      </c>
      <c r="AK279" s="6"/>
      <c r="AL279" s="6"/>
      <c r="AM279" s="32"/>
      <c r="AN279" s="32">
        <f>TABL1234[[#This Row],[ (RESV. STORGE) SER]]/10</f>
        <v>0</v>
      </c>
      <c r="AO279" s="75"/>
      <c r="AP279" s="75">
        <f>TABL1234[[#This Row],[(A/S TOT) AJD]]-TABL1234[[#This Row],[SER_ 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Row],[خط (T/B  TOT) SAR]]+TABL1234[[#This Row],[خط (S/S  TOT) SAR2]]</f>
        <v>0</v>
      </c>
      <c r="L280" s="28"/>
      <c r="M280" s="29"/>
      <c r="N280" s="30"/>
      <c r="O280" s="14"/>
      <c r="P280" s="9">
        <f>TABL1234[[#This Row],[خط (S/S  TOT) SAR2]]-TABL1234[[#This Row],[(S/S TOT) AJD]]</f>
        <v>0</v>
      </c>
      <c r="Q280" s="14"/>
      <c r="R280" s="9">
        <f>TABL1234[[#This Row],[خط (T/B  TOT) SAR]]-TABL1234[[#This Row],[(T/B TOT) AJD]]</f>
        <v>0</v>
      </c>
      <c r="S280" s="9">
        <f>TABL1234[[#This Row],[الفرق بين بداية ونهاية خط  T/B]]+TABL1234[[#This Row],[الفرق بين بداية ونهاية خط  S/S]]</f>
        <v>0</v>
      </c>
      <c r="T280" s="9">
        <f>TABL1234[[#This Row],[(S/S TOT) AJD]]+TABL1234[[#This Row],[(T/B TOT) AJD]]</f>
        <v>0</v>
      </c>
      <c r="U280" s="14"/>
      <c r="V280" s="14"/>
      <c r="W280" s="9">
        <f>TABL1234[[#This Row],[(A/B TOT) AJD]]+TABL1234[[#This Row],[(A/S TOT)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Row],[البخر  AJD]])</f>
        <v>0</v>
      </c>
      <c r="AE280" s="33"/>
      <c r="AF280" s="6"/>
      <c r="AG280" s="6"/>
      <c r="AH280" s="6"/>
      <c r="AI280" s="6"/>
      <c r="AJ280" s="33">
        <f>TABL1234[[#This Row],[(A/B TOT) AJD]]-TABL1234[[#This Row],[BER_ IN]]</f>
        <v>0</v>
      </c>
      <c r="AK280" s="6"/>
      <c r="AL280" s="6"/>
      <c r="AM280" s="32"/>
      <c r="AN280" s="32">
        <f>TABL1234[[#This Row],[ (RESV. STORGE) SER]]/10</f>
        <v>0</v>
      </c>
      <c r="AO280" s="75"/>
      <c r="AP280" s="75">
        <f>TABL1234[[#This Row],[(A/S TOT) AJD]]-TABL1234[[#This Row],[SER_ 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Row],[خط (T/B  TOT) SAR]]+TABL1234[[#This Row],[خط (S/S  TOT) SAR2]]</f>
        <v>0</v>
      </c>
      <c r="L281" s="28"/>
      <c r="M281" s="29"/>
      <c r="N281" s="30"/>
      <c r="O281" s="14"/>
      <c r="P281" s="9">
        <f>TABL1234[[#This Row],[خط (S/S  TOT) SAR2]]-TABL1234[[#This Row],[(S/S TOT) AJD]]</f>
        <v>0</v>
      </c>
      <c r="Q281" s="14"/>
      <c r="R281" s="9">
        <f>TABL1234[[#This Row],[خط (T/B  TOT) SAR]]-TABL1234[[#This Row],[(T/B TOT) AJD]]</f>
        <v>0</v>
      </c>
      <c r="S281" s="9">
        <f>TABL1234[[#This Row],[الفرق بين بداية ونهاية خط  T/B]]+TABL1234[[#This Row],[الفرق بين بداية ونهاية خط  S/S]]</f>
        <v>0</v>
      </c>
      <c r="T281" s="9">
        <f>TABL1234[[#This Row],[(S/S TOT) AJD]]+TABL1234[[#This Row],[(T/B TOT) AJD]]</f>
        <v>0</v>
      </c>
      <c r="U281" s="14"/>
      <c r="V281" s="14"/>
      <c r="W281" s="9">
        <f>TABL1234[[#This Row],[(A/B TOT) AJD]]+TABL1234[[#This Row],[(A/S TOT)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Row],[البخر  AJD]])</f>
        <v>0</v>
      </c>
      <c r="AE281" s="33"/>
      <c r="AF281" s="6"/>
      <c r="AG281" s="6"/>
      <c r="AH281" s="6"/>
      <c r="AI281" s="6"/>
      <c r="AJ281" s="33">
        <f>TABL1234[[#This Row],[(A/B TOT) AJD]]-TABL1234[[#This Row],[BER_ IN]]</f>
        <v>0</v>
      </c>
      <c r="AK281" s="6"/>
      <c r="AL281" s="6"/>
      <c r="AM281" s="32"/>
      <c r="AN281" s="32">
        <f>TABL1234[[#This Row],[ (RESV. STORGE) SER]]/10</f>
        <v>0</v>
      </c>
      <c r="AO281" s="75"/>
      <c r="AP281" s="75">
        <f>TABL1234[[#This Row],[(A/S TOT) AJD]]-TABL1234[[#This Row],[SER_ 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Row],[خط (T/B  TOT) SAR]]+TABL1234[[#This Row],[خط (S/S  TOT) SAR2]]</f>
        <v>0</v>
      </c>
      <c r="L282" s="28"/>
      <c r="M282" s="29"/>
      <c r="N282" s="30"/>
      <c r="O282" s="14"/>
      <c r="P282" s="9">
        <f>TABL1234[[#This Row],[خط (S/S  TOT) SAR2]]-TABL1234[[#This Row],[(S/S TOT) AJD]]</f>
        <v>0</v>
      </c>
      <c r="Q282" s="14"/>
      <c r="R282" s="9">
        <f>TABL1234[[#This Row],[خط (T/B  TOT) SAR]]-TABL1234[[#This Row],[(T/B TOT) AJD]]</f>
        <v>0</v>
      </c>
      <c r="S282" s="9">
        <f>TABL1234[[#This Row],[الفرق بين بداية ونهاية خط  T/B]]+TABL1234[[#This Row],[الفرق بين بداية ونهاية خط  S/S]]</f>
        <v>0</v>
      </c>
      <c r="T282" s="9">
        <f>TABL1234[[#This Row],[(S/S TOT) AJD]]+TABL1234[[#This Row],[(T/B TOT) AJD]]</f>
        <v>0</v>
      </c>
      <c r="U282" s="14"/>
      <c r="V282" s="14"/>
      <c r="W282" s="9">
        <f>TABL1234[[#This Row],[(A/B TOT) AJD]]+TABL1234[[#This Row],[(A/S TOT)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Row],[البخر  AJD]])</f>
        <v>0</v>
      </c>
      <c r="AE282" s="33"/>
      <c r="AF282" s="6"/>
      <c r="AG282" s="6"/>
      <c r="AH282" s="6"/>
      <c r="AI282" s="6"/>
      <c r="AJ282" s="33">
        <f>TABL1234[[#This Row],[(A/B TOT) AJD]]-TABL1234[[#This Row],[BER_ IN]]</f>
        <v>0</v>
      </c>
      <c r="AK282" s="6"/>
      <c r="AL282" s="6"/>
      <c r="AM282" s="32"/>
      <c r="AN282" s="32">
        <f>TABL1234[[#This Row],[ (RESV. STORGE) SER]]/10</f>
        <v>0</v>
      </c>
      <c r="AO282" s="75"/>
      <c r="AP282" s="75">
        <f>TABL1234[[#This Row],[(A/S TOT) AJD]]-TABL1234[[#This Row],[SER_ 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Row],[خط (T/B  TOT) SAR]]+TABL1234[[#This Row],[خط (S/S  TOT) SAR2]]</f>
        <v>0</v>
      </c>
      <c r="L283" s="28"/>
      <c r="M283" s="29"/>
      <c r="N283" s="30"/>
      <c r="O283" s="14"/>
      <c r="P283" s="9">
        <f>TABL1234[[#This Row],[خط (S/S  TOT) SAR2]]-TABL1234[[#This Row],[(S/S TOT) AJD]]</f>
        <v>0</v>
      </c>
      <c r="Q283" s="14"/>
      <c r="R283" s="9">
        <f>TABL1234[[#This Row],[خط (T/B  TOT) SAR]]-TABL1234[[#This Row],[(T/B TOT) AJD]]</f>
        <v>0</v>
      </c>
      <c r="S283" s="9">
        <f>TABL1234[[#This Row],[الفرق بين بداية ونهاية خط  T/B]]+TABL1234[[#This Row],[الفرق بين بداية ونهاية خط  S/S]]</f>
        <v>0</v>
      </c>
      <c r="T283" s="9">
        <f>TABL1234[[#This Row],[(S/S TOT) AJD]]+TABL1234[[#This Row],[(T/B TOT) AJD]]</f>
        <v>0</v>
      </c>
      <c r="U283" s="14"/>
      <c r="V283" s="14"/>
      <c r="W283" s="9">
        <f>TABL1234[[#This Row],[(A/B TOT) AJD]]+TABL1234[[#This Row],[(A/S TOT)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Row],[البخر  AJD]])</f>
        <v>0</v>
      </c>
      <c r="AE283" s="33"/>
      <c r="AF283" s="6"/>
      <c r="AG283" s="6"/>
      <c r="AH283" s="6"/>
      <c r="AI283" s="6"/>
      <c r="AJ283" s="33">
        <f>TABL1234[[#This Row],[(A/B TOT) AJD]]-TABL1234[[#This Row],[BER_ IN]]</f>
        <v>0</v>
      </c>
      <c r="AK283" s="6"/>
      <c r="AL283" s="6"/>
      <c r="AM283" s="32"/>
      <c r="AN283" s="32">
        <f>TABL1234[[#This Row],[ (RESV. STORGE) SER]]/10</f>
        <v>0</v>
      </c>
      <c r="AO283" s="75"/>
      <c r="AP283" s="75">
        <f>TABL1234[[#This Row],[(A/S TOT) AJD]]-TABL1234[[#This Row],[SER_ 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Row],[خط (T/B  TOT) SAR]]+TABL1234[[#This Row],[خط (S/S  TOT) SAR2]]</f>
        <v>0</v>
      </c>
      <c r="L284" s="28"/>
      <c r="M284" s="29"/>
      <c r="N284" s="30"/>
      <c r="O284" s="14"/>
      <c r="P284" s="9">
        <f>TABL1234[[#This Row],[خط (S/S  TOT) SAR2]]-TABL1234[[#This Row],[(S/S TOT) AJD]]</f>
        <v>0</v>
      </c>
      <c r="Q284" s="14"/>
      <c r="R284" s="9">
        <f>TABL1234[[#This Row],[خط (T/B  TOT) SAR]]-TABL1234[[#This Row],[(T/B TOT) AJD]]</f>
        <v>0</v>
      </c>
      <c r="S284" s="9">
        <f>TABL1234[[#This Row],[الفرق بين بداية ونهاية خط  T/B]]+TABL1234[[#This Row],[الفرق بين بداية ونهاية خط  S/S]]</f>
        <v>0</v>
      </c>
      <c r="T284" s="9">
        <f>TABL1234[[#This Row],[(S/S TOT) AJD]]+TABL1234[[#This Row],[(T/B TOT) AJD]]</f>
        <v>0</v>
      </c>
      <c r="U284" s="14"/>
      <c r="V284" s="14"/>
      <c r="W284" s="9">
        <f>TABL1234[[#This Row],[(A/B TOT) AJD]]+TABL1234[[#This Row],[(A/S TOT)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Row],[البخر  AJD]])</f>
        <v>0</v>
      </c>
      <c r="AE284" s="33"/>
      <c r="AF284" s="6"/>
      <c r="AG284" s="6"/>
      <c r="AH284" s="6"/>
      <c r="AI284" s="6"/>
      <c r="AJ284" s="33">
        <f>TABL1234[[#This Row],[(A/B TOT) AJD]]-TABL1234[[#This Row],[BER_ IN]]</f>
        <v>0</v>
      </c>
      <c r="AK284" s="6"/>
      <c r="AL284" s="6"/>
      <c r="AM284" s="32"/>
      <c r="AN284" s="32">
        <f>TABL1234[[#This Row],[ (RESV. STORGE) SER]]/10</f>
        <v>0</v>
      </c>
      <c r="AO284" s="75"/>
      <c r="AP284" s="75">
        <f>TABL1234[[#This Row],[(A/S TOT) AJD]]-TABL1234[[#This Row],[SER_ 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Row],[خط (T/B  TOT) SAR]]+TABL1234[[#This Row],[خط (S/S  TOT) SAR2]]</f>
        <v>0</v>
      </c>
      <c r="L285" s="28"/>
      <c r="M285" s="29"/>
      <c r="N285" s="30"/>
      <c r="O285" s="14"/>
      <c r="P285" s="9">
        <f>TABL1234[[#This Row],[خط (S/S  TOT) SAR2]]-TABL1234[[#This Row],[(S/S TOT) AJD]]</f>
        <v>0</v>
      </c>
      <c r="Q285" s="14"/>
      <c r="R285" s="9">
        <f>TABL1234[[#This Row],[خط (T/B  TOT) SAR]]-TABL1234[[#This Row],[(T/B TOT) AJD]]</f>
        <v>0</v>
      </c>
      <c r="S285" s="9">
        <f>TABL1234[[#This Row],[الفرق بين بداية ونهاية خط  T/B]]+TABL1234[[#This Row],[الفرق بين بداية ونهاية خط  S/S]]</f>
        <v>0</v>
      </c>
      <c r="T285" s="9">
        <f>TABL1234[[#This Row],[(S/S TOT) AJD]]+TABL1234[[#This Row],[(T/B TOT) AJD]]</f>
        <v>0</v>
      </c>
      <c r="U285" s="14"/>
      <c r="V285" s="14"/>
      <c r="W285" s="9">
        <f>TABL1234[[#This Row],[(A/B TOT) AJD]]+TABL1234[[#This Row],[(A/S TOT)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Row],[البخر  AJD]])</f>
        <v>0</v>
      </c>
      <c r="AE285" s="33"/>
      <c r="AF285" s="6"/>
      <c r="AG285" s="6"/>
      <c r="AH285" s="6"/>
      <c r="AI285" s="6"/>
      <c r="AJ285" s="33">
        <f>TABL1234[[#This Row],[(A/B TOT) AJD]]-TABL1234[[#This Row],[BER_ IN]]</f>
        <v>0</v>
      </c>
      <c r="AK285" s="6"/>
      <c r="AL285" s="6"/>
      <c r="AM285" s="32"/>
      <c r="AN285" s="32">
        <f>TABL1234[[#This Row],[ (RESV. STORGE) SER]]/10</f>
        <v>0</v>
      </c>
      <c r="AO285" s="75"/>
      <c r="AP285" s="75">
        <f>TABL1234[[#This Row],[(A/S TOT) AJD]]-TABL1234[[#This Row],[SER_ 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Row],[خط (T/B  TOT) SAR]]+TABL1234[[#This Row],[خط (S/S  TOT) SAR2]]</f>
        <v>0</v>
      </c>
      <c r="L286" s="28"/>
      <c r="M286" s="29"/>
      <c r="N286" s="30"/>
      <c r="O286" s="14"/>
      <c r="P286" s="9">
        <f>TABL1234[[#This Row],[خط (S/S  TOT) SAR2]]-TABL1234[[#This Row],[(S/S TOT) AJD]]</f>
        <v>0</v>
      </c>
      <c r="Q286" s="14"/>
      <c r="R286" s="9">
        <f>TABL1234[[#This Row],[خط (T/B  TOT) SAR]]-TABL1234[[#This Row],[(T/B TOT) AJD]]</f>
        <v>0</v>
      </c>
      <c r="S286" s="9">
        <f>TABL1234[[#This Row],[الفرق بين بداية ونهاية خط  T/B]]+TABL1234[[#This Row],[الفرق بين بداية ونهاية خط  S/S]]</f>
        <v>0</v>
      </c>
      <c r="T286" s="9">
        <f>TABL1234[[#This Row],[(S/S TOT) AJD]]+TABL1234[[#This Row],[(T/B TOT) AJD]]</f>
        <v>0</v>
      </c>
      <c r="U286" s="14"/>
      <c r="V286" s="14"/>
      <c r="W286" s="9">
        <f>TABL1234[[#This Row],[(A/B TOT) AJD]]+TABL1234[[#This Row],[(A/S TOT)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Row],[البخر  AJD]])</f>
        <v>0</v>
      </c>
      <c r="AE286" s="33"/>
      <c r="AF286" s="6"/>
      <c r="AG286" s="6"/>
      <c r="AH286" s="6"/>
      <c r="AI286" s="6"/>
      <c r="AJ286" s="33">
        <f>TABL1234[[#This Row],[(A/B TOT) AJD]]-TABL1234[[#This Row],[BER_ IN]]</f>
        <v>0</v>
      </c>
      <c r="AK286" s="6"/>
      <c r="AL286" s="6"/>
      <c r="AM286" s="32"/>
      <c r="AN286" s="32">
        <f>TABL1234[[#This Row],[ (RESV. STORGE) SER]]/10</f>
        <v>0</v>
      </c>
      <c r="AO286" s="75"/>
      <c r="AP286" s="75">
        <f>TABL1234[[#This Row],[(A/S TOT) AJD]]-TABL1234[[#This Row],[SER_ 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Row],[خط (T/B  TOT) SAR]]+TABL1234[[#This Row],[خط (S/S  TOT) SAR2]]</f>
        <v>0</v>
      </c>
      <c r="L287" s="28"/>
      <c r="M287" s="29"/>
      <c r="N287" s="30"/>
      <c r="O287" s="14"/>
      <c r="P287" s="9">
        <f>TABL1234[[#This Row],[خط (S/S  TOT) SAR2]]-TABL1234[[#This Row],[(S/S TOT) AJD]]</f>
        <v>0</v>
      </c>
      <c r="Q287" s="14"/>
      <c r="R287" s="9">
        <f>TABL1234[[#This Row],[خط (T/B  TOT) SAR]]-TABL1234[[#This Row],[(T/B TOT) AJD]]</f>
        <v>0</v>
      </c>
      <c r="S287" s="9">
        <f>TABL1234[[#This Row],[الفرق بين بداية ونهاية خط  T/B]]+TABL1234[[#This Row],[الفرق بين بداية ونهاية خط  S/S]]</f>
        <v>0</v>
      </c>
      <c r="T287" s="9">
        <f>TABL1234[[#This Row],[(S/S TOT) AJD]]+TABL1234[[#This Row],[(T/B TOT) AJD]]</f>
        <v>0</v>
      </c>
      <c r="U287" s="14"/>
      <c r="V287" s="14"/>
      <c r="W287" s="9">
        <f>TABL1234[[#This Row],[(A/B TOT) AJD]]+TABL1234[[#This Row],[(A/S TOT)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Row],[البخر  AJD]])</f>
        <v>0</v>
      </c>
      <c r="AE287" s="33"/>
      <c r="AF287" s="6"/>
      <c r="AG287" s="6"/>
      <c r="AH287" s="6"/>
      <c r="AI287" s="6"/>
      <c r="AJ287" s="33">
        <f>TABL1234[[#This Row],[(A/B TOT) AJD]]-TABL1234[[#This Row],[BER_ IN]]</f>
        <v>0</v>
      </c>
      <c r="AK287" s="6"/>
      <c r="AL287" s="6"/>
      <c r="AM287" s="32"/>
      <c r="AN287" s="32">
        <f>TABL1234[[#This Row],[ (RESV. STORGE) SER]]/10</f>
        <v>0</v>
      </c>
      <c r="AO287" s="75"/>
      <c r="AP287" s="75">
        <f>TABL1234[[#This Row],[(A/S TOT) AJD]]-TABL1234[[#This Row],[SER_ 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Row],[خط (T/B  TOT) SAR]]+TABL1234[[#This Row],[خط (S/S  TOT) SAR2]]</f>
        <v>0</v>
      </c>
      <c r="L288" s="28"/>
      <c r="M288" s="29"/>
      <c r="N288" s="30"/>
      <c r="O288" s="14"/>
      <c r="P288" s="9">
        <f>TABL1234[[#This Row],[خط (S/S  TOT) SAR2]]-TABL1234[[#This Row],[(S/S TOT) AJD]]</f>
        <v>0</v>
      </c>
      <c r="Q288" s="14"/>
      <c r="R288" s="9">
        <f>TABL1234[[#This Row],[خط (T/B  TOT) SAR]]-TABL1234[[#This Row],[(T/B TOT) AJD]]</f>
        <v>0</v>
      </c>
      <c r="S288" s="9">
        <f>TABL1234[[#This Row],[الفرق بين بداية ونهاية خط  T/B]]+TABL1234[[#This Row],[الفرق بين بداية ونهاية خط  S/S]]</f>
        <v>0</v>
      </c>
      <c r="T288" s="9">
        <f>TABL1234[[#This Row],[(S/S TOT) AJD]]+TABL1234[[#This Row],[(T/B TOT) AJD]]</f>
        <v>0</v>
      </c>
      <c r="U288" s="14"/>
      <c r="V288" s="14"/>
      <c r="W288" s="9">
        <f>TABL1234[[#This Row],[(A/B TOT) AJD]]+TABL1234[[#This Row],[(A/S TOT)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Row],[البخر  AJD]])</f>
        <v>0</v>
      </c>
      <c r="AE288" s="33"/>
      <c r="AF288" s="6"/>
      <c r="AG288" s="6"/>
      <c r="AH288" s="6"/>
      <c r="AI288" s="6"/>
      <c r="AJ288" s="33">
        <f>TABL1234[[#This Row],[(A/B TOT) AJD]]-TABL1234[[#This Row],[BER_ IN]]</f>
        <v>0</v>
      </c>
      <c r="AK288" s="6"/>
      <c r="AL288" s="6"/>
      <c r="AM288" s="32"/>
      <c r="AN288" s="32">
        <f>TABL1234[[#This Row],[ (RESV. STORGE) SER]]/10</f>
        <v>0</v>
      </c>
      <c r="AO288" s="75"/>
      <c r="AP288" s="75">
        <f>TABL1234[[#This Row],[(A/S TOT) AJD]]-TABL1234[[#This Row],[SER_ 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Row],[خط (T/B  TOT) SAR]]+TABL1234[[#This Row],[خط (S/S  TOT) SAR2]]</f>
        <v>0</v>
      </c>
      <c r="L289" s="28"/>
      <c r="M289" s="29"/>
      <c r="N289" s="30"/>
      <c r="O289" s="14"/>
      <c r="P289" s="9">
        <f>TABL1234[[#This Row],[خط (S/S  TOT) SAR2]]-TABL1234[[#This Row],[(S/S TOT) AJD]]</f>
        <v>0</v>
      </c>
      <c r="Q289" s="14"/>
      <c r="R289" s="9">
        <f>TABL1234[[#This Row],[خط (T/B  TOT) SAR]]-TABL1234[[#This Row],[(T/B TOT) AJD]]</f>
        <v>0</v>
      </c>
      <c r="S289" s="9">
        <f>TABL1234[[#This Row],[الفرق بين بداية ونهاية خط  T/B]]+TABL1234[[#This Row],[الفرق بين بداية ونهاية خط  S/S]]</f>
        <v>0</v>
      </c>
      <c r="T289" s="9">
        <f>TABL1234[[#This Row],[(S/S TOT) AJD]]+TABL1234[[#This Row],[(T/B TOT) AJD]]</f>
        <v>0</v>
      </c>
      <c r="U289" s="14"/>
      <c r="V289" s="14"/>
      <c r="W289" s="9">
        <f>TABL1234[[#This Row],[(A/B TOT) AJD]]+TABL1234[[#This Row],[(A/S TOT)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Row],[البخر  AJD]])</f>
        <v>0</v>
      </c>
      <c r="AE289" s="33"/>
      <c r="AF289" s="6"/>
      <c r="AG289" s="6"/>
      <c r="AH289" s="6"/>
      <c r="AI289" s="6"/>
      <c r="AJ289" s="33">
        <f>TABL1234[[#This Row],[(A/B TOT) AJD]]-TABL1234[[#This Row],[BER_ IN]]</f>
        <v>0</v>
      </c>
      <c r="AK289" s="6"/>
      <c r="AL289" s="6"/>
      <c r="AM289" s="32"/>
      <c r="AN289" s="32">
        <f>TABL1234[[#This Row],[ (RESV. STORGE) SER]]/10</f>
        <v>0</v>
      </c>
      <c r="AO289" s="75"/>
      <c r="AP289" s="75">
        <f>TABL1234[[#This Row],[(A/S TOT) AJD]]-TABL1234[[#This Row],[SER_ 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Row],[خط (T/B  TOT) SAR]]+TABL1234[[#This Row],[خط (S/S  TOT) SAR2]]</f>
        <v>0</v>
      </c>
      <c r="L290" s="28"/>
      <c r="M290" s="29"/>
      <c r="N290" s="30"/>
      <c r="O290" s="14"/>
      <c r="P290" s="9">
        <f>TABL1234[[#This Row],[خط (S/S  TOT) SAR2]]-TABL1234[[#This Row],[(S/S TOT) AJD]]</f>
        <v>0</v>
      </c>
      <c r="Q290" s="14"/>
      <c r="R290" s="9">
        <f>TABL1234[[#This Row],[خط (T/B  TOT) SAR]]-TABL1234[[#This Row],[(T/B TOT) AJD]]</f>
        <v>0</v>
      </c>
      <c r="S290" s="9">
        <f>TABL1234[[#This Row],[الفرق بين بداية ونهاية خط  T/B]]+TABL1234[[#This Row],[الفرق بين بداية ونهاية خط  S/S]]</f>
        <v>0</v>
      </c>
      <c r="T290" s="9">
        <f>TABL1234[[#This Row],[(S/S TOT) AJD]]+TABL1234[[#This Row],[(T/B TOT) AJD]]</f>
        <v>0</v>
      </c>
      <c r="U290" s="14"/>
      <c r="V290" s="14"/>
      <c r="W290" s="9">
        <f>TABL1234[[#This Row],[(A/B TOT) AJD]]+TABL1234[[#This Row],[(A/S TOT)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Row],[البخر  AJD]])</f>
        <v>0</v>
      </c>
      <c r="AE290" s="33"/>
      <c r="AF290" s="6"/>
      <c r="AG290" s="6"/>
      <c r="AH290" s="6"/>
      <c r="AI290" s="6"/>
      <c r="AJ290" s="33">
        <f>TABL1234[[#This Row],[(A/B TOT) AJD]]-TABL1234[[#This Row],[BER_ IN]]</f>
        <v>0</v>
      </c>
      <c r="AK290" s="6"/>
      <c r="AL290" s="6"/>
      <c r="AM290" s="32"/>
      <c r="AN290" s="32">
        <f>TABL1234[[#This Row],[ (RESV. STORGE) SER]]/10</f>
        <v>0</v>
      </c>
      <c r="AO290" s="75"/>
      <c r="AP290" s="75">
        <f>TABL1234[[#This Row],[(A/S TOT) AJD]]-TABL1234[[#This Row],[SER_ 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Row],[خط (T/B  TOT) SAR]]+TABL1234[[#This Row],[خط (S/S  TOT) SAR2]]</f>
        <v>0</v>
      </c>
      <c r="L291" s="28"/>
      <c r="M291" s="29"/>
      <c r="N291" s="30"/>
      <c r="O291" s="14"/>
      <c r="P291" s="9">
        <f>TABL1234[[#This Row],[خط (S/S  TOT) SAR2]]-TABL1234[[#This Row],[(S/S TOT) AJD]]</f>
        <v>0</v>
      </c>
      <c r="Q291" s="14"/>
      <c r="R291" s="9">
        <f>TABL1234[[#This Row],[خط (T/B  TOT) SAR]]-TABL1234[[#This Row],[(T/B TOT) AJD]]</f>
        <v>0</v>
      </c>
      <c r="S291" s="9">
        <f>TABL1234[[#This Row],[الفرق بين بداية ونهاية خط  T/B]]+TABL1234[[#This Row],[الفرق بين بداية ونهاية خط  S/S]]</f>
        <v>0</v>
      </c>
      <c r="T291" s="9">
        <f>TABL1234[[#This Row],[(S/S TOT) AJD]]+TABL1234[[#This Row],[(T/B TOT) AJD]]</f>
        <v>0</v>
      </c>
      <c r="U291" s="14"/>
      <c r="V291" s="14"/>
      <c r="W291" s="9">
        <f>TABL1234[[#This Row],[(A/B TOT) AJD]]+TABL1234[[#This Row],[(A/S TOT)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Row],[البخر  AJD]])</f>
        <v>0</v>
      </c>
      <c r="AE291" s="33"/>
      <c r="AF291" s="6"/>
      <c r="AG291" s="6"/>
      <c r="AH291" s="6"/>
      <c r="AI291" s="6"/>
      <c r="AJ291" s="33">
        <f>TABL1234[[#This Row],[(A/B TOT) AJD]]-TABL1234[[#This Row],[BER_ IN]]</f>
        <v>0</v>
      </c>
      <c r="AK291" s="6"/>
      <c r="AL291" s="6"/>
      <c r="AM291" s="32"/>
      <c r="AN291" s="32">
        <f>TABL1234[[#This Row],[ (RESV. STORGE) SER]]/10</f>
        <v>0</v>
      </c>
      <c r="AO291" s="75"/>
      <c r="AP291" s="75">
        <f>TABL1234[[#This Row],[(A/S TOT) AJD]]-TABL1234[[#This Row],[SER_ 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Row],[خط (T/B  TOT) SAR]]+TABL1234[[#This Row],[خط (S/S  TOT) SAR2]]</f>
        <v>0</v>
      </c>
      <c r="L292" s="28"/>
      <c r="M292" s="29"/>
      <c r="N292" s="30"/>
      <c r="O292" s="9"/>
      <c r="P292" s="9">
        <f>TABL1234[[#This Row],[خط (S/S  TOT) SAR2]]-TABL1234[[#This Row],[(S/S TOT) AJD]]</f>
        <v>0</v>
      </c>
      <c r="Q292" s="9"/>
      <c r="R292" s="9">
        <f>TABL1234[[#This Row],[خط (T/B  TOT) SAR]]-TABL1234[[#This Row],[(T/B TOT) AJD]]</f>
        <v>0</v>
      </c>
      <c r="S292" s="9">
        <f>TABL1234[[#This Row],[الفرق بين بداية ونهاية خط  T/B]]+TABL1234[[#This Row],[الفرق بين بداية ونهاية خط  S/S]]</f>
        <v>0</v>
      </c>
      <c r="T292" s="9">
        <f>TABL1234[[#This Row],[(S/S TOT) AJD]]+TABL1234[[#This Row],[(T/B TOT) AJD]]</f>
        <v>0</v>
      </c>
      <c r="U292" s="9"/>
      <c r="V292" s="9"/>
      <c r="W292" s="9">
        <f>TABL1234[[#This Row],[(A/B TOT) AJD]]+TABL1234[[#This Row],[(A/S TOT)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Row],[البخر  AJD]])</f>
        <v>0</v>
      </c>
      <c r="AE292" s="33"/>
      <c r="AF292" s="6"/>
      <c r="AG292" s="6"/>
      <c r="AH292" s="6"/>
      <c r="AI292" s="6"/>
      <c r="AJ292" s="33">
        <f>TABL1234[[#This Row],[(A/B TOT) AJD]]-TABL1234[[#This Row],[BER_ IN]]</f>
        <v>0</v>
      </c>
      <c r="AK292" s="6"/>
      <c r="AL292" s="6"/>
      <c r="AM292" s="32"/>
      <c r="AN292" s="32">
        <f>TABL1234[[#This Row],[ (RESV. STORGE) SER]]/10</f>
        <v>0</v>
      </c>
      <c r="AO292" s="75"/>
      <c r="AP292" s="75">
        <f>TABL1234[[#This Row],[(A/S TOT) AJD]]-TABL1234[[#This Row],[SER_ 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Row],[خط (T/B  TOT) SAR]]+TABL1234[[#This Row],[خط (S/S  TOT) SAR2]]</f>
        <v>0</v>
      </c>
      <c r="L293" s="28"/>
      <c r="M293" s="29"/>
      <c r="N293" s="30"/>
      <c r="O293" s="9"/>
      <c r="P293" s="9">
        <f>TABL1234[[#This Row],[خط (S/S  TOT) SAR2]]-TABL1234[[#This Row],[(S/S TOT) AJD]]</f>
        <v>0</v>
      </c>
      <c r="Q293" s="9"/>
      <c r="R293" s="9">
        <f>TABL1234[[#This Row],[خط (T/B  TOT) SAR]]-TABL1234[[#This Row],[(T/B TOT) AJD]]</f>
        <v>0</v>
      </c>
      <c r="S293" s="9">
        <f>TABL1234[[#This Row],[الفرق بين بداية ونهاية خط  T/B]]+TABL1234[[#This Row],[الفرق بين بداية ونهاية خط  S/S]]</f>
        <v>0</v>
      </c>
      <c r="T293" s="9">
        <f>TABL1234[[#This Row],[(S/S TOT) AJD]]+TABL1234[[#This Row],[(T/B TOT) AJD]]</f>
        <v>0</v>
      </c>
      <c r="U293" s="9"/>
      <c r="V293" s="9"/>
      <c r="W293" s="9">
        <f>TABL1234[[#This Row],[(A/B TOT) AJD]]+TABL1234[[#This Row],[(A/S TOT)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Row],[البخر  AJD]])</f>
        <v>0</v>
      </c>
      <c r="AE293" s="33"/>
      <c r="AF293" s="6"/>
      <c r="AG293" s="6"/>
      <c r="AH293" s="6"/>
      <c r="AI293" s="6"/>
      <c r="AJ293" s="33">
        <f>TABL1234[[#This Row],[(A/B TOT) AJD]]-TABL1234[[#This Row],[BER_ IN]]</f>
        <v>0</v>
      </c>
      <c r="AK293" s="6"/>
      <c r="AL293" s="6"/>
      <c r="AM293" s="32"/>
      <c r="AN293" s="32">
        <f>TABL1234[[#This Row],[ (RESV. STORGE) SER]]/10</f>
        <v>0</v>
      </c>
      <c r="AO293" s="75"/>
      <c r="AP293" s="75">
        <f>TABL1234[[#This Row],[(A/S TOT) AJD]]-TABL1234[[#This Row],[SER_ 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Row],[خط (T/B  TOT) SAR]]+TABL1234[[#This Row],[خط (S/S  TOT) SAR2]]</f>
        <v>0</v>
      </c>
      <c r="L294" s="28"/>
      <c r="M294" s="29"/>
      <c r="N294" s="30"/>
      <c r="O294" s="9"/>
      <c r="P294" s="9">
        <f>TABL1234[[#This Row],[خط (S/S  TOT) SAR2]]-TABL1234[[#This Row],[(S/S TOT) AJD]]</f>
        <v>0</v>
      </c>
      <c r="Q294" s="9"/>
      <c r="R294" s="9">
        <f>TABL1234[[#This Row],[خط (T/B  TOT) SAR]]-TABL1234[[#This Row],[(T/B TOT) AJD]]</f>
        <v>0</v>
      </c>
      <c r="S294" s="9">
        <f>TABL1234[[#This Row],[الفرق بين بداية ونهاية خط  T/B]]+TABL1234[[#This Row],[الفرق بين بداية ونهاية خط  S/S]]</f>
        <v>0</v>
      </c>
      <c r="T294" s="9">
        <f>TABL1234[[#This Row],[(S/S TOT) AJD]]+TABL1234[[#This Row],[(T/B TOT) AJD]]</f>
        <v>0</v>
      </c>
      <c r="U294" s="9"/>
      <c r="V294" s="9"/>
      <c r="W294" s="9">
        <f>TABL1234[[#This Row],[(A/B TOT) AJD]]+TABL1234[[#This Row],[(A/S TOT)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Row],[البخر  AJD]])</f>
        <v>0</v>
      </c>
      <c r="AE294" s="33"/>
      <c r="AF294" s="6"/>
      <c r="AG294" s="6"/>
      <c r="AH294" s="6"/>
      <c r="AI294" s="6"/>
      <c r="AJ294" s="33">
        <f>TABL1234[[#This Row],[(A/B TOT) AJD]]-TABL1234[[#This Row],[BER_ IN]]</f>
        <v>0</v>
      </c>
      <c r="AK294" s="6"/>
      <c r="AL294" s="6"/>
      <c r="AM294" s="32"/>
      <c r="AN294" s="32">
        <f>TABL1234[[#This Row],[ (RESV. STORGE) SER]]/10</f>
        <v>0</v>
      </c>
      <c r="AO294" s="75"/>
      <c r="AP294" s="75">
        <f>TABL1234[[#This Row],[(A/S TOT) AJD]]-TABL1234[[#This Row],[SER_ 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Row],[خط (T/B  TOT) SAR]]+TABL1234[[#This Row],[خط (S/S  TOT) SAR2]]</f>
        <v>0</v>
      </c>
      <c r="L295" s="28"/>
      <c r="M295" s="29"/>
      <c r="N295" s="30"/>
      <c r="O295" s="9"/>
      <c r="P295" s="9">
        <f>TABL1234[[#This Row],[خط (S/S  TOT) SAR2]]-TABL1234[[#This Row],[(S/S TOT) AJD]]</f>
        <v>0</v>
      </c>
      <c r="Q295" s="9"/>
      <c r="R295" s="9">
        <f>TABL1234[[#This Row],[خط (T/B  TOT) SAR]]-TABL1234[[#This Row],[(T/B TOT) AJD]]</f>
        <v>0</v>
      </c>
      <c r="S295" s="9">
        <f>TABL1234[[#This Row],[الفرق بين بداية ونهاية خط  T/B]]+TABL1234[[#This Row],[الفرق بين بداية ونهاية خط  S/S]]</f>
        <v>0</v>
      </c>
      <c r="T295" s="9">
        <f>TABL1234[[#This Row],[(S/S TOT) AJD]]+TABL1234[[#This Row],[(T/B TOT) AJD]]</f>
        <v>0</v>
      </c>
      <c r="U295" s="9"/>
      <c r="V295" s="9"/>
      <c r="W295" s="9">
        <f>TABL1234[[#This Row],[(A/B TOT) AJD]]+TABL1234[[#This Row],[(A/S TOT)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Row],[البخر  AJD]])</f>
        <v>0</v>
      </c>
      <c r="AE295" s="33"/>
      <c r="AF295" s="6"/>
      <c r="AG295" s="6"/>
      <c r="AH295" s="6"/>
      <c r="AI295" s="6"/>
      <c r="AJ295" s="33">
        <f>TABL1234[[#This Row],[(A/B TOT) AJD]]-TABL1234[[#This Row],[BER_ IN]]</f>
        <v>0</v>
      </c>
      <c r="AK295" s="6"/>
      <c r="AL295" s="6"/>
      <c r="AM295" s="32"/>
      <c r="AN295" s="32">
        <f>TABL1234[[#This Row],[ (RESV. STORGE) SER]]/10</f>
        <v>0</v>
      </c>
      <c r="AO295" s="75"/>
      <c r="AP295" s="75">
        <f>TABL1234[[#This Row],[(A/S TOT) AJD]]-TABL1234[[#This Row],[SER_ 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Row],[خط (T/B  TOT) SAR]]+TABL1234[[#This Row],[خط (S/S  TOT) SAR2]]</f>
        <v>0</v>
      </c>
      <c r="L296" s="28"/>
      <c r="M296" s="29"/>
      <c r="N296" s="30"/>
      <c r="O296" s="9"/>
      <c r="P296" s="9">
        <f>TABL1234[[#This Row],[خط (S/S  TOT) SAR2]]-TABL1234[[#This Row],[(S/S TOT) AJD]]</f>
        <v>0</v>
      </c>
      <c r="Q296" s="9"/>
      <c r="R296" s="9">
        <f>TABL1234[[#This Row],[خط (T/B  TOT) SAR]]-TABL1234[[#This Row],[(T/B TOT) AJD]]</f>
        <v>0</v>
      </c>
      <c r="S296" s="9">
        <f>TABL1234[[#This Row],[الفرق بين بداية ونهاية خط  T/B]]+TABL1234[[#This Row],[الفرق بين بداية ونهاية خط  S/S]]</f>
        <v>0</v>
      </c>
      <c r="T296" s="9">
        <f>TABL1234[[#This Row],[(S/S TOT) AJD]]+TABL1234[[#This Row],[(T/B TOT) AJD]]</f>
        <v>0</v>
      </c>
      <c r="U296" s="9"/>
      <c r="V296" s="9"/>
      <c r="W296" s="9">
        <f>TABL1234[[#This Row],[(A/B TOT) AJD]]+TABL1234[[#This Row],[(A/S TOT)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Row],[البخر  AJD]])</f>
        <v>0</v>
      </c>
      <c r="AE296" s="33"/>
      <c r="AF296" s="6"/>
      <c r="AG296" s="6"/>
      <c r="AH296" s="6"/>
      <c r="AI296" s="6"/>
      <c r="AJ296" s="33">
        <f>TABL1234[[#This Row],[(A/B TOT) AJD]]-TABL1234[[#This Row],[BER_ IN]]</f>
        <v>0</v>
      </c>
      <c r="AK296" s="6"/>
      <c r="AL296" s="6"/>
      <c r="AM296" s="32"/>
      <c r="AN296" s="32">
        <f>TABL1234[[#This Row],[ (RESV. STORGE) SER]]/10</f>
        <v>0</v>
      </c>
      <c r="AO296" s="75"/>
      <c r="AP296" s="75">
        <f>TABL1234[[#This Row],[(A/S TOT) AJD]]-TABL1234[[#This Row],[SER_ 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Row],[خط (T/B  TOT) SAR]]+TABL1234[[#This Row],[خط (S/S  TOT) SAR2]]</f>
        <v>0</v>
      </c>
      <c r="L297" s="28"/>
      <c r="M297" s="29"/>
      <c r="N297" s="30"/>
      <c r="O297" s="9"/>
      <c r="P297" s="9">
        <f>TABL1234[[#This Row],[خط (S/S  TOT) SAR2]]-TABL1234[[#This Row],[(S/S TOT) AJD]]</f>
        <v>0</v>
      </c>
      <c r="Q297" s="9"/>
      <c r="R297" s="9">
        <f>TABL1234[[#This Row],[خط (T/B  TOT) SAR]]-TABL1234[[#This Row],[(T/B TOT) AJD]]</f>
        <v>0</v>
      </c>
      <c r="S297" s="9">
        <f>TABL1234[[#This Row],[الفرق بين بداية ونهاية خط  T/B]]+TABL1234[[#This Row],[الفرق بين بداية ونهاية خط  S/S]]</f>
        <v>0</v>
      </c>
      <c r="T297" s="9">
        <f>TABL1234[[#This Row],[(S/S TOT) AJD]]+TABL1234[[#This Row],[(T/B TOT) AJD]]</f>
        <v>0</v>
      </c>
      <c r="U297" s="9"/>
      <c r="V297" s="9"/>
      <c r="W297" s="9">
        <f>TABL1234[[#This Row],[(A/B TOT) AJD]]+TABL1234[[#This Row],[(A/S TOT)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Row],[البخر  AJD]])</f>
        <v>0</v>
      </c>
      <c r="AE297" s="33"/>
      <c r="AF297" s="6"/>
      <c r="AG297" s="6"/>
      <c r="AH297" s="6"/>
      <c r="AI297" s="6"/>
      <c r="AJ297" s="33">
        <f>TABL1234[[#This Row],[(A/B TOT) AJD]]-TABL1234[[#This Row],[BER_ IN]]</f>
        <v>0</v>
      </c>
      <c r="AK297" s="6"/>
      <c r="AL297" s="6"/>
      <c r="AM297" s="32"/>
      <c r="AN297" s="32">
        <f>TABL1234[[#This Row],[ (RESV. STORGE) SER]]/10</f>
        <v>0</v>
      </c>
      <c r="AO297" s="75"/>
      <c r="AP297" s="75">
        <f>TABL1234[[#This Row],[(A/S TOT) AJD]]-TABL1234[[#This Row],[SER_ 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Row],[خط (T/B  TOT) SAR]]+TABL1234[[#This Row],[خط (S/S  TOT) SAR2]]</f>
        <v>0</v>
      </c>
      <c r="L298" s="28"/>
      <c r="M298" s="29"/>
      <c r="N298" s="30"/>
      <c r="O298" s="9"/>
      <c r="P298" s="9">
        <f>TABL1234[[#This Row],[خط (S/S  TOT) SAR2]]-TABL1234[[#This Row],[(S/S TOT) AJD]]</f>
        <v>0</v>
      </c>
      <c r="Q298" s="9"/>
      <c r="R298" s="9">
        <f>TABL1234[[#This Row],[خط (T/B  TOT) SAR]]-TABL1234[[#This Row],[(T/B TOT) AJD]]</f>
        <v>0</v>
      </c>
      <c r="S298" s="9">
        <f>TABL1234[[#This Row],[الفرق بين بداية ونهاية خط  T/B]]+TABL1234[[#This Row],[الفرق بين بداية ونهاية خط  S/S]]</f>
        <v>0</v>
      </c>
      <c r="T298" s="9">
        <f>TABL1234[[#This Row],[(S/S TOT) AJD]]+TABL1234[[#This Row],[(T/B TOT) AJD]]</f>
        <v>0</v>
      </c>
      <c r="U298" s="9"/>
      <c r="V298" s="9"/>
      <c r="W298" s="9">
        <f>TABL1234[[#This Row],[(A/B TOT) AJD]]+TABL1234[[#This Row],[(A/S TOT)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Row],[البخر  AJD]])</f>
        <v>0</v>
      </c>
      <c r="AE298" s="33"/>
      <c r="AF298" s="6"/>
      <c r="AG298" s="6"/>
      <c r="AH298" s="6"/>
      <c r="AI298" s="6"/>
      <c r="AJ298" s="33">
        <f>TABL1234[[#This Row],[(A/B TOT) AJD]]-TABL1234[[#This Row],[BER_ IN]]</f>
        <v>0</v>
      </c>
      <c r="AK298" s="6"/>
      <c r="AL298" s="6"/>
      <c r="AM298" s="32"/>
      <c r="AN298" s="32">
        <f>TABL1234[[#This Row],[ (RESV. STORGE) SER]]/10</f>
        <v>0</v>
      </c>
      <c r="AO298" s="75"/>
      <c r="AP298" s="75">
        <f>TABL1234[[#This Row],[(A/S TOT) AJD]]-TABL1234[[#This Row],[SER_ 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Row],[خط (T/B  TOT) SAR]]+TABL1234[[#This Row],[خط (S/S  TOT) SAR2]]</f>
        <v>0</v>
      </c>
      <c r="L299" s="28"/>
      <c r="M299" s="29"/>
      <c r="N299" s="30"/>
      <c r="O299" s="9"/>
      <c r="P299" s="9">
        <f>TABL1234[[#This Row],[خط (S/S  TOT) SAR2]]-TABL1234[[#This Row],[(S/S TOT) AJD]]</f>
        <v>0</v>
      </c>
      <c r="Q299" s="9"/>
      <c r="R299" s="9">
        <f>TABL1234[[#This Row],[خط (T/B  TOT) SAR]]-TABL1234[[#This Row],[(T/B TOT) AJD]]</f>
        <v>0</v>
      </c>
      <c r="S299" s="9">
        <f>TABL1234[[#This Row],[الفرق بين بداية ونهاية خط  T/B]]+TABL1234[[#This Row],[الفرق بين بداية ونهاية خط  S/S]]</f>
        <v>0</v>
      </c>
      <c r="T299" s="9">
        <f>TABL1234[[#This Row],[(S/S TOT) AJD]]+TABL1234[[#This Row],[(T/B TOT) AJD]]</f>
        <v>0</v>
      </c>
      <c r="U299" s="9"/>
      <c r="V299" s="9"/>
      <c r="W299" s="9">
        <f>TABL1234[[#This Row],[(A/B TOT) AJD]]+TABL1234[[#This Row],[(A/S TOT)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Row],[البخر  AJD]])</f>
        <v>0</v>
      </c>
      <c r="AE299" s="33"/>
      <c r="AF299" s="6"/>
      <c r="AG299" s="6"/>
      <c r="AH299" s="6"/>
      <c r="AI299" s="6"/>
      <c r="AJ299" s="33">
        <f>TABL1234[[#This Row],[(A/B TOT) AJD]]-TABL1234[[#This Row],[BER_ IN]]</f>
        <v>0</v>
      </c>
      <c r="AK299" s="6"/>
      <c r="AL299" s="6"/>
      <c r="AM299" s="32"/>
      <c r="AN299" s="32">
        <f>TABL1234[[#This Row],[ (RESV. STORGE) SER]]/10</f>
        <v>0</v>
      </c>
      <c r="AO299" s="75"/>
      <c r="AP299" s="75">
        <f>TABL1234[[#This Row],[(A/S TOT) AJD]]-TABL1234[[#This Row],[SER_ 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Row],[خط (T/B  TOT) SAR]]+TABL1234[[#This Row],[خط (S/S  TOT) SAR2]]</f>
        <v>0</v>
      </c>
      <c r="L300" s="28"/>
      <c r="M300" s="29"/>
      <c r="N300" s="30"/>
      <c r="O300" s="9"/>
      <c r="P300" s="9">
        <f>TABL1234[[#This Row],[خط (S/S  TOT) SAR2]]-TABL1234[[#This Row],[(S/S TOT) AJD]]</f>
        <v>0</v>
      </c>
      <c r="Q300" s="9"/>
      <c r="R300" s="9">
        <f>TABL1234[[#This Row],[خط (T/B  TOT) SAR]]-TABL1234[[#This Row],[(T/B TOT) AJD]]</f>
        <v>0</v>
      </c>
      <c r="S300" s="9">
        <f>TABL1234[[#This Row],[الفرق بين بداية ونهاية خط  T/B]]+TABL1234[[#This Row],[الفرق بين بداية ونهاية خط  S/S]]</f>
        <v>0</v>
      </c>
      <c r="T300" s="9">
        <f>TABL1234[[#This Row],[(S/S TOT) AJD]]+TABL1234[[#This Row],[(T/B TOT) AJD]]</f>
        <v>0</v>
      </c>
      <c r="U300" s="9"/>
      <c r="V300" s="9"/>
      <c r="W300" s="9">
        <f>TABL1234[[#This Row],[(A/B TOT) AJD]]+TABL1234[[#This Row],[(A/S TOT)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Row],[البخر  AJD]])</f>
        <v>0</v>
      </c>
      <c r="AE300" s="33"/>
      <c r="AF300" s="6"/>
      <c r="AG300" s="6"/>
      <c r="AH300" s="6"/>
      <c r="AI300" s="6"/>
      <c r="AJ300" s="33">
        <f>TABL1234[[#This Row],[(A/B TOT) AJD]]-TABL1234[[#This Row],[BER_ IN]]</f>
        <v>0</v>
      </c>
      <c r="AK300" s="6"/>
      <c r="AL300" s="6"/>
      <c r="AM300" s="32"/>
      <c r="AN300" s="32">
        <f>TABL1234[[#This Row],[ (RESV. STORGE) SER]]/10</f>
        <v>0</v>
      </c>
      <c r="AO300" s="75"/>
      <c r="AP300" s="75">
        <f>TABL1234[[#This Row],[(A/S TOT) AJD]]-TABL1234[[#This Row],[SER_ 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Row],[خط (T/B  TOT) SAR]]+TABL1234[[#This Row],[خط (S/S  TOT) SAR2]]</f>
        <v>0</v>
      </c>
      <c r="L301" s="28"/>
      <c r="M301" s="29"/>
      <c r="N301" s="30"/>
      <c r="O301" s="9"/>
      <c r="P301" s="9">
        <f>TABL1234[[#This Row],[خط (S/S  TOT) SAR2]]-TABL1234[[#This Row],[(S/S TOT) AJD]]</f>
        <v>0</v>
      </c>
      <c r="Q301" s="9"/>
      <c r="R301" s="9">
        <f>TABL1234[[#This Row],[خط (T/B  TOT) SAR]]-TABL1234[[#This Row],[(T/B TOT) AJD]]</f>
        <v>0</v>
      </c>
      <c r="S301" s="9">
        <f>TABL1234[[#This Row],[الفرق بين بداية ونهاية خط  T/B]]+TABL1234[[#This Row],[الفرق بين بداية ونهاية خط  S/S]]</f>
        <v>0</v>
      </c>
      <c r="T301" s="9">
        <f>TABL1234[[#This Row],[(S/S TOT) AJD]]+TABL1234[[#This Row],[(T/B TOT) AJD]]</f>
        <v>0</v>
      </c>
      <c r="U301" s="9"/>
      <c r="V301" s="9"/>
      <c r="W301" s="9">
        <f>TABL1234[[#This Row],[(A/B TOT) AJD]]+TABL1234[[#This Row],[(A/S TOT)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Row],[البخر  AJD]])</f>
        <v>0</v>
      </c>
      <c r="AE301" s="33"/>
      <c r="AF301" s="6"/>
      <c r="AG301" s="6"/>
      <c r="AH301" s="6"/>
      <c r="AI301" s="6"/>
      <c r="AJ301" s="33">
        <f>TABL1234[[#This Row],[(A/B TOT) AJD]]-TABL1234[[#This Row],[BER_ IN]]</f>
        <v>0</v>
      </c>
      <c r="AK301" s="6"/>
      <c r="AL301" s="6"/>
      <c r="AM301" s="32"/>
      <c r="AN301" s="32">
        <f>TABL1234[[#This Row],[ (RESV. STORGE) SER]]/10</f>
        <v>0</v>
      </c>
      <c r="AO301" s="75"/>
      <c r="AP301" s="75">
        <f>TABL1234[[#This Row],[(A/S TOT) AJD]]-TABL1234[[#This Row],[SER_ 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Row],[خط (T/B  TOT) SAR]]+TABL1234[[#This Row],[خط (S/S  TOT) SAR2]]</f>
        <v>0</v>
      </c>
      <c r="L302" s="28"/>
      <c r="M302" s="29"/>
      <c r="N302" s="30"/>
      <c r="O302" s="9"/>
      <c r="P302" s="9">
        <f>TABL1234[[#This Row],[خط (S/S  TOT) SAR2]]-TABL1234[[#This Row],[(S/S TOT) AJD]]</f>
        <v>0</v>
      </c>
      <c r="Q302" s="9"/>
      <c r="R302" s="9">
        <f>TABL1234[[#This Row],[خط (T/B  TOT) SAR]]-TABL1234[[#This Row],[(T/B TOT) AJD]]</f>
        <v>0</v>
      </c>
      <c r="S302" s="9">
        <f>TABL1234[[#This Row],[الفرق بين بداية ونهاية خط  T/B]]+TABL1234[[#This Row],[الفرق بين بداية ونهاية خط  S/S]]</f>
        <v>0</v>
      </c>
      <c r="T302" s="9">
        <f>TABL1234[[#This Row],[(S/S TOT) AJD]]+TABL1234[[#This Row],[(T/B TOT) AJD]]</f>
        <v>0</v>
      </c>
      <c r="U302" s="9"/>
      <c r="V302" s="9"/>
      <c r="W302" s="9">
        <f>TABL1234[[#This Row],[(A/B TOT) AJD]]+TABL1234[[#This Row],[(A/S TOT)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Row],[البخر  AJD]])</f>
        <v>0</v>
      </c>
      <c r="AE302" s="33"/>
      <c r="AF302" s="6"/>
      <c r="AG302" s="6"/>
      <c r="AH302" s="6"/>
      <c r="AI302" s="6"/>
      <c r="AJ302" s="33">
        <f>TABL1234[[#This Row],[(A/B TOT) AJD]]-TABL1234[[#This Row],[BER_ IN]]</f>
        <v>0</v>
      </c>
      <c r="AK302" s="6"/>
      <c r="AL302" s="6"/>
      <c r="AM302" s="32"/>
      <c r="AN302" s="32">
        <f>TABL1234[[#This Row],[ (RESV. STORGE) SER]]/10</f>
        <v>0</v>
      </c>
      <c r="AO302" s="75"/>
      <c r="AP302" s="75">
        <f>TABL1234[[#This Row],[(A/S TOT) AJD]]-TABL1234[[#This Row],[SER_ 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Row],[خط (T/B  TOT) SAR]]+TABL1234[[#This Row],[خط (S/S  TOT) SAR2]]</f>
        <v>0</v>
      </c>
      <c r="L303" s="28"/>
      <c r="M303" s="29"/>
      <c r="N303" s="30"/>
      <c r="O303" s="9"/>
      <c r="P303" s="9">
        <f>TABL1234[[#This Row],[خط (S/S  TOT) SAR2]]-TABL1234[[#This Row],[(S/S TOT) AJD]]</f>
        <v>0</v>
      </c>
      <c r="Q303" s="9"/>
      <c r="R303" s="9">
        <f>TABL1234[[#This Row],[خط (T/B  TOT) SAR]]-TABL1234[[#This Row],[(T/B TOT) AJD]]</f>
        <v>0</v>
      </c>
      <c r="S303" s="9">
        <f>TABL1234[[#This Row],[الفرق بين بداية ونهاية خط  T/B]]+TABL1234[[#This Row],[الفرق بين بداية ونهاية خط  S/S]]</f>
        <v>0</v>
      </c>
      <c r="T303" s="9">
        <f>TABL1234[[#This Row],[(S/S TOT) AJD]]+TABL1234[[#This Row],[(T/B TOT) AJD]]</f>
        <v>0</v>
      </c>
      <c r="U303" s="9"/>
      <c r="V303" s="9"/>
      <c r="W303" s="9">
        <f>TABL1234[[#This Row],[(A/B TOT) AJD]]+TABL1234[[#This Row],[(A/S TOT)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Row],[البخر  AJD]])</f>
        <v>0</v>
      </c>
      <c r="AE303" s="33"/>
      <c r="AF303" s="6"/>
      <c r="AG303" s="6"/>
      <c r="AH303" s="6"/>
      <c r="AI303" s="6"/>
      <c r="AJ303" s="33">
        <f>TABL1234[[#This Row],[(A/B TOT) AJD]]-TABL1234[[#This Row],[BER_ IN]]</f>
        <v>0</v>
      </c>
      <c r="AK303" s="6"/>
      <c r="AL303" s="6"/>
      <c r="AM303" s="32"/>
      <c r="AN303" s="32">
        <f>TABL1234[[#This Row],[ (RESV. STORGE) SER]]/10</f>
        <v>0</v>
      </c>
      <c r="AO303" s="75"/>
      <c r="AP303" s="75">
        <f>TABL1234[[#This Row],[(A/S TOT) AJD]]-TABL1234[[#This Row],[SER_ 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Row],[خط (T/B  TOT) SAR]]+TABL1234[[#This Row],[خط (S/S  TOT) SAR2]]</f>
        <v>0</v>
      </c>
      <c r="L304" s="28"/>
      <c r="M304" s="29"/>
      <c r="N304" s="30"/>
      <c r="O304" s="9"/>
      <c r="P304" s="9">
        <f>TABL1234[[#This Row],[خط (S/S  TOT) SAR2]]-TABL1234[[#This Row],[(S/S TOT) AJD]]</f>
        <v>0</v>
      </c>
      <c r="Q304" s="9"/>
      <c r="R304" s="9">
        <f>TABL1234[[#This Row],[خط (T/B  TOT) SAR]]-TABL1234[[#This Row],[(T/B TOT) AJD]]</f>
        <v>0</v>
      </c>
      <c r="S304" s="9">
        <f>TABL1234[[#This Row],[الفرق بين بداية ونهاية خط  T/B]]+TABL1234[[#This Row],[الفرق بين بداية ونهاية خط  S/S]]</f>
        <v>0</v>
      </c>
      <c r="T304" s="9">
        <f>TABL1234[[#This Row],[(S/S TOT) AJD]]+TABL1234[[#This Row],[(T/B TOT) AJD]]</f>
        <v>0</v>
      </c>
      <c r="U304" s="9"/>
      <c r="V304" s="9"/>
      <c r="W304" s="9">
        <f>TABL1234[[#This Row],[(A/B TOT) AJD]]+TABL1234[[#This Row],[(A/S TOT)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Row],[البخر  AJD]])</f>
        <v>0</v>
      </c>
      <c r="AE304" s="33"/>
      <c r="AF304" s="6"/>
      <c r="AG304" s="6"/>
      <c r="AH304" s="6"/>
      <c r="AI304" s="6"/>
      <c r="AJ304" s="33">
        <f>TABL1234[[#This Row],[(A/B TOT) AJD]]-TABL1234[[#This Row],[BER_ IN]]</f>
        <v>0</v>
      </c>
      <c r="AK304" s="6"/>
      <c r="AL304" s="6"/>
      <c r="AM304" s="32"/>
      <c r="AN304" s="32">
        <f>TABL1234[[#This Row],[ (RESV. STORGE) SER]]/10</f>
        <v>0</v>
      </c>
      <c r="AO304" s="75"/>
      <c r="AP304" s="75">
        <f>TABL1234[[#This Row],[(A/S TOT) AJD]]-TABL1234[[#This Row],[SER_ 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Row],[خط (T/B  TOT) SAR]]+TABL1234[[#This Row],[خط (S/S  TOT) SAR2]]</f>
        <v>0</v>
      </c>
      <c r="L305" s="28"/>
      <c r="M305" s="29"/>
      <c r="N305" s="30"/>
      <c r="O305" s="9"/>
      <c r="P305" s="9">
        <f>TABL1234[[#This Row],[خط (S/S  TOT) SAR2]]-TABL1234[[#This Row],[(S/S TOT) AJD]]</f>
        <v>0</v>
      </c>
      <c r="Q305" s="9"/>
      <c r="R305" s="9">
        <f>TABL1234[[#This Row],[خط (T/B  TOT) SAR]]-TABL1234[[#This Row],[(T/B TOT) AJD]]</f>
        <v>0</v>
      </c>
      <c r="S305" s="9">
        <f>TABL1234[[#This Row],[الفرق بين بداية ونهاية خط  T/B]]+TABL1234[[#This Row],[الفرق بين بداية ونهاية خط  S/S]]</f>
        <v>0</v>
      </c>
      <c r="T305" s="9">
        <f>TABL1234[[#This Row],[(S/S TOT) AJD]]+TABL1234[[#This Row],[(T/B TOT) AJD]]</f>
        <v>0</v>
      </c>
      <c r="U305" s="9"/>
      <c r="V305" s="9"/>
      <c r="W305" s="9">
        <f>TABL1234[[#This Row],[(A/B TOT) AJD]]+TABL1234[[#This Row],[(A/S TOT)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Row],[البخر  AJD]])</f>
        <v>0</v>
      </c>
      <c r="AE305" s="33"/>
      <c r="AF305" s="6"/>
      <c r="AG305" s="6"/>
      <c r="AH305" s="6"/>
      <c r="AI305" s="6"/>
      <c r="AJ305" s="33">
        <f>TABL1234[[#This Row],[(A/B TOT) AJD]]-TABL1234[[#This Row],[BER_ IN]]</f>
        <v>0</v>
      </c>
      <c r="AK305" s="6"/>
      <c r="AL305" s="6"/>
      <c r="AM305" s="32"/>
      <c r="AN305" s="32">
        <f>TABL1234[[#This Row],[ (RESV. STORGE) SER]]/10</f>
        <v>0</v>
      </c>
      <c r="AO305" s="75"/>
      <c r="AP305" s="75">
        <f>TABL1234[[#This Row],[(A/S TOT) AJD]]-TABL1234[[#This Row],[SER_ 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Row],[خط (T/B  TOT) SAR]]+TABL1234[[#This Row],[خط (S/S  TOT) SAR2]]</f>
        <v>0</v>
      </c>
      <c r="L306" s="28"/>
      <c r="M306" s="29"/>
      <c r="N306" s="30"/>
      <c r="O306" s="39"/>
      <c r="P306" s="9">
        <f>TABL1234[[#This Row],[خط (S/S  TOT) SAR2]]-TABL1234[[#This Row],[(S/S TOT) AJD]]</f>
        <v>0</v>
      </c>
      <c r="Q306" s="9"/>
      <c r="R306" s="9">
        <f>TABL1234[[#This Row],[خط (T/B  TOT) SAR]]-TABL1234[[#This Row],[(T/B TOT) AJD]]</f>
        <v>0</v>
      </c>
      <c r="S306" s="9">
        <f>TABL1234[[#This Row],[الفرق بين بداية ونهاية خط  T/B]]+TABL1234[[#This Row],[الفرق بين بداية ونهاية خط  S/S]]</f>
        <v>0</v>
      </c>
      <c r="T306" s="9">
        <f>TABL1234[[#This Row],[(S/S TOT) AJD]]+TABL1234[[#This Row],[(T/B TOT) AJD]]</f>
        <v>0</v>
      </c>
      <c r="U306" s="9"/>
      <c r="V306" s="9"/>
      <c r="W306" s="9">
        <f>TABL1234[[#This Row],[(A/B TOT) AJD]]+TABL1234[[#This Row],[(A/S TOT)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Row],[البخر  AJD]])</f>
        <v>0</v>
      </c>
      <c r="AE306" s="33"/>
      <c r="AF306" s="6"/>
      <c r="AG306" s="6"/>
      <c r="AH306" s="6"/>
      <c r="AI306" s="6"/>
      <c r="AJ306" s="33">
        <f>TABL1234[[#This Row],[(A/B TOT) AJD]]-TABL1234[[#This Row],[BER_ IN]]</f>
        <v>0</v>
      </c>
      <c r="AK306" s="6"/>
      <c r="AL306" s="6"/>
      <c r="AM306" s="32"/>
      <c r="AN306" s="32">
        <f>TABL1234[[#This Row],[ (RESV. STORGE) SER]]/10</f>
        <v>0</v>
      </c>
      <c r="AO306" s="75"/>
      <c r="AP306" s="75">
        <f>TABL1234[[#This Row],[(A/S TOT) AJD]]-TABL1234[[#This Row],[SER_ 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Row],[خط (T/B  TOT) SAR]]+TABL1234[[#This Row],[خط (S/S  TOT) SAR2]]</f>
        <v>0</v>
      </c>
      <c r="L307" s="28"/>
      <c r="M307" s="29"/>
      <c r="N307" s="30"/>
      <c r="O307" s="40"/>
      <c r="P307" s="9">
        <f>TABL1234[[#This Row],[خط (S/S  TOT) SAR2]]-TABL1234[[#This Row],[(S/S TOT) AJD]]</f>
        <v>0</v>
      </c>
      <c r="Q307" s="9"/>
      <c r="R307" s="9">
        <f>TABL1234[[#This Row],[خط (T/B  TOT) SAR]]-TABL1234[[#This Row],[(T/B TOT) AJD]]</f>
        <v>0</v>
      </c>
      <c r="S307" s="9">
        <f>TABL1234[[#This Row],[الفرق بين بداية ونهاية خط  T/B]]+TABL1234[[#This Row],[الفرق بين بداية ونهاية خط  S/S]]</f>
        <v>0</v>
      </c>
      <c r="T307" s="9">
        <f>TABL1234[[#This Row],[(S/S TOT) AJD]]+TABL1234[[#This Row],[(T/B TOT) AJD]]</f>
        <v>0</v>
      </c>
      <c r="U307" s="9"/>
      <c r="V307" s="9"/>
      <c r="W307" s="9">
        <f>TABL1234[[#This Row],[(A/B TOT) AJD]]+TABL1234[[#This Row],[(A/S TOT)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Row],[البخر  AJD]])</f>
        <v>0</v>
      </c>
      <c r="AE307" s="33"/>
      <c r="AF307" s="6"/>
      <c r="AG307" s="6"/>
      <c r="AH307" s="6"/>
      <c r="AI307" s="6"/>
      <c r="AJ307" s="33">
        <f>TABL1234[[#This Row],[(A/B TOT) AJD]]-TABL1234[[#This Row],[BER_ IN]]</f>
        <v>0</v>
      </c>
      <c r="AK307" s="6"/>
      <c r="AL307" s="6"/>
      <c r="AM307" s="32"/>
      <c r="AN307" s="32">
        <f>TABL1234[[#This Row],[ (RESV. STORGE) SER]]/10</f>
        <v>0</v>
      </c>
      <c r="AO307" s="75"/>
      <c r="AP307" s="75">
        <f>TABL1234[[#This Row],[(A/S TOT) AJD]]-TABL1234[[#This Row],[SER_ 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Row],[خط (T/B  TOT) SAR]]+TABL1234[[#This Row],[خط (S/S  TOT) SAR2]]</f>
        <v>0</v>
      </c>
      <c r="L308" s="28"/>
      <c r="M308" s="29"/>
      <c r="N308" s="30"/>
      <c r="O308" s="39"/>
      <c r="P308" s="9">
        <f>TABL1234[[#This Row],[خط (S/S  TOT) SAR2]]-TABL1234[[#This Row],[(S/S TOT) AJD]]</f>
        <v>0</v>
      </c>
      <c r="Q308" s="9"/>
      <c r="R308" s="9">
        <f>TABL1234[[#This Row],[خط (T/B  TOT) SAR]]-TABL1234[[#This Row],[(T/B TOT) AJD]]</f>
        <v>0</v>
      </c>
      <c r="S308" s="9">
        <f>TABL1234[[#This Row],[الفرق بين بداية ونهاية خط  T/B]]+TABL1234[[#This Row],[الفرق بين بداية ونهاية خط  S/S]]</f>
        <v>0</v>
      </c>
      <c r="T308" s="9">
        <f>TABL1234[[#This Row],[(S/S TOT) AJD]]+TABL1234[[#This Row],[(T/B TOT) AJD]]</f>
        <v>0</v>
      </c>
      <c r="U308" s="9"/>
      <c r="V308" s="9"/>
      <c r="W308" s="9">
        <f>TABL1234[[#This Row],[(A/B TOT) AJD]]+TABL1234[[#This Row],[(A/S TOT)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Row],[البخر  AJD]])</f>
        <v>0</v>
      </c>
      <c r="AE308" s="33"/>
      <c r="AF308" s="6"/>
      <c r="AG308" s="6"/>
      <c r="AH308" s="6"/>
      <c r="AI308" s="6"/>
      <c r="AJ308" s="33">
        <f>TABL1234[[#This Row],[(A/B TOT) AJD]]-TABL1234[[#This Row],[BER_ IN]]</f>
        <v>0</v>
      </c>
      <c r="AK308" s="6"/>
      <c r="AL308" s="6"/>
      <c r="AM308" s="32"/>
      <c r="AN308" s="32">
        <f>TABL1234[[#This Row],[ (RESV. STORGE) SER]]/10</f>
        <v>0</v>
      </c>
      <c r="AO308" s="75"/>
      <c r="AP308" s="75">
        <f>TABL1234[[#This Row],[(A/S TOT) AJD]]-TABL1234[[#This Row],[SER_ 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Row],[خط (T/B  TOT) SAR]]+TABL1234[[#This Row],[خط (S/S  TOT) SAR2]]</f>
        <v>0</v>
      </c>
      <c r="L309" s="28"/>
      <c r="M309" s="29"/>
      <c r="N309" s="30"/>
      <c r="O309" s="40"/>
      <c r="P309" s="9">
        <f>TABL1234[[#This Row],[خط (S/S  TOT) SAR2]]-TABL1234[[#This Row],[(S/S TOT) AJD]]</f>
        <v>0</v>
      </c>
      <c r="Q309" s="9"/>
      <c r="R309" s="9">
        <f>TABL1234[[#This Row],[خط (T/B  TOT) SAR]]-TABL1234[[#This Row],[(T/B TOT) AJD]]</f>
        <v>0</v>
      </c>
      <c r="S309" s="9">
        <f>TABL1234[[#This Row],[الفرق بين بداية ونهاية خط  T/B]]+TABL1234[[#This Row],[الفرق بين بداية ونهاية خط  S/S]]</f>
        <v>0</v>
      </c>
      <c r="T309" s="9">
        <f>TABL1234[[#This Row],[(S/S TOT) AJD]]+TABL1234[[#This Row],[(T/B TOT) AJD]]</f>
        <v>0</v>
      </c>
      <c r="U309" s="9"/>
      <c r="V309" s="9"/>
      <c r="W309" s="9">
        <f>TABL1234[[#This Row],[(A/B TOT) AJD]]+TABL1234[[#This Row],[(A/S TOT)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Row],[البخر  AJD]])</f>
        <v>0</v>
      </c>
      <c r="AE309" s="33"/>
      <c r="AF309" s="6"/>
      <c r="AG309" s="6"/>
      <c r="AH309" s="6"/>
      <c r="AI309" s="6"/>
      <c r="AJ309" s="33">
        <f>TABL1234[[#This Row],[(A/B TOT) AJD]]-TABL1234[[#This Row],[BER_ IN]]</f>
        <v>0</v>
      </c>
      <c r="AK309" s="6"/>
      <c r="AL309" s="6"/>
      <c r="AM309" s="32"/>
      <c r="AN309" s="32">
        <f>TABL1234[[#This Row],[ (RESV. STORGE) SER]]/10</f>
        <v>0</v>
      </c>
      <c r="AO309" s="75"/>
      <c r="AP309" s="75">
        <f>TABL1234[[#This Row],[(A/S TOT) AJD]]-TABL1234[[#This Row],[SER_ 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Row],[خط (T/B  TOT) SAR]]+TABL1234[[#This Row],[خط (S/S  TOT) SAR2]]</f>
        <v>0</v>
      </c>
      <c r="L310" s="28"/>
      <c r="M310" s="29"/>
      <c r="N310" s="30"/>
      <c r="O310" s="39"/>
      <c r="P310" s="9">
        <f>TABL1234[[#This Row],[خط (S/S  TOT) SAR2]]-TABL1234[[#This Row],[(S/S TOT) AJD]]</f>
        <v>0</v>
      </c>
      <c r="Q310" s="9"/>
      <c r="R310" s="9">
        <f>TABL1234[[#This Row],[خط (T/B  TOT) SAR]]-TABL1234[[#This Row],[(T/B TOT) AJD]]</f>
        <v>0</v>
      </c>
      <c r="S310" s="9">
        <f>TABL1234[[#This Row],[الفرق بين بداية ونهاية خط  T/B]]+TABL1234[[#This Row],[الفرق بين بداية ونهاية خط  S/S]]</f>
        <v>0</v>
      </c>
      <c r="T310" s="9">
        <f>TABL1234[[#This Row],[(S/S TOT) AJD]]+TABL1234[[#This Row],[(T/B TOT) AJD]]</f>
        <v>0</v>
      </c>
      <c r="U310" s="9"/>
      <c r="V310" s="9"/>
      <c r="W310" s="9">
        <f>TABL1234[[#This Row],[(A/B TOT) AJD]]+TABL1234[[#This Row],[(A/S TOT)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Row],[البخر  AJD]])</f>
        <v>0</v>
      </c>
      <c r="AE310" s="33"/>
      <c r="AF310" s="6"/>
      <c r="AG310" s="6"/>
      <c r="AH310" s="6"/>
      <c r="AI310" s="6"/>
      <c r="AJ310" s="33">
        <f>TABL1234[[#This Row],[(A/B TOT) AJD]]-TABL1234[[#This Row],[BER_ IN]]</f>
        <v>0</v>
      </c>
      <c r="AK310" s="6"/>
      <c r="AL310" s="6"/>
      <c r="AM310" s="32"/>
      <c r="AN310" s="32">
        <f>TABL1234[[#This Row],[ (RESV. STORGE) SER]]/10</f>
        <v>0</v>
      </c>
      <c r="AO310" s="75"/>
      <c r="AP310" s="75">
        <f>TABL1234[[#This Row],[(A/S TOT) AJD]]-TABL1234[[#This Row],[SER_ 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Row],[خط (T/B  TOT) SAR]]+TABL1234[[#This Row],[خط (S/S  TOT) SAR2]]</f>
        <v>0</v>
      </c>
      <c r="L311" s="28"/>
      <c r="M311" s="29"/>
      <c r="N311" s="30"/>
      <c r="O311" s="40"/>
      <c r="P311" s="9">
        <f>TABL1234[[#This Row],[خط (S/S  TOT) SAR2]]-TABL1234[[#This Row],[(S/S TOT) AJD]]</f>
        <v>0</v>
      </c>
      <c r="Q311" s="9"/>
      <c r="R311" s="9">
        <f>TABL1234[[#This Row],[خط (T/B  TOT) SAR]]-TABL1234[[#This Row],[(T/B TOT) AJD]]</f>
        <v>0</v>
      </c>
      <c r="S311" s="9">
        <f>TABL1234[[#This Row],[الفرق بين بداية ونهاية خط  T/B]]+TABL1234[[#This Row],[الفرق بين بداية ونهاية خط  S/S]]</f>
        <v>0</v>
      </c>
      <c r="T311" s="9">
        <f>TABL1234[[#This Row],[(S/S TOT) AJD]]+TABL1234[[#This Row],[(T/B TOT) AJD]]</f>
        <v>0</v>
      </c>
      <c r="U311" s="9"/>
      <c r="V311" s="9"/>
      <c r="W311" s="9">
        <f>TABL1234[[#This Row],[(A/B TOT) AJD]]+TABL1234[[#This Row],[(A/S TOT)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Row],[البخر  AJD]])</f>
        <v>0</v>
      </c>
      <c r="AE311" s="33"/>
      <c r="AF311" s="6"/>
      <c r="AG311" s="6"/>
      <c r="AH311" s="6"/>
      <c r="AI311" s="6"/>
      <c r="AJ311" s="33">
        <f>TABL1234[[#This Row],[(A/B TOT) AJD]]-TABL1234[[#This Row],[BER_ IN]]</f>
        <v>0</v>
      </c>
      <c r="AK311" s="6"/>
      <c r="AL311" s="6"/>
      <c r="AM311" s="32"/>
      <c r="AN311" s="32">
        <f>TABL1234[[#This Row],[ (RESV. STORGE) SER]]/10</f>
        <v>0</v>
      </c>
      <c r="AO311" s="75"/>
      <c r="AP311" s="75">
        <f>TABL1234[[#This Row],[(A/S TOT) AJD]]-TABL1234[[#This Row],[SER_ 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Row],[خط (T/B  TOT) SAR]]+TABL1234[[#This Row],[خط (S/S  TOT) SAR2]]</f>
        <v>0</v>
      </c>
      <c r="L312" s="28"/>
      <c r="M312" s="29"/>
      <c r="N312" s="30"/>
      <c r="O312" s="39"/>
      <c r="P312" s="9">
        <f>TABL1234[[#This Row],[خط (S/S  TOT) SAR2]]-TABL1234[[#This Row],[(S/S TOT) AJD]]</f>
        <v>0</v>
      </c>
      <c r="Q312" s="9"/>
      <c r="R312" s="9">
        <f>TABL1234[[#This Row],[خط (T/B  TOT) SAR]]-TABL1234[[#This Row],[(T/B TOT) AJD]]</f>
        <v>0</v>
      </c>
      <c r="S312" s="9">
        <f>TABL1234[[#This Row],[الفرق بين بداية ونهاية خط  T/B]]+TABL1234[[#This Row],[الفرق بين بداية ونهاية خط  S/S]]</f>
        <v>0</v>
      </c>
      <c r="T312" s="9">
        <f>TABL1234[[#This Row],[(S/S TOT) AJD]]+TABL1234[[#This Row],[(T/B TOT) AJD]]</f>
        <v>0</v>
      </c>
      <c r="U312" s="9"/>
      <c r="V312" s="9"/>
      <c r="W312" s="9">
        <f>TABL1234[[#This Row],[(A/B TOT) AJD]]+TABL1234[[#This Row],[(A/S TOT)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Row],[البخر  AJD]])</f>
        <v>0</v>
      </c>
      <c r="AE312" s="33"/>
      <c r="AF312" s="6"/>
      <c r="AG312" s="6"/>
      <c r="AH312" s="6"/>
      <c r="AI312" s="6"/>
      <c r="AJ312" s="33">
        <f>TABL1234[[#This Row],[(A/B TOT) AJD]]-TABL1234[[#This Row],[BER_ IN]]</f>
        <v>0</v>
      </c>
      <c r="AK312" s="6"/>
      <c r="AL312" s="6"/>
      <c r="AM312" s="32"/>
      <c r="AN312" s="32">
        <f>TABL1234[[#This Row],[ (RESV. STORGE) SER]]/10</f>
        <v>0</v>
      </c>
      <c r="AO312" s="75"/>
      <c r="AP312" s="75">
        <f>TABL1234[[#This Row],[(A/S TOT) AJD]]-TABL1234[[#This Row],[SER_ 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Row],[خط (T/B  TOT) SAR]]+TABL1234[[#This Row],[خط (S/S  TOT) SAR2]]</f>
        <v>0</v>
      </c>
      <c r="L313" s="28"/>
      <c r="M313" s="29"/>
      <c r="N313" s="30"/>
      <c r="O313" s="40"/>
      <c r="P313" s="9">
        <f>TABL1234[[#This Row],[خط (S/S  TOT) SAR2]]-TABL1234[[#This Row],[(S/S TOT) AJD]]</f>
        <v>0</v>
      </c>
      <c r="Q313" s="9"/>
      <c r="R313" s="9">
        <f>TABL1234[[#This Row],[خط (T/B  TOT) SAR]]-TABL1234[[#This Row],[(T/B TOT) AJD]]</f>
        <v>0</v>
      </c>
      <c r="S313" s="9">
        <f>TABL1234[[#This Row],[الفرق بين بداية ونهاية خط  T/B]]+TABL1234[[#This Row],[الفرق بين بداية ونهاية خط  S/S]]</f>
        <v>0</v>
      </c>
      <c r="T313" s="9">
        <f>TABL1234[[#This Row],[(S/S TOT) AJD]]+TABL1234[[#This Row],[(T/B TOT) AJD]]</f>
        <v>0</v>
      </c>
      <c r="U313" s="9"/>
      <c r="V313" s="9"/>
      <c r="W313" s="9">
        <f>TABL1234[[#This Row],[(A/B TOT) AJD]]+TABL1234[[#This Row],[(A/S TOT)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Row],[البخر  AJD]])</f>
        <v>0</v>
      </c>
      <c r="AE313" s="33"/>
      <c r="AF313" s="6"/>
      <c r="AG313" s="6"/>
      <c r="AH313" s="6"/>
      <c r="AI313" s="6"/>
      <c r="AJ313" s="33">
        <f>TABL1234[[#This Row],[(A/B TOT) AJD]]-TABL1234[[#This Row],[BER_ IN]]</f>
        <v>0</v>
      </c>
      <c r="AK313" s="6"/>
      <c r="AL313" s="6"/>
      <c r="AM313" s="32"/>
      <c r="AN313" s="32">
        <f>TABL1234[[#This Row],[ (RESV. STORGE) SER]]/10</f>
        <v>0</v>
      </c>
      <c r="AO313" s="75"/>
      <c r="AP313" s="75">
        <f>TABL1234[[#This Row],[(A/S TOT) AJD]]-TABL1234[[#This Row],[SER_ 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Row],[خط (T/B  TOT) SAR]]+TABL1234[[#This Row],[خط (S/S  TOT) SAR2]]</f>
        <v>0</v>
      </c>
      <c r="L314" s="28"/>
      <c r="M314" s="29"/>
      <c r="N314" s="30"/>
      <c r="O314" s="39"/>
      <c r="P314" s="9">
        <f>TABL1234[[#This Row],[خط (S/S  TOT) SAR2]]-TABL1234[[#This Row],[(S/S TOT) AJD]]</f>
        <v>0</v>
      </c>
      <c r="Q314" s="9"/>
      <c r="R314" s="9">
        <f>TABL1234[[#This Row],[خط (T/B  TOT) SAR]]-TABL1234[[#This Row],[(T/B TOT) AJD]]</f>
        <v>0</v>
      </c>
      <c r="S314" s="9">
        <f>TABL1234[[#This Row],[الفرق بين بداية ونهاية خط  T/B]]+TABL1234[[#This Row],[الفرق بين بداية ونهاية خط  S/S]]</f>
        <v>0</v>
      </c>
      <c r="T314" s="9">
        <f>TABL1234[[#This Row],[(S/S TOT) AJD]]+TABL1234[[#This Row],[(T/B TOT) AJD]]</f>
        <v>0</v>
      </c>
      <c r="U314" s="9"/>
      <c r="V314" s="9"/>
      <c r="W314" s="9">
        <f>TABL1234[[#This Row],[(A/B TOT) AJD]]+TABL1234[[#This Row],[(A/S TOT)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Row],[البخر  AJD]])</f>
        <v>0</v>
      </c>
      <c r="AE314" s="33"/>
      <c r="AF314" s="6"/>
      <c r="AG314" s="6"/>
      <c r="AH314" s="6"/>
      <c r="AI314" s="6"/>
      <c r="AJ314" s="33">
        <f>TABL1234[[#This Row],[(A/B TOT) AJD]]-TABL1234[[#This Row],[BER_ IN]]</f>
        <v>0</v>
      </c>
      <c r="AK314" s="6"/>
      <c r="AL314" s="6"/>
      <c r="AM314" s="32"/>
      <c r="AN314" s="32">
        <f>TABL1234[[#This Row],[ (RESV. STORGE) SER]]/10</f>
        <v>0</v>
      </c>
      <c r="AO314" s="75"/>
      <c r="AP314" s="75">
        <f>TABL1234[[#This Row],[(A/S TOT) AJD]]-TABL1234[[#This Row],[SER_ 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Row],[خط (T/B  TOT) SAR]]+TABL1234[[#This Row],[خط (S/S  TOT) SAR2]]</f>
        <v>0</v>
      </c>
      <c r="L315" s="28"/>
      <c r="M315" s="29"/>
      <c r="N315" s="30"/>
      <c r="O315" s="40"/>
      <c r="P315" s="9">
        <f>TABL1234[[#This Row],[خط (S/S  TOT) SAR2]]-TABL1234[[#This Row],[(S/S TOT) AJD]]</f>
        <v>0</v>
      </c>
      <c r="Q315" s="9"/>
      <c r="R315" s="9">
        <f>TABL1234[[#This Row],[خط (T/B  TOT) SAR]]-TABL1234[[#This Row],[(T/B TOT) AJD]]</f>
        <v>0</v>
      </c>
      <c r="S315" s="9">
        <f>TABL1234[[#This Row],[الفرق بين بداية ونهاية خط  T/B]]+TABL1234[[#This Row],[الفرق بين بداية ونهاية خط  S/S]]</f>
        <v>0</v>
      </c>
      <c r="T315" s="9">
        <f>TABL1234[[#This Row],[(S/S TOT) AJD]]+TABL1234[[#This Row],[(T/B TOT) AJD]]</f>
        <v>0</v>
      </c>
      <c r="U315" s="9"/>
      <c r="V315" s="9"/>
      <c r="W315" s="9">
        <f>TABL1234[[#This Row],[(A/B TOT) AJD]]+TABL1234[[#This Row],[(A/S TOT)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Row],[البخر  AJD]])</f>
        <v>0</v>
      </c>
      <c r="AE315" s="33"/>
      <c r="AF315" s="6"/>
      <c r="AG315" s="6"/>
      <c r="AH315" s="6"/>
      <c r="AI315" s="6"/>
      <c r="AJ315" s="33">
        <f>TABL1234[[#This Row],[(A/B TOT) AJD]]-TABL1234[[#This Row],[BER_ IN]]</f>
        <v>0</v>
      </c>
      <c r="AK315" s="6"/>
      <c r="AL315" s="6"/>
      <c r="AM315" s="32"/>
      <c r="AN315" s="32">
        <f>TABL1234[[#This Row],[ (RESV. STORGE) SER]]/10</f>
        <v>0</v>
      </c>
      <c r="AO315" s="75"/>
      <c r="AP315" s="75">
        <f>TABL1234[[#This Row],[(A/S TOT) AJD]]-TABL1234[[#This Row],[SER_ 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Row],[خط (T/B  TOT) SAR]]+TABL1234[[#This Row],[خط (S/S  TOT) SAR2]]</f>
        <v>0</v>
      </c>
      <c r="L316" s="28"/>
      <c r="M316" s="29"/>
      <c r="N316" s="30"/>
      <c r="O316" s="39"/>
      <c r="P316" s="9">
        <f>TABL1234[[#This Row],[خط (S/S  TOT) SAR2]]-TABL1234[[#This Row],[(S/S TOT) AJD]]</f>
        <v>0</v>
      </c>
      <c r="Q316" s="9"/>
      <c r="R316" s="9">
        <f>TABL1234[[#This Row],[خط (T/B  TOT) SAR]]-TABL1234[[#This Row],[(T/B TOT) AJD]]</f>
        <v>0</v>
      </c>
      <c r="S316" s="9">
        <f>TABL1234[[#This Row],[الفرق بين بداية ونهاية خط  T/B]]+TABL1234[[#This Row],[الفرق بين بداية ونهاية خط  S/S]]</f>
        <v>0</v>
      </c>
      <c r="T316" s="9">
        <f>TABL1234[[#This Row],[(S/S TOT) AJD]]+TABL1234[[#This Row],[(T/B TOT) AJD]]</f>
        <v>0</v>
      </c>
      <c r="U316" s="9"/>
      <c r="V316" s="9"/>
      <c r="W316" s="9">
        <f>TABL1234[[#This Row],[(A/B TOT) AJD]]+TABL1234[[#This Row],[(A/S TOT)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Row],[البخر  AJD]])</f>
        <v>0</v>
      </c>
      <c r="AE316" s="33"/>
      <c r="AF316" s="6"/>
      <c r="AG316" s="6"/>
      <c r="AH316" s="6"/>
      <c r="AI316" s="6"/>
      <c r="AJ316" s="33">
        <f>TABL1234[[#This Row],[(A/B TOT) AJD]]-TABL1234[[#This Row],[BER_ IN]]</f>
        <v>0</v>
      </c>
      <c r="AK316" s="6"/>
      <c r="AL316" s="6"/>
      <c r="AM316" s="32"/>
      <c r="AN316" s="32">
        <f>TABL1234[[#This Row],[ (RESV. STORGE) SER]]/10</f>
        <v>0</v>
      </c>
      <c r="AO316" s="75"/>
      <c r="AP316" s="75">
        <f>TABL1234[[#This Row],[(A/S TOT) AJD]]-TABL1234[[#This Row],[SER_ 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Row],[خط (T/B  TOT) SAR]]+TABL1234[[#This Row],[خط (S/S  TOT) SAR2]]</f>
        <v>0</v>
      </c>
      <c r="L317" s="28"/>
      <c r="M317" s="29"/>
      <c r="N317" s="30"/>
      <c r="O317" s="40"/>
      <c r="P317" s="9">
        <f>TABL1234[[#This Row],[خط (S/S  TOT) SAR2]]-TABL1234[[#This Row],[(S/S TOT) AJD]]</f>
        <v>0</v>
      </c>
      <c r="Q317" s="9"/>
      <c r="R317" s="9">
        <f>TABL1234[[#This Row],[خط (T/B  TOT) SAR]]-TABL1234[[#This Row],[(T/B TOT) AJD]]</f>
        <v>0</v>
      </c>
      <c r="S317" s="9">
        <f>TABL1234[[#This Row],[الفرق بين بداية ونهاية خط  T/B]]+TABL1234[[#This Row],[الفرق بين بداية ونهاية خط  S/S]]</f>
        <v>0</v>
      </c>
      <c r="T317" s="9">
        <f>TABL1234[[#This Row],[(S/S TOT) AJD]]+TABL1234[[#This Row],[(T/B TOT) AJD]]</f>
        <v>0</v>
      </c>
      <c r="U317" s="9"/>
      <c r="V317" s="9"/>
      <c r="W317" s="9">
        <f>TABL1234[[#This Row],[(A/B TOT) AJD]]+TABL1234[[#This Row],[(A/S TOT)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Row],[البخر  AJD]])</f>
        <v>0</v>
      </c>
      <c r="AE317" s="33"/>
      <c r="AF317" s="6"/>
      <c r="AG317" s="6"/>
      <c r="AH317" s="6"/>
      <c r="AI317" s="6"/>
      <c r="AJ317" s="33">
        <f>TABL1234[[#This Row],[(A/B TOT) AJD]]-TABL1234[[#This Row],[BER_ IN]]</f>
        <v>0</v>
      </c>
      <c r="AK317" s="6"/>
      <c r="AL317" s="6"/>
      <c r="AM317" s="32"/>
      <c r="AN317" s="32">
        <f>TABL1234[[#This Row],[ (RESV. STORGE) SER]]/10</f>
        <v>0</v>
      </c>
      <c r="AO317" s="75"/>
      <c r="AP317" s="75">
        <f>TABL1234[[#This Row],[(A/S TOT) AJD]]-TABL1234[[#This Row],[SER_ 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Row],[خط (T/B  TOT) SAR]]+TABL1234[[#This Row],[خط (S/S  TOT) SAR2]]</f>
        <v>0</v>
      </c>
      <c r="L318" s="28"/>
      <c r="M318" s="29"/>
      <c r="N318" s="30"/>
      <c r="O318" s="39"/>
      <c r="P318" s="9">
        <f>TABL1234[[#This Row],[خط (S/S  TOT) SAR2]]-TABL1234[[#This Row],[(S/S TOT) AJD]]</f>
        <v>0</v>
      </c>
      <c r="Q318" s="9"/>
      <c r="R318" s="9">
        <f>TABL1234[[#This Row],[خط (T/B  TOT) SAR]]-TABL1234[[#This Row],[(T/B TOT) AJD]]</f>
        <v>0</v>
      </c>
      <c r="S318" s="9">
        <f>TABL1234[[#This Row],[الفرق بين بداية ونهاية خط  T/B]]+TABL1234[[#This Row],[الفرق بين بداية ونهاية خط  S/S]]</f>
        <v>0</v>
      </c>
      <c r="T318" s="9">
        <f>TABL1234[[#This Row],[(S/S TOT) AJD]]+TABL1234[[#This Row],[(T/B TOT) AJD]]</f>
        <v>0</v>
      </c>
      <c r="U318" s="9"/>
      <c r="V318" s="9"/>
      <c r="W318" s="9">
        <f>TABL1234[[#This Row],[(A/B TOT) AJD]]+TABL1234[[#This Row],[(A/S TOT)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Row],[البخر  AJD]])</f>
        <v>0</v>
      </c>
      <c r="AE318" s="33"/>
      <c r="AF318" s="6"/>
      <c r="AG318" s="6"/>
      <c r="AH318" s="6"/>
      <c r="AI318" s="6"/>
      <c r="AJ318" s="33">
        <f>TABL1234[[#This Row],[(A/B TOT) AJD]]-TABL1234[[#This Row],[BER_ IN]]</f>
        <v>0</v>
      </c>
      <c r="AK318" s="6"/>
      <c r="AL318" s="6"/>
      <c r="AM318" s="32"/>
      <c r="AN318" s="32">
        <f>TABL1234[[#This Row],[ (RESV. STORGE) SER]]/10</f>
        <v>0</v>
      </c>
      <c r="AO318" s="75"/>
      <c r="AP318" s="75">
        <f>TABL1234[[#This Row],[(A/S TOT) AJD]]-TABL1234[[#This Row],[SER_ 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Row],[خط (T/B  TOT) SAR]]+TABL1234[[#This Row],[خط (S/S  TOT) SAR2]]</f>
        <v>0</v>
      </c>
      <c r="L319" s="28"/>
      <c r="M319" s="29"/>
      <c r="N319" s="30"/>
      <c r="O319" s="40"/>
      <c r="P319" s="9">
        <f>TABL1234[[#This Row],[خط (S/S  TOT) SAR2]]-TABL1234[[#This Row],[(S/S TOT) AJD]]</f>
        <v>0</v>
      </c>
      <c r="Q319" s="9"/>
      <c r="R319" s="9">
        <f>TABL1234[[#This Row],[خط (T/B  TOT) SAR]]-TABL1234[[#This Row],[(T/B TOT) AJD]]</f>
        <v>0</v>
      </c>
      <c r="S319" s="9">
        <f>TABL1234[[#This Row],[الفرق بين بداية ونهاية خط  T/B]]+TABL1234[[#This Row],[الفرق بين بداية ونهاية خط  S/S]]</f>
        <v>0</v>
      </c>
      <c r="T319" s="9">
        <f>TABL1234[[#This Row],[(S/S TOT) AJD]]+TABL1234[[#This Row],[(T/B TOT) AJD]]</f>
        <v>0</v>
      </c>
      <c r="U319" s="9"/>
      <c r="V319" s="9"/>
      <c r="W319" s="9">
        <f>TABL1234[[#This Row],[(A/B TOT) AJD]]+TABL1234[[#This Row],[(A/S TOT)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Row],[البخر  AJD]])</f>
        <v>0</v>
      </c>
      <c r="AE319" s="33"/>
      <c r="AF319" s="6"/>
      <c r="AG319" s="6"/>
      <c r="AH319" s="6"/>
      <c r="AI319" s="6"/>
      <c r="AJ319" s="33">
        <f>TABL1234[[#This Row],[(A/B TOT) AJD]]-TABL1234[[#This Row],[BER_ IN]]</f>
        <v>0</v>
      </c>
      <c r="AK319" s="6"/>
      <c r="AL319" s="6"/>
      <c r="AM319" s="32"/>
      <c r="AN319" s="32">
        <f>TABL1234[[#This Row],[ (RESV. STORGE) SER]]/10</f>
        <v>0</v>
      </c>
      <c r="AO319" s="75"/>
      <c r="AP319" s="75">
        <f>TABL1234[[#This Row],[(A/S TOT) AJD]]-TABL1234[[#This Row],[SER_ 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Row],[خط (T/B  TOT) SAR]]+TABL1234[[#This Row],[خط (S/S  TOT) SAR2]]</f>
        <v>0</v>
      </c>
      <c r="L320" s="28"/>
      <c r="M320" s="29"/>
      <c r="N320" s="30"/>
      <c r="O320" s="39"/>
      <c r="P320" s="9">
        <f>TABL1234[[#This Row],[خط (S/S  TOT) SAR2]]-TABL1234[[#This Row],[(S/S TOT) AJD]]</f>
        <v>0</v>
      </c>
      <c r="Q320" s="9"/>
      <c r="R320" s="9">
        <f>TABL1234[[#This Row],[خط (T/B  TOT) SAR]]-TABL1234[[#This Row],[(T/B TOT) AJD]]</f>
        <v>0</v>
      </c>
      <c r="S320" s="9">
        <f>TABL1234[[#This Row],[الفرق بين بداية ونهاية خط  T/B]]+TABL1234[[#This Row],[الفرق بين بداية ونهاية خط  S/S]]</f>
        <v>0</v>
      </c>
      <c r="T320" s="9">
        <f>TABL1234[[#This Row],[(S/S TOT) AJD]]+TABL1234[[#This Row],[(T/B TOT) AJD]]</f>
        <v>0</v>
      </c>
      <c r="U320" s="9"/>
      <c r="V320" s="9"/>
      <c r="W320" s="9">
        <f>TABL1234[[#This Row],[(A/B TOT) AJD]]+TABL1234[[#This Row],[(A/S TOT)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Row],[البخر  AJD]])</f>
        <v>0</v>
      </c>
      <c r="AE320" s="33"/>
      <c r="AF320" s="6"/>
      <c r="AG320" s="6"/>
      <c r="AH320" s="6"/>
      <c r="AI320" s="6"/>
      <c r="AJ320" s="33">
        <f>TABL1234[[#This Row],[(A/B TOT) AJD]]-TABL1234[[#This Row],[BER_ IN]]</f>
        <v>0</v>
      </c>
      <c r="AK320" s="6"/>
      <c r="AL320" s="6"/>
      <c r="AM320" s="32"/>
      <c r="AN320" s="32">
        <f>TABL1234[[#This Row],[ (RESV. STORGE) SER]]/10</f>
        <v>0</v>
      </c>
      <c r="AO320" s="75"/>
      <c r="AP320" s="75">
        <f>TABL1234[[#This Row],[(A/S TOT) AJD]]-TABL1234[[#This Row],[SER_ 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Row],[خط (T/B  TOT) SAR]]+TABL1234[[#This Row],[خط (S/S  TOT) SAR2]]</f>
        <v>0</v>
      </c>
      <c r="L321" s="28"/>
      <c r="M321" s="29"/>
      <c r="N321" s="30"/>
      <c r="O321" s="40"/>
      <c r="P321" s="9">
        <f>TABL1234[[#This Row],[خط (S/S  TOT) SAR2]]-TABL1234[[#This Row],[(S/S TOT) AJD]]</f>
        <v>0</v>
      </c>
      <c r="Q321" s="9"/>
      <c r="R321" s="9">
        <f>TABL1234[[#This Row],[خط (T/B  TOT) SAR]]-TABL1234[[#This Row],[(T/B TOT) AJD]]</f>
        <v>0</v>
      </c>
      <c r="S321" s="9">
        <f>TABL1234[[#This Row],[الفرق بين بداية ونهاية خط  T/B]]+TABL1234[[#This Row],[الفرق بين بداية ونهاية خط  S/S]]</f>
        <v>0</v>
      </c>
      <c r="T321" s="9">
        <f>TABL1234[[#This Row],[(S/S TOT) AJD]]+TABL1234[[#This Row],[(T/B TOT) AJD]]</f>
        <v>0</v>
      </c>
      <c r="U321" s="9"/>
      <c r="V321" s="9"/>
      <c r="W321" s="9">
        <f>TABL1234[[#This Row],[(A/B TOT) AJD]]+TABL1234[[#This Row],[(A/S TOT)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Row],[البخر  AJD]])</f>
        <v>0</v>
      </c>
      <c r="AE321" s="33"/>
      <c r="AF321" s="6"/>
      <c r="AG321" s="6"/>
      <c r="AH321" s="6"/>
      <c r="AI321" s="6"/>
      <c r="AJ321" s="33">
        <f>TABL1234[[#This Row],[(A/B TOT) AJD]]-TABL1234[[#This Row],[BER_ IN]]</f>
        <v>0</v>
      </c>
      <c r="AK321" s="6"/>
      <c r="AL321" s="6"/>
      <c r="AM321" s="32"/>
      <c r="AN321" s="32">
        <f>TABL1234[[#This Row],[ (RESV. STORGE) SER]]/10</f>
        <v>0</v>
      </c>
      <c r="AO321" s="75"/>
      <c r="AP321" s="75">
        <f>TABL1234[[#This Row],[(A/S TOT) AJD]]-TABL1234[[#This Row],[SER_ 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Row],[خط (T/B  TOT) SAR]]+TABL1234[[#This Row],[خط (S/S  TOT) SAR2]]</f>
        <v>0</v>
      </c>
      <c r="L322" s="28"/>
      <c r="M322" s="29"/>
      <c r="N322" s="30"/>
      <c r="O322" s="39"/>
      <c r="P322" s="9">
        <f>TABL1234[[#This Row],[خط (S/S  TOT) SAR2]]-TABL1234[[#This Row],[(S/S TOT) AJD]]</f>
        <v>0</v>
      </c>
      <c r="Q322" s="9"/>
      <c r="R322" s="9">
        <f>TABL1234[[#This Row],[خط (T/B  TOT) SAR]]-TABL1234[[#This Row],[(T/B TOT) AJD]]</f>
        <v>0</v>
      </c>
      <c r="S322" s="9">
        <f>TABL1234[[#This Row],[الفرق بين بداية ونهاية خط  T/B]]+TABL1234[[#This Row],[الفرق بين بداية ونهاية خط  S/S]]</f>
        <v>0</v>
      </c>
      <c r="T322" s="9">
        <f>TABL1234[[#This Row],[(S/S TOT) AJD]]+TABL1234[[#This Row],[(T/B TOT) AJD]]</f>
        <v>0</v>
      </c>
      <c r="U322" s="9"/>
      <c r="V322" s="9"/>
      <c r="W322" s="9">
        <f>TABL1234[[#This Row],[(A/B TOT) AJD]]+TABL1234[[#This Row],[(A/S TOT)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Row],[البخر  AJD]])</f>
        <v>0</v>
      </c>
      <c r="AE322" s="33"/>
      <c r="AF322" s="6"/>
      <c r="AG322" s="6"/>
      <c r="AH322" s="6"/>
      <c r="AI322" s="6"/>
      <c r="AJ322" s="33">
        <f>TABL1234[[#This Row],[(A/B TOT) AJD]]-TABL1234[[#This Row],[BER_ IN]]</f>
        <v>0</v>
      </c>
      <c r="AK322" s="6"/>
      <c r="AL322" s="6"/>
      <c r="AM322" s="32"/>
      <c r="AN322" s="32">
        <f>TABL1234[[#This Row],[ (RESV. STORGE) SER]]/10</f>
        <v>0</v>
      </c>
      <c r="AO322" s="75"/>
      <c r="AP322" s="75">
        <f>TABL1234[[#This Row],[(A/S TOT) AJD]]-TABL1234[[#This Row],[SER_ 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Row],[خط (T/B  TOT) SAR]]+TABL1234[[#This Row],[خط (S/S  TOT) SAR2]]</f>
        <v>0</v>
      </c>
      <c r="L323" s="28"/>
      <c r="M323" s="29"/>
      <c r="N323" s="30"/>
      <c r="O323" s="40"/>
      <c r="P323" s="9">
        <f>TABL1234[[#This Row],[خط (S/S  TOT) SAR2]]-TABL1234[[#This Row],[(S/S TOT) AJD]]</f>
        <v>0</v>
      </c>
      <c r="Q323" s="9"/>
      <c r="R323" s="9">
        <f>TABL1234[[#This Row],[خط (T/B  TOT) SAR]]-TABL1234[[#This Row],[(T/B TOT) AJD]]</f>
        <v>0</v>
      </c>
      <c r="S323" s="9">
        <f>TABL1234[[#This Row],[الفرق بين بداية ونهاية خط  T/B]]+TABL1234[[#This Row],[الفرق بين بداية ونهاية خط  S/S]]</f>
        <v>0</v>
      </c>
      <c r="T323" s="9">
        <f>TABL1234[[#This Row],[(S/S TOT) AJD]]+TABL1234[[#This Row],[(T/B TOT) AJD]]</f>
        <v>0</v>
      </c>
      <c r="U323" s="9"/>
      <c r="V323" s="9"/>
      <c r="W323" s="9">
        <f>TABL1234[[#This Row],[(A/B TOT) AJD]]+TABL1234[[#This Row],[(A/S TOT)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Row],[البخر  AJD]])</f>
        <v>0</v>
      </c>
      <c r="AE323" s="33"/>
      <c r="AF323" s="6"/>
      <c r="AG323" s="6"/>
      <c r="AH323" s="6"/>
      <c r="AI323" s="6"/>
      <c r="AJ323" s="33">
        <f>TABL1234[[#This Row],[(A/B TOT) AJD]]-TABL1234[[#This Row],[BER_ IN]]</f>
        <v>0</v>
      </c>
      <c r="AK323" s="6"/>
      <c r="AL323" s="6"/>
      <c r="AM323" s="32"/>
      <c r="AN323" s="32">
        <f>TABL1234[[#This Row],[ (RESV. STORGE) SER]]/10</f>
        <v>0</v>
      </c>
      <c r="AO323" s="75"/>
      <c r="AP323" s="75">
        <f>TABL1234[[#This Row],[(A/S TOT) AJD]]-TABL1234[[#This Row],[SER_ 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Row],[خط (T/B  TOT) SAR]]+TABL1234[[#This Row],[خط (S/S  TOT) SAR2]]</f>
        <v>0</v>
      </c>
      <c r="L324" s="28"/>
      <c r="M324" s="29"/>
      <c r="N324" s="30"/>
      <c r="O324" s="39"/>
      <c r="P324" s="9">
        <f>TABL1234[[#This Row],[خط (S/S  TOT) SAR2]]-TABL1234[[#This Row],[(S/S TOT) AJD]]</f>
        <v>0</v>
      </c>
      <c r="Q324" s="9"/>
      <c r="R324" s="9">
        <f>TABL1234[[#This Row],[خط (T/B  TOT) SAR]]-TABL1234[[#This Row],[(T/B TOT) AJD]]</f>
        <v>0</v>
      </c>
      <c r="S324" s="9">
        <f>TABL1234[[#This Row],[الفرق بين بداية ونهاية خط  T/B]]+TABL1234[[#This Row],[الفرق بين بداية ونهاية خط  S/S]]</f>
        <v>0</v>
      </c>
      <c r="T324" s="9">
        <f>TABL1234[[#This Row],[(S/S TOT) AJD]]+TABL1234[[#This Row],[(T/B TOT) AJD]]</f>
        <v>0</v>
      </c>
      <c r="U324" s="9"/>
      <c r="V324" s="9"/>
      <c r="W324" s="9">
        <f>TABL1234[[#This Row],[(A/B TOT) AJD]]+TABL1234[[#This Row],[(A/S TOT)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(Z324-Z323)/1000</f>
        <v>0</v>
      </c>
      <c r="AC324" s="5"/>
      <c r="AD324" s="6">
        <f>TABL1234[[#This Row],[( S/S+T/B) AJD]]-(TABL1234[[#This Row],[(A/B + A/S) AJD]]+(TABL1234[[#This Row],[(STORGE DIFF.) AJD]]*1000)+TABL1234[[#This Row],[البخر  AJD]])</f>
        <v>0</v>
      </c>
      <c r="AE324" s="33"/>
      <c r="AF324" s="6"/>
      <c r="AG324" s="6"/>
      <c r="AH324" s="6"/>
      <c r="AI324" s="6"/>
      <c r="AJ324" s="33">
        <f>TABL1234[[#This Row],[(A/B TOT) AJD]]-TABL1234[[#This Row],[BER_ IN]]</f>
        <v>0</v>
      </c>
      <c r="AK324" s="6"/>
      <c r="AL324" s="6"/>
      <c r="AM324" s="32"/>
      <c r="AN324" s="32">
        <f>TABL1234[[#This Row],[ (RESV. STORGE) SER]]/10</f>
        <v>0</v>
      </c>
      <c r="AO324" s="75"/>
      <c r="AP324" s="75">
        <f>TABL1234[[#This Row],[(A/S TOT) AJD]]-TABL1234[[#This Row],[SER_ 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Row],[خط (T/B  TOT) SAR]]+TABL1234[[#This Row],[خط (S/S  TOT) SAR2]]</f>
        <v>0</v>
      </c>
      <c r="L325" s="28"/>
      <c r="M325" s="29"/>
      <c r="N325" s="30"/>
      <c r="O325" s="40"/>
      <c r="P325" s="9">
        <f>TABL1234[[#This Row],[خط (S/S  TOT) SAR2]]-TABL1234[[#This Row],[(S/S TOT) AJD]]</f>
        <v>0</v>
      </c>
      <c r="Q325" s="9"/>
      <c r="R325" s="9">
        <f>TABL1234[[#This Row],[خط (T/B  TOT) SAR]]-TABL1234[[#This Row],[(T/B TOT) AJD]]</f>
        <v>0</v>
      </c>
      <c r="S325" s="9">
        <f>TABL1234[[#This Row],[الفرق بين بداية ونهاية خط  T/B]]+TABL1234[[#This Row],[الفرق بين بداية ونهاية خط  S/S]]</f>
        <v>0</v>
      </c>
      <c r="T325" s="9">
        <f>TABL1234[[#This Row],[(S/S TOT) AJD]]+TABL1234[[#This Row],[(T/B TOT) AJD]]</f>
        <v>0</v>
      </c>
      <c r="U325" s="9"/>
      <c r="V325" s="9"/>
      <c r="W325" s="9">
        <f>TABL1234[[#This Row],[(A/B TOT) AJD]]+TABL1234[[#This Row],[(A/S TOT)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Row],[البخر  AJD]])</f>
        <v>0</v>
      </c>
      <c r="AE325" s="33"/>
      <c r="AF325" s="6"/>
      <c r="AG325" s="6"/>
      <c r="AH325" s="6"/>
      <c r="AI325" s="6"/>
      <c r="AJ325" s="33">
        <f>TABL1234[[#This Row],[(A/B TOT) AJD]]-TABL1234[[#This Row],[BER_ IN]]</f>
        <v>0</v>
      </c>
      <c r="AK325" s="6"/>
      <c r="AL325" s="6"/>
      <c r="AM325" s="32"/>
      <c r="AN325" s="32">
        <f>TABL1234[[#This Row],[ (RESV. STORGE) SER]]/10</f>
        <v>0</v>
      </c>
      <c r="AO325" s="75"/>
      <c r="AP325" s="75">
        <f>TABL1234[[#This Row],[(A/S TOT) AJD]]-TABL1234[[#This Row],[SER_ 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Row],[خط (T/B  TOT) SAR]]+TABL1234[[#This Row],[خط (S/S  TOT) SAR2]]</f>
        <v>0</v>
      </c>
      <c r="L326" s="28"/>
      <c r="M326" s="29"/>
      <c r="N326" s="30"/>
      <c r="O326" s="39"/>
      <c r="P326" s="9">
        <f>TABL1234[[#This Row],[خط (S/S  TOT) SAR2]]-TABL1234[[#This Row],[(S/S TOT) AJD]]</f>
        <v>0</v>
      </c>
      <c r="Q326" s="9"/>
      <c r="R326" s="9">
        <f>TABL1234[[#This Row],[خط (T/B  TOT) SAR]]-TABL1234[[#This Row],[(T/B TOT) AJD]]</f>
        <v>0</v>
      </c>
      <c r="S326" s="9">
        <f>TABL1234[[#This Row],[الفرق بين بداية ونهاية خط  T/B]]+TABL1234[[#This Row],[الفرق بين بداية ونهاية خط  S/S]]</f>
        <v>0</v>
      </c>
      <c r="T326" s="9">
        <f>TABL1234[[#This Row],[(S/S TOT) AJD]]+TABL1234[[#This Row],[(T/B TOT) AJD]]</f>
        <v>0</v>
      </c>
      <c r="U326" s="9"/>
      <c r="V326" s="9"/>
      <c r="W326" s="9">
        <f>TABL1234[[#This Row],[(A/B TOT) AJD]]+TABL1234[[#This Row],[(A/S TOT)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Row],[البخر  AJD]])</f>
        <v>0</v>
      </c>
      <c r="AE326" s="33"/>
      <c r="AF326" s="6"/>
      <c r="AG326" s="6"/>
      <c r="AH326" s="6"/>
      <c r="AI326" s="6"/>
      <c r="AJ326" s="33">
        <f>TABL1234[[#This Row],[(A/B TOT) AJD]]-TABL1234[[#This Row],[BER_ IN]]</f>
        <v>0</v>
      </c>
      <c r="AK326" s="6"/>
      <c r="AL326" s="6"/>
      <c r="AM326" s="32"/>
      <c r="AN326" s="32">
        <f>TABL1234[[#This Row],[ (RESV. STORGE) SER]]/10</f>
        <v>0</v>
      </c>
      <c r="AO326" s="75"/>
      <c r="AP326" s="75">
        <f>TABL1234[[#This Row],[(A/S TOT) AJD]]-TABL1234[[#This Row],[SER_ 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Row],[خط (T/B  TOT) SAR]]+TABL1234[[#This Row],[خط (S/S  TOT) SAR2]]</f>
        <v>0</v>
      </c>
      <c r="L327" s="28"/>
      <c r="M327" s="29"/>
      <c r="N327" s="30"/>
      <c r="O327" s="40"/>
      <c r="P327" s="9">
        <f>TABL1234[[#This Row],[خط (S/S  TOT) SAR2]]-TABL1234[[#This Row],[(S/S TOT) AJD]]</f>
        <v>0</v>
      </c>
      <c r="Q327" s="9"/>
      <c r="R327" s="9">
        <f>TABL1234[[#This Row],[خط (T/B  TOT) SAR]]-TABL1234[[#This Row],[(T/B TOT) AJD]]</f>
        <v>0</v>
      </c>
      <c r="S327" s="9">
        <f>TABL1234[[#This Row],[الفرق بين بداية ونهاية خط  T/B]]+TABL1234[[#This Row],[الفرق بين بداية ونهاية خط  S/S]]</f>
        <v>0</v>
      </c>
      <c r="T327" s="9">
        <f>TABL1234[[#This Row],[(S/S TOT) AJD]]+TABL1234[[#This Row],[(T/B TOT) AJD]]</f>
        <v>0</v>
      </c>
      <c r="U327" s="9"/>
      <c r="V327" s="9"/>
      <c r="W327" s="9">
        <f>TABL1234[[#This Row],[(A/B TOT) AJD]]+TABL1234[[#This Row],[(A/S TOT)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Row],[البخر  AJD]])</f>
        <v>0</v>
      </c>
      <c r="AE327" s="33"/>
      <c r="AF327" s="6"/>
      <c r="AG327" s="6"/>
      <c r="AH327" s="6"/>
      <c r="AI327" s="6"/>
      <c r="AJ327" s="33">
        <f>TABL1234[[#This Row],[(A/B TOT) AJD]]-TABL1234[[#This Row],[BER_ IN]]</f>
        <v>0</v>
      </c>
      <c r="AK327" s="6"/>
      <c r="AL327" s="6"/>
      <c r="AM327" s="32"/>
      <c r="AN327" s="32">
        <f>TABL1234[[#This Row],[ (RESV. STORGE) SER]]/10</f>
        <v>0</v>
      </c>
      <c r="AO327" s="75"/>
      <c r="AP327" s="75">
        <f>TABL1234[[#This Row],[(A/S TOT) AJD]]-TABL1234[[#This Row],[SER_ 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Row],[خط (T/B  TOT) SAR]]+TABL1234[[#This Row],[خط (S/S  TOT) SAR2]]</f>
        <v>0</v>
      </c>
      <c r="L328" s="28"/>
      <c r="M328" s="29"/>
      <c r="N328" s="30"/>
      <c r="O328" s="39"/>
      <c r="P328" s="9">
        <f>TABL1234[[#This Row],[خط (S/S  TOT) SAR2]]-TABL1234[[#This Row],[(S/S TOT) AJD]]</f>
        <v>0</v>
      </c>
      <c r="Q328" s="9"/>
      <c r="R328" s="9">
        <f>TABL1234[[#This Row],[خط (T/B  TOT) SAR]]-TABL1234[[#This Row],[(T/B TOT) AJD]]</f>
        <v>0</v>
      </c>
      <c r="S328" s="9">
        <f>TABL1234[[#This Row],[الفرق بين بداية ونهاية خط  T/B]]+TABL1234[[#This Row],[الفرق بين بداية ونهاية خط  S/S]]</f>
        <v>0</v>
      </c>
      <c r="T328" s="9">
        <f>TABL1234[[#This Row],[(S/S TOT) AJD]]+TABL1234[[#This Row],[(T/B TOT) AJD]]</f>
        <v>0</v>
      </c>
      <c r="U328" s="9"/>
      <c r="V328" s="9"/>
      <c r="W328" s="9">
        <f>TABL1234[[#This Row],[(A/B TOT) AJD]]+TABL1234[[#This Row],[(A/S TOT)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Row],[البخر  AJD]])</f>
        <v>0</v>
      </c>
      <c r="AE328" s="33"/>
      <c r="AF328" s="6"/>
      <c r="AG328" s="6"/>
      <c r="AH328" s="6"/>
      <c r="AI328" s="6"/>
      <c r="AJ328" s="33">
        <f>TABL1234[[#This Row],[(A/B TOT) AJD]]-TABL1234[[#This Row],[BER_ IN]]</f>
        <v>0</v>
      </c>
      <c r="AK328" s="6"/>
      <c r="AL328" s="6"/>
      <c r="AM328" s="32"/>
      <c r="AN328" s="32">
        <f>TABL1234[[#This Row],[ (RESV. STORGE) SER]]/10</f>
        <v>0</v>
      </c>
      <c r="AO328" s="75"/>
      <c r="AP328" s="75">
        <f>TABL1234[[#This Row],[(A/S TOT) AJD]]-TABL1234[[#This Row],[SER_ 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Row],[خط (T/B  TOT) SAR]]+TABL1234[[#This Row],[خط (S/S  TOT) SAR2]]</f>
        <v>0</v>
      </c>
      <c r="L329" s="28"/>
      <c r="M329" s="29"/>
      <c r="N329" s="30"/>
      <c r="O329" s="40"/>
      <c r="P329" s="9">
        <f>TABL1234[[#This Row],[خط (S/S  TOT) SAR2]]-TABL1234[[#This Row],[(S/S TOT) AJD]]</f>
        <v>0</v>
      </c>
      <c r="Q329" s="9"/>
      <c r="R329" s="9">
        <f>TABL1234[[#This Row],[خط (T/B  TOT) SAR]]-TABL1234[[#This Row],[(T/B TOT) AJD]]</f>
        <v>0</v>
      </c>
      <c r="S329" s="9">
        <f>TABL1234[[#This Row],[الفرق بين بداية ونهاية خط  T/B]]+TABL1234[[#This Row],[الفرق بين بداية ونهاية خط  S/S]]</f>
        <v>0</v>
      </c>
      <c r="T329" s="9">
        <f>TABL1234[[#This Row],[(S/S TOT) AJD]]+TABL1234[[#This Row],[(T/B TOT) AJD]]</f>
        <v>0</v>
      </c>
      <c r="U329" s="9"/>
      <c r="V329" s="9"/>
      <c r="W329" s="9">
        <f>TABL1234[[#This Row],[(A/B TOT) AJD]]+TABL1234[[#This Row],[(A/S TOT)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Row],[البخر  AJD]])</f>
        <v>0</v>
      </c>
      <c r="AE329" s="33"/>
      <c r="AF329" s="6"/>
      <c r="AG329" s="6"/>
      <c r="AH329" s="6"/>
      <c r="AI329" s="6"/>
      <c r="AJ329" s="33">
        <f>TABL1234[[#This Row],[(A/B TOT) AJD]]-TABL1234[[#This Row],[BER_ IN]]</f>
        <v>0</v>
      </c>
      <c r="AK329" s="6"/>
      <c r="AL329" s="6"/>
      <c r="AM329" s="32"/>
      <c r="AN329" s="32">
        <f>TABL1234[[#This Row],[ (RESV. STORGE) SER]]/10</f>
        <v>0</v>
      </c>
      <c r="AO329" s="75"/>
      <c r="AP329" s="75">
        <f>TABL1234[[#This Row],[(A/S TOT) AJD]]-TABL1234[[#This Row],[SER_ 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Row],[خط (T/B  TOT) SAR]]+TABL1234[[#This Row],[خط (S/S  TOT) SAR2]]</f>
        <v>0</v>
      </c>
      <c r="L330" s="28"/>
      <c r="M330" s="29"/>
      <c r="N330" s="30"/>
      <c r="O330" s="39"/>
      <c r="P330" s="9">
        <f>TABL1234[[#This Row],[خط (S/S  TOT) SAR2]]-TABL1234[[#This Row],[(S/S TOT) AJD]]</f>
        <v>0</v>
      </c>
      <c r="Q330" s="9"/>
      <c r="R330" s="9">
        <f>TABL1234[[#This Row],[خط (T/B  TOT) SAR]]-TABL1234[[#This Row],[(T/B TOT) AJD]]</f>
        <v>0</v>
      </c>
      <c r="S330" s="9">
        <f>TABL1234[[#This Row],[الفرق بين بداية ونهاية خط  T/B]]+TABL1234[[#This Row],[الفرق بين بداية ونهاية خط  S/S]]</f>
        <v>0</v>
      </c>
      <c r="T330" s="9">
        <f>TABL1234[[#This Row],[(S/S TOT) AJD]]+TABL1234[[#This Row],[(T/B TOT) AJD]]</f>
        <v>0</v>
      </c>
      <c r="U330" s="9"/>
      <c r="V330" s="9"/>
      <c r="W330" s="9">
        <f>TABL1234[[#This Row],[(A/B TOT) AJD]]+TABL1234[[#This Row],[(A/S TOT)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Row],[البخر  AJD]])</f>
        <v>0</v>
      </c>
      <c r="AE330" s="33"/>
      <c r="AF330" s="6"/>
      <c r="AG330" s="6"/>
      <c r="AH330" s="6"/>
      <c r="AI330" s="6"/>
      <c r="AJ330" s="33">
        <f>TABL1234[[#This Row],[(A/B TOT) AJD]]-TABL1234[[#This Row],[BER_ IN]]</f>
        <v>0</v>
      </c>
      <c r="AK330" s="6"/>
      <c r="AL330" s="6"/>
      <c r="AM330" s="32"/>
      <c r="AN330" s="32">
        <f>TABL1234[[#This Row],[ (RESV. STORGE) SER]]/10</f>
        <v>0</v>
      </c>
      <c r="AO330" s="75"/>
      <c r="AP330" s="75">
        <f>TABL1234[[#This Row],[(A/S TOT) AJD]]-TABL1234[[#This Row],[SER_ 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Row],[خط (T/B  TOT) SAR]]+TABL1234[[#This Row],[خط (S/S  TOT) SAR2]]</f>
        <v>0</v>
      </c>
      <c r="L331" s="28"/>
      <c r="M331" s="29"/>
      <c r="N331" s="30"/>
      <c r="O331" s="40"/>
      <c r="P331" s="9">
        <f>TABL1234[[#This Row],[خط (S/S  TOT) SAR2]]-TABL1234[[#This Row],[(S/S TOT) AJD]]</f>
        <v>0</v>
      </c>
      <c r="Q331" s="9"/>
      <c r="R331" s="9">
        <f>TABL1234[[#This Row],[خط (T/B  TOT) SAR]]-TABL1234[[#This Row],[(T/B TOT) AJD]]</f>
        <v>0</v>
      </c>
      <c r="S331" s="9">
        <f>TABL1234[[#This Row],[الفرق بين بداية ونهاية خط  T/B]]+TABL1234[[#This Row],[الفرق بين بداية ونهاية خط  S/S]]</f>
        <v>0</v>
      </c>
      <c r="T331" s="9">
        <f>TABL1234[[#This Row],[(S/S TOT) AJD]]+TABL1234[[#This Row],[(T/B TOT) AJD]]</f>
        <v>0</v>
      </c>
      <c r="U331" s="9"/>
      <c r="V331" s="9"/>
      <c r="W331" s="9">
        <f>TABL1234[[#This Row],[(A/B TOT) AJD]]+TABL1234[[#This Row],[(A/S TOT)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Row],[البخر  AJD]])</f>
        <v>0</v>
      </c>
      <c r="AE331" s="33"/>
      <c r="AF331" s="6"/>
      <c r="AG331" s="6"/>
      <c r="AH331" s="6"/>
      <c r="AI331" s="6"/>
      <c r="AJ331" s="33">
        <f>TABL1234[[#This Row],[(A/B TOT) AJD]]-TABL1234[[#This Row],[BER_ IN]]</f>
        <v>0</v>
      </c>
      <c r="AK331" s="6"/>
      <c r="AL331" s="6"/>
      <c r="AM331" s="32"/>
      <c r="AN331" s="32">
        <f>TABL1234[[#This Row],[ (RESV. STORGE) SER]]/10</f>
        <v>0</v>
      </c>
      <c r="AO331" s="75"/>
      <c r="AP331" s="75">
        <f>TABL1234[[#This Row],[(A/S TOT) AJD]]-TABL1234[[#This Row],[SER_ 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Row],[خط (T/B  TOT) SAR]]+TABL1234[[#This Row],[خط (S/S  TOT) SAR2]]</f>
        <v>0</v>
      </c>
      <c r="L332" s="28"/>
      <c r="M332" s="29"/>
      <c r="N332" s="30"/>
      <c r="O332" s="39"/>
      <c r="P332" s="9">
        <f>TABL1234[[#This Row],[خط (S/S  TOT) SAR2]]-TABL1234[[#This Row],[(S/S TOT) AJD]]</f>
        <v>0</v>
      </c>
      <c r="Q332" s="9"/>
      <c r="R332" s="9">
        <f>TABL1234[[#This Row],[خط (T/B  TOT) SAR]]-TABL1234[[#This Row],[(T/B TOT) AJD]]</f>
        <v>0</v>
      </c>
      <c r="S332" s="9">
        <f>TABL1234[[#This Row],[الفرق بين بداية ونهاية خط  T/B]]+TABL1234[[#This Row],[الفرق بين بداية ونهاية خط  S/S]]</f>
        <v>0</v>
      </c>
      <c r="T332" s="9">
        <f>TABL1234[[#This Row],[(S/S TOT) AJD]]+TABL1234[[#This Row],[(T/B TOT) AJD]]</f>
        <v>0</v>
      </c>
      <c r="U332" s="9"/>
      <c r="V332" s="9"/>
      <c r="W332" s="9">
        <f>TABL1234[[#This Row],[(A/B TOT) AJD]]+TABL1234[[#This Row],[(A/S TOT)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Row],[البخر  AJD]])</f>
        <v>0</v>
      </c>
      <c r="AE332" s="33"/>
      <c r="AF332" s="6"/>
      <c r="AG332" s="6"/>
      <c r="AH332" s="6"/>
      <c r="AI332" s="6"/>
      <c r="AJ332" s="33">
        <f>TABL1234[[#This Row],[(A/B TOT) AJD]]-TABL1234[[#This Row],[BER_ IN]]</f>
        <v>0</v>
      </c>
      <c r="AK332" s="6"/>
      <c r="AL332" s="6"/>
      <c r="AM332" s="32"/>
      <c r="AN332" s="32">
        <f>TABL1234[[#This Row],[ (RESV. STORGE) SER]]/10</f>
        <v>0</v>
      </c>
      <c r="AO332" s="75"/>
      <c r="AP332" s="75">
        <f>TABL1234[[#This Row],[(A/S TOT) AJD]]-TABL1234[[#This Row],[SER_ 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Row],[خط (T/B  TOT) SAR]]+TABL1234[[#This Row],[خط (S/S  TOT) SAR2]]</f>
        <v>0</v>
      </c>
      <c r="L333" s="28"/>
      <c r="M333" s="29"/>
      <c r="N333" s="30"/>
      <c r="O333" s="40"/>
      <c r="P333" s="9">
        <f>TABL1234[[#This Row],[خط (S/S  TOT) SAR2]]-TABL1234[[#This Row],[(S/S TOT) AJD]]</f>
        <v>0</v>
      </c>
      <c r="Q333" s="9"/>
      <c r="R333" s="9">
        <f>TABL1234[[#This Row],[خط (T/B  TOT) SAR]]-TABL1234[[#This Row],[(T/B TOT) AJD]]</f>
        <v>0</v>
      </c>
      <c r="S333" s="9">
        <f>TABL1234[[#This Row],[الفرق بين بداية ونهاية خط  T/B]]+TABL1234[[#This Row],[الفرق بين بداية ونهاية خط  S/S]]</f>
        <v>0</v>
      </c>
      <c r="T333" s="9">
        <f>TABL1234[[#This Row],[(S/S TOT) AJD]]+TABL1234[[#This Row],[(T/B TOT) AJD]]</f>
        <v>0</v>
      </c>
      <c r="U333" s="9"/>
      <c r="V333" s="9"/>
      <c r="W333" s="9">
        <f>TABL1234[[#This Row],[(A/B TOT) AJD]]+TABL1234[[#This Row],[(A/S TOT)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Row],[البخر  AJD]])</f>
        <v>0</v>
      </c>
      <c r="AE333" s="33"/>
      <c r="AF333" s="6"/>
      <c r="AG333" s="6"/>
      <c r="AH333" s="6"/>
      <c r="AI333" s="6"/>
      <c r="AJ333" s="33">
        <f>TABL1234[[#This Row],[(A/B TOT) AJD]]-TABL1234[[#This Row],[BER_ IN]]</f>
        <v>0</v>
      </c>
      <c r="AK333" s="6"/>
      <c r="AL333" s="6"/>
      <c r="AM333" s="32"/>
      <c r="AN333" s="32">
        <f>TABL1234[[#This Row],[ (RESV. STORGE) SER]]/10</f>
        <v>0</v>
      </c>
      <c r="AO333" s="75"/>
      <c r="AP333" s="75">
        <f>TABL1234[[#This Row],[(A/S TOT) AJD]]-TABL1234[[#This Row],[SER_ 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Row],[خط (T/B  TOT) SAR]]+TABL1234[[#This Row],[خط (S/S  TOT) SAR2]]</f>
        <v>0</v>
      </c>
      <c r="L334" s="28"/>
      <c r="M334" s="29"/>
      <c r="N334" s="30"/>
      <c r="O334" s="39"/>
      <c r="P334" s="9">
        <f>TABL1234[[#This Row],[خط (S/S  TOT) SAR2]]-TABL1234[[#This Row],[(S/S TOT) AJD]]</f>
        <v>0</v>
      </c>
      <c r="Q334" s="9"/>
      <c r="R334" s="9">
        <f>TABL1234[[#This Row],[خط (T/B  TOT) SAR]]-TABL1234[[#This Row],[(T/B TOT) AJD]]</f>
        <v>0</v>
      </c>
      <c r="S334" s="9">
        <f>TABL1234[[#This Row],[الفرق بين بداية ونهاية خط  T/B]]+TABL1234[[#This Row],[الفرق بين بداية ونهاية خط  S/S]]</f>
        <v>0</v>
      </c>
      <c r="T334" s="9">
        <f>TABL1234[[#This Row],[(S/S TOT) AJD]]+TABL1234[[#This Row],[(T/B TOT) AJD]]</f>
        <v>0</v>
      </c>
      <c r="U334" s="9"/>
      <c r="V334" s="9"/>
      <c r="W334" s="9">
        <f>TABL1234[[#This Row],[(A/B TOT) AJD]]+TABL1234[[#This Row],[(A/S TOT)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Row],[البخر  AJD]])</f>
        <v>0</v>
      </c>
      <c r="AE334" s="33"/>
      <c r="AF334" s="6"/>
      <c r="AG334" s="6"/>
      <c r="AH334" s="6"/>
      <c r="AI334" s="6"/>
      <c r="AJ334" s="33">
        <f>TABL1234[[#This Row],[(A/B TOT) AJD]]-TABL1234[[#This Row],[BER_ IN]]</f>
        <v>0</v>
      </c>
      <c r="AK334" s="6"/>
      <c r="AL334" s="6"/>
      <c r="AM334" s="32"/>
      <c r="AN334" s="32">
        <f>TABL1234[[#This Row],[ (RESV. STORGE) SER]]/10</f>
        <v>0</v>
      </c>
      <c r="AO334" s="75"/>
      <c r="AP334" s="75">
        <f>TABL1234[[#This Row],[(A/S TOT) AJD]]-TABL1234[[#This Row],[SER_ 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Row],[خط (T/B  TOT) SAR]]+TABL1234[[#This Row],[خط (S/S  TOT) SAR2]]</f>
        <v>0</v>
      </c>
      <c r="L335" s="28"/>
      <c r="M335" s="29"/>
      <c r="N335" s="30"/>
      <c r="O335" s="40"/>
      <c r="P335" s="9">
        <f>TABL1234[[#This Row],[خط (S/S  TOT) SAR2]]-TABL1234[[#This Row],[(S/S TOT) AJD]]</f>
        <v>0</v>
      </c>
      <c r="Q335" s="9"/>
      <c r="R335" s="9">
        <f>TABL1234[[#This Row],[خط (T/B  TOT) SAR]]-TABL1234[[#This Row],[(T/B TOT) AJD]]</f>
        <v>0</v>
      </c>
      <c r="S335" s="9">
        <f>TABL1234[[#This Row],[الفرق بين بداية ونهاية خط  T/B]]+TABL1234[[#This Row],[الفرق بين بداية ونهاية خط  S/S]]</f>
        <v>0</v>
      </c>
      <c r="T335" s="9">
        <f>TABL1234[[#This Row],[(S/S TOT) AJD]]+TABL1234[[#This Row],[(T/B TOT) AJD]]</f>
        <v>0</v>
      </c>
      <c r="U335" s="9"/>
      <c r="V335" s="9"/>
      <c r="W335" s="9">
        <f>TABL1234[[#This Row],[(A/B TOT) AJD]]+TABL1234[[#This Row],[(A/S TOT)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Row],[البخر  AJD]])</f>
        <v>0</v>
      </c>
      <c r="AE335" s="33"/>
      <c r="AF335" s="6"/>
      <c r="AG335" s="6"/>
      <c r="AH335" s="6"/>
      <c r="AI335" s="6"/>
      <c r="AJ335" s="33">
        <f>TABL1234[[#This Row],[(A/B TOT) AJD]]-TABL1234[[#This Row],[BER_ IN]]</f>
        <v>0</v>
      </c>
      <c r="AK335" s="6"/>
      <c r="AL335" s="6"/>
      <c r="AM335" s="32"/>
      <c r="AN335" s="32">
        <f>TABL1234[[#This Row],[ (RESV. STORGE) SER]]/10</f>
        <v>0</v>
      </c>
      <c r="AO335" s="75"/>
      <c r="AP335" s="75">
        <f>TABL1234[[#This Row],[(A/S TOT) AJD]]-TABL1234[[#This Row],[SER_ 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Row],[خط (T/B  TOT) SAR]]+TABL1234[[#This Row],[خط (S/S  TOT) SAR2]]</f>
        <v>0</v>
      </c>
      <c r="L336" s="41"/>
      <c r="M336" s="42"/>
      <c r="N336" s="42"/>
      <c r="O336" s="39"/>
      <c r="P336" s="9">
        <f>TABL1234[[#This Row],[خط (S/S  TOT) SAR2]]-TABL1234[[#This Row],[(S/S TOT) AJD]]</f>
        <v>0</v>
      </c>
      <c r="Q336" s="39"/>
      <c r="R336" s="9">
        <f>TABL1234[[#This Row],[خط (T/B  TOT) SAR]]-TABL1234[[#This Row],[(T/B TOT) AJD]]</f>
        <v>0</v>
      </c>
      <c r="S336" s="9">
        <f>TABL1234[[#This Row],[الفرق بين بداية ونهاية خط  T/B]]+TABL1234[[#This Row],[الفرق بين بداية ونهاية خط  S/S]]</f>
        <v>0</v>
      </c>
      <c r="T336" s="9">
        <f>TABL1234[[#This Row],[(S/S TOT) AJD]]+TABL1234[[#This Row],[(T/B TOT) AJD]]</f>
        <v>0</v>
      </c>
      <c r="U336" s="41"/>
      <c r="V336" s="41"/>
      <c r="W336" s="9">
        <f>TABL1234[[#This Row],[(A/B TOT) AJD]]+TABL1234[[#This Row],[(A/S TOT)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Row],[البخر  AJD]])</f>
        <v>0</v>
      </c>
      <c r="AE336" s="41"/>
      <c r="AF336" s="43"/>
      <c r="AG336" s="43"/>
      <c r="AH336" s="6"/>
      <c r="AI336" s="43"/>
      <c r="AJ336" s="43">
        <f>TABL1234[[#This Row],[(A/B TOT) AJD]]-TABL1234[[#This Row],[BER_ IN]]</f>
        <v>0</v>
      </c>
      <c r="AK336" s="43"/>
      <c r="AL336" s="43"/>
      <c r="AM336" s="32"/>
      <c r="AN336" s="32">
        <f>TABL1234[[#This Row],[ (RESV. STORGE) SER]]/10</f>
        <v>0</v>
      </c>
      <c r="AO336" s="75"/>
      <c r="AP336" s="75">
        <f>TABL1234[[#This Row],[(A/S TOT) AJD]]-TABL1234[[#This Row],[SER_ 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Row],[خط (T/B  TOT) SAR]]+TABL1234[[#This Row],[خط (S/S  TOT) SAR2]]</f>
        <v>0</v>
      </c>
      <c r="L337" s="45"/>
      <c r="M337" s="46"/>
      <c r="N337" s="46"/>
      <c r="O337" s="40"/>
      <c r="P337" s="9">
        <f>TABL1234[[#This Row],[خط (S/S  TOT) SAR2]]-TABL1234[[#This Row],[(S/S TOT) AJD]]</f>
        <v>0</v>
      </c>
      <c r="Q337" s="40"/>
      <c r="R337" s="9">
        <f>TABL1234[[#This Row],[خط (T/B  TOT) SAR]]-TABL1234[[#This Row],[(T/B TOT) AJD]]</f>
        <v>0</v>
      </c>
      <c r="S337" s="9">
        <f>TABL1234[[#This Row],[الفرق بين بداية ونهاية خط  T/B]]+TABL1234[[#This Row],[الفرق بين بداية ونهاية خط  S/S]]</f>
        <v>0</v>
      </c>
      <c r="T337" s="9">
        <f>TABL1234[[#This Row],[(S/S TOT) AJD]]+TABL1234[[#This Row],[(T/B TOT) AJD]]</f>
        <v>0</v>
      </c>
      <c r="U337" s="44"/>
      <c r="V337" s="44"/>
      <c r="W337" s="9">
        <f>TABL1234[[#This Row],[(A/B TOT) AJD]]+TABL1234[[#This Row],[(A/S TOT)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Row],[البخر  AJD]])</f>
        <v>0</v>
      </c>
      <c r="AE337" s="44"/>
      <c r="AF337" s="45"/>
      <c r="AG337" s="45"/>
      <c r="AH337" s="6"/>
      <c r="AI337" s="45"/>
      <c r="AJ337" s="45">
        <f>TABL1234[[#This Row],[(A/B TOT) AJD]]-TABL1234[[#This Row],[BER_ IN]]</f>
        <v>0</v>
      </c>
      <c r="AK337" s="45"/>
      <c r="AL337" s="45"/>
      <c r="AM337" s="32"/>
      <c r="AN337" s="32">
        <f>TABL1234[[#This Row],[ (RESV. STORGE) SER]]/10</f>
        <v>0</v>
      </c>
      <c r="AO337" s="75"/>
      <c r="AP337" s="75">
        <f>TABL1234[[#This Row],[(A/S TOT) AJD]]-TABL1234[[#This Row],[SER_ 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Row],[خط (T/B  TOT) SAR]]+TABL1234[[#This Row],[خط (S/S  TOT) SAR2]]</f>
        <v>0</v>
      </c>
      <c r="L338" s="41"/>
      <c r="M338" s="42"/>
      <c r="N338" s="42"/>
      <c r="O338" s="39"/>
      <c r="P338" s="9">
        <f>TABL1234[[#This Row],[خط (S/S  TOT) SAR2]]-TABL1234[[#This Row],[(S/S TOT) AJD]]</f>
        <v>0</v>
      </c>
      <c r="Q338" s="39"/>
      <c r="R338" s="9">
        <f>TABL1234[[#This Row],[خط (T/B  TOT) SAR]]-TABL1234[[#This Row],[(T/B TOT) AJD]]</f>
        <v>0</v>
      </c>
      <c r="S338" s="9">
        <f>TABL1234[[#This Row],[الفرق بين بداية ونهاية خط  T/B]]+TABL1234[[#This Row],[الفرق بين بداية ونهاية خط  S/S]]</f>
        <v>0</v>
      </c>
      <c r="T338" s="9">
        <f>TABL1234[[#This Row],[(S/S TOT) AJD]]+TABL1234[[#This Row],[(T/B TOT) AJD]]</f>
        <v>0</v>
      </c>
      <c r="U338" s="41"/>
      <c r="V338" s="41"/>
      <c r="W338" s="9">
        <f>TABL1234[[#This Row],[(A/B TOT) AJD]]+TABL1234[[#This Row],[(A/S TOT)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Row],[البخر  AJD]])</f>
        <v>0</v>
      </c>
      <c r="AE338" s="41"/>
      <c r="AF338" s="43"/>
      <c r="AG338" s="43"/>
      <c r="AH338" s="6"/>
      <c r="AI338" s="43"/>
      <c r="AJ338" s="43">
        <f>TABL1234[[#This Row],[(A/B TOT) AJD]]-TABL1234[[#This Row],[BER_ IN]]</f>
        <v>0</v>
      </c>
      <c r="AK338" s="43"/>
      <c r="AL338" s="43"/>
      <c r="AM338" s="32"/>
      <c r="AN338" s="32">
        <f>TABL1234[[#This Row],[ (RESV. STORGE) SER]]/10</f>
        <v>0</v>
      </c>
      <c r="AO338" s="75"/>
      <c r="AP338" s="75">
        <f>TABL1234[[#This Row],[(A/S TOT) AJD]]-TABL1234[[#This Row],[SER_ 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Row],[خط (T/B  TOT) SAR]]+TABL1234[[#This Row],[خط (S/S  TOT) SAR2]]</f>
        <v>0</v>
      </c>
      <c r="L339" s="45"/>
      <c r="M339" s="46"/>
      <c r="N339" s="46"/>
      <c r="O339" s="40"/>
      <c r="P339" s="9">
        <f>TABL1234[[#This Row],[خط (S/S  TOT) SAR2]]-TABL1234[[#This Row],[(S/S TOT) AJD]]</f>
        <v>0</v>
      </c>
      <c r="Q339" s="40"/>
      <c r="R339" s="9">
        <f>TABL1234[[#This Row],[خط (T/B  TOT) SAR]]-TABL1234[[#This Row],[(T/B TOT) AJD]]</f>
        <v>0</v>
      </c>
      <c r="S339" s="9">
        <f>TABL1234[[#This Row],[الفرق بين بداية ونهاية خط  T/B]]+TABL1234[[#This Row],[الفرق بين بداية ونهاية خط  S/S]]</f>
        <v>0</v>
      </c>
      <c r="T339" s="9">
        <f>TABL1234[[#This Row],[(S/S TOT) AJD]]+TABL1234[[#This Row],[(T/B TOT) AJD]]</f>
        <v>0</v>
      </c>
      <c r="U339" s="44"/>
      <c r="V339" s="47"/>
      <c r="W339" s="9">
        <f>TABL1234[[#This Row],[(A/B TOT) AJD]]+TABL1234[[#This Row],[(A/S TOT)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Row],[البخر  AJD]])</f>
        <v>0</v>
      </c>
      <c r="AE339" s="44"/>
      <c r="AF339" s="45"/>
      <c r="AG339" s="45"/>
      <c r="AH339" s="6"/>
      <c r="AI339" s="45"/>
      <c r="AJ339" s="45">
        <f>TABL1234[[#This Row],[(A/B TOT) AJD]]-TABL1234[[#This Row],[BER_ IN]]</f>
        <v>0</v>
      </c>
      <c r="AK339" s="45"/>
      <c r="AL339" s="45"/>
      <c r="AM339" s="32"/>
      <c r="AN339" s="32">
        <f>TABL1234[[#This Row],[ (RESV. STORGE) SER]]/10</f>
        <v>0</v>
      </c>
      <c r="AO339" s="75"/>
      <c r="AP339" s="75">
        <f>TABL1234[[#This Row],[(A/S TOT) AJD]]-TABL1234[[#This Row],[SER_ 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Row],[خط (T/B  TOT) SAR]]+TABL1234[[#This Row],[خط (S/S  TOT) SAR2]]</f>
        <v>0</v>
      </c>
      <c r="L340" s="41"/>
      <c r="M340" s="42"/>
      <c r="N340" s="42"/>
      <c r="O340" s="39"/>
      <c r="P340" s="9">
        <f>TABL1234[[#This Row],[خط (S/S  TOT) SAR2]]-TABL1234[[#This Row],[(S/S TOT) AJD]]</f>
        <v>0</v>
      </c>
      <c r="Q340" s="39"/>
      <c r="R340" s="9">
        <f>TABL1234[[#This Row],[خط (T/B  TOT) SAR]]-TABL1234[[#This Row],[(T/B TOT) AJD]]</f>
        <v>0</v>
      </c>
      <c r="S340" s="9">
        <f>TABL1234[[#This Row],[الفرق بين بداية ونهاية خط  T/B]]+TABL1234[[#This Row],[الفرق بين بداية ونهاية خط  S/S]]</f>
        <v>0</v>
      </c>
      <c r="T340" s="9">
        <f>TABL1234[[#This Row],[(S/S TOT) AJD]]+TABL1234[[#This Row],[(T/B TOT) AJD]]</f>
        <v>0</v>
      </c>
      <c r="U340" s="41"/>
      <c r="V340" s="41"/>
      <c r="W340" s="9">
        <f>TABL1234[[#This Row],[(A/B TOT) AJD]]+TABL1234[[#This Row],[(A/S TOT)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Row],[البخر  AJD]])</f>
        <v>0</v>
      </c>
      <c r="AE340" s="41"/>
      <c r="AF340" s="43"/>
      <c r="AG340" s="43"/>
      <c r="AH340" s="6"/>
      <c r="AI340" s="43"/>
      <c r="AJ340" s="43">
        <f>TABL1234[[#This Row],[(A/B TOT) AJD]]-TABL1234[[#This Row],[BER_ IN]]</f>
        <v>0</v>
      </c>
      <c r="AK340" s="43"/>
      <c r="AL340" s="43"/>
      <c r="AM340" s="32"/>
      <c r="AN340" s="32">
        <f>TABL1234[[#This Row],[ (RESV. STORGE) SER]]/10</f>
        <v>0</v>
      </c>
      <c r="AO340" s="75"/>
      <c r="AP340" s="75">
        <f>TABL1234[[#This Row],[(A/S TOT) AJD]]-TABL1234[[#This Row],[SER_ 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Row],[خط (T/B  TOT) SAR]]+TABL1234[[#This Row],[خط (S/S  TOT) SAR2]]</f>
        <v>0</v>
      </c>
      <c r="L341" s="45"/>
      <c r="M341" s="46"/>
      <c r="N341" s="46"/>
      <c r="O341" s="40"/>
      <c r="P341" s="9">
        <f>TABL1234[[#This Row],[خط (S/S  TOT) SAR2]]-TABL1234[[#This Row],[(S/S TOT) AJD]]</f>
        <v>0</v>
      </c>
      <c r="Q341" s="40"/>
      <c r="R341" s="9">
        <f>TABL1234[[#This Row],[خط (T/B  TOT) SAR]]-TABL1234[[#This Row],[(T/B TOT) AJD]]</f>
        <v>0</v>
      </c>
      <c r="S341" s="9">
        <f>TABL1234[[#This Row],[الفرق بين بداية ونهاية خط  T/B]]+TABL1234[[#This Row],[الفرق بين بداية ونهاية خط  S/S]]</f>
        <v>0</v>
      </c>
      <c r="T341" s="9">
        <f>TABL1234[[#This Row],[(S/S TOT) AJD]]+TABL1234[[#This Row],[(T/B TOT) AJD]]</f>
        <v>0</v>
      </c>
      <c r="U341" s="44"/>
      <c r="V341" s="44"/>
      <c r="W341" s="9">
        <f>TABL1234[[#This Row],[(A/B TOT) AJD]]+TABL1234[[#This Row],[(A/S TOT)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Row],[البخر  AJD]])</f>
        <v>0</v>
      </c>
      <c r="AE341" s="44"/>
      <c r="AF341" s="45"/>
      <c r="AG341" s="45"/>
      <c r="AH341" s="6"/>
      <c r="AI341" s="45"/>
      <c r="AJ341" s="45">
        <f>TABL1234[[#This Row],[(A/B TOT) AJD]]-TABL1234[[#This Row],[BER_ IN]]</f>
        <v>0</v>
      </c>
      <c r="AK341" s="45"/>
      <c r="AL341" s="45"/>
      <c r="AM341" s="32"/>
      <c r="AN341" s="32">
        <f>TABL1234[[#This Row],[ (RESV. STORGE) SER]]/10</f>
        <v>0</v>
      </c>
      <c r="AO341" s="75"/>
      <c r="AP341" s="75">
        <f>TABL1234[[#This Row],[(A/S TOT) AJD]]-TABL1234[[#This Row],[SER_ 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Row],[خط (T/B  TOT) SAR]]+TABL1234[[#This Row],[خط (S/S  TOT) SAR2]]</f>
        <v>0</v>
      </c>
      <c r="L342" s="41"/>
      <c r="M342" s="42"/>
      <c r="N342" s="42"/>
      <c r="O342" s="39"/>
      <c r="P342" s="9">
        <f>TABL1234[[#This Row],[خط (S/S  TOT) SAR2]]-TABL1234[[#This Row],[(S/S TOT) AJD]]</f>
        <v>0</v>
      </c>
      <c r="Q342" s="39"/>
      <c r="R342" s="9">
        <f>TABL1234[[#This Row],[خط (T/B  TOT) SAR]]-TABL1234[[#This Row],[(T/B TOT) AJD]]</f>
        <v>0</v>
      </c>
      <c r="S342" s="9">
        <f>TABL1234[[#This Row],[الفرق بين بداية ونهاية خط  T/B]]+TABL1234[[#This Row],[الفرق بين بداية ونهاية خط  S/S]]</f>
        <v>0</v>
      </c>
      <c r="T342" s="9">
        <f>TABL1234[[#This Row],[(S/S TOT) AJD]]+TABL1234[[#This Row],[(T/B TOT) AJD]]</f>
        <v>0</v>
      </c>
      <c r="U342" s="41"/>
      <c r="V342" s="41"/>
      <c r="W342" s="9">
        <f>TABL1234[[#This Row],[(A/B TOT) AJD]]+TABL1234[[#This Row],[(A/S TOT)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Row],[البخر  AJD]])</f>
        <v>0</v>
      </c>
      <c r="AE342" s="41"/>
      <c r="AF342" s="43"/>
      <c r="AG342" s="43"/>
      <c r="AH342" s="6"/>
      <c r="AI342" s="43"/>
      <c r="AJ342" s="43">
        <f>TABL1234[[#This Row],[(A/B TOT) AJD]]-TABL1234[[#This Row],[BER_ IN]]</f>
        <v>0</v>
      </c>
      <c r="AK342" s="43"/>
      <c r="AL342" s="43"/>
      <c r="AM342" s="32"/>
      <c r="AN342" s="32">
        <f>TABL1234[[#This Row],[ (RESV. STORGE) SER]]/10</f>
        <v>0</v>
      </c>
      <c r="AO342" s="75"/>
      <c r="AP342" s="75">
        <f>TABL1234[[#This Row],[(A/S TOT) AJD]]-TABL1234[[#This Row],[SER_ 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Row],[خط (T/B  TOT) SAR]]+TABL1234[[#This Row],[خط (S/S  TOT) SAR2]]</f>
        <v>0</v>
      </c>
      <c r="L343" s="45"/>
      <c r="M343" s="46"/>
      <c r="N343" s="46"/>
      <c r="O343" s="40"/>
      <c r="P343" s="9">
        <f>TABL1234[[#This Row],[خط (S/S  TOT) SAR2]]-TABL1234[[#This Row],[(S/S TOT) AJD]]</f>
        <v>0</v>
      </c>
      <c r="Q343" s="40"/>
      <c r="R343" s="9">
        <f>TABL1234[[#This Row],[خط (T/B  TOT) SAR]]-TABL1234[[#This Row],[(T/B TOT) AJD]]</f>
        <v>0</v>
      </c>
      <c r="S343" s="9">
        <f>TABL1234[[#This Row],[الفرق بين بداية ونهاية خط  T/B]]+TABL1234[[#This Row],[الفرق بين بداية ونهاية خط  S/S]]</f>
        <v>0</v>
      </c>
      <c r="T343" s="9">
        <f>TABL1234[[#This Row],[(S/S TOT) AJD]]+TABL1234[[#This Row],[(T/B TOT) AJD]]</f>
        <v>0</v>
      </c>
      <c r="U343" s="44"/>
      <c r="V343" s="44"/>
      <c r="W343" s="9">
        <f>TABL1234[[#This Row],[(A/B TOT) AJD]]+TABL1234[[#This Row],[(A/S TOT)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Row],[البخر  AJD]])</f>
        <v>0</v>
      </c>
      <c r="AE343" s="44"/>
      <c r="AF343" s="45"/>
      <c r="AG343" s="45"/>
      <c r="AH343" s="6"/>
      <c r="AI343" s="45"/>
      <c r="AJ343" s="45">
        <f>TABL1234[[#This Row],[(A/B TOT) AJD]]-TABL1234[[#This Row],[BER_ IN]]</f>
        <v>0</v>
      </c>
      <c r="AK343" s="45"/>
      <c r="AL343" s="45"/>
      <c r="AM343" s="32"/>
      <c r="AN343" s="32">
        <f>TABL1234[[#This Row],[ (RESV. STORGE) SER]]/10</f>
        <v>0</v>
      </c>
      <c r="AO343" s="75"/>
      <c r="AP343" s="75">
        <f>TABL1234[[#This Row],[(A/S TOT) AJD]]-TABL1234[[#This Row],[SER_ 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Row],[خط (T/B  TOT) SAR]]+TABL1234[[#This Row],[خط (S/S  TOT) SAR2]]</f>
        <v>0</v>
      </c>
      <c r="L344" s="41"/>
      <c r="M344" s="42"/>
      <c r="N344" s="42"/>
      <c r="O344" s="39"/>
      <c r="P344" s="9">
        <f>TABL1234[[#This Row],[خط (S/S  TOT) SAR2]]-TABL1234[[#This Row],[(S/S TOT) AJD]]</f>
        <v>0</v>
      </c>
      <c r="Q344" s="39"/>
      <c r="R344" s="9">
        <f>TABL1234[[#This Row],[خط (T/B  TOT) SAR]]-TABL1234[[#This Row],[(T/B TOT) AJD]]</f>
        <v>0</v>
      </c>
      <c r="S344" s="9">
        <f>TABL1234[[#This Row],[الفرق بين بداية ونهاية خط  T/B]]+TABL1234[[#This Row],[الفرق بين بداية ونهاية خط  S/S]]</f>
        <v>0</v>
      </c>
      <c r="T344" s="9">
        <f>TABL1234[[#This Row],[(S/S TOT) AJD]]+TABL1234[[#This Row],[(T/B TOT) AJD]]</f>
        <v>0</v>
      </c>
      <c r="U344" s="41"/>
      <c r="V344" s="41"/>
      <c r="W344" s="9">
        <f>TABL1234[[#This Row],[(A/B TOT) AJD]]+TABL1234[[#This Row],[(A/S TOT)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Row],[البخر  AJD]])</f>
        <v>0</v>
      </c>
      <c r="AE344" s="41"/>
      <c r="AF344" s="43"/>
      <c r="AG344" s="43"/>
      <c r="AH344" s="6"/>
      <c r="AI344" s="43"/>
      <c r="AJ344" s="43">
        <f>TABL1234[[#This Row],[(A/B TOT) AJD]]-TABL1234[[#This Row],[BER_ IN]]</f>
        <v>0</v>
      </c>
      <c r="AK344" s="43"/>
      <c r="AL344" s="43"/>
      <c r="AM344" s="32"/>
      <c r="AN344" s="32">
        <f>TABL1234[[#This Row],[ (RESV. STORGE) SER]]/10</f>
        <v>0</v>
      </c>
      <c r="AO344" s="75"/>
      <c r="AP344" s="75">
        <f>TABL1234[[#This Row],[(A/S TOT) AJD]]-TABL1234[[#This Row],[SER_ 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Row],[خط (T/B  TOT) SAR]]+TABL1234[[#This Row],[خط (S/S  TOT) SAR2]]</f>
        <v>0</v>
      </c>
      <c r="L345" s="45"/>
      <c r="M345" s="46"/>
      <c r="N345" s="46"/>
      <c r="O345" s="40"/>
      <c r="P345" s="9">
        <f>TABL1234[[#This Row],[خط (S/S  TOT) SAR2]]-TABL1234[[#This Row],[(S/S TOT) AJD]]</f>
        <v>0</v>
      </c>
      <c r="Q345" s="40"/>
      <c r="R345" s="9">
        <f>TABL1234[[#This Row],[خط (T/B  TOT) SAR]]-TABL1234[[#This Row],[(T/B TOT) AJD]]</f>
        <v>0</v>
      </c>
      <c r="S345" s="9">
        <f>TABL1234[[#This Row],[الفرق بين بداية ونهاية خط  T/B]]+TABL1234[[#This Row],[الفرق بين بداية ونهاية خط  S/S]]</f>
        <v>0</v>
      </c>
      <c r="T345" s="9">
        <f>TABL1234[[#This Row],[(S/S TOT) AJD]]+TABL1234[[#This Row],[(T/B TOT) AJD]]</f>
        <v>0</v>
      </c>
      <c r="U345" s="44"/>
      <c r="V345" s="44"/>
      <c r="W345" s="9">
        <f>TABL1234[[#This Row],[(A/B TOT) AJD]]+TABL1234[[#This Row],[(A/S TOT)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Row],[البخر  AJD]])</f>
        <v>0</v>
      </c>
      <c r="AE345" s="44"/>
      <c r="AF345" s="45"/>
      <c r="AG345" s="45"/>
      <c r="AH345" s="6"/>
      <c r="AI345" s="45"/>
      <c r="AJ345" s="45">
        <f>TABL1234[[#This Row],[(A/B TOT) AJD]]-TABL1234[[#This Row],[BER_ IN]]</f>
        <v>0</v>
      </c>
      <c r="AK345" s="45"/>
      <c r="AL345" s="45"/>
      <c r="AM345" s="32"/>
      <c r="AN345" s="32">
        <f>TABL1234[[#This Row],[ (RESV. STORGE) SER]]/10</f>
        <v>0</v>
      </c>
      <c r="AO345" s="75"/>
      <c r="AP345" s="75">
        <f>TABL1234[[#This Row],[(A/S TOT) AJD]]-TABL1234[[#This Row],[SER_ 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Row],[خط (T/B  TOT) SAR]]+TABL1234[[#This Row],[خط (S/S  TOT) SAR2]]</f>
        <v>0</v>
      </c>
      <c r="L346" s="41"/>
      <c r="M346" s="42"/>
      <c r="N346" s="42"/>
      <c r="O346" s="39"/>
      <c r="P346" s="9">
        <f>TABL1234[[#This Row],[خط (S/S  TOT) SAR2]]-TABL1234[[#This Row],[(S/S TOT) AJD]]</f>
        <v>0</v>
      </c>
      <c r="Q346" s="39"/>
      <c r="R346" s="9">
        <f>TABL1234[[#This Row],[خط (T/B  TOT) SAR]]-TABL1234[[#This Row],[(T/B TOT) AJD]]</f>
        <v>0</v>
      </c>
      <c r="S346" s="9">
        <f>TABL1234[[#This Row],[الفرق بين بداية ونهاية خط  T/B]]+TABL1234[[#This Row],[الفرق بين بداية ونهاية خط  S/S]]</f>
        <v>0</v>
      </c>
      <c r="T346" s="9">
        <f>TABL1234[[#This Row],[(S/S TOT) AJD]]+TABL1234[[#This Row],[(T/B TOT) AJD]]</f>
        <v>0</v>
      </c>
      <c r="U346" s="41"/>
      <c r="V346" s="41"/>
      <c r="W346" s="9">
        <f>TABL1234[[#This Row],[(A/B TOT) AJD]]+TABL1234[[#This Row],[(A/S TOT)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Row],[البخر  AJD]])</f>
        <v>0</v>
      </c>
      <c r="AE346" s="41"/>
      <c r="AF346" s="43"/>
      <c r="AG346" s="48"/>
      <c r="AH346" s="6"/>
      <c r="AI346" s="43"/>
      <c r="AJ346" s="48">
        <f>TABL1234[[#This Row],[(A/B TOT) AJD]]-TABL1234[[#This Row],[BER_ IN]]</f>
        <v>0</v>
      </c>
      <c r="AK346" s="43"/>
      <c r="AL346" s="43"/>
      <c r="AM346" s="32"/>
      <c r="AN346" s="32">
        <f>TABL1234[[#This Row],[ (RESV. STORGE) SER]]/10</f>
        <v>0</v>
      </c>
      <c r="AO346" s="75"/>
      <c r="AP346" s="75">
        <f>TABL1234[[#This Row],[(A/S TOT) AJD]]-TABL1234[[#This Row],[SER_ 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Row],[خط (T/B  TOT) SAR]]+TABL1234[[#This Row],[خط (S/S  TOT) SAR2]]</f>
        <v>0</v>
      </c>
      <c r="L347" s="45"/>
      <c r="M347" s="46"/>
      <c r="N347" s="46"/>
      <c r="O347" s="40"/>
      <c r="P347" s="9">
        <f>TABL1234[[#This Row],[خط (S/S  TOT) SAR2]]-TABL1234[[#This Row],[(S/S TOT) AJD]]</f>
        <v>0</v>
      </c>
      <c r="Q347" s="40"/>
      <c r="R347" s="9">
        <f>TABL1234[[#This Row],[خط (T/B  TOT) SAR]]-TABL1234[[#This Row],[(T/B TOT) AJD]]</f>
        <v>0</v>
      </c>
      <c r="S347" s="9">
        <f>TABL1234[[#This Row],[الفرق بين بداية ونهاية خط  T/B]]+TABL1234[[#This Row],[الفرق بين بداية ونهاية خط  S/S]]</f>
        <v>0</v>
      </c>
      <c r="T347" s="9">
        <f>TABL1234[[#This Row],[(S/S TOT) AJD]]+TABL1234[[#This Row],[(T/B TOT) AJD]]</f>
        <v>0</v>
      </c>
      <c r="U347" s="44"/>
      <c r="V347" s="44"/>
      <c r="W347" s="9">
        <f>TABL1234[[#This Row],[(A/B TOT) AJD]]+TABL1234[[#This Row],[(A/S TOT)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Row],[البخر  AJD]])</f>
        <v>0</v>
      </c>
      <c r="AE347" s="44"/>
      <c r="AF347" s="45"/>
      <c r="AG347" s="45"/>
      <c r="AH347" s="6"/>
      <c r="AI347" s="45"/>
      <c r="AJ347" s="45">
        <f>TABL1234[[#This Row],[(A/B TOT) AJD]]-TABL1234[[#This Row],[BER_ IN]]</f>
        <v>0</v>
      </c>
      <c r="AK347" s="45"/>
      <c r="AL347" s="45"/>
      <c r="AM347" s="32"/>
      <c r="AN347" s="32">
        <f>TABL1234[[#This Row],[ (RESV. STORGE) SER]]/10</f>
        <v>0</v>
      </c>
      <c r="AO347" s="75"/>
      <c r="AP347" s="75">
        <f>TABL1234[[#This Row],[(A/S TOT) AJD]]-TABL1234[[#This Row],[SER_ 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Row],[خط (T/B  TOT) SAR]]+TABL1234[[#This Row],[خط (S/S  TOT) SAR2]]</f>
        <v>0</v>
      </c>
      <c r="L348" s="41"/>
      <c r="M348" s="42"/>
      <c r="N348" s="42"/>
      <c r="O348" s="39"/>
      <c r="P348" s="9">
        <f>TABL1234[[#This Row],[خط (S/S  TOT) SAR2]]-TABL1234[[#This Row],[(S/S TOT) AJD]]</f>
        <v>0</v>
      </c>
      <c r="Q348" s="39"/>
      <c r="R348" s="9">
        <f>TABL1234[[#This Row],[خط (T/B  TOT) SAR]]-TABL1234[[#This Row],[(T/B TOT) AJD]]</f>
        <v>0</v>
      </c>
      <c r="S348" s="9">
        <f>TABL1234[[#This Row],[الفرق بين بداية ونهاية خط  T/B]]+TABL1234[[#This Row],[الفرق بين بداية ونهاية خط  S/S]]</f>
        <v>0</v>
      </c>
      <c r="T348" s="9">
        <f>TABL1234[[#This Row],[(S/S TOT) AJD]]+TABL1234[[#This Row],[(T/B TOT) AJD]]</f>
        <v>0</v>
      </c>
      <c r="U348" s="41"/>
      <c r="V348" s="41"/>
      <c r="W348" s="9">
        <f>TABL1234[[#This Row],[(A/B TOT) AJD]]+TABL1234[[#This Row],[(A/S TOT)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Row],[البخر  AJD]])</f>
        <v>0</v>
      </c>
      <c r="AE348" s="41"/>
      <c r="AF348" s="43"/>
      <c r="AG348" s="43"/>
      <c r="AH348" s="6"/>
      <c r="AI348" s="43"/>
      <c r="AJ348" s="43">
        <f>TABL1234[[#This Row],[(A/B TOT) AJD]]-TABL1234[[#This Row],[BER_ IN]]</f>
        <v>0</v>
      </c>
      <c r="AK348" s="43"/>
      <c r="AL348" s="43"/>
      <c r="AM348" s="32"/>
      <c r="AN348" s="32">
        <f>TABL1234[[#This Row],[ (RESV. STORGE) SER]]/10</f>
        <v>0</v>
      </c>
      <c r="AO348" s="75"/>
      <c r="AP348" s="75">
        <f>TABL1234[[#This Row],[(A/S TOT) AJD]]-TABL1234[[#This Row],[SER_ 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Row],[خط (T/B  TOT) SAR]]+TABL1234[[#This Row],[خط (S/S  TOT) SAR2]]</f>
        <v>0</v>
      </c>
      <c r="L349" s="45"/>
      <c r="M349" s="46"/>
      <c r="N349" s="46"/>
      <c r="O349" s="40"/>
      <c r="P349" s="9">
        <f>TABL1234[[#This Row],[خط (S/S  TOT) SAR2]]-TABL1234[[#This Row],[(S/S TOT) AJD]]</f>
        <v>0</v>
      </c>
      <c r="Q349" s="40"/>
      <c r="R349" s="9">
        <f>TABL1234[[#This Row],[خط (T/B  TOT) SAR]]-TABL1234[[#This Row],[(T/B TOT) AJD]]</f>
        <v>0</v>
      </c>
      <c r="S349" s="9">
        <f>TABL1234[[#This Row],[الفرق بين بداية ونهاية خط  T/B]]+TABL1234[[#This Row],[الفرق بين بداية ونهاية خط  S/S]]</f>
        <v>0</v>
      </c>
      <c r="T349" s="9">
        <f>TABL1234[[#This Row],[(S/S TOT) AJD]]+TABL1234[[#This Row],[(T/B TOT) AJD]]</f>
        <v>0</v>
      </c>
      <c r="U349" s="44"/>
      <c r="V349" s="44"/>
      <c r="W349" s="9">
        <f>TABL1234[[#This Row],[(A/B TOT) AJD]]+TABL1234[[#This Row],[(A/S TOT)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Row],[البخر  AJD]])</f>
        <v>0</v>
      </c>
      <c r="AE349" s="44"/>
      <c r="AF349" s="45"/>
      <c r="AG349" s="45"/>
      <c r="AH349" s="6"/>
      <c r="AI349" s="45"/>
      <c r="AJ349" s="45">
        <f>TABL1234[[#This Row],[(A/B TOT) AJD]]-TABL1234[[#This Row],[BER_ IN]]</f>
        <v>0</v>
      </c>
      <c r="AK349" s="45"/>
      <c r="AL349" s="45"/>
      <c r="AM349" s="32"/>
      <c r="AN349" s="32">
        <f>TABL1234[[#This Row],[ (RESV. STORGE) SER]]/10</f>
        <v>0</v>
      </c>
      <c r="AO349" s="75"/>
      <c r="AP349" s="75">
        <f>TABL1234[[#This Row],[(A/S TOT) AJD]]-TABL1234[[#This Row],[SER_ 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Row],[خط (T/B  TOT) SAR]]+TABL1234[[#This Row],[خط (S/S  TOT) SAR2]]</f>
        <v>0</v>
      </c>
      <c r="L350" s="41"/>
      <c r="M350" s="42"/>
      <c r="N350" s="42"/>
      <c r="O350" s="39"/>
      <c r="P350" s="9">
        <f>TABL1234[[#This Row],[خط (S/S  TOT) SAR2]]-TABL1234[[#This Row],[(S/S TOT) AJD]]</f>
        <v>0</v>
      </c>
      <c r="Q350" s="39"/>
      <c r="R350" s="9">
        <f>TABL1234[[#This Row],[خط (T/B  TOT) SAR]]-TABL1234[[#This Row],[(T/B TOT) AJD]]</f>
        <v>0</v>
      </c>
      <c r="S350" s="9">
        <f>TABL1234[[#This Row],[الفرق بين بداية ونهاية خط  T/B]]+TABL1234[[#This Row],[الفرق بين بداية ونهاية خط  S/S]]</f>
        <v>0</v>
      </c>
      <c r="T350" s="9">
        <f>TABL1234[[#This Row],[(S/S TOT) AJD]]+TABL1234[[#This Row],[(T/B TOT) AJD]]</f>
        <v>0</v>
      </c>
      <c r="U350" s="41"/>
      <c r="V350" s="41"/>
      <c r="W350" s="9">
        <f>TABL1234[[#This Row],[(A/B TOT) AJD]]+TABL1234[[#This Row],[(A/S TOT)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Row],[البخر  AJD]])</f>
        <v>0</v>
      </c>
      <c r="AE350" s="41"/>
      <c r="AF350" s="43"/>
      <c r="AG350" s="43"/>
      <c r="AH350" s="6"/>
      <c r="AI350" s="43"/>
      <c r="AJ350" s="43">
        <f>TABL1234[[#This Row],[(A/B TOT) AJD]]-TABL1234[[#This Row],[BER_ IN]]</f>
        <v>0</v>
      </c>
      <c r="AK350" s="43"/>
      <c r="AL350" s="43"/>
      <c r="AM350" s="32"/>
      <c r="AN350" s="32">
        <f>TABL1234[[#This Row],[ (RESV. STORGE) SER]]/10</f>
        <v>0</v>
      </c>
      <c r="AO350" s="75"/>
      <c r="AP350" s="75">
        <f>TABL1234[[#This Row],[(A/S TOT) AJD]]-TABL1234[[#This Row],[SER_ 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Row],[خط (T/B  TOT) SAR]]+TABL1234[[#This Row],[خط (S/S  TOT) SAR2]]</f>
        <v>0</v>
      </c>
      <c r="L351" s="45"/>
      <c r="M351" s="46"/>
      <c r="N351" s="46"/>
      <c r="O351" s="40"/>
      <c r="P351" s="9">
        <f>TABL1234[[#This Row],[خط (S/S  TOT) SAR2]]-TABL1234[[#This Row],[(S/S TOT) AJD]]</f>
        <v>0</v>
      </c>
      <c r="Q351" s="40"/>
      <c r="R351" s="9">
        <f>TABL1234[[#This Row],[خط (T/B  TOT) SAR]]-TABL1234[[#This Row],[(T/B TOT) AJD]]</f>
        <v>0</v>
      </c>
      <c r="S351" s="9">
        <f>TABL1234[[#This Row],[الفرق بين بداية ونهاية خط  T/B]]+TABL1234[[#This Row],[الفرق بين بداية ونهاية خط  S/S]]</f>
        <v>0</v>
      </c>
      <c r="T351" s="9">
        <f>TABL1234[[#This Row],[(S/S TOT) AJD]]+TABL1234[[#This Row],[(T/B TOT) AJD]]</f>
        <v>0</v>
      </c>
      <c r="U351" s="44"/>
      <c r="V351" s="44"/>
      <c r="W351" s="9">
        <f>TABL1234[[#This Row],[(A/B TOT) AJD]]+TABL1234[[#This Row],[(A/S TOT)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Row],[البخر  AJD]])</f>
        <v>0</v>
      </c>
      <c r="AE351" s="44"/>
      <c r="AF351" s="45"/>
      <c r="AG351" s="45"/>
      <c r="AH351" s="6"/>
      <c r="AI351" s="45"/>
      <c r="AJ351" s="45">
        <f>TABL1234[[#This Row],[(A/B TOT) AJD]]-TABL1234[[#This Row],[BER_ IN]]</f>
        <v>0</v>
      </c>
      <c r="AK351" s="45"/>
      <c r="AL351" s="45"/>
      <c r="AM351" s="32"/>
      <c r="AN351" s="32">
        <f>TABL1234[[#This Row],[ (RESV. STORGE) SER]]/10</f>
        <v>0</v>
      </c>
      <c r="AO351" s="75"/>
      <c r="AP351" s="75">
        <f>TABL1234[[#This Row],[(A/S TOT) AJD]]-TABL1234[[#This Row],[SER_ 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Row],[خط (T/B  TOT) SAR]]+TABL1234[[#This Row],[خط (S/S  TOT) SAR2]]</f>
        <v>0</v>
      </c>
      <c r="L352" s="41"/>
      <c r="M352" s="42"/>
      <c r="N352" s="42"/>
      <c r="O352" s="39"/>
      <c r="P352" s="9">
        <f>TABL1234[[#This Row],[خط (S/S  TOT) SAR2]]-TABL1234[[#This Row],[(S/S TOT) AJD]]</f>
        <v>0</v>
      </c>
      <c r="Q352" s="39"/>
      <c r="R352" s="9">
        <f>TABL1234[[#This Row],[خط (T/B  TOT) SAR]]-TABL1234[[#This Row],[(T/B TOT) AJD]]</f>
        <v>0</v>
      </c>
      <c r="S352" s="9">
        <f>TABL1234[[#This Row],[الفرق بين بداية ونهاية خط  T/B]]+TABL1234[[#This Row],[الفرق بين بداية ونهاية خط  S/S]]</f>
        <v>0</v>
      </c>
      <c r="T352" s="9">
        <f>TABL1234[[#This Row],[(S/S TOT) AJD]]+TABL1234[[#This Row],[(T/B TOT) AJD]]</f>
        <v>0</v>
      </c>
      <c r="U352" s="41"/>
      <c r="V352" s="41"/>
      <c r="W352" s="9">
        <f>TABL1234[[#This Row],[(A/B TOT) AJD]]+TABL1234[[#This Row],[(A/S TOT)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Row],[البخر  AJD]])</f>
        <v>0</v>
      </c>
      <c r="AE352" s="41"/>
      <c r="AF352" s="43"/>
      <c r="AG352" s="43"/>
      <c r="AH352" s="6"/>
      <c r="AI352" s="43"/>
      <c r="AJ352" s="43">
        <f>TABL1234[[#This Row],[(A/B TOT) AJD]]-TABL1234[[#This Row],[BER_ IN]]</f>
        <v>0</v>
      </c>
      <c r="AK352" s="43"/>
      <c r="AL352" s="43"/>
      <c r="AM352" s="32"/>
      <c r="AN352" s="32">
        <f>TABL1234[[#This Row],[ (RESV. STORGE) SER]]/10</f>
        <v>0</v>
      </c>
      <c r="AO352" s="75"/>
      <c r="AP352" s="75">
        <f>TABL1234[[#This Row],[(A/S TOT) AJD]]-TABL1234[[#This Row],[SER_ 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Row],[خط (T/B  TOT) SAR]]+TABL1234[[#This Row],[خط (S/S  TOT) SAR2]]</f>
        <v>0</v>
      </c>
      <c r="L353" s="45"/>
      <c r="M353" s="46"/>
      <c r="N353" s="46"/>
      <c r="O353" s="40"/>
      <c r="P353" s="9">
        <f>TABL1234[[#This Row],[خط (S/S  TOT) SAR2]]-TABL1234[[#This Row],[(S/S TOT) AJD]]</f>
        <v>0</v>
      </c>
      <c r="Q353" s="40"/>
      <c r="R353" s="9">
        <f>TABL1234[[#This Row],[خط (T/B  TOT) SAR]]-TABL1234[[#This Row],[(T/B TOT) AJD]]</f>
        <v>0</v>
      </c>
      <c r="S353" s="9">
        <f>TABL1234[[#This Row],[الفرق بين بداية ونهاية خط  T/B]]+TABL1234[[#This Row],[الفرق بين بداية ونهاية خط  S/S]]</f>
        <v>0</v>
      </c>
      <c r="T353" s="9">
        <f>TABL1234[[#This Row],[(S/S TOT) AJD]]+TABL1234[[#This Row],[(T/B TOT) AJD]]</f>
        <v>0</v>
      </c>
      <c r="U353" s="44"/>
      <c r="V353" s="44"/>
      <c r="W353" s="9">
        <f>TABL1234[[#This Row],[(A/B TOT) AJD]]+TABL1234[[#This Row],[(A/S TOT)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Row],[البخر  AJD]])</f>
        <v>0</v>
      </c>
      <c r="AE353" s="44"/>
      <c r="AF353" s="45"/>
      <c r="AG353" s="45"/>
      <c r="AH353" s="6"/>
      <c r="AI353" s="45"/>
      <c r="AJ353" s="45">
        <f>TABL1234[[#This Row],[(A/B TOT) AJD]]-TABL1234[[#This Row],[BER_ IN]]</f>
        <v>0</v>
      </c>
      <c r="AK353" s="45"/>
      <c r="AL353" s="45"/>
      <c r="AM353" s="32"/>
      <c r="AN353" s="32">
        <f>TABL1234[[#This Row],[ (RESV. STORGE) SER]]/10</f>
        <v>0</v>
      </c>
      <c r="AO353" s="75"/>
      <c r="AP353" s="75">
        <f>TABL1234[[#This Row],[(A/S TOT) AJD]]-TABL1234[[#This Row],[SER_ 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Row],[خط (T/B  TOT) SAR]]+TABL1234[[#This Row],[خط (S/S  TOT) SAR2]]</f>
        <v>0</v>
      </c>
      <c r="L354" s="41"/>
      <c r="M354" s="42"/>
      <c r="N354" s="42"/>
      <c r="O354" s="39"/>
      <c r="P354" s="9">
        <f>TABL1234[[#This Row],[خط (S/S  TOT) SAR2]]-TABL1234[[#This Row],[(S/S TOT) AJD]]</f>
        <v>0</v>
      </c>
      <c r="Q354" s="39"/>
      <c r="R354" s="9">
        <f>TABL1234[[#This Row],[خط (T/B  TOT) SAR]]-TABL1234[[#This Row],[(T/B TOT) AJD]]</f>
        <v>0</v>
      </c>
      <c r="S354" s="9">
        <f>TABL1234[[#This Row],[الفرق بين بداية ونهاية خط  T/B]]+TABL1234[[#This Row],[الفرق بين بداية ونهاية خط  S/S]]</f>
        <v>0</v>
      </c>
      <c r="T354" s="9">
        <f>TABL1234[[#This Row],[(S/S TOT) AJD]]+TABL1234[[#This Row],[(T/B TOT) AJD]]</f>
        <v>0</v>
      </c>
      <c r="U354" s="41"/>
      <c r="V354" s="41"/>
      <c r="W354" s="9">
        <f>TABL1234[[#This Row],[(A/B TOT) AJD]]+TABL1234[[#This Row],[(A/S TOT)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Row],[البخر  AJD]])</f>
        <v>0</v>
      </c>
      <c r="AE354" s="41"/>
      <c r="AF354" s="43"/>
      <c r="AG354" s="43"/>
      <c r="AH354" s="6"/>
      <c r="AI354" s="43"/>
      <c r="AJ354" s="43">
        <f>TABL1234[[#This Row],[(A/B TOT) AJD]]-TABL1234[[#This Row],[BER_ IN]]</f>
        <v>0</v>
      </c>
      <c r="AK354" s="43"/>
      <c r="AL354" s="43"/>
      <c r="AM354" s="32"/>
      <c r="AN354" s="32">
        <f>TABL1234[[#This Row],[ (RESV. STORGE) SER]]/10</f>
        <v>0</v>
      </c>
      <c r="AO354" s="75"/>
      <c r="AP354" s="75">
        <f>TABL1234[[#This Row],[(A/S TOT) AJD]]-TABL1234[[#This Row],[SER_ 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Row],[خط (T/B  TOT) SAR]]+TABL1234[[#This Row],[خط (S/S  TOT) SAR2]]</f>
        <v>0</v>
      </c>
      <c r="L355" s="45"/>
      <c r="M355" s="46"/>
      <c r="N355" s="46"/>
      <c r="O355" s="40"/>
      <c r="P355" s="9">
        <f>TABL1234[[#This Row],[خط (S/S  TOT) SAR2]]-TABL1234[[#This Row],[(S/S TOT) AJD]]</f>
        <v>0</v>
      </c>
      <c r="Q355" s="40"/>
      <c r="R355" s="9">
        <f>TABL1234[[#This Row],[خط (T/B  TOT) SAR]]-TABL1234[[#This Row],[(T/B TOT) AJD]]</f>
        <v>0</v>
      </c>
      <c r="S355" s="9">
        <f>TABL1234[[#This Row],[الفرق بين بداية ونهاية خط  T/B]]+TABL1234[[#This Row],[الفرق بين بداية ونهاية خط  S/S]]</f>
        <v>0</v>
      </c>
      <c r="T355" s="9">
        <f>TABL1234[[#This Row],[(S/S TOT) AJD]]+TABL1234[[#This Row],[(T/B TOT) AJD]]</f>
        <v>0</v>
      </c>
      <c r="U355" s="44"/>
      <c r="V355" s="44"/>
      <c r="W355" s="9">
        <f>TABL1234[[#This Row],[(A/B TOT) AJD]]+TABL1234[[#This Row],[(A/S TOT)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Row],[البخر  AJD]])</f>
        <v>0</v>
      </c>
      <c r="AE355" s="44"/>
      <c r="AF355" s="45"/>
      <c r="AG355" s="45"/>
      <c r="AH355" s="6"/>
      <c r="AI355" s="45"/>
      <c r="AJ355" s="45">
        <f>TABL1234[[#This Row],[(A/B TOT) AJD]]-TABL1234[[#This Row],[BER_ IN]]</f>
        <v>0</v>
      </c>
      <c r="AK355" s="45"/>
      <c r="AL355" s="45"/>
      <c r="AM355" s="32"/>
      <c r="AN355" s="32">
        <f>TABL1234[[#This Row],[ (RESV. STORGE) SER]]/10</f>
        <v>0</v>
      </c>
      <c r="AO355" s="75"/>
      <c r="AP355" s="75">
        <f>TABL1234[[#This Row],[(A/S TOT) AJD]]-TABL1234[[#This Row],[SER_ 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Row],[خط (T/B  TOT) SAR]]+TABL1234[[#This Row],[خط (S/S  TOT) SAR2]]</f>
        <v>0</v>
      </c>
      <c r="L356" s="41"/>
      <c r="M356" s="42"/>
      <c r="N356" s="42"/>
      <c r="O356" s="39"/>
      <c r="P356" s="9">
        <f>TABL1234[[#This Row],[خط (S/S  TOT) SAR2]]-TABL1234[[#This Row],[(S/S TOT) AJD]]</f>
        <v>0</v>
      </c>
      <c r="Q356" s="39"/>
      <c r="R356" s="9">
        <f>TABL1234[[#This Row],[خط (T/B  TOT) SAR]]-TABL1234[[#This Row],[(T/B TOT) AJD]]</f>
        <v>0</v>
      </c>
      <c r="S356" s="9">
        <f>TABL1234[[#This Row],[الفرق بين بداية ونهاية خط  T/B]]+TABL1234[[#This Row],[الفرق بين بداية ونهاية خط  S/S]]</f>
        <v>0</v>
      </c>
      <c r="T356" s="9">
        <f>TABL1234[[#This Row],[(S/S TOT) AJD]]+TABL1234[[#This Row],[(T/B TOT) AJD]]</f>
        <v>0</v>
      </c>
      <c r="U356" s="41"/>
      <c r="V356" s="41"/>
      <c r="W356" s="9">
        <f>TABL1234[[#This Row],[(A/B TOT) AJD]]+TABL1234[[#This Row],[(A/S TOT)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Row],[البخر  AJD]])</f>
        <v>0</v>
      </c>
      <c r="AE356" s="41"/>
      <c r="AF356" s="43"/>
      <c r="AG356" s="43"/>
      <c r="AH356" s="6"/>
      <c r="AI356" s="43"/>
      <c r="AJ356" s="43">
        <f>TABL1234[[#This Row],[(A/B TOT) AJD]]-TABL1234[[#This Row],[BER_ IN]]</f>
        <v>0</v>
      </c>
      <c r="AK356" s="43"/>
      <c r="AL356" s="43"/>
      <c r="AM356" s="32"/>
      <c r="AN356" s="32">
        <f>TABL1234[[#This Row],[ (RESV. STORGE) SER]]/10</f>
        <v>0</v>
      </c>
      <c r="AO356" s="75"/>
      <c r="AP356" s="75">
        <f>TABL1234[[#This Row],[(A/S TOT) AJD]]-TABL1234[[#This Row],[SER_ 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Row],[خط (T/B  TOT) SAR]]+TABL1234[[#This Row],[خط (S/S  TOT) SAR2]]</f>
        <v>0</v>
      </c>
      <c r="L357" s="45"/>
      <c r="M357" s="46"/>
      <c r="N357" s="46"/>
      <c r="O357" s="40"/>
      <c r="P357" s="9">
        <f>TABL1234[[#This Row],[خط (S/S  TOT) SAR2]]-TABL1234[[#This Row],[(S/S TOT) AJD]]</f>
        <v>0</v>
      </c>
      <c r="Q357" s="40"/>
      <c r="R357" s="9">
        <f>TABL1234[[#This Row],[خط (T/B  TOT) SAR]]-TABL1234[[#This Row],[(T/B TOT) AJD]]</f>
        <v>0</v>
      </c>
      <c r="S357" s="9">
        <f>TABL1234[[#This Row],[الفرق بين بداية ونهاية خط  T/B]]+TABL1234[[#This Row],[الفرق بين بداية ونهاية خط  S/S]]</f>
        <v>0</v>
      </c>
      <c r="T357" s="9">
        <f>TABL1234[[#This Row],[(S/S TOT) AJD]]+TABL1234[[#This Row],[(T/B TOT) AJD]]</f>
        <v>0</v>
      </c>
      <c r="U357" s="44"/>
      <c r="V357" s="44"/>
      <c r="W357" s="9">
        <f>TABL1234[[#This Row],[(A/B TOT) AJD]]+TABL1234[[#This Row],[(A/S TOT)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Row],[البخر  AJD]])</f>
        <v>0</v>
      </c>
      <c r="AE357" s="44"/>
      <c r="AF357" s="45"/>
      <c r="AG357" s="45"/>
      <c r="AH357" s="6"/>
      <c r="AI357" s="45"/>
      <c r="AJ357" s="45">
        <f>TABL1234[[#This Row],[(A/B TOT) AJD]]-TABL1234[[#This Row],[BER_ IN]]</f>
        <v>0</v>
      </c>
      <c r="AK357" s="45"/>
      <c r="AL357" s="45"/>
      <c r="AM357" s="32"/>
      <c r="AN357" s="32">
        <f>TABL1234[[#This Row],[ (RESV. STORGE) SER]]/10</f>
        <v>0</v>
      </c>
      <c r="AO357" s="75"/>
      <c r="AP357" s="75">
        <f>TABL1234[[#This Row],[(A/S TOT) AJD]]-TABL1234[[#This Row],[SER_ 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Row],[خط (T/B  TOT) SAR]]+TABL1234[[#This Row],[خط (S/S  TOT) SAR2]]</f>
        <v>0</v>
      </c>
      <c r="L358" s="41"/>
      <c r="M358" s="42"/>
      <c r="N358" s="42"/>
      <c r="O358" s="39"/>
      <c r="P358" s="9">
        <f>TABL1234[[#This Row],[خط (S/S  TOT) SAR2]]-TABL1234[[#This Row],[(S/S TOT) AJD]]</f>
        <v>0</v>
      </c>
      <c r="Q358" s="39"/>
      <c r="R358" s="9">
        <f>TABL1234[[#This Row],[خط (T/B  TOT) SAR]]-TABL1234[[#This Row],[(T/B TOT) AJD]]</f>
        <v>0</v>
      </c>
      <c r="S358" s="9">
        <f>TABL1234[[#This Row],[الفرق بين بداية ونهاية خط  T/B]]+TABL1234[[#This Row],[الفرق بين بداية ونهاية خط  S/S]]</f>
        <v>0</v>
      </c>
      <c r="T358" s="9">
        <f>TABL1234[[#This Row],[(S/S TOT) AJD]]+TABL1234[[#This Row],[(T/B TOT) AJD]]</f>
        <v>0</v>
      </c>
      <c r="U358" s="41"/>
      <c r="V358" s="41"/>
      <c r="W358" s="9">
        <f>TABL1234[[#This Row],[(A/B TOT) AJD]]+TABL1234[[#This Row],[(A/S TOT)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Row],[البخر  AJD]])</f>
        <v>0</v>
      </c>
      <c r="AE358" s="41"/>
      <c r="AF358" s="43"/>
      <c r="AG358" s="43"/>
      <c r="AH358" s="6"/>
      <c r="AI358" s="43"/>
      <c r="AJ358" s="43">
        <f>TABL1234[[#This Row],[(A/B TOT) AJD]]-TABL1234[[#This Row],[BER_ IN]]</f>
        <v>0</v>
      </c>
      <c r="AK358" s="43"/>
      <c r="AL358" s="43"/>
      <c r="AM358" s="32"/>
      <c r="AN358" s="32">
        <f>TABL1234[[#This Row],[ (RESV. STORGE) SER]]/10</f>
        <v>0</v>
      </c>
      <c r="AO358" s="75"/>
      <c r="AP358" s="75">
        <f>TABL1234[[#This Row],[(A/S TOT) AJD]]-TABL1234[[#This Row],[SER_ 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Row],[خط (T/B  TOT) SAR]]+TABL1234[[#This Row],[خط (S/S  TOT) SAR2]]</f>
        <v>0</v>
      </c>
      <c r="L359" s="45"/>
      <c r="M359" s="46"/>
      <c r="N359" s="46"/>
      <c r="O359" s="40"/>
      <c r="P359" s="9">
        <f>TABL1234[[#This Row],[خط (S/S  TOT) SAR2]]-TABL1234[[#This Row],[(S/S TOT) AJD]]</f>
        <v>0</v>
      </c>
      <c r="Q359" s="40"/>
      <c r="R359" s="9">
        <f>TABL1234[[#This Row],[خط (T/B  TOT) SAR]]-TABL1234[[#This Row],[(T/B TOT) AJD]]</f>
        <v>0</v>
      </c>
      <c r="S359" s="9">
        <f>TABL1234[[#This Row],[الفرق بين بداية ونهاية خط  T/B]]+TABL1234[[#This Row],[الفرق بين بداية ونهاية خط  S/S]]</f>
        <v>0</v>
      </c>
      <c r="T359" s="9">
        <f>TABL1234[[#This Row],[(S/S TOT) AJD]]+TABL1234[[#This Row],[(T/B TOT) AJD]]</f>
        <v>0</v>
      </c>
      <c r="U359" s="44"/>
      <c r="V359" s="44"/>
      <c r="W359" s="9">
        <f>TABL1234[[#This Row],[(A/B TOT) AJD]]+TABL1234[[#This Row],[(A/S TOT)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Row],[البخر  AJD]])</f>
        <v>0</v>
      </c>
      <c r="AE359" s="44"/>
      <c r="AF359" s="45"/>
      <c r="AG359" s="45"/>
      <c r="AH359" s="6"/>
      <c r="AI359" s="45"/>
      <c r="AJ359" s="45">
        <f>TABL1234[[#This Row],[(A/B TOT) AJD]]-TABL1234[[#This Row],[BER_ IN]]</f>
        <v>0</v>
      </c>
      <c r="AK359" s="45"/>
      <c r="AL359" s="45"/>
      <c r="AM359" s="32"/>
      <c r="AN359" s="32">
        <f>TABL1234[[#This Row],[ (RESV. STORGE) SER]]/10</f>
        <v>0</v>
      </c>
      <c r="AO359" s="75"/>
      <c r="AP359" s="75">
        <f>TABL1234[[#This Row],[(A/S TOT) AJD]]-TABL1234[[#This Row],[SER_ 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Row],[خط (T/B  TOT) SAR]]+TABL1234[[#This Row],[خط (S/S  TOT) SAR2]]</f>
        <v>0</v>
      </c>
      <c r="L360" s="41"/>
      <c r="M360" s="42"/>
      <c r="N360" s="42"/>
      <c r="O360" s="39"/>
      <c r="P360" s="9">
        <f>TABL1234[[#This Row],[خط (S/S  TOT) SAR2]]-TABL1234[[#This Row],[(S/S TOT) AJD]]</f>
        <v>0</v>
      </c>
      <c r="Q360" s="39"/>
      <c r="R360" s="9">
        <f>TABL1234[[#This Row],[خط (T/B  TOT) SAR]]-TABL1234[[#This Row],[(T/B TOT) AJD]]</f>
        <v>0</v>
      </c>
      <c r="S360" s="9">
        <f>TABL1234[[#This Row],[الفرق بين بداية ونهاية خط  T/B]]+TABL1234[[#This Row],[الفرق بين بداية ونهاية خط  S/S]]</f>
        <v>0</v>
      </c>
      <c r="T360" s="9">
        <f>TABL1234[[#This Row],[(S/S TOT) AJD]]+TABL1234[[#This Row],[(T/B TOT) AJD]]</f>
        <v>0</v>
      </c>
      <c r="U360" s="41"/>
      <c r="V360" s="41"/>
      <c r="W360" s="9">
        <f>TABL1234[[#This Row],[(A/B TOT) AJD]]+TABL1234[[#This Row],[(A/S TOT)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Row],[البخر  AJD]])</f>
        <v>0</v>
      </c>
      <c r="AE360" s="41"/>
      <c r="AF360" s="43"/>
      <c r="AG360" s="43"/>
      <c r="AH360" s="6"/>
      <c r="AI360" s="43"/>
      <c r="AJ360" s="43">
        <f>TABL1234[[#This Row],[(A/B TOT) AJD]]-TABL1234[[#This Row],[BER_ IN]]</f>
        <v>0</v>
      </c>
      <c r="AK360" s="43"/>
      <c r="AL360" s="43"/>
      <c r="AM360" s="32"/>
      <c r="AN360" s="32">
        <f>TABL1234[[#This Row],[ (RESV. STORGE) SER]]/10</f>
        <v>0</v>
      </c>
      <c r="AO360" s="75"/>
      <c r="AP360" s="75">
        <f>TABL1234[[#This Row],[(A/S TOT) AJD]]-TABL1234[[#This Row],[SER_ 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Row],[خط (T/B  TOT) SAR]]+TABL1234[[#This Row],[خط (S/S  TOT) SAR2]]</f>
        <v>0</v>
      </c>
      <c r="L361" s="45"/>
      <c r="M361" s="46"/>
      <c r="N361" s="46"/>
      <c r="O361" s="40"/>
      <c r="P361" s="9">
        <f>TABL1234[[#This Row],[خط (S/S  TOT) SAR2]]-TABL1234[[#This Row],[(S/S TOT) AJD]]</f>
        <v>0</v>
      </c>
      <c r="Q361" s="40"/>
      <c r="R361" s="9">
        <f>TABL1234[[#This Row],[خط (T/B  TOT) SAR]]-TABL1234[[#This Row],[(T/B TOT) AJD]]</f>
        <v>0</v>
      </c>
      <c r="S361" s="9">
        <f>TABL1234[[#This Row],[الفرق بين بداية ونهاية خط  T/B]]+TABL1234[[#This Row],[الفرق بين بداية ونهاية خط  S/S]]</f>
        <v>0</v>
      </c>
      <c r="T361" s="9">
        <f>TABL1234[[#This Row],[(S/S TOT) AJD]]+TABL1234[[#This Row],[(T/B TOT) AJD]]</f>
        <v>0</v>
      </c>
      <c r="U361" s="44"/>
      <c r="V361" s="44"/>
      <c r="W361" s="9">
        <f>TABL1234[[#This Row],[(A/B TOT) AJD]]+TABL1234[[#This Row],[(A/S TOT)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Row],[البخر  AJD]])</f>
        <v>0</v>
      </c>
      <c r="AE361" s="44"/>
      <c r="AF361" s="45"/>
      <c r="AG361" s="45"/>
      <c r="AH361" s="6"/>
      <c r="AI361" s="45"/>
      <c r="AJ361" s="45">
        <f>TABL1234[[#This Row],[(A/B TOT) AJD]]-TABL1234[[#This Row],[BER_ IN]]</f>
        <v>0</v>
      </c>
      <c r="AK361" s="45"/>
      <c r="AL361" s="45"/>
      <c r="AM361" s="32"/>
      <c r="AN361" s="32">
        <f>TABL1234[[#This Row],[ (RESV. STORGE) SER]]/10</f>
        <v>0</v>
      </c>
      <c r="AO361" s="75"/>
      <c r="AP361" s="75">
        <f>TABL1234[[#This Row],[(A/S TOT) AJD]]-TABL1234[[#This Row],[SER_ 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Row],[خط (T/B  TOT) SAR]]+TABL1234[[#This Row],[خط (S/S  TOT) SAR2]]</f>
        <v>0</v>
      </c>
      <c r="L362" s="41"/>
      <c r="M362" s="42"/>
      <c r="N362" s="42"/>
      <c r="O362" s="39"/>
      <c r="P362" s="9">
        <f>TABL1234[[#This Row],[خط (S/S  TOT) SAR2]]-TABL1234[[#This Row],[(S/S TOT) AJD]]</f>
        <v>0</v>
      </c>
      <c r="Q362" s="39"/>
      <c r="R362" s="9">
        <f>TABL1234[[#This Row],[خط (T/B  TOT) SAR]]-TABL1234[[#This Row],[(T/B TOT) AJD]]</f>
        <v>0</v>
      </c>
      <c r="S362" s="9">
        <f>TABL1234[[#This Row],[الفرق بين بداية ونهاية خط  T/B]]+TABL1234[[#This Row],[الفرق بين بداية ونهاية خط  S/S]]</f>
        <v>0</v>
      </c>
      <c r="T362" s="9">
        <f>TABL1234[[#This Row],[(S/S TOT) AJD]]+TABL1234[[#This Row],[(T/B TOT) AJD]]</f>
        <v>0</v>
      </c>
      <c r="U362" s="41"/>
      <c r="V362" s="41"/>
      <c r="W362" s="9">
        <f>TABL1234[[#This Row],[(A/B TOT) AJD]]+TABL1234[[#This Row],[(A/S TOT)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Row],[البخر  AJD]])</f>
        <v>0</v>
      </c>
      <c r="AE362" s="41"/>
      <c r="AF362" s="43"/>
      <c r="AG362" s="43"/>
      <c r="AH362" s="6"/>
      <c r="AI362" s="43"/>
      <c r="AJ362" s="43">
        <f>TABL1234[[#This Row],[(A/B TOT) AJD]]-TABL1234[[#This Row],[BER_ IN]]</f>
        <v>0</v>
      </c>
      <c r="AK362" s="43"/>
      <c r="AL362" s="43"/>
      <c r="AM362" s="32"/>
      <c r="AN362" s="32">
        <f>TABL1234[[#This Row],[ (RESV. STORGE) SER]]/10</f>
        <v>0</v>
      </c>
      <c r="AO362" s="75"/>
      <c r="AP362" s="75">
        <f>TABL1234[[#This Row],[(A/S TOT) AJD]]-TABL1234[[#This Row],[SER_ 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Row],[خط (T/B  TOT) SAR]]+TABL1234[[#This Row],[خط (S/S  TOT) SAR2]]</f>
        <v>0</v>
      </c>
      <c r="L363" s="45"/>
      <c r="M363" s="46"/>
      <c r="N363" s="46"/>
      <c r="O363" s="40"/>
      <c r="P363" s="9">
        <f>TABL1234[[#This Row],[خط (S/S  TOT) SAR2]]-TABL1234[[#This Row],[(S/S TOT) AJD]]</f>
        <v>0</v>
      </c>
      <c r="Q363" s="40"/>
      <c r="R363" s="9">
        <f>TABL1234[[#This Row],[خط (T/B  TOT) SAR]]-TABL1234[[#This Row],[(T/B TOT) AJD]]</f>
        <v>0</v>
      </c>
      <c r="S363" s="9">
        <f>TABL1234[[#This Row],[الفرق بين بداية ونهاية خط  T/B]]+TABL1234[[#This Row],[الفرق بين بداية ونهاية خط  S/S]]</f>
        <v>0</v>
      </c>
      <c r="T363" s="9">
        <f>TABL1234[[#This Row],[(S/S TOT) AJD]]+TABL1234[[#This Row],[(T/B TOT) AJD]]</f>
        <v>0</v>
      </c>
      <c r="U363" s="44"/>
      <c r="V363" s="44"/>
      <c r="W363" s="9">
        <f>TABL1234[[#This Row],[(A/B TOT) AJD]]+TABL1234[[#This Row],[(A/S TOT)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Row],[البخر  AJD]])</f>
        <v>0</v>
      </c>
      <c r="AE363" s="44"/>
      <c r="AF363" s="45"/>
      <c r="AG363" s="45"/>
      <c r="AH363" s="6"/>
      <c r="AI363" s="45"/>
      <c r="AJ363" s="45">
        <f>TABL1234[[#This Row],[(A/B TOT) AJD]]-TABL1234[[#This Row],[BER_ IN]]</f>
        <v>0</v>
      </c>
      <c r="AK363" s="45"/>
      <c r="AL363" s="45"/>
      <c r="AM363" s="32"/>
      <c r="AN363" s="32">
        <f>TABL1234[[#This Row],[ (RESV. STORGE) SER]]/10</f>
        <v>0</v>
      </c>
      <c r="AO363" s="75"/>
      <c r="AP363" s="75">
        <f>TABL1234[[#This Row],[(A/S TOT) AJD]]-TABL1234[[#This Row],[SER_ 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Row],[خط (T/B  TOT) SAR]]+TABL1234[[#This Row],[خط (S/S  TOT) SAR2]]</f>
        <v>0</v>
      </c>
      <c r="L364" s="41"/>
      <c r="M364" s="42"/>
      <c r="N364" s="42"/>
      <c r="O364" s="39"/>
      <c r="P364" s="9">
        <f>TABL1234[[#This Row],[خط (S/S  TOT) SAR2]]-TABL1234[[#This Row],[(S/S TOT) AJD]]</f>
        <v>0</v>
      </c>
      <c r="Q364" s="39"/>
      <c r="R364" s="9">
        <f>TABL1234[[#This Row],[خط (T/B  TOT) SAR]]-TABL1234[[#This Row],[(T/B TOT) AJD]]</f>
        <v>0</v>
      </c>
      <c r="S364" s="9">
        <f>TABL1234[[#This Row],[الفرق بين بداية ونهاية خط  T/B]]+TABL1234[[#This Row],[الفرق بين بداية ونهاية خط  S/S]]</f>
        <v>0</v>
      </c>
      <c r="T364" s="9">
        <f>TABL1234[[#This Row],[(S/S TOT) AJD]]+TABL1234[[#This Row],[(T/B TOT) AJD]]</f>
        <v>0</v>
      </c>
      <c r="U364" s="41"/>
      <c r="V364" s="41"/>
      <c r="W364" s="9">
        <f>TABL1234[[#This Row],[(A/B TOT) AJD]]+TABL1234[[#This Row],[(A/S TOT)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Row],[البخر  AJD]])</f>
        <v>0</v>
      </c>
      <c r="AE364" s="41"/>
      <c r="AF364" s="43"/>
      <c r="AG364" s="43"/>
      <c r="AH364" s="6"/>
      <c r="AI364" s="43"/>
      <c r="AJ364" s="43">
        <f>TABL1234[[#This Row],[(A/B TOT) AJD]]-TABL1234[[#This Row],[BER_ IN]]</f>
        <v>0</v>
      </c>
      <c r="AK364" s="43"/>
      <c r="AL364" s="43"/>
      <c r="AM364" s="32"/>
      <c r="AN364" s="32">
        <f>TABL1234[[#This Row],[ (RESV. STORGE) SER]]/10</f>
        <v>0</v>
      </c>
      <c r="AO364" s="75"/>
      <c r="AP364" s="75">
        <f>TABL1234[[#This Row],[(A/S TOT) AJD]]-TABL1234[[#This Row],[SER_ 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Row],[خط (T/B  TOT) SAR]]+TABL1234[[#This Row],[خط (S/S  TOT) SAR2]]</f>
        <v>0</v>
      </c>
      <c r="L365" s="45"/>
      <c r="M365" s="46"/>
      <c r="N365" s="46"/>
      <c r="O365" s="40"/>
      <c r="P365" s="9">
        <f>TABL1234[[#This Row],[خط (S/S  TOT) SAR2]]-TABL1234[[#This Row],[(S/S TOT) AJD]]</f>
        <v>0</v>
      </c>
      <c r="Q365" s="40"/>
      <c r="R365" s="9">
        <f>TABL1234[[#This Row],[خط (T/B  TOT) SAR]]-TABL1234[[#This Row],[(T/B TOT) AJD]]</f>
        <v>0</v>
      </c>
      <c r="S365" s="9">
        <f>TABL1234[[#This Row],[الفرق بين بداية ونهاية خط  T/B]]+TABL1234[[#This Row],[الفرق بين بداية ونهاية خط  S/S]]</f>
        <v>0</v>
      </c>
      <c r="T365" s="9">
        <f>TABL1234[[#This Row],[(S/S TOT) AJD]]+TABL1234[[#This Row],[(T/B TOT) AJD]]</f>
        <v>0</v>
      </c>
      <c r="U365" s="44"/>
      <c r="V365" s="44"/>
      <c r="W365" s="9">
        <f>TABL1234[[#This Row],[(A/B TOT) AJD]]+TABL1234[[#This Row],[(A/S TOT)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Row],[البخر  AJD]])</f>
        <v>0</v>
      </c>
      <c r="AE365" s="44"/>
      <c r="AF365" s="45"/>
      <c r="AG365" s="45"/>
      <c r="AH365" s="6"/>
      <c r="AI365" s="45"/>
      <c r="AJ365" s="100">
        <f>TABL1234[[#This Row],[(A/B TOT) AJD]]-TABL1234[[#This Row],[BER_ IN]]</f>
        <v>0</v>
      </c>
      <c r="AK365" s="45"/>
      <c r="AL365" s="45"/>
      <c r="AM365" s="32"/>
      <c r="AN365" s="32">
        <f>TABL1234[[#This Row],[ (RESV. STORGE) SER]]/10</f>
        <v>0</v>
      </c>
      <c r="AO365" s="75"/>
      <c r="AP365" s="75">
        <f>TABL1234[[#This Row],[(A/S TOT) AJD]]-TABL1234[[#This Row],[SER_ 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Row],[خط (T/B  TOT) SAR]]+TABL1234[[#This Row],[خط (S/S  TOT) SAR2]]</f>
        <v>0</v>
      </c>
      <c r="L366" s="41"/>
      <c r="M366" s="42"/>
      <c r="N366" s="42"/>
      <c r="O366" s="39"/>
      <c r="P366" s="19">
        <f>TABL1234[[#This Row],[خط (S/S  TOT) SAR2]]-TABL1234[[#This Row],[(S/S TOT) AJD]]</f>
        <v>0</v>
      </c>
      <c r="Q366" s="39"/>
      <c r="R366" s="19">
        <f>TABL1234[[#This Row],[خط (T/B  TOT) SAR]]-TABL1234[[#This Row],[(T/B TOT) AJD]]</f>
        <v>0</v>
      </c>
      <c r="S366" s="19">
        <f>TABL1234[[#This Row],[الفرق بين بداية ونهاية خط  T/B]]+TABL1234[[#This Row],[الفرق بين بداية ونهاية خط  S/S]]</f>
        <v>0</v>
      </c>
      <c r="T366" s="19">
        <f>TABL1234[[#This Row],[(S/S TOT) AJD]]+TABL1234[[#This Row],[(T/B TOT) AJD]]</f>
        <v>0</v>
      </c>
      <c r="U366" s="41"/>
      <c r="V366" s="41"/>
      <c r="W366" s="19">
        <f>TABL1234[[#This Row],[(A/B TOT) AJD]]+TABL1234[[#This Row],[(A/S TOT)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Row],[البخر  AJD]])</f>
        <v>0</v>
      </c>
      <c r="AE366" s="41"/>
      <c r="AF366" s="43"/>
      <c r="AG366" s="43"/>
      <c r="AH366" s="21"/>
      <c r="AI366" s="43"/>
      <c r="AJ366" s="43">
        <f>TABL1234[[#This Row],[(A/B TOT) AJD]]-TABL1234[[#This Row],[BER_ IN]]</f>
        <v>0</v>
      </c>
      <c r="AK366" s="43"/>
      <c r="AL366" s="43"/>
      <c r="AM366" s="32"/>
      <c r="AN366" s="32">
        <f>TABL1234[[#This Row],[ (RESV. STORGE) SER]]/10</f>
        <v>0</v>
      </c>
      <c r="AO366" s="90"/>
      <c r="AP366" s="90">
        <f>TABL1234[[#This Row],[(A/S TOT) AJD]]-TABL1234[[#This Row],[SER_ IN]]</f>
        <v>0</v>
      </c>
    </row>
    <row r="367" spans="1:42" x14ac:dyDescent="0.25">
      <c r="A367" s="80"/>
      <c r="B367" s="81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82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21"/>
      <c r="AE367" s="57"/>
      <c r="AF367" s="20"/>
      <c r="AG367" s="19"/>
      <c r="AH367" s="19"/>
      <c r="AI367" s="19"/>
      <c r="AJ367" s="60"/>
      <c r="AK367" s="83"/>
      <c r="AL367" s="19"/>
      <c r="AM367" s="21"/>
      <c r="AN367" s="8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topLeftCell="P1" workbookViewId="0">
      <selection activeCell="AD2" sqref="AD2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Row],[خط (T/B  TOT) SAR]]+TABL12345[[#This Row],[خط (S/S  TOT) SAR2]]</f>
        <v>0</v>
      </c>
      <c r="L2" s="28"/>
      <c r="M2" s="29"/>
      <c r="N2" s="30"/>
      <c r="O2" s="3"/>
      <c r="P2" s="3">
        <f>TABL12345[[#This Row],[خط (S/S  TOT) SAR2]]-TABL12345[[#This Row],[(S/S TOT) AJD]]</f>
        <v>0</v>
      </c>
      <c r="Q2" s="3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v>-10</v>
      </c>
      <c r="AC2" s="5"/>
      <c r="AD2" s="5">
        <f>(TABL12345[[#This Row],[( S/S+T/B) AJD]]*1000)-((TABL12345[[#This Row],[(STORGE DIFF.) AJD]]*1000)+TABL12345[[#This Row],[البخر  AJD]]+(TABL12345[[#This Row],[(A/B + A/S) AJD]]*1000))</f>
        <v>10000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 TOT) AJD]]-TABL12345[[#This Row],[BER_ 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75"/>
      <c r="AP3" s="75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5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75"/>
      <c r="AP4" s="75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75"/>
      <c r="AP5" s="75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5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75"/>
      <c r="AP6" s="75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74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75"/>
      <c r="AP7" s="75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5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75"/>
      <c r="AP8" s="75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75"/>
      <c r="AP9" s="75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5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75"/>
      <c r="AP10" s="75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75"/>
      <c r="AP11" s="75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5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75"/>
      <c r="AH12" s="6">
        <f>TABL12345[[#This Row],[ (RESV. STORGE) BER]]/10</f>
        <v>0</v>
      </c>
      <c r="AI12" s="41"/>
      <c r="AJ12" s="75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75"/>
      <c r="AP12" s="75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75"/>
      <c r="AP13" s="75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5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75"/>
      <c r="AP14" s="75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75"/>
      <c r="AP15" s="75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5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75"/>
      <c r="AP16" s="75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75"/>
      <c r="AP17" s="75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5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75"/>
      <c r="AP18" s="75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75"/>
      <c r="AP19" s="75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5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75"/>
      <c r="AP20" s="75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75"/>
      <c r="AP21" s="75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5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75"/>
      <c r="AP22" s="75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75"/>
      <c r="AP23" s="75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5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75"/>
      <c r="AP24" s="75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75"/>
      <c r="AP25" s="75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5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75"/>
      <c r="AP26" s="75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75"/>
      <c r="AP27" s="75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5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75"/>
      <c r="AP28" s="75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75"/>
      <c r="AP29" s="75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5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75"/>
      <c r="AP30" s="75">
        <f>TABL12345[[#This Row],[(A/S TOT) AJD]]-TABL12345[[#This Row],[SER_ 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7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9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75"/>
      <c r="AP31" s="75">
        <f>TABL12345[[#This Row],[(A/S TOT) AJD]]-TABL12345[[#This Row],[SER_ 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45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75"/>
      <c r="AP32" s="75">
        <f>TABL12345[[#This Row],[(A/S TOT) AJD]]-TABL12345[[#This Row],[SER_ 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5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75"/>
      <c r="AP33" s="75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75"/>
      <c r="AP34" s="75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5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75"/>
      <c r="AP35" s="75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75"/>
      <c r="AP36" s="75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5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75"/>
      <c r="AP37" s="75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75"/>
      <c r="AP38" s="75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5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75"/>
      <c r="AP39" s="75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75"/>
      <c r="AP40" s="75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5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75"/>
      <c r="AP41" s="75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75"/>
      <c r="AP42" s="75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5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75"/>
      <c r="AP43" s="75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75"/>
      <c r="AP44" s="75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5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75"/>
      <c r="AP45" s="75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75"/>
      <c r="AP46" s="75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5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75"/>
      <c r="AP47" s="75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75"/>
      <c r="AP48" s="75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5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75"/>
      <c r="AP49" s="75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75"/>
      <c r="AP50" s="75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5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75"/>
      <c r="AP51" s="75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75"/>
      <c r="AP52" s="75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5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75"/>
      <c r="AP53" s="75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75"/>
      <c r="AP54" s="75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5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75"/>
      <c r="AP55" s="75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75"/>
      <c r="AP56" s="75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5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75"/>
      <c r="AP57" s="75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75"/>
      <c r="AP58" s="75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5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75"/>
      <c r="AP59" s="75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75"/>
      <c r="AP60" s="75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5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75"/>
      <c r="AP61" s="75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75"/>
      <c r="AP62" s="75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5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75"/>
      <c r="AP63" s="75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75"/>
      <c r="AP64" s="75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5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75"/>
      <c r="AP65" s="75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75"/>
      <c r="AP66" s="75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5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75"/>
      <c r="AP67" s="75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75"/>
      <c r="AP68" s="75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5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75"/>
      <c r="AP69" s="75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75"/>
      <c r="AP70" s="75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5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75"/>
      <c r="AH71" s="6">
        <f>TABL12345[[#This Row],[ (RESV. STORGE) BER]]/10</f>
        <v>0</v>
      </c>
      <c r="AI71" s="41"/>
      <c r="AJ71" s="75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75"/>
      <c r="AP71" s="75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75"/>
      <c r="AP72" s="75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5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75"/>
      <c r="AP73" s="75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75"/>
      <c r="AP74" s="75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5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75"/>
      <c r="AP75" s="75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75"/>
      <c r="AP76" s="75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5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75"/>
      <c r="AP77" s="75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75"/>
      <c r="AP78" s="75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5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75"/>
      <c r="AP79" s="75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75"/>
      <c r="AP80" s="75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5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75"/>
      <c r="AP81" s="75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75"/>
      <c r="AP82" s="75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5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75"/>
      <c r="AP83" s="75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75"/>
      <c r="AP84" s="75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5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75"/>
      <c r="AP85" s="75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75"/>
      <c r="AP86" s="75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5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75"/>
      <c r="AP87" s="75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75"/>
      <c r="AP88" s="75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5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75"/>
      <c r="AP89" s="75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7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9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75"/>
      <c r="AP90" s="75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5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75"/>
      <c r="AP91" s="75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5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75"/>
      <c r="AP92" s="75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75"/>
      <c r="AP93" s="75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5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75"/>
      <c r="AP94" s="75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75"/>
      <c r="AP95" s="75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5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75"/>
      <c r="AP96" s="75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75"/>
      <c r="AP97" s="75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5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75"/>
      <c r="AP98" s="75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75"/>
      <c r="AP99" s="75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5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75"/>
      <c r="AP100" s="75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75"/>
      <c r="AP101" s="75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5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75"/>
      <c r="AP102" s="75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75"/>
      <c r="AP103" s="75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5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75"/>
      <c r="AP104" s="75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75"/>
      <c r="AP105" s="75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5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75"/>
      <c r="AP106" s="75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75"/>
      <c r="AP107" s="75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5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75"/>
      <c r="AP108" s="75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75"/>
      <c r="AP109" s="75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5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75"/>
      <c r="AP110" s="75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75"/>
      <c r="AP111" s="75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5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75"/>
      <c r="AP112" s="75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75"/>
      <c r="AP113" s="75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5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75"/>
      <c r="AP114" s="75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75"/>
      <c r="AP115" s="75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5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75"/>
      <c r="AP116" s="75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75"/>
      <c r="AP117" s="75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5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75"/>
      <c r="AP118" s="75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75"/>
      <c r="AP119" s="75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5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75"/>
      <c r="AP120" s="75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75"/>
      <c r="AP121" s="75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5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75"/>
      <c r="AP122" s="75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75"/>
      <c r="AP123" s="75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5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75"/>
      <c r="AP124" s="75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75"/>
      <c r="AP125" s="75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5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75"/>
      <c r="AP126" s="75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75"/>
      <c r="AP127" s="75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5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75"/>
      <c r="AP128" s="75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75"/>
      <c r="AP129" s="75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5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75"/>
      <c r="AP130" s="75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75"/>
      <c r="AP131" s="75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5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75"/>
      <c r="AH132" s="6">
        <f>TABL12345[[#This Row],[ (RESV. STORGE) BER]]/10</f>
        <v>0</v>
      </c>
      <c r="AI132" s="41"/>
      <c r="AJ132" s="75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75"/>
      <c r="AP132" s="75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75"/>
      <c r="AP133" s="75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5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75"/>
      <c r="AP134" s="75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75"/>
      <c r="AP135" s="75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5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75"/>
      <c r="AP136" s="75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75"/>
      <c r="AP137" s="75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5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75"/>
      <c r="AP138" s="75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75"/>
      <c r="AP139" s="75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5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75"/>
      <c r="AP140" s="75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75"/>
      <c r="AP141" s="75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5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75"/>
      <c r="AP142" s="75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75"/>
      <c r="AP143" s="75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5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75"/>
      <c r="AP144" s="75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75"/>
      <c r="AP145" s="75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5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75"/>
      <c r="AP146" s="75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75"/>
      <c r="AP147" s="75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5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75"/>
      <c r="AP148" s="75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75"/>
      <c r="AP149" s="75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5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75"/>
      <c r="AP150" s="75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7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9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75"/>
      <c r="AP151" s="75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5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75"/>
      <c r="AP152" s="75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5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75"/>
      <c r="AP153" s="75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75"/>
      <c r="AP154" s="75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5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75"/>
      <c r="AP155" s="75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75"/>
      <c r="AP156" s="75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5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75"/>
      <c r="AP157" s="75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75"/>
      <c r="AP158" s="75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5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75"/>
      <c r="AP159" s="75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75"/>
      <c r="AP160" s="75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5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75"/>
      <c r="AP161" s="75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75"/>
      <c r="AP162" s="75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5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75"/>
      <c r="AP163" s="75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75"/>
      <c r="AP164" s="75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5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75"/>
      <c r="AP165" s="75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75"/>
      <c r="AP166" s="75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5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75"/>
      <c r="AP167" s="75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75"/>
      <c r="AP168" s="75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5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75"/>
      <c r="AP169" s="75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75"/>
      <c r="AP170" s="75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5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75"/>
      <c r="AP171" s="75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75"/>
      <c r="AP172" s="75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5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75"/>
      <c r="AP173" s="75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75"/>
      <c r="AP174" s="75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5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75"/>
      <c r="AP175" s="75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75"/>
      <c r="AP176" s="75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5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75"/>
      <c r="AP177" s="75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75"/>
      <c r="AP178" s="75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5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75"/>
      <c r="AP179" s="75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75"/>
      <c r="AP180" s="75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5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75"/>
      <c r="AP181" s="75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75"/>
      <c r="AP182" s="75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5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75"/>
      <c r="AP183" s="75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75"/>
      <c r="AP184" s="75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5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75"/>
      <c r="AP185" s="75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75"/>
      <c r="AP186" s="75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5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75"/>
      <c r="AP187" s="75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75"/>
      <c r="AP188" s="75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5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75"/>
      <c r="AP189" s="75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75"/>
      <c r="AP190" s="75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5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75"/>
      <c r="AP191" s="75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75"/>
      <c r="AP192" s="75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5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75"/>
      <c r="AH193" s="6">
        <f>TABL12345[[#This Row],[ (RESV. STORGE) BER]]/10</f>
        <v>0</v>
      </c>
      <c r="AI193" s="41"/>
      <c r="AJ193" s="75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75"/>
      <c r="AP193" s="75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75"/>
      <c r="AP194" s="75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5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75"/>
      <c r="AP195" s="75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75"/>
      <c r="AP196" s="75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5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75"/>
      <c r="AP197" s="75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75"/>
      <c r="AP198" s="75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5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75"/>
      <c r="AP199" s="75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75"/>
      <c r="AP200" s="75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5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75"/>
      <c r="AP201" s="75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75"/>
      <c r="AP202" s="75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5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75"/>
      <c r="AP203" s="75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75"/>
      <c r="AP204" s="75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5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75"/>
      <c r="AP205" s="75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75"/>
      <c r="AP206" s="75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5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75"/>
      <c r="AP207" s="75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75"/>
      <c r="AP208" s="75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5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75"/>
      <c r="AP209" s="75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75"/>
      <c r="AP210" s="75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5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75"/>
      <c r="AP211" s="75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7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9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75"/>
      <c r="AP212" s="75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5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75"/>
      <c r="AP213" s="75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5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75"/>
      <c r="AP214" s="75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75"/>
      <c r="AP215" s="75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5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75"/>
      <c r="AP216" s="75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75"/>
      <c r="AP217" s="75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5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75"/>
      <c r="AP218" s="75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75"/>
      <c r="AP219" s="75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5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75"/>
      <c r="AP220" s="75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75"/>
      <c r="AP221" s="75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5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75"/>
      <c r="AP222" s="75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75"/>
      <c r="AP223" s="75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5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75"/>
      <c r="AH224" s="6">
        <f>TABL12345[[#This Row],[ (RESV. STORGE) BER]]/10</f>
        <v>0</v>
      </c>
      <c r="AI224" s="41"/>
      <c r="AJ224" s="75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75"/>
      <c r="AP224" s="75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75"/>
      <c r="AP225" s="75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5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75"/>
      <c r="AP226" s="75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75"/>
      <c r="AP227" s="75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5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75"/>
      <c r="AP228" s="75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75"/>
      <c r="AP229" s="75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5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75"/>
      <c r="AP230" s="75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75"/>
      <c r="AP231" s="75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5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75"/>
      <c r="AP232" s="75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75"/>
      <c r="AP233" s="75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5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75"/>
      <c r="AP234" s="75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75"/>
      <c r="AP235" s="75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5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75"/>
      <c r="AP236" s="75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75"/>
      <c r="AP237" s="75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5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75"/>
      <c r="AP238" s="75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75"/>
      <c r="AP239" s="75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5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75"/>
      <c r="AP240" s="75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75"/>
      <c r="AP241" s="75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5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75"/>
      <c r="AP242" s="75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7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9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75"/>
      <c r="AP243" s="75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5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75"/>
      <c r="AP244" s="75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5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75"/>
      <c r="AP245" s="75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75"/>
      <c r="AP246" s="75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5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75"/>
      <c r="AP247" s="75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75"/>
      <c r="AP248" s="75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5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75"/>
      <c r="AP249" s="75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75"/>
      <c r="AP250" s="75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5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75"/>
      <c r="AP251" s="75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75"/>
      <c r="AP252" s="75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5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75"/>
      <c r="AP253" s="75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75"/>
      <c r="AP254" s="75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5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75"/>
      <c r="AP255" s="75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75"/>
      <c r="AP256" s="75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5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75"/>
      <c r="AP257" s="75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75"/>
      <c r="AP258" s="75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5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75"/>
      <c r="AP259" s="75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75"/>
      <c r="AP260" s="75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5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75"/>
      <c r="AP261" s="75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75"/>
      <c r="AP262" s="75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5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75"/>
      <c r="AP263" s="75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75"/>
      <c r="AP264" s="75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5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75"/>
      <c r="AP265" s="75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75"/>
      <c r="AP266" s="75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5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75"/>
      <c r="AP267" s="75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75"/>
      <c r="AP268" s="75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5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75"/>
      <c r="AP269" s="75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75"/>
      <c r="AP270" s="75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5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75"/>
      <c r="AP271" s="75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75"/>
      <c r="AP272" s="75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45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75"/>
      <c r="AP273" s="75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45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75"/>
      <c r="AP274" s="75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45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75"/>
      <c r="AP275" s="75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45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75"/>
      <c r="AP276" s="75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45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75"/>
      <c r="AP277" s="75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45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75"/>
      <c r="AP278" s="75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45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75"/>
      <c r="AP279" s="75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45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75"/>
      <c r="AP280" s="75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45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75"/>
      <c r="AP281" s="75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45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75"/>
      <c r="AP282" s="75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45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75"/>
      <c r="AP283" s="75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45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75"/>
      <c r="AP284" s="75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45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75"/>
      <c r="AP285" s="75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45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75"/>
      <c r="AP286" s="75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45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75"/>
      <c r="AP287" s="75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45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75"/>
      <c r="AP288" s="75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45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75"/>
      <c r="AP289" s="75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45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75"/>
      <c r="AP290" s="75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45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75"/>
      <c r="AP291" s="75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45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75"/>
      <c r="AP292" s="75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45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75"/>
      <c r="AP293" s="75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45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75"/>
      <c r="AP294" s="75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45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75"/>
      <c r="AP295" s="75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45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75"/>
      <c r="AP296" s="75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45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75"/>
      <c r="AP297" s="75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45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75"/>
      <c r="AP298" s="75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45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75"/>
      <c r="AP299" s="75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45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75"/>
      <c r="AP300" s="75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45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75"/>
      <c r="AP301" s="75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45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75"/>
      <c r="AP302" s="75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45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75"/>
      <c r="AP303" s="75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45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75"/>
      <c r="AP304" s="75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45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75"/>
      <c r="AP305" s="75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45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75"/>
      <c r="AP306" s="75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45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75"/>
      <c r="AP307" s="75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45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75"/>
      <c r="AP308" s="75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45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75"/>
      <c r="AP309" s="75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45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75"/>
      <c r="AP310" s="75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45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75"/>
      <c r="AP311" s="75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45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75"/>
      <c r="AP312" s="75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45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75"/>
      <c r="AP313" s="75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45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75"/>
      <c r="AP314" s="75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45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75"/>
      <c r="AP315" s="75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45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75"/>
      <c r="AP316" s="75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45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75"/>
      <c r="AP317" s="75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45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75"/>
      <c r="AP318" s="75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45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75"/>
      <c r="AP319" s="75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45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75"/>
      <c r="AP320" s="75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45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75"/>
      <c r="AP321" s="75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45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75"/>
      <c r="AP322" s="75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45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75"/>
      <c r="AP323" s="75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45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75"/>
      <c r="AP324" s="75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45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75"/>
      <c r="AP325" s="75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45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75"/>
      <c r="AP326" s="75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45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75"/>
      <c r="AP327" s="75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45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75"/>
      <c r="AP328" s="75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45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75"/>
      <c r="AP329" s="75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45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75"/>
      <c r="AP330" s="75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45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75"/>
      <c r="AP331" s="75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45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75"/>
      <c r="AP332" s="75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45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75"/>
      <c r="AP333" s="75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45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75"/>
      <c r="AP334" s="75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45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75"/>
      <c r="AP335" s="75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5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75"/>
      <c r="AP336" s="75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75"/>
      <c r="AP337" s="75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5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75"/>
      <c r="AP338" s="75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75"/>
      <c r="AP339" s="75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5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75"/>
      <c r="AP340" s="75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75"/>
      <c r="AP341" s="75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5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75"/>
      <c r="AP342" s="75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75"/>
      <c r="AP343" s="75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5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75"/>
      <c r="AP344" s="75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75"/>
      <c r="AP345" s="75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5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75"/>
      <c r="AP346" s="75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75"/>
      <c r="AP347" s="75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5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75"/>
      <c r="AP348" s="75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75"/>
      <c r="AP349" s="75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5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75"/>
      <c r="AP350" s="75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75"/>
      <c r="AP351" s="75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5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75"/>
      <c r="AP352" s="75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75"/>
      <c r="AP353" s="75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5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75"/>
      <c r="AP354" s="75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75"/>
      <c r="AP355" s="75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5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75"/>
      <c r="AP356" s="75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75"/>
      <c r="AP357" s="75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5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75"/>
      <c r="AP358" s="75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75"/>
      <c r="AP359" s="75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5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75"/>
      <c r="AP360" s="75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75"/>
      <c r="AP361" s="75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5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75"/>
      <c r="AP362" s="75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75"/>
      <c r="AP363" s="75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5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75"/>
      <c r="AP364" s="75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100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75"/>
      <c r="AP365" s="75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5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90"/>
      <c r="AP366" s="90">
        <f>TABL12345[[#This Row],[(A/S TOT) AJD]]-TABL12345[[#This Row],[SER_ IN]]</f>
        <v>0</v>
      </c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workbookViewId="0">
      <selection activeCell="I17" sqref="I17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9"/>
      <c r="AP2" s="89"/>
    </row>
    <row r="3" spans="1:42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75"/>
      <c r="AP3" s="75"/>
    </row>
    <row r="4" spans="1:42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75"/>
      <c r="AP4" s="75"/>
    </row>
    <row r="5" spans="1:42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75"/>
      <c r="AP5" s="75"/>
    </row>
    <row r="6" spans="1:42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75"/>
      <c r="AP6" s="75"/>
    </row>
    <row r="7" spans="1:42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75"/>
      <c r="AP7" s="75"/>
    </row>
    <row r="8" spans="1:42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75"/>
      <c r="AP8" s="75"/>
    </row>
    <row r="9" spans="1:42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75"/>
      <c r="AP9" s="75"/>
    </row>
    <row r="10" spans="1:42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75"/>
      <c r="AP10" s="75"/>
    </row>
    <row r="11" spans="1:42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75"/>
      <c r="AP11" s="75"/>
    </row>
    <row r="12" spans="1:42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  <c r="AO12" s="75"/>
      <c r="AP12" s="75"/>
    </row>
    <row r="13" spans="1:42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75"/>
      <c r="AP13" s="75"/>
    </row>
    <row r="14" spans="1:42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75"/>
      <c r="AP14" s="75"/>
    </row>
    <row r="15" spans="1:42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75"/>
      <c r="AP15" s="75"/>
    </row>
    <row r="16" spans="1:42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75"/>
      <c r="AP16" s="75"/>
    </row>
    <row r="17" spans="1:42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75"/>
      <c r="AP17" s="75"/>
    </row>
    <row r="18" spans="1:42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75"/>
      <c r="AP18" s="75"/>
    </row>
    <row r="19" spans="1:42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75"/>
      <c r="AP19" s="75"/>
    </row>
    <row r="20" spans="1:42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75"/>
      <c r="AP20" s="75"/>
    </row>
    <row r="21" spans="1:42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75"/>
      <c r="AP21" s="75"/>
    </row>
    <row r="22" spans="1:42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75"/>
      <c r="AP22" s="75"/>
    </row>
    <row r="23" spans="1:42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75"/>
      <c r="AP23" s="75"/>
    </row>
    <row r="24" spans="1:42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75"/>
      <c r="AP24" s="75"/>
    </row>
    <row r="25" spans="1:42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75"/>
      <c r="AP25" s="75"/>
    </row>
    <row r="26" spans="1:42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75"/>
      <c r="AP26" s="75"/>
    </row>
    <row r="27" spans="1:42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75"/>
      <c r="AP27" s="75"/>
    </row>
    <row r="28" spans="1:42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75"/>
      <c r="AP28" s="75"/>
    </row>
    <row r="29" spans="1:42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75"/>
      <c r="AP29" s="75"/>
    </row>
    <row r="30" spans="1:42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75"/>
      <c r="AP30" s="75"/>
    </row>
    <row r="31" spans="1:42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  <c r="AO31" s="75"/>
      <c r="AP31" s="75"/>
    </row>
    <row r="32" spans="1:42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75"/>
      <c r="AP32" s="75"/>
    </row>
    <row r="33" spans="1:42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75"/>
      <c r="AP33" s="75"/>
    </row>
    <row r="34" spans="1:42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75"/>
      <c r="AP34" s="75"/>
    </row>
    <row r="35" spans="1:42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75"/>
      <c r="AP35" s="75"/>
    </row>
    <row r="36" spans="1:42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75"/>
      <c r="AP36" s="75"/>
    </row>
    <row r="37" spans="1:42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75"/>
      <c r="AP37" s="75"/>
    </row>
    <row r="38" spans="1:42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75"/>
      <c r="AP38" s="75"/>
    </row>
    <row r="39" spans="1:42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75"/>
      <c r="AP39" s="75"/>
    </row>
    <row r="40" spans="1:42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75"/>
      <c r="AP40" s="75"/>
    </row>
    <row r="41" spans="1:42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75"/>
      <c r="AP41" s="75"/>
    </row>
    <row r="42" spans="1:42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75"/>
      <c r="AP42" s="75"/>
    </row>
    <row r="43" spans="1:42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75"/>
      <c r="AP43" s="75"/>
    </row>
    <row r="44" spans="1:42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75"/>
      <c r="AP44" s="75"/>
    </row>
    <row r="45" spans="1:42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75"/>
      <c r="AP45" s="75"/>
    </row>
    <row r="46" spans="1:42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75"/>
      <c r="AP46" s="75"/>
    </row>
    <row r="47" spans="1:42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75"/>
      <c r="AP47" s="75"/>
    </row>
    <row r="48" spans="1:42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75"/>
      <c r="AP48" s="75"/>
    </row>
    <row r="49" spans="1:42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75"/>
      <c r="AP49" s="75"/>
    </row>
    <row r="50" spans="1:42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75"/>
      <c r="AP50" s="75"/>
    </row>
    <row r="51" spans="1:42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75"/>
      <c r="AP51" s="75"/>
    </row>
    <row r="52" spans="1:42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75"/>
      <c r="AP52" s="75"/>
    </row>
    <row r="53" spans="1:42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75"/>
      <c r="AP53" s="75"/>
    </row>
    <row r="54" spans="1:42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75"/>
      <c r="AP54" s="75"/>
    </row>
    <row r="55" spans="1:42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75"/>
      <c r="AP55" s="75"/>
    </row>
    <row r="56" spans="1:42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75"/>
      <c r="AP56" s="75"/>
    </row>
    <row r="57" spans="1:42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75"/>
      <c r="AP57" s="75"/>
    </row>
    <row r="58" spans="1:42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75"/>
      <c r="AP58" s="75"/>
    </row>
    <row r="59" spans="1:42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75"/>
      <c r="AP59" s="75"/>
    </row>
    <row r="60" spans="1:42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75"/>
      <c r="AP60" s="75"/>
    </row>
    <row r="61" spans="1:42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75"/>
      <c r="AP61" s="75"/>
    </row>
    <row r="62" spans="1:42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75"/>
      <c r="AP62" s="75"/>
    </row>
    <row r="63" spans="1:42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75"/>
      <c r="AP63" s="75"/>
    </row>
    <row r="64" spans="1:42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75"/>
      <c r="AP64" s="75"/>
    </row>
    <row r="65" spans="1:42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75"/>
      <c r="AP65" s="75"/>
    </row>
    <row r="66" spans="1:42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75"/>
      <c r="AP66" s="75"/>
    </row>
    <row r="67" spans="1:42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75"/>
      <c r="AP67" s="75"/>
    </row>
    <row r="68" spans="1:42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75"/>
      <c r="AP68" s="75"/>
    </row>
    <row r="69" spans="1:42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75"/>
      <c r="AP69" s="75"/>
    </row>
    <row r="70" spans="1:42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75"/>
      <c r="AP70" s="75"/>
    </row>
    <row r="71" spans="1:42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  <c r="AO71" s="75"/>
      <c r="AP71" s="75"/>
    </row>
    <row r="72" spans="1:42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75"/>
      <c r="AP72" s="75"/>
    </row>
    <row r="73" spans="1:42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75"/>
      <c r="AP73" s="75"/>
    </row>
    <row r="74" spans="1:42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75"/>
      <c r="AP74" s="75"/>
    </row>
    <row r="75" spans="1:42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75"/>
      <c r="AP75" s="75"/>
    </row>
    <row r="76" spans="1:42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75"/>
      <c r="AP76" s="75"/>
    </row>
    <row r="77" spans="1:42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75"/>
      <c r="AP77" s="75"/>
    </row>
    <row r="78" spans="1:42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75"/>
      <c r="AP78" s="75"/>
    </row>
    <row r="79" spans="1:42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75"/>
      <c r="AP79" s="75"/>
    </row>
    <row r="80" spans="1:42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75"/>
      <c r="AP80" s="75"/>
    </row>
    <row r="81" spans="1:42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75"/>
      <c r="AP81" s="75"/>
    </row>
    <row r="82" spans="1:42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75"/>
      <c r="AP82" s="75"/>
    </row>
    <row r="83" spans="1:42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75"/>
      <c r="AP83" s="75"/>
    </row>
    <row r="84" spans="1:42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75"/>
      <c r="AP84" s="75"/>
    </row>
    <row r="85" spans="1:42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75"/>
      <c r="AP85" s="75"/>
    </row>
    <row r="86" spans="1:42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75"/>
      <c r="AP86" s="75"/>
    </row>
    <row r="87" spans="1:42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75"/>
      <c r="AP87" s="75"/>
    </row>
    <row r="88" spans="1:42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75"/>
      <c r="AP88" s="75"/>
    </row>
    <row r="89" spans="1:42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75"/>
      <c r="AP89" s="75"/>
    </row>
    <row r="90" spans="1:42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  <c r="AO90" s="75"/>
      <c r="AP90" s="75"/>
    </row>
    <row r="91" spans="1:42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75"/>
      <c r="AP91" s="75"/>
    </row>
    <row r="92" spans="1:42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75"/>
      <c r="AP92" s="75"/>
    </row>
    <row r="93" spans="1:42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75"/>
      <c r="AP93" s="75"/>
    </row>
    <row r="94" spans="1:42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75"/>
      <c r="AP94" s="75"/>
    </row>
    <row r="95" spans="1:42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75"/>
      <c r="AP95" s="75"/>
    </row>
    <row r="96" spans="1:42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75"/>
      <c r="AP96" s="75"/>
    </row>
    <row r="97" spans="1:42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75"/>
      <c r="AP97" s="75"/>
    </row>
    <row r="98" spans="1:42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75"/>
      <c r="AP98" s="75"/>
    </row>
    <row r="99" spans="1:42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75"/>
      <c r="AP99" s="75"/>
    </row>
    <row r="100" spans="1:42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75"/>
      <c r="AP100" s="75"/>
    </row>
    <row r="101" spans="1:42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75"/>
      <c r="AP101" s="75"/>
    </row>
    <row r="102" spans="1:42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75"/>
      <c r="AP102" s="75"/>
    </row>
    <row r="103" spans="1:42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75"/>
      <c r="AP103" s="75"/>
    </row>
    <row r="104" spans="1:42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75"/>
      <c r="AP104" s="75"/>
    </row>
    <row r="105" spans="1:42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75"/>
      <c r="AP105" s="75"/>
    </row>
    <row r="106" spans="1:42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75"/>
      <c r="AP106" s="75"/>
    </row>
    <row r="107" spans="1:42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75"/>
      <c r="AP107" s="75"/>
    </row>
    <row r="108" spans="1:42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75"/>
      <c r="AP108" s="75"/>
    </row>
    <row r="109" spans="1:42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75"/>
      <c r="AP109" s="75"/>
    </row>
    <row r="110" spans="1:42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75"/>
      <c r="AP110" s="75"/>
    </row>
    <row r="111" spans="1:42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75"/>
      <c r="AP111" s="75"/>
    </row>
    <row r="112" spans="1:42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75"/>
      <c r="AP112" s="75"/>
    </row>
    <row r="113" spans="1:42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75"/>
      <c r="AP113" s="75"/>
    </row>
    <row r="114" spans="1:42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75"/>
      <c r="AP114" s="75"/>
    </row>
    <row r="115" spans="1:42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75"/>
      <c r="AP115" s="75"/>
    </row>
    <row r="116" spans="1:42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75"/>
      <c r="AP116" s="75"/>
    </row>
    <row r="117" spans="1:42" ht="18.75" x14ac:dyDescent="0.25">
      <c r="A117" s="2">
        <v>47234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75"/>
      <c r="AP117" s="75"/>
    </row>
    <row r="118" spans="1:42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75"/>
      <c r="AP118" s="75"/>
    </row>
    <row r="119" spans="1:42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75"/>
      <c r="AP119" s="75"/>
    </row>
    <row r="120" spans="1:42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75"/>
      <c r="AP120" s="75"/>
    </row>
    <row r="121" spans="1:42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75"/>
      <c r="AP121" s="75"/>
    </row>
    <row r="122" spans="1:42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75"/>
      <c r="AP122" s="75"/>
    </row>
    <row r="123" spans="1:42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75"/>
      <c r="AP123" s="75"/>
    </row>
    <row r="124" spans="1:42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75"/>
      <c r="AP124" s="75"/>
    </row>
    <row r="125" spans="1:42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75"/>
      <c r="AP125" s="75"/>
    </row>
    <row r="126" spans="1:42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75"/>
      <c r="AP126" s="75"/>
    </row>
    <row r="127" spans="1:42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75"/>
      <c r="AP127" s="75"/>
    </row>
    <row r="128" spans="1:42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75"/>
      <c r="AP128" s="75"/>
    </row>
    <row r="129" spans="1:42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75"/>
      <c r="AP129" s="75"/>
    </row>
    <row r="130" spans="1:42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75"/>
      <c r="AP130" s="75"/>
    </row>
    <row r="131" spans="1:42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75"/>
      <c r="AP131" s="75"/>
    </row>
    <row r="132" spans="1:42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  <c r="AO132" s="75"/>
      <c r="AP132" s="75"/>
    </row>
    <row r="133" spans="1:42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75"/>
      <c r="AP133" s="75"/>
    </row>
    <row r="134" spans="1:42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75"/>
      <c r="AP134" s="75"/>
    </row>
    <row r="135" spans="1:42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75"/>
      <c r="AP135" s="75"/>
    </row>
    <row r="136" spans="1:42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75"/>
      <c r="AP136" s="75"/>
    </row>
    <row r="137" spans="1:42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75"/>
      <c r="AP137" s="75"/>
    </row>
    <row r="138" spans="1:42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75"/>
      <c r="AP138" s="75"/>
    </row>
    <row r="139" spans="1:42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75"/>
      <c r="AP139" s="75"/>
    </row>
    <row r="140" spans="1:42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75"/>
      <c r="AP140" s="75"/>
    </row>
    <row r="141" spans="1:42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75"/>
      <c r="AP141" s="75"/>
    </row>
    <row r="142" spans="1:42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75"/>
      <c r="AP142" s="75"/>
    </row>
    <row r="143" spans="1:42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75"/>
      <c r="AP143" s="75"/>
    </row>
    <row r="144" spans="1:42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75"/>
      <c r="AP144" s="75"/>
    </row>
    <row r="145" spans="1:42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75"/>
      <c r="AP145" s="75"/>
    </row>
    <row r="146" spans="1:42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75"/>
      <c r="AP146" s="75"/>
    </row>
    <row r="147" spans="1:42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75"/>
      <c r="AP147" s="75"/>
    </row>
    <row r="148" spans="1:42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75"/>
      <c r="AP148" s="75"/>
    </row>
    <row r="149" spans="1:42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75"/>
      <c r="AP149" s="75"/>
    </row>
    <row r="150" spans="1:42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75"/>
      <c r="AP150" s="75"/>
    </row>
    <row r="151" spans="1:42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  <c r="AO151" s="75"/>
      <c r="AP151" s="75"/>
    </row>
    <row r="152" spans="1:42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75"/>
      <c r="AP152" s="75"/>
    </row>
    <row r="153" spans="1:42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75"/>
      <c r="AP153" s="75"/>
    </row>
    <row r="154" spans="1:42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75"/>
      <c r="AP154" s="75"/>
    </row>
    <row r="155" spans="1:42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75"/>
      <c r="AP155" s="75"/>
    </row>
    <row r="156" spans="1:42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75"/>
      <c r="AP156" s="75"/>
    </row>
    <row r="157" spans="1:42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75"/>
      <c r="AP157" s="75"/>
    </row>
    <row r="158" spans="1:42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75"/>
      <c r="AP158" s="75"/>
    </row>
    <row r="159" spans="1:42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75"/>
      <c r="AP159" s="75"/>
    </row>
    <row r="160" spans="1:42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75"/>
      <c r="AP160" s="75"/>
    </row>
    <row r="161" spans="1:42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75"/>
      <c r="AP161" s="75"/>
    </row>
    <row r="162" spans="1:42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75"/>
      <c r="AP162" s="75"/>
    </row>
    <row r="163" spans="1:42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75"/>
      <c r="AP163" s="75"/>
    </row>
    <row r="164" spans="1:42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75"/>
      <c r="AP164" s="75"/>
    </row>
    <row r="165" spans="1:42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75"/>
      <c r="AP165" s="75"/>
    </row>
    <row r="166" spans="1:42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75"/>
      <c r="AP166" s="75"/>
    </row>
    <row r="167" spans="1:42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75"/>
      <c r="AP167" s="75"/>
    </row>
    <row r="168" spans="1:42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75"/>
      <c r="AP168" s="75"/>
    </row>
    <row r="169" spans="1:42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75"/>
      <c r="AP169" s="75"/>
    </row>
    <row r="170" spans="1:42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75"/>
      <c r="AP170" s="75"/>
    </row>
    <row r="171" spans="1:42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75"/>
      <c r="AP171" s="75"/>
    </row>
    <row r="172" spans="1:42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75"/>
      <c r="AP172" s="75"/>
    </row>
    <row r="173" spans="1:42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75"/>
      <c r="AP173" s="75"/>
    </row>
    <row r="174" spans="1:42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75"/>
      <c r="AP174" s="75"/>
    </row>
    <row r="175" spans="1:42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75"/>
      <c r="AP175" s="75"/>
    </row>
    <row r="176" spans="1:42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75"/>
      <c r="AP176" s="75"/>
    </row>
    <row r="177" spans="1:42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75"/>
      <c r="AP177" s="75"/>
    </row>
    <row r="178" spans="1:42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75"/>
      <c r="AP178" s="75"/>
    </row>
    <row r="179" spans="1:42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75"/>
      <c r="AP179" s="75"/>
    </row>
    <row r="180" spans="1:42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75"/>
      <c r="AP180" s="75"/>
    </row>
    <row r="181" spans="1:42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75"/>
      <c r="AP181" s="75"/>
    </row>
    <row r="182" spans="1:42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75"/>
      <c r="AP182" s="75"/>
    </row>
    <row r="183" spans="1:42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75"/>
      <c r="AP183" s="75"/>
    </row>
    <row r="184" spans="1:42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75"/>
      <c r="AP184" s="75"/>
    </row>
    <row r="185" spans="1:42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75"/>
      <c r="AP185" s="75"/>
    </row>
    <row r="186" spans="1:42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75"/>
      <c r="AP186" s="75"/>
    </row>
    <row r="187" spans="1:42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75"/>
      <c r="AP187" s="75"/>
    </row>
    <row r="188" spans="1:42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75"/>
      <c r="AP188" s="75"/>
    </row>
    <row r="189" spans="1:42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75"/>
      <c r="AP189" s="75"/>
    </row>
    <row r="190" spans="1:42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75"/>
      <c r="AP190" s="75"/>
    </row>
    <row r="191" spans="1:42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75"/>
      <c r="AP191" s="75"/>
    </row>
    <row r="192" spans="1:42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75"/>
      <c r="AP192" s="75"/>
    </row>
    <row r="193" spans="1:42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  <c r="AO193" s="75"/>
      <c r="AP193" s="75"/>
    </row>
    <row r="194" spans="1:42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75"/>
      <c r="AP194" s="75"/>
    </row>
    <row r="195" spans="1:42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75"/>
      <c r="AP195" s="75"/>
    </row>
    <row r="196" spans="1:42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75"/>
      <c r="AP196" s="75"/>
    </row>
    <row r="197" spans="1:42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75"/>
      <c r="AP197" s="75"/>
    </row>
    <row r="198" spans="1:42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75"/>
      <c r="AP198" s="75"/>
    </row>
    <row r="199" spans="1:42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75"/>
      <c r="AP199" s="75"/>
    </row>
    <row r="200" spans="1:42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75"/>
      <c r="AP200" s="75"/>
    </row>
    <row r="201" spans="1:42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75"/>
      <c r="AP201" s="75"/>
    </row>
    <row r="202" spans="1:42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75"/>
      <c r="AP202" s="75"/>
    </row>
    <row r="203" spans="1:42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75"/>
      <c r="AP203" s="75"/>
    </row>
    <row r="204" spans="1:42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75"/>
      <c r="AP204" s="75"/>
    </row>
    <row r="205" spans="1:42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75"/>
      <c r="AP205" s="75"/>
    </row>
    <row r="206" spans="1:42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75"/>
      <c r="AP206" s="75"/>
    </row>
    <row r="207" spans="1:42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75"/>
      <c r="AP207" s="75"/>
    </row>
    <row r="208" spans="1:42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75"/>
      <c r="AP208" s="75"/>
    </row>
    <row r="209" spans="1:42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75"/>
      <c r="AP209" s="75"/>
    </row>
    <row r="210" spans="1:42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75"/>
      <c r="AP210" s="75"/>
    </row>
    <row r="211" spans="1:42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75"/>
      <c r="AP211" s="75"/>
    </row>
    <row r="212" spans="1:42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  <c r="AO212" s="75"/>
      <c r="AP212" s="75"/>
    </row>
    <row r="213" spans="1:42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75"/>
      <c r="AP213" s="75"/>
    </row>
    <row r="214" spans="1:42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75"/>
      <c r="AP214" s="75"/>
    </row>
    <row r="215" spans="1:42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75"/>
      <c r="AP215" s="75"/>
    </row>
    <row r="216" spans="1:42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75"/>
      <c r="AP216" s="75"/>
    </row>
    <row r="217" spans="1:42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75"/>
      <c r="AP217" s="75"/>
    </row>
    <row r="218" spans="1:42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75"/>
      <c r="AP218" s="75"/>
    </row>
    <row r="219" spans="1:42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75"/>
      <c r="AP219" s="75"/>
    </row>
    <row r="220" spans="1:42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75"/>
      <c r="AP220" s="75"/>
    </row>
    <row r="221" spans="1:42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75"/>
      <c r="AP221" s="75"/>
    </row>
    <row r="222" spans="1:42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75"/>
      <c r="AP222" s="75"/>
    </row>
    <row r="223" spans="1:42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75"/>
      <c r="AP223" s="75"/>
    </row>
    <row r="224" spans="1:42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  <c r="AO224" s="75"/>
      <c r="AP224" s="75"/>
    </row>
    <row r="225" spans="1:42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75"/>
      <c r="AP225" s="75"/>
    </row>
    <row r="226" spans="1:42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75"/>
      <c r="AP226" s="75"/>
    </row>
    <row r="227" spans="1:42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75"/>
      <c r="AP227" s="75"/>
    </row>
    <row r="228" spans="1:42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75"/>
      <c r="AP228" s="75"/>
    </row>
    <row r="229" spans="1:42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75"/>
      <c r="AP229" s="75"/>
    </row>
    <row r="230" spans="1:42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75"/>
      <c r="AP230" s="75"/>
    </row>
    <row r="231" spans="1:42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75"/>
      <c r="AP231" s="75"/>
    </row>
    <row r="232" spans="1:42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75"/>
      <c r="AP232" s="75"/>
    </row>
    <row r="233" spans="1:42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75"/>
      <c r="AP233" s="75"/>
    </row>
    <row r="234" spans="1:42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75"/>
      <c r="AP234" s="75"/>
    </row>
    <row r="235" spans="1:42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75"/>
      <c r="AP235" s="75"/>
    </row>
    <row r="236" spans="1:42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75"/>
      <c r="AP236" s="75"/>
    </row>
    <row r="237" spans="1:42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75"/>
      <c r="AP237" s="75"/>
    </row>
    <row r="238" spans="1:42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75"/>
      <c r="AP238" s="75"/>
    </row>
    <row r="239" spans="1:42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75"/>
      <c r="AP239" s="75"/>
    </row>
    <row r="240" spans="1:42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75"/>
      <c r="AP240" s="75"/>
    </row>
    <row r="241" spans="1:42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75"/>
      <c r="AP241" s="75"/>
    </row>
    <row r="242" spans="1:42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75"/>
      <c r="AP242" s="75"/>
    </row>
    <row r="243" spans="1:42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  <c r="AO243" s="75"/>
      <c r="AP243" s="75"/>
    </row>
    <row r="244" spans="1:42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75"/>
      <c r="AP244" s="75"/>
    </row>
    <row r="245" spans="1:42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75"/>
      <c r="AP245" s="75"/>
    </row>
    <row r="246" spans="1:42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75"/>
      <c r="AP246" s="75"/>
    </row>
    <row r="247" spans="1:42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75"/>
      <c r="AP247" s="75"/>
    </row>
    <row r="248" spans="1:42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75"/>
      <c r="AP248" s="75"/>
    </row>
    <row r="249" spans="1:42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75"/>
      <c r="AP249" s="75"/>
    </row>
    <row r="250" spans="1:42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75"/>
      <c r="AP250" s="75"/>
    </row>
    <row r="251" spans="1:42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75"/>
      <c r="AP251" s="75"/>
    </row>
    <row r="252" spans="1:42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75"/>
      <c r="AP252" s="75"/>
    </row>
    <row r="253" spans="1:42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75"/>
      <c r="AP253" s="75"/>
    </row>
    <row r="254" spans="1:42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75"/>
      <c r="AP254" s="75"/>
    </row>
    <row r="255" spans="1:42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75"/>
      <c r="AP255" s="75"/>
    </row>
    <row r="256" spans="1:42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75"/>
      <c r="AP256" s="75"/>
    </row>
    <row r="257" spans="1:42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75"/>
      <c r="AP257" s="75"/>
    </row>
    <row r="258" spans="1:42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75"/>
      <c r="AP258" s="75"/>
    </row>
    <row r="259" spans="1:42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75"/>
      <c r="AP259" s="75"/>
    </row>
    <row r="260" spans="1:42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75"/>
      <c r="AP260" s="75"/>
    </row>
    <row r="261" spans="1:42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75"/>
      <c r="AP261" s="75"/>
    </row>
    <row r="262" spans="1:42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75"/>
      <c r="AP262" s="75"/>
    </row>
    <row r="263" spans="1:42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75"/>
      <c r="AP263" s="75"/>
    </row>
    <row r="264" spans="1:42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75"/>
      <c r="AP264" s="75"/>
    </row>
    <row r="265" spans="1:42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75"/>
      <c r="AP265" s="75"/>
    </row>
    <row r="266" spans="1:42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75"/>
      <c r="AP266" s="75"/>
    </row>
    <row r="267" spans="1:42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75"/>
      <c r="AP267" s="75"/>
    </row>
    <row r="268" spans="1:42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75"/>
      <c r="AP268" s="75"/>
    </row>
    <row r="269" spans="1:42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75"/>
      <c r="AP269" s="75"/>
    </row>
    <row r="270" spans="1:42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75"/>
      <c r="AP270" s="75"/>
    </row>
    <row r="271" spans="1:42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75"/>
      <c r="AP271" s="75"/>
    </row>
    <row r="272" spans="1:42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75"/>
      <c r="AP272" s="75"/>
    </row>
    <row r="273" spans="1:42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75"/>
      <c r="AP273" s="75"/>
    </row>
    <row r="274" spans="1:42" ht="18.75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75"/>
      <c r="AP274" s="75"/>
    </row>
    <row r="275" spans="1:42" ht="18.75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75"/>
      <c r="AP275" s="75"/>
    </row>
    <row r="276" spans="1:42" ht="18.75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75"/>
      <c r="AP276" s="75"/>
    </row>
    <row r="277" spans="1:42" ht="18.75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75"/>
      <c r="AP277" s="75"/>
    </row>
    <row r="278" spans="1:42" ht="18.75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75"/>
      <c r="AP278" s="75"/>
    </row>
    <row r="279" spans="1:42" ht="18.75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75"/>
      <c r="AP279" s="75"/>
    </row>
    <row r="280" spans="1:42" ht="18.75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75"/>
      <c r="AP280" s="75"/>
    </row>
    <row r="281" spans="1:42" ht="18.75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75"/>
      <c r="AP281" s="75"/>
    </row>
    <row r="282" spans="1:42" ht="18.75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75"/>
      <c r="AP282" s="75"/>
    </row>
    <row r="283" spans="1:42" ht="18.75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75"/>
      <c r="AP283" s="75"/>
    </row>
    <row r="284" spans="1:42" ht="18.75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75"/>
      <c r="AP284" s="75"/>
    </row>
    <row r="285" spans="1:42" ht="18.75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75"/>
      <c r="AP285" s="75"/>
    </row>
    <row r="286" spans="1:42" ht="18.75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75"/>
      <c r="AP286" s="75"/>
    </row>
    <row r="287" spans="1:42" ht="18.75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75"/>
      <c r="AP287" s="75"/>
    </row>
    <row r="288" spans="1:42" ht="18.75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75"/>
      <c r="AP288" s="75"/>
    </row>
    <row r="289" spans="1:42" ht="18.75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75"/>
      <c r="AP289" s="75"/>
    </row>
    <row r="290" spans="1:42" ht="18.75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75"/>
      <c r="AP290" s="75"/>
    </row>
    <row r="291" spans="1:42" ht="18.75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75"/>
      <c r="AP291" s="75"/>
    </row>
    <row r="292" spans="1:42" ht="18.75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75"/>
      <c r="AP292" s="75"/>
    </row>
    <row r="293" spans="1:42" ht="18.75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75"/>
      <c r="AP293" s="75"/>
    </row>
    <row r="294" spans="1:42" ht="18.75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75"/>
      <c r="AP294" s="75"/>
    </row>
    <row r="295" spans="1:42" ht="18.75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75"/>
      <c r="AP295" s="75"/>
    </row>
    <row r="296" spans="1:42" ht="18.75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75"/>
      <c r="AP296" s="75"/>
    </row>
    <row r="297" spans="1:42" ht="18.75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75"/>
      <c r="AP297" s="75"/>
    </row>
    <row r="298" spans="1:42" ht="18.75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75"/>
      <c r="AP298" s="75"/>
    </row>
    <row r="299" spans="1:42" ht="18.75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75"/>
      <c r="AP299" s="75"/>
    </row>
    <row r="300" spans="1:42" ht="18.75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75"/>
      <c r="AP300" s="75"/>
    </row>
    <row r="301" spans="1:42" ht="18.75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75"/>
      <c r="AP301" s="75"/>
    </row>
    <row r="302" spans="1:42" ht="18.75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75"/>
      <c r="AP302" s="75"/>
    </row>
    <row r="303" spans="1:42" ht="18.75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75"/>
      <c r="AP303" s="75"/>
    </row>
    <row r="304" spans="1:42" ht="18.75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75"/>
      <c r="AP304" s="75"/>
    </row>
    <row r="305" spans="1:42" ht="18.75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75"/>
      <c r="AP305" s="75"/>
    </row>
    <row r="306" spans="1:42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75"/>
      <c r="AP306" s="75"/>
    </row>
    <row r="307" spans="1:42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75"/>
      <c r="AP307" s="75"/>
    </row>
    <row r="308" spans="1:42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75"/>
      <c r="AP308" s="75"/>
    </row>
    <row r="309" spans="1:42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75"/>
      <c r="AP309" s="75"/>
    </row>
    <row r="310" spans="1:42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75"/>
      <c r="AP310" s="75"/>
    </row>
    <row r="311" spans="1:42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75"/>
      <c r="AP311" s="75"/>
    </row>
    <row r="312" spans="1:42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75"/>
      <c r="AP312" s="75"/>
    </row>
    <row r="313" spans="1:42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75"/>
      <c r="AP313" s="75"/>
    </row>
    <row r="314" spans="1:42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75"/>
      <c r="AP314" s="75"/>
    </row>
    <row r="315" spans="1:42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75"/>
      <c r="AP315" s="75"/>
    </row>
    <row r="316" spans="1:42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75"/>
      <c r="AP316" s="75"/>
    </row>
    <row r="317" spans="1:42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75"/>
      <c r="AP317" s="75"/>
    </row>
    <row r="318" spans="1:42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75"/>
      <c r="AP318" s="75"/>
    </row>
    <row r="319" spans="1:42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75"/>
      <c r="AP319" s="75"/>
    </row>
    <row r="320" spans="1:42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75"/>
      <c r="AP320" s="75"/>
    </row>
    <row r="321" spans="1:42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75"/>
      <c r="AP321" s="75"/>
    </row>
    <row r="322" spans="1:42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75"/>
      <c r="AP322" s="75"/>
    </row>
    <row r="323" spans="1:42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75"/>
      <c r="AP323" s="75"/>
    </row>
    <row r="324" spans="1:42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75"/>
      <c r="AP324" s="75"/>
    </row>
    <row r="325" spans="1:42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75"/>
      <c r="AP325" s="75"/>
    </row>
    <row r="326" spans="1:42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75"/>
      <c r="AP326" s="75"/>
    </row>
    <row r="327" spans="1:42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75"/>
      <c r="AP327" s="75"/>
    </row>
    <row r="328" spans="1:42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75"/>
      <c r="AP328" s="75"/>
    </row>
    <row r="329" spans="1:42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75"/>
      <c r="AP329" s="75"/>
    </row>
    <row r="330" spans="1:42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75"/>
      <c r="AP330" s="75"/>
    </row>
    <row r="331" spans="1:42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75"/>
      <c r="AP331" s="75"/>
    </row>
    <row r="332" spans="1:42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75"/>
      <c r="AP332" s="75"/>
    </row>
    <row r="333" spans="1:42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75"/>
      <c r="AP333" s="75"/>
    </row>
    <row r="334" spans="1:42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75"/>
      <c r="AP334" s="75"/>
    </row>
    <row r="335" spans="1:42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75"/>
      <c r="AP335" s="75"/>
    </row>
    <row r="336" spans="1:42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75"/>
      <c r="AP336" s="75"/>
    </row>
    <row r="337" spans="1:42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75"/>
      <c r="AP337" s="75"/>
    </row>
    <row r="338" spans="1:42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75"/>
      <c r="AP338" s="75"/>
    </row>
    <row r="339" spans="1:42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75"/>
      <c r="AP339" s="75"/>
    </row>
    <row r="340" spans="1:42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75"/>
      <c r="AP340" s="75"/>
    </row>
    <row r="341" spans="1:42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75"/>
      <c r="AP341" s="75"/>
    </row>
    <row r="342" spans="1:42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75"/>
      <c r="AP342" s="75"/>
    </row>
    <row r="343" spans="1:42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75"/>
      <c r="AP343" s="75"/>
    </row>
    <row r="344" spans="1:42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75"/>
      <c r="AP344" s="75"/>
    </row>
    <row r="345" spans="1:42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75"/>
      <c r="AP345" s="75"/>
    </row>
    <row r="346" spans="1:42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75"/>
      <c r="AP346" s="75"/>
    </row>
    <row r="347" spans="1:42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75"/>
      <c r="AP347" s="75"/>
    </row>
    <row r="348" spans="1:42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75"/>
      <c r="AP348" s="75"/>
    </row>
    <row r="349" spans="1:42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75"/>
      <c r="AP349" s="75"/>
    </row>
    <row r="350" spans="1:42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75"/>
      <c r="AP350" s="75"/>
    </row>
    <row r="351" spans="1:42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75"/>
      <c r="AP351" s="75"/>
    </row>
    <row r="352" spans="1:42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75"/>
      <c r="AP352" s="75"/>
    </row>
    <row r="353" spans="1:42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75"/>
      <c r="AP353" s="75"/>
    </row>
    <row r="354" spans="1:42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75"/>
      <c r="AP354" s="75"/>
    </row>
    <row r="355" spans="1:42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75"/>
      <c r="AP355" s="75"/>
    </row>
    <row r="356" spans="1:42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75"/>
      <c r="AP356" s="75"/>
    </row>
    <row r="357" spans="1:42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75"/>
      <c r="AP357" s="75"/>
    </row>
    <row r="358" spans="1:42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75"/>
      <c r="AP358" s="75"/>
    </row>
    <row r="359" spans="1:42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75"/>
      <c r="AP359" s="75"/>
    </row>
    <row r="360" spans="1:42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75"/>
      <c r="AP360" s="75"/>
    </row>
    <row r="361" spans="1:42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75"/>
      <c r="AP361" s="75"/>
    </row>
    <row r="362" spans="1:42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75"/>
      <c r="AP362" s="75"/>
    </row>
    <row r="363" spans="1:42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75"/>
      <c r="AP363" s="75"/>
    </row>
    <row r="364" spans="1:42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75"/>
      <c r="AP364" s="75"/>
    </row>
    <row r="365" spans="1:42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75"/>
      <c r="AP365" s="75"/>
    </row>
    <row r="366" spans="1:42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90"/>
      <c r="AP366" s="90"/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topLeftCell="AC1" workbookViewId="0">
      <selection activeCell="AO16" sqref="AO16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9"/>
      <c r="AP2" s="89"/>
    </row>
    <row r="3" spans="1:42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75"/>
      <c r="AP3" s="75"/>
    </row>
    <row r="4" spans="1:42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75"/>
      <c r="AP4" s="75"/>
    </row>
    <row r="5" spans="1:42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75"/>
      <c r="AP5" s="75"/>
    </row>
    <row r="6" spans="1:42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75"/>
      <c r="AP6" s="75"/>
    </row>
    <row r="7" spans="1:42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75"/>
      <c r="AP7" s="75"/>
    </row>
    <row r="8" spans="1:42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75"/>
      <c r="AP8" s="75"/>
    </row>
    <row r="9" spans="1:42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75"/>
      <c r="AP9" s="75"/>
    </row>
    <row r="10" spans="1:42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75"/>
      <c r="AP10" s="75"/>
    </row>
    <row r="11" spans="1:42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75"/>
      <c r="AP11" s="75"/>
    </row>
    <row r="12" spans="1:42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  <c r="AO12" s="75"/>
      <c r="AP12" s="75"/>
    </row>
    <row r="13" spans="1:42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75"/>
      <c r="AP13" s="75"/>
    </row>
    <row r="14" spans="1:42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75"/>
      <c r="AP14" s="75"/>
    </row>
    <row r="15" spans="1:42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75"/>
      <c r="AP15" s="75"/>
    </row>
    <row r="16" spans="1:42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75"/>
      <c r="AP16" s="75"/>
    </row>
    <row r="17" spans="1:42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75"/>
      <c r="AP17" s="75"/>
    </row>
    <row r="18" spans="1:42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75"/>
      <c r="AP18" s="75"/>
    </row>
    <row r="19" spans="1:42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75"/>
      <c r="AP19" s="75"/>
    </row>
    <row r="20" spans="1:42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75"/>
      <c r="AP20" s="75"/>
    </row>
    <row r="21" spans="1:42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75"/>
      <c r="AP21" s="75"/>
    </row>
    <row r="22" spans="1:42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75"/>
      <c r="AP22" s="75"/>
    </row>
    <row r="23" spans="1:42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75"/>
      <c r="AP23" s="75"/>
    </row>
    <row r="24" spans="1:42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75"/>
      <c r="AP24" s="75"/>
    </row>
    <row r="25" spans="1:42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75"/>
      <c r="AP25" s="75"/>
    </row>
    <row r="26" spans="1:42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75"/>
      <c r="AP26" s="75"/>
    </row>
    <row r="27" spans="1:42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75"/>
      <c r="AP27" s="75"/>
    </row>
    <row r="28" spans="1:42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75"/>
      <c r="AP28" s="75"/>
    </row>
    <row r="29" spans="1:42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75"/>
      <c r="AP29" s="75"/>
    </row>
    <row r="30" spans="1:42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75"/>
      <c r="AP30" s="75"/>
    </row>
    <row r="31" spans="1:42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  <c r="AO31" s="75"/>
      <c r="AP31" s="75"/>
    </row>
    <row r="32" spans="1:42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75"/>
      <c r="AP32" s="75"/>
    </row>
    <row r="33" spans="1:42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75"/>
      <c r="AP33" s="75"/>
    </row>
    <row r="34" spans="1:42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75"/>
      <c r="AP34" s="75"/>
    </row>
    <row r="35" spans="1:42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75"/>
      <c r="AP35" s="75"/>
    </row>
    <row r="36" spans="1:42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75"/>
      <c r="AP36" s="75"/>
    </row>
    <row r="37" spans="1:42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75"/>
      <c r="AP37" s="75"/>
    </row>
    <row r="38" spans="1:42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75"/>
      <c r="AP38" s="75"/>
    </row>
    <row r="39" spans="1:42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75"/>
      <c r="AP39" s="75"/>
    </row>
    <row r="40" spans="1:42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75"/>
      <c r="AP40" s="75"/>
    </row>
    <row r="41" spans="1:42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75"/>
      <c r="AP41" s="75"/>
    </row>
    <row r="42" spans="1:42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75"/>
      <c r="AP42" s="75"/>
    </row>
    <row r="43" spans="1:42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75"/>
      <c r="AP43" s="75"/>
    </row>
    <row r="44" spans="1:42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75"/>
      <c r="AP44" s="75"/>
    </row>
    <row r="45" spans="1:42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75"/>
      <c r="AP45" s="75"/>
    </row>
    <row r="46" spans="1:42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75"/>
      <c r="AP46" s="75"/>
    </row>
    <row r="47" spans="1:42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75"/>
      <c r="AP47" s="75"/>
    </row>
    <row r="48" spans="1:42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75"/>
      <c r="AP48" s="75"/>
    </row>
    <row r="49" spans="1:42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75"/>
      <c r="AP49" s="75"/>
    </row>
    <row r="50" spans="1:42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75"/>
      <c r="AP50" s="75"/>
    </row>
    <row r="51" spans="1:42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75"/>
      <c r="AP51" s="75"/>
    </row>
    <row r="52" spans="1:42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75"/>
      <c r="AP52" s="75"/>
    </row>
    <row r="53" spans="1:42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75"/>
      <c r="AP53" s="75"/>
    </row>
    <row r="54" spans="1:42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75"/>
      <c r="AP54" s="75"/>
    </row>
    <row r="55" spans="1:42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75"/>
      <c r="AP55" s="75"/>
    </row>
    <row r="56" spans="1:42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75"/>
      <c r="AP56" s="75"/>
    </row>
    <row r="57" spans="1:42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75"/>
      <c r="AP57" s="75"/>
    </row>
    <row r="58" spans="1:42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75"/>
      <c r="AP58" s="75"/>
    </row>
    <row r="59" spans="1:42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75"/>
      <c r="AP59" s="75"/>
    </row>
    <row r="60" spans="1:42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75"/>
      <c r="AP60" s="75"/>
    </row>
    <row r="61" spans="1:42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75"/>
      <c r="AP61" s="75"/>
    </row>
    <row r="62" spans="1:42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75"/>
      <c r="AP62" s="75"/>
    </row>
    <row r="63" spans="1:42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75"/>
      <c r="AP63" s="75"/>
    </row>
    <row r="64" spans="1:42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75"/>
      <c r="AP64" s="75"/>
    </row>
    <row r="65" spans="1:42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75"/>
      <c r="AP65" s="75"/>
    </row>
    <row r="66" spans="1:42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75"/>
      <c r="AP66" s="75"/>
    </row>
    <row r="67" spans="1:42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75"/>
      <c r="AP67" s="75"/>
    </row>
    <row r="68" spans="1:42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75"/>
      <c r="AP68" s="75"/>
    </row>
    <row r="69" spans="1:42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75"/>
      <c r="AP69" s="75"/>
    </row>
    <row r="70" spans="1:42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75"/>
      <c r="AP70" s="75"/>
    </row>
    <row r="71" spans="1:42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  <c r="AO71" s="75"/>
      <c r="AP71" s="75"/>
    </row>
    <row r="72" spans="1:42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75"/>
      <c r="AP72" s="75"/>
    </row>
    <row r="73" spans="1:42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75"/>
      <c r="AP73" s="75"/>
    </row>
    <row r="74" spans="1:42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75"/>
      <c r="AP74" s="75"/>
    </row>
    <row r="75" spans="1:42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75"/>
      <c r="AP75" s="75"/>
    </row>
    <row r="76" spans="1:42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75"/>
      <c r="AP76" s="75"/>
    </row>
    <row r="77" spans="1:42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75"/>
      <c r="AP77" s="75"/>
    </row>
    <row r="78" spans="1:42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75"/>
      <c r="AP78" s="75"/>
    </row>
    <row r="79" spans="1:42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75"/>
      <c r="AP79" s="75"/>
    </row>
    <row r="80" spans="1:42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75"/>
      <c r="AP80" s="75"/>
    </row>
    <row r="81" spans="1:42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75"/>
      <c r="AP81" s="75"/>
    </row>
    <row r="82" spans="1:42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75"/>
      <c r="AP82" s="75"/>
    </row>
    <row r="83" spans="1:42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75"/>
      <c r="AP83" s="75"/>
    </row>
    <row r="84" spans="1:42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75"/>
      <c r="AP84" s="75"/>
    </row>
    <row r="85" spans="1:42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75"/>
      <c r="AP85" s="75"/>
    </row>
    <row r="86" spans="1:42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75"/>
      <c r="AP86" s="75"/>
    </row>
    <row r="87" spans="1:42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75"/>
      <c r="AP87" s="75"/>
    </row>
    <row r="88" spans="1:42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75"/>
      <c r="AP88" s="75"/>
    </row>
    <row r="89" spans="1:42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75"/>
      <c r="AP89" s="75"/>
    </row>
    <row r="90" spans="1:42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  <c r="AO90" s="75"/>
      <c r="AP90" s="75"/>
    </row>
    <row r="91" spans="1:42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75"/>
      <c r="AP91" s="75"/>
    </row>
    <row r="92" spans="1:42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75"/>
      <c r="AP92" s="75"/>
    </row>
    <row r="93" spans="1:42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75"/>
      <c r="AP93" s="75"/>
    </row>
    <row r="94" spans="1:42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75"/>
      <c r="AP94" s="75"/>
    </row>
    <row r="95" spans="1:42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75"/>
      <c r="AP95" s="75"/>
    </row>
    <row r="96" spans="1:42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75"/>
      <c r="AP96" s="75"/>
    </row>
    <row r="97" spans="1:42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75"/>
      <c r="AP97" s="75"/>
    </row>
    <row r="98" spans="1:42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75"/>
      <c r="AP98" s="75"/>
    </row>
    <row r="99" spans="1:42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75"/>
      <c r="AP99" s="75"/>
    </row>
    <row r="100" spans="1:42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75"/>
      <c r="AP100" s="75"/>
    </row>
    <row r="101" spans="1:42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75"/>
      <c r="AP101" s="75"/>
    </row>
    <row r="102" spans="1:42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75"/>
      <c r="AP102" s="75"/>
    </row>
    <row r="103" spans="1:42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75"/>
      <c r="AP103" s="75"/>
    </row>
    <row r="104" spans="1:42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75"/>
      <c r="AP104" s="75"/>
    </row>
    <row r="105" spans="1:42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75"/>
      <c r="AP105" s="75"/>
    </row>
    <row r="106" spans="1:42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75"/>
      <c r="AP106" s="75"/>
    </row>
    <row r="107" spans="1:42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75"/>
      <c r="AP107" s="75"/>
    </row>
    <row r="108" spans="1:42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75"/>
      <c r="AP108" s="75"/>
    </row>
    <row r="109" spans="1:42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75"/>
      <c r="AP109" s="75"/>
    </row>
    <row r="110" spans="1:42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75"/>
      <c r="AP110" s="75"/>
    </row>
    <row r="111" spans="1:42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75"/>
      <c r="AP111" s="75"/>
    </row>
    <row r="112" spans="1:42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75"/>
      <c r="AP112" s="75"/>
    </row>
    <row r="113" spans="1:42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75"/>
      <c r="AP113" s="75"/>
    </row>
    <row r="114" spans="1:42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75"/>
      <c r="AP114" s="75"/>
    </row>
    <row r="115" spans="1:42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75"/>
      <c r="AP115" s="75"/>
    </row>
    <row r="116" spans="1:42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75"/>
      <c r="AP116" s="75"/>
    </row>
    <row r="117" spans="1:42" ht="18.75" x14ac:dyDescent="0.25">
      <c r="A117" s="2">
        <v>47599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75"/>
      <c r="AP117" s="75"/>
    </row>
    <row r="118" spans="1:42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75"/>
      <c r="AP118" s="75"/>
    </row>
    <row r="119" spans="1:42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75"/>
      <c r="AP119" s="75"/>
    </row>
    <row r="120" spans="1:42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75"/>
      <c r="AP120" s="75"/>
    </row>
    <row r="121" spans="1:42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75"/>
      <c r="AP121" s="75"/>
    </row>
    <row r="122" spans="1:42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75"/>
      <c r="AP122" s="75"/>
    </row>
    <row r="123" spans="1:42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75"/>
      <c r="AP123" s="75"/>
    </row>
    <row r="124" spans="1:42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75"/>
      <c r="AP124" s="75"/>
    </row>
    <row r="125" spans="1:42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75"/>
      <c r="AP125" s="75"/>
    </row>
    <row r="126" spans="1:42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75"/>
      <c r="AP126" s="75"/>
    </row>
    <row r="127" spans="1:42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75"/>
      <c r="AP127" s="75"/>
    </row>
    <row r="128" spans="1:42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75"/>
      <c r="AP128" s="75"/>
    </row>
    <row r="129" spans="1:42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75"/>
      <c r="AP129" s="75"/>
    </row>
    <row r="130" spans="1:42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75"/>
      <c r="AP130" s="75"/>
    </row>
    <row r="131" spans="1:42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75"/>
      <c r="AP131" s="75"/>
    </row>
    <row r="132" spans="1:42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  <c r="AO132" s="75"/>
      <c r="AP132" s="75"/>
    </row>
    <row r="133" spans="1:42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75"/>
      <c r="AP133" s="75"/>
    </row>
    <row r="134" spans="1:42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75"/>
      <c r="AP134" s="75"/>
    </row>
    <row r="135" spans="1:42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75"/>
      <c r="AP135" s="75"/>
    </row>
    <row r="136" spans="1:42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75"/>
      <c r="AP136" s="75"/>
    </row>
    <row r="137" spans="1:42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75"/>
      <c r="AP137" s="75"/>
    </row>
    <row r="138" spans="1:42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75"/>
      <c r="AP138" s="75"/>
    </row>
    <row r="139" spans="1:42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75"/>
      <c r="AP139" s="75"/>
    </row>
    <row r="140" spans="1:42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75"/>
      <c r="AP140" s="75"/>
    </row>
    <row r="141" spans="1:42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75"/>
      <c r="AP141" s="75"/>
    </row>
    <row r="142" spans="1:42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75"/>
      <c r="AP142" s="75"/>
    </row>
    <row r="143" spans="1:42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75"/>
      <c r="AP143" s="75"/>
    </row>
    <row r="144" spans="1:42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75"/>
      <c r="AP144" s="75"/>
    </row>
    <row r="145" spans="1:42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75"/>
      <c r="AP145" s="75"/>
    </row>
    <row r="146" spans="1:42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75"/>
      <c r="AP146" s="75"/>
    </row>
    <row r="147" spans="1:42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75"/>
      <c r="AP147" s="75"/>
    </row>
    <row r="148" spans="1:42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75"/>
      <c r="AP148" s="75"/>
    </row>
    <row r="149" spans="1:42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75"/>
      <c r="AP149" s="75"/>
    </row>
    <row r="150" spans="1:42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75"/>
      <c r="AP150" s="75"/>
    </row>
    <row r="151" spans="1:42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  <c r="AO151" s="75"/>
      <c r="AP151" s="75"/>
    </row>
    <row r="152" spans="1:42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75"/>
      <c r="AP152" s="75"/>
    </row>
    <row r="153" spans="1:42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75"/>
      <c r="AP153" s="75"/>
    </row>
    <row r="154" spans="1:42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75"/>
      <c r="AP154" s="75"/>
    </row>
    <row r="155" spans="1:42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75"/>
      <c r="AP155" s="75"/>
    </row>
    <row r="156" spans="1:42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75"/>
      <c r="AP156" s="75"/>
    </row>
    <row r="157" spans="1:42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75"/>
      <c r="AP157" s="75"/>
    </row>
    <row r="158" spans="1:42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75"/>
      <c r="AP158" s="75"/>
    </row>
    <row r="159" spans="1:42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75"/>
      <c r="AP159" s="75"/>
    </row>
    <row r="160" spans="1:42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75"/>
      <c r="AP160" s="75"/>
    </row>
    <row r="161" spans="1:42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75"/>
      <c r="AP161" s="75"/>
    </row>
    <row r="162" spans="1:42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75"/>
      <c r="AP162" s="75"/>
    </row>
    <row r="163" spans="1:42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75"/>
      <c r="AP163" s="75"/>
    </row>
    <row r="164" spans="1:42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75"/>
      <c r="AP164" s="75"/>
    </row>
    <row r="165" spans="1:42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75"/>
      <c r="AP165" s="75"/>
    </row>
    <row r="166" spans="1:42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75"/>
      <c r="AP166" s="75"/>
    </row>
    <row r="167" spans="1:42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75"/>
      <c r="AP167" s="75"/>
    </row>
    <row r="168" spans="1:42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75"/>
      <c r="AP168" s="75"/>
    </row>
    <row r="169" spans="1:42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75"/>
      <c r="AP169" s="75"/>
    </row>
    <row r="170" spans="1:42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75"/>
      <c r="AP170" s="75"/>
    </row>
    <row r="171" spans="1:42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75"/>
      <c r="AP171" s="75"/>
    </row>
    <row r="172" spans="1:42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75"/>
      <c r="AP172" s="75"/>
    </row>
    <row r="173" spans="1:42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75"/>
      <c r="AP173" s="75"/>
    </row>
    <row r="174" spans="1:42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75"/>
      <c r="AP174" s="75"/>
    </row>
    <row r="175" spans="1:42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75"/>
      <c r="AP175" s="75"/>
    </row>
    <row r="176" spans="1:42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75"/>
      <c r="AP176" s="75"/>
    </row>
    <row r="177" spans="1:42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75"/>
      <c r="AP177" s="75"/>
    </row>
    <row r="178" spans="1:42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75"/>
      <c r="AP178" s="75"/>
    </row>
    <row r="179" spans="1:42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75"/>
      <c r="AP179" s="75"/>
    </row>
    <row r="180" spans="1:42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75"/>
      <c r="AP180" s="75"/>
    </row>
    <row r="181" spans="1:42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75"/>
      <c r="AP181" s="75"/>
    </row>
    <row r="182" spans="1:42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75"/>
      <c r="AP182" s="75"/>
    </row>
    <row r="183" spans="1:42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75"/>
      <c r="AP183" s="75"/>
    </row>
    <row r="184" spans="1:42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75"/>
      <c r="AP184" s="75"/>
    </row>
    <row r="185" spans="1:42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75"/>
      <c r="AP185" s="75"/>
    </row>
    <row r="186" spans="1:42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75"/>
      <c r="AP186" s="75"/>
    </row>
    <row r="187" spans="1:42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75"/>
      <c r="AP187" s="75"/>
    </row>
    <row r="188" spans="1:42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75"/>
      <c r="AP188" s="75"/>
    </row>
    <row r="189" spans="1:42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75"/>
      <c r="AP189" s="75"/>
    </row>
    <row r="190" spans="1:42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75"/>
      <c r="AP190" s="75"/>
    </row>
    <row r="191" spans="1:42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75"/>
      <c r="AP191" s="75"/>
    </row>
    <row r="192" spans="1:42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75"/>
      <c r="AP192" s="75"/>
    </row>
    <row r="193" spans="1:42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  <c r="AO193" s="75"/>
      <c r="AP193" s="75"/>
    </row>
    <row r="194" spans="1:42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75"/>
      <c r="AP194" s="75"/>
    </row>
    <row r="195" spans="1:42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75"/>
      <c r="AP195" s="75"/>
    </row>
    <row r="196" spans="1:42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75"/>
      <c r="AP196" s="75"/>
    </row>
    <row r="197" spans="1:42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75"/>
      <c r="AP197" s="75"/>
    </row>
    <row r="198" spans="1:42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75"/>
      <c r="AP198" s="75"/>
    </row>
    <row r="199" spans="1:42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75"/>
      <c r="AP199" s="75"/>
    </row>
    <row r="200" spans="1:42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75"/>
      <c r="AP200" s="75"/>
    </row>
    <row r="201" spans="1:42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75"/>
      <c r="AP201" s="75"/>
    </row>
    <row r="202" spans="1:42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75"/>
      <c r="AP202" s="75"/>
    </row>
    <row r="203" spans="1:42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75"/>
      <c r="AP203" s="75"/>
    </row>
    <row r="204" spans="1:42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75"/>
      <c r="AP204" s="75"/>
    </row>
    <row r="205" spans="1:42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75"/>
      <c r="AP205" s="75"/>
    </row>
    <row r="206" spans="1:42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75"/>
      <c r="AP206" s="75"/>
    </row>
    <row r="207" spans="1:42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75"/>
      <c r="AP207" s="75"/>
    </row>
    <row r="208" spans="1:42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75"/>
      <c r="AP208" s="75"/>
    </row>
    <row r="209" spans="1:42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75"/>
      <c r="AP209" s="75"/>
    </row>
    <row r="210" spans="1:42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75"/>
      <c r="AP210" s="75"/>
    </row>
    <row r="211" spans="1:42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75"/>
      <c r="AP211" s="75"/>
    </row>
    <row r="212" spans="1:42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  <c r="AO212" s="75"/>
      <c r="AP212" s="75"/>
    </row>
    <row r="213" spans="1:42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75"/>
      <c r="AP213" s="75"/>
    </row>
    <row r="214" spans="1:42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75"/>
      <c r="AP214" s="75"/>
    </row>
    <row r="215" spans="1:42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75"/>
      <c r="AP215" s="75"/>
    </row>
    <row r="216" spans="1:42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75"/>
      <c r="AP216" s="75"/>
    </row>
    <row r="217" spans="1:42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75"/>
      <c r="AP217" s="75"/>
    </row>
    <row r="218" spans="1:42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75"/>
      <c r="AP218" s="75"/>
    </row>
    <row r="219" spans="1:42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75"/>
      <c r="AP219" s="75"/>
    </row>
    <row r="220" spans="1:42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75"/>
      <c r="AP220" s="75"/>
    </row>
    <row r="221" spans="1:42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75"/>
      <c r="AP221" s="75"/>
    </row>
    <row r="222" spans="1:42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75"/>
      <c r="AP222" s="75"/>
    </row>
    <row r="223" spans="1:42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75"/>
      <c r="AP223" s="75"/>
    </row>
    <row r="224" spans="1:42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  <c r="AO224" s="75"/>
      <c r="AP224" s="75"/>
    </row>
    <row r="225" spans="1:42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75"/>
      <c r="AP225" s="75"/>
    </row>
    <row r="226" spans="1:42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75"/>
      <c r="AP226" s="75"/>
    </row>
    <row r="227" spans="1:42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75"/>
      <c r="AP227" s="75"/>
    </row>
    <row r="228" spans="1:42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75"/>
      <c r="AP228" s="75"/>
    </row>
    <row r="229" spans="1:42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75"/>
      <c r="AP229" s="75"/>
    </row>
    <row r="230" spans="1:42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75"/>
      <c r="AP230" s="75"/>
    </row>
    <row r="231" spans="1:42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75"/>
      <c r="AP231" s="75"/>
    </row>
    <row r="232" spans="1:42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75"/>
      <c r="AP232" s="75"/>
    </row>
    <row r="233" spans="1:42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75"/>
      <c r="AP233" s="75"/>
    </row>
    <row r="234" spans="1:42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75"/>
      <c r="AP234" s="75"/>
    </row>
    <row r="235" spans="1:42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75"/>
      <c r="AP235" s="75"/>
    </row>
    <row r="236" spans="1:42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75"/>
      <c r="AP236" s="75"/>
    </row>
    <row r="237" spans="1:42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75"/>
      <c r="AP237" s="75"/>
    </row>
    <row r="238" spans="1:42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75"/>
      <c r="AP238" s="75"/>
    </row>
    <row r="239" spans="1:42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75"/>
      <c r="AP239" s="75"/>
    </row>
    <row r="240" spans="1:42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75"/>
      <c r="AP240" s="75"/>
    </row>
    <row r="241" spans="1:42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75"/>
      <c r="AP241" s="75"/>
    </row>
    <row r="242" spans="1:42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75"/>
      <c r="AP242" s="75"/>
    </row>
    <row r="243" spans="1:42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  <c r="AO243" s="75"/>
      <c r="AP243" s="75"/>
    </row>
    <row r="244" spans="1:42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75"/>
      <c r="AP244" s="75"/>
    </row>
    <row r="245" spans="1:42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75"/>
      <c r="AP245" s="75"/>
    </row>
    <row r="246" spans="1:42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75"/>
      <c r="AP246" s="75"/>
    </row>
    <row r="247" spans="1:42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75"/>
      <c r="AP247" s="75"/>
    </row>
    <row r="248" spans="1:42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75"/>
      <c r="AP248" s="75"/>
    </row>
    <row r="249" spans="1:42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75"/>
      <c r="AP249" s="75"/>
    </row>
    <row r="250" spans="1:42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75"/>
      <c r="AP250" s="75"/>
    </row>
    <row r="251" spans="1:42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75"/>
      <c r="AP251" s="75"/>
    </row>
    <row r="252" spans="1:42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75"/>
      <c r="AP252" s="75"/>
    </row>
    <row r="253" spans="1:42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75"/>
      <c r="AP253" s="75"/>
    </row>
    <row r="254" spans="1:42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75"/>
      <c r="AP254" s="75"/>
    </row>
    <row r="255" spans="1:42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75"/>
      <c r="AP255" s="75"/>
    </row>
    <row r="256" spans="1:42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75"/>
      <c r="AP256" s="75"/>
    </row>
    <row r="257" spans="1:42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75"/>
      <c r="AP257" s="75"/>
    </row>
    <row r="258" spans="1:42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75"/>
      <c r="AP258" s="75"/>
    </row>
    <row r="259" spans="1:42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75"/>
      <c r="AP259" s="75"/>
    </row>
    <row r="260" spans="1:42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75"/>
      <c r="AP260" s="75"/>
    </row>
    <row r="261" spans="1:42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75"/>
      <c r="AP261" s="75"/>
    </row>
    <row r="262" spans="1:42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75"/>
      <c r="AP262" s="75"/>
    </row>
    <row r="263" spans="1:42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75"/>
      <c r="AP263" s="75"/>
    </row>
    <row r="264" spans="1:42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75"/>
      <c r="AP264" s="75"/>
    </row>
    <row r="265" spans="1:42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75"/>
      <c r="AP265" s="75"/>
    </row>
    <row r="266" spans="1:42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75"/>
      <c r="AP266" s="75"/>
    </row>
    <row r="267" spans="1:42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75"/>
      <c r="AP267" s="75"/>
    </row>
    <row r="268" spans="1:42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75"/>
      <c r="AP268" s="75"/>
    </row>
    <row r="269" spans="1:42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75"/>
      <c r="AP269" s="75"/>
    </row>
    <row r="270" spans="1:42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75"/>
      <c r="AP270" s="75"/>
    </row>
    <row r="271" spans="1:42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75"/>
      <c r="AP271" s="75"/>
    </row>
    <row r="272" spans="1:42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75"/>
      <c r="AP272" s="75"/>
    </row>
    <row r="273" spans="1:42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75"/>
      <c r="AP273" s="75"/>
    </row>
    <row r="274" spans="1:42" ht="18.75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75"/>
      <c r="AP274" s="75"/>
    </row>
    <row r="275" spans="1:42" ht="18.75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75"/>
      <c r="AP275" s="75"/>
    </row>
    <row r="276" spans="1:42" ht="18.75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75"/>
      <c r="AP276" s="75"/>
    </row>
    <row r="277" spans="1:42" ht="18.75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75"/>
      <c r="AP277" s="75"/>
    </row>
    <row r="278" spans="1:42" ht="18.75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75"/>
      <c r="AP278" s="75"/>
    </row>
    <row r="279" spans="1:42" ht="18.75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75"/>
      <c r="AP279" s="75"/>
    </row>
    <row r="280" spans="1:42" ht="18.75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75"/>
      <c r="AP280" s="75"/>
    </row>
    <row r="281" spans="1:42" ht="18.75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75"/>
      <c r="AP281" s="75"/>
    </row>
    <row r="282" spans="1:42" ht="18.75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75"/>
      <c r="AP282" s="75"/>
    </row>
    <row r="283" spans="1:42" ht="18.75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75"/>
      <c r="AP283" s="75"/>
    </row>
    <row r="284" spans="1:42" ht="18.75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75"/>
      <c r="AP284" s="75"/>
    </row>
    <row r="285" spans="1:42" ht="18.75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75"/>
      <c r="AP285" s="75"/>
    </row>
    <row r="286" spans="1:42" ht="18.75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75"/>
      <c r="AP286" s="75"/>
    </row>
    <row r="287" spans="1:42" ht="18.75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75"/>
      <c r="AP287" s="75"/>
    </row>
    <row r="288" spans="1:42" ht="18.75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75"/>
      <c r="AP288" s="75"/>
    </row>
    <row r="289" spans="1:42" ht="18.75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75"/>
      <c r="AP289" s="75"/>
    </row>
    <row r="290" spans="1:42" ht="18.75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75"/>
      <c r="AP290" s="75"/>
    </row>
    <row r="291" spans="1:42" ht="18.75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75"/>
      <c r="AP291" s="75"/>
    </row>
    <row r="292" spans="1:42" ht="18.75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75"/>
      <c r="AP292" s="75"/>
    </row>
    <row r="293" spans="1:42" ht="18.75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75"/>
      <c r="AP293" s="75"/>
    </row>
    <row r="294" spans="1:42" ht="18.75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75"/>
      <c r="AP294" s="75"/>
    </row>
    <row r="295" spans="1:42" ht="18.75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75"/>
      <c r="AP295" s="75"/>
    </row>
    <row r="296" spans="1:42" ht="18.75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75"/>
      <c r="AP296" s="75"/>
    </row>
    <row r="297" spans="1:42" ht="18.75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75"/>
      <c r="AP297" s="75"/>
    </row>
    <row r="298" spans="1:42" ht="18.75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75"/>
      <c r="AP298" s="75"/>
    </row>
    <row r="299" spans="1:42" ht="18.75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75"/>
      <c r="AP299" s="75"/>
    </row>
    <row r="300" spans="1:42" ht="18.75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75"/>
      <c r="AP300" s="75"/>
    </row>
    <row r="301" spans="1:42" ht="18.75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75"/>
      <c r="AP301" s="75"/>
    </row>
    <row r="302" spans="1:42" ht="18.75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75"/>
      <c r="AP302" s="75"/>
    </row>
    <row r="303" spans="1:42" ht="18.75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75"/>
      <c r="AP303" s="75"/>
    </row>
    <row r="304" spans="1:42" ht="18.75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75"/>
      <c r="AP304" s="75"/>
    </row>
    <row r="305" spans="1:42" ht="18.75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75"/>
      <c r="AP305" s="75"/>
    </row>
    <row r="306" spans="1:42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75"/>
      <c r="AP306" s="75"/>
    </row>
    <row r="307" spans="1:42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75"/>
      <c r="AP307" s="75"/>
    </row>
    <row r="308" spans="1:42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75"/>
      <c r="AP308" s="75"/>
    </row>
    <row r="309" spans="1:42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75"/>
      <c r="AP309" s="75"/>
    </row>
    <row r="310" spans="1:42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75"/>
      <c r="AP310" s="75"/>
    </row>
    <row r="311" spans="1:42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75"/>
      <c r="AP311" s="75"/>
    </row>
    <row r="312" spans="1:42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75"/>
      <c r="AP312" s="75"/>
    </row>
    <row r="313" spans="1:42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75"/>
      <c r="AP313" s="75"/>
    </row>
    <row r="314" spans="1:42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75"/>
      <c r="AP314" s="75"/>
    </row>
    <row r="315" spans="1:42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75"/>
      <c r="AP315" s="75"/>
    </row>
    <row r="316" spans="1:42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75"/>
      <c r="AP316" s="75"/>
    </row>
    <row r="317" spans="1:42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75"/>
      <c r="AP317" s="75"/>
    </row>
    <row r="318" spans="1:42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75"/>
      <c r="AP318" s="75"/>
    </row>
    <row r="319" spans="1:42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75"/>
      <c r="AP319" s="75"/>
    </row>
    <row r="320" spans="1:42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75"/>
      <c r="AP320" s="75"/>
    </row>
    <row r="321" spans="1:42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75"/>
      <c r="AP321" s="75"/>
    </row>
    <row r="322" spans="1:42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75"/>
      <c r="AP322" s="75"/>
    </row>
    <row r="323" spans="1:42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75"/>
      <c r="AP323" s="75"/>
    </row>
    <row r="324" spans="1:42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75"/>
      <c r="AP324" s="75"/>
    </row>
    <row r="325" spans="1:42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75"/>
      <c r="AP325" s="75"/>
    </row>
    <row r="326" spans="1:42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75"/>
      <c r="AP326" s="75"/>
    </row>
    <row r="327" spans="1:42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75"/>
      <c r="AP327" s="75"/>
    </row>
    <row r="328" spans="1:42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75"/>
      <c r="AP328" s="75"/>
    </row>
    <row r="329" spans="1:42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75"/>
      <c r="AP329" s="75"/>
    </row>
    <row r="330" spans="1:42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75"/>
      <c r="AP330" s="75"/>
    </row>
    <row r="331" spans="1:42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75"/>
      <c r="AP331" s="75"/>
    </row>
    <row r="332" spans="1:42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75"/>
      <c r="AP332" s="75"/>
    </row>
    <row r="333" spans="1:42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75"/>
      <c r="AP333" s="75"/>
    </row>
    <row r="334" spans="1:42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75"/>
      <c r="AP334" s="75"/>
    </row>
    <row r="335" spans="1:42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75"/>
      <c r="AP335" s="75"/>
    </row>
    <row r="336" spans="1:42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75"/>
      <c r="AP336" s="75"/>
    </row>
    <row r="337" spans="1:42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75"/>
      <c r="AP337" s="75"/>
    </row>
    <row r="338" spans="1:42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75"/>
      <c r="AP338" s="75"/>
    </row>
    <row r="339" spans="1:42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75"/>
      <c r="AP339" s="75"/>
    </row>
    <row r="340" spans="1:42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75"/>
      <c r="AP340" s="75"/>
    </row>
    <row r="341" spans="1:42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75"/>
      <c r="AP341" s="75"/>
    </row>
    <row r="342" spans="1:42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75"/>
      <c r="AP342" s="75"/>
    </row>
    <row r="343" spans="1:42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75"/>
      <c r="AP343" s="75"/>
    </row>
    <row r="344" spans="1:42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75"/>
      <c r="AP344" s="75"/>
    </row>
    <row r="345" spans="1:42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75"/>
      <c r="AP345" s="75"/>
    </row>
    <row r="346" spans="1:42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75"/>
      <c r="AP346" s="75"/>
    </row>
    <row r="347" spans="1:42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75"/>
      <c r="AP347" s="75"/>
    </row>
    <row r="348" spans="1:42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75"/>
      <c r="AP348" s="75"/>
    </row>
    <row r="349" spans="1:42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75"/>
      <c r="AP349" s="75"/>
    </row>
    <row r="350" spans="1:42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75"/>
      <c r="AP350" s="75"/>
    </row>
    <row r="351" spans="1:42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75"/>
      <c r="AP351" s="75"/>
    </row>
    <row r="352" spans="1:42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75"/>
      <c r="AP352" s="75"/>
    </row>
    <row r="353" spans="1:42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75"/>
      <c r="AP353" s="75"/>
    </row>
    <row r="354" spans="1:42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75"/>
      <c r="AP354" s="75"/>
    </row>
    <row r="355" spans="1:42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75"/>
      <c r="AP355" s="75"/>
    </row>
    <row r="356" spans="1:42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75"/>
      <c r="AP356" s="75"/>
    </row>
    <row r="357" spans="1:42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75"/>
      <c r="AP357" s="75"/>
    </row>
    <row r="358" spans="1:42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75"/>
      <c r="AP358" s="75"/>
    </row>
    <row r="359" spans="1:42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75"/>
      <c r="AP359" s="75"/>
    </row>
    <row r="360" spans="1:42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75"/>
      <c r="AP360" s="75"/>
    </row>
    <row r="361" spans="1:42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75"/>
      <c r="AP361" s="75"/>
    </row>
    <row r="362" spans="1:42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75"/>
      <c r="AP362" s="75"/>
    </row>
    <row r="363" spans="1:42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75"/>
      <c r="AP363" s="75"/>
    </row>
    <row r="364" spans="1:42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75"/>
      <c r="AP364" s="75"/>
    </row>
    <row r="365" spans="1:42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75"/>
      <c r="AP365" s="75"/>
    </row>
    <row r="366" spans="1:42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90"/>
      <c r="AP366" s="90"/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2026-10-23T22:19:26Z</dcterms:modified>
</cp:coreProperties>
</file>