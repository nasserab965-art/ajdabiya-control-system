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2B86CFF5-FC75-4251-980C-5750CA588FCD}" xr6:coauthVersionLast="47" xr6:coauthVersionMax="47" xr10:uidLastSave="{00000000-0000-0000-0000-000000000000}"/>
  <bookViews>
    <workbookView xWindow="-120" yWindow="-120" windowWidth="19440" windowHeight="15000" tabRatio="707" activeTab="1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3" i="4" l="1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AN2" i="4" l="1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B3" i="1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S364" i="1" s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S362" i="1" s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S360" i="1" s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S319" i="1"/>
  <c r="R319" i="1"/>
  <c r="P319" i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S303" i="1" s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S299" i="1" s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S293" i="1" s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S289" i="1" s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S277" i="1" s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S271" i="1" s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S267" i="1" s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S263" i="1" s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S259" i="1" s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S255" i="1" s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S251" i="1" s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S247" i="1" s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S243" i="1" s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S239" i="1" s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S235" i="1" s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S231" i="1" s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S227" i="1" s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S223" i="1" s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S221" i="1" s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S219" i="1" s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S217" i="1" s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S215" i="1" s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S213" i="1" s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S211" i="1" s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S209" i="1" s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S207" i="1" s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S205" i="1" s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S203" i="1" s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S201" i="1" s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S199" i="1" s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S39" i="1" s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AD22" i="1" l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<sst xmlns="http://schemas.openxmlformats.org/spreadsheetml/2006/main" count="244" uniqueCount="43">
  <si>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</si>
  <si>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</si>
  <si>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</si>
  <si>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</si>
  <si>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</si>
  <si>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</si>
  <si>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</si>
  <si>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</si>
  <si>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</si>
  <si>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</si>
  <si>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</si>
  <si>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</si>
  <si>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</si>
  <si>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</si>
  <si>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</si>
  <si>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</si>
  <si>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</si>
  <si>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</si>
  <si>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</si>
  <si>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</si>
  <si>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</si>
  <si>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</si>
  <si>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</si>
  <si>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</si>
  <si>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</si>
  <si>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</si>
  <si>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</si>
  <si>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</si>
  <si>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المخزون * 10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</si>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</sst>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7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164" fontId="3" fillId="4" borderId="7" xfId="1" applyNumberFormat="1" applyFont="1" applyFill="1" applyBorder="1" applyAlignment="1">
      <alignment horizontal="center" vertical="center" readingOrder="1"/>
    </xf>
    <xf numFmtId="1" fontId="8" fillId="0" borderId="7" xfId="1" applyNumberFormat="1" applyFont="1" applyBorder="1" applyAlignment="1">
      <alignment horizontal="center" vertical="center" readingOrder="1"/>
    </xf>
    <xf numFmtId="1" fontId="8" fillId="0" borderId="9" xfId="1" applyNumberFormat="1" applyFont="1" applyBorder="1" applyAlignment="1">
      <alignment horizontal="center" vertical="center" readingOrder="1"/>
    </xf>
    <xf numFmtId="167" fontId="8" fillId="0" borderId="9" xfId="1" applyNumberFormat="1" applyFont="1" applyBorder="1" applyAlignment="1">
      <alignment horizontal="center" vertical="center" readingOrder="1"/>
    </xf>
    <xf numFmtId="2" fontId="8" fillId="0" borderId="10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4" fillId="0" borderId="9" xfId="1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3" fontId="4" fillId="0" borderId="10" xfId="1" applyNumberFormat="1" applyFont="1" applyBorder="1" applyAlignment="1">
      <alignment horizontal="center" vertical="center" readingOrder="1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0" fontId="12" fillId="3" borderId="5" xfId="0" applyFont="1" applyFill="1" applyBorder="1" applyAlignment="1">
      <alignment horizontal="center" vertical="center" wrapText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504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420" headerRowBorderDxfId="419" tableBorderDxfId="418">
  <autoFilter ref="A1:AP366" xr:uid="{6E0F382F-67F4-430A-B384-60EF2F5DAC6C}"/>
  <tableColumns count="42">
    <tableColumn id="1" xr3:uid="{66387CC3-B100-4304-9559-EC4889828ABF}" name=" اليوم" dataDxfId="417" totalsRowDxfId="77" dataCellStyle="Normal 2" totalsRowCellStyle="Normal 2"/>
    <tableColumn id="19" xr3:uid="{73AF8B15-15C2-4FFB-A4CF-2BCAC459190F}" name="آبار منتجة TAZ" dataDxfId="416" totalsRowDxfId="76" dataCellStyle="Normal 2" totalsRowCellStyle="Normal 2"/>
    <tableColumn id="18" xr3:uid="{09325C69-53C6-4F31-92E3-CB300328F497}" name="الانتاج 1000 (م3) TAZ" dataDxfId="415" totalsRowDxfId="75" dataCellStyle="Normal 2" totalsRowCellStyle="Normal 2"/>
    <tableColumn id="17" xr3:uid="{16B8FBF1-029A-469C-B1C6-F69C4C4F7CAF}" name="آبار عاملة TAZ" dataDxfId="414" totalsRowDxfId="74" dataCellStyle="Normal 2" totalsRowCellStyle="Normal 2"/>
    <tableColumn id="16" xr3:uid="{00C28CE5-3D49-4F68-919C-13DF472F495C}" name="آبار احتياطية" dataDxfId="413" totalsRowDxfId="73" dataCellStyle="Normal 2" totalsRowCellStyle="Normal 2"/>
    <tableColumn id="26" xr3:uid="{EE5DB7EC-D86D-49D5-9B77-054A5BABE28D}" name="آبار منتجة SAR" dataDxfId="412" totalsRowDxfId="72" dataCellStyle="Normal 2" totalsRowCellStyle="Normal 2"/>
    <tableColumn id="25" xr3:uid="{7C165A36-3712-4689-8755-F53FE5B20ABE}" name="إنتاج آبار  SAR" dataDxfId="411" totalsRowDxfId="71" dataCellStyle="Normal 2" totalsRowCellStyle="Normal 2"/>
    <tableColumn id="24" xr3:uid="{83A6BBA7-380F-4769-8A42-D4612297E2AD}" name="آبار احتياطية  SAR" dataDxfId="410" totalsRowDxfId="70" dataCellStyle="Normal 2" totalsRowCellStyle="Normal 2"/>
    <tableColumn id="8" xr3:uid="{AE56A76F-A0FC-417D-B2B6-D4978FB39679}" name="خط (T/B  TOT) SAR" dataDxfId="409" totalsRowDxfId="69" dataCellStyle="Normal 2" totalsRowCellStyle="Normal 2"/>
    <tableColumn id="22" xr3:uid="{DAAA7253-4784-4BE7-9784-7EAE5F799701}" name="خط (S/S  TOT) SAR2" dataDxfId="408" totalsRowDxfId="68" dataCellStyle="Normal 2" totalsRowCellStyle="Normal 2"/>
    <tableColumn id="38" xr3:uid="{C17DFA01-DEFE-472D-8A02-0FF9206A0813}" name="(S/S+TB)SAR" dataDxfId="407" totalsRowDxfId="67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406" totalsRowDxfId="66" dataCellStyle="Normal 2" totalsRowCellStyle="Normal 2"/>
    <tableColumn id="20" xr3:uid="{3C1CE13A-ADA2-44D8-9F21-A08E5B226D9C}" name=" % ECV SAR" dataDxfId="405" totalsRowDxfId="65" dataCellStyle="Normal 2" totalsRowCellStyle="Normal 2"/>
    <tableColumn id="6" xr3:uid="{4245025E-4350-4CF5-A37D-368EE5D4C6E6}" name="الضغط ECV (bar) SAR" dataDxfId="404" totalsRowDxfId="64" dataCellStyle="Normal 2" totalsRowCellStyle="Normal 2"/>
    <tableColumn id="3" xr3:uid="{E521A30B-C651-47F3-8C9F-1644C97E55AB}" name="(S/S TOT) AJD" dataDxfId="403" totalsRowDxfId="63"/>
    <tableColumn id="36" xr3:uid="{2E18B7B5-1893-4635-84E6-AAD5165E012D}" name="الفرق بين بداية ونهاية خط  S/S" dataDxfId="402" totalsRowDxfId="62">
      <calculatedColumnFormula>TABL12[[#This Row],[خط (S/S  TOT) SAR2]]-TABL12[[#This Row],[(S/S TOT) AJD]]</calculatedColumnFormula>
    </tableColumn>
    <tableColumn id="5" xr3:uid="{2560A6DC-201C-40F0-8F48-5525F036384E}" name="(T/B TOT) AJD" dataDxfId="401" totalsRowDxfId="61"/>
    <tableColumn id="35" xr3:uid="{CCC03B44-9E2F-4CD1-89EE-A2983AA131AC}" name="الفرق بين بداية ونهاية خط  T/B" dataDxfId="400" totalsRowDxfId="60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399" totalsRowDxfId="59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398" totalsRowDxfId="58">
      <calculatedColumnFormula>O2+Q2</calculatedColumnFormula>
    </tableColumn>
    <tableColumn id="7" xr3:uid="{FE67C820-40E0-442E-9E31-856C32A508B6}" name="(A/B TOT) AJD" dataDxfId="397" totalsRowDxfId="57"/>
    <tableColumn id="9" xr3:uid="{D5679418-BA27-4A9E-9F79-B5750AE87354}" name="(A/S TOT) AJD" dataDxfId="396" totalsRowDxfId="56"/>
    <tableColumn id="14" xr3:uid="{3D7832B3-0EBF-4C36-9589-8817B10DB712}" name="(A/B + A/S) AJD" dataDxfId="395" totalsRowDxfId="55">
      <calculatedColumnFormula>U2+V2</calculatedColumnFormula>
    </tableColumn>
    <tableColumn id="15" xr3:uid="{9DF00D84-966C-444D-B303-1741455D7F9D}" name="(IN - OUT) AJD" dataDxfId="394" totalsRowDxfId="54">
      <calculatedColumnFormula>T2-W2</calculatedColumnFormula>
    </tableColumn>
    <tableColumn id="10" xr3:uid="{F816C09C-6DAC-44D6-8748-76EA15069B1B}" name="(RES. LEVEL) AJD" dataDxfId="393" totalsRowDxfId="53"/>
    <tableColumn id="11" xr3:uid="{00C5DB16-3CE7-43C0-85AC-3A94F1DF93AB}" name="(RESV. STORGE) AJD" dataDxfId="392" totalsRowDxfId="52"/>
    <tableColumn id="40" xr3:uid="{3BB612D7-93EF-4EAC-AE56-DDA1277F66BC}" name="AJD المخزون * 10" dataDxfId="391" totalsRowDxfId="51">
      <calculatedColumnFormula>TABL12[[#This Row],[(RESV. STORGE) AJD]]/10</calculatedColumnFormula>
    </tableColumn>
    <tableColumn id="4" xr3:uid="{15D5ED16-E158-4BC3-B9EB-7F0B835A68C3}" name="(STORGE DIFF.) AJD" dataDxfId="390" totalsRowDxfId="50"/>
    <tableColumn id="12" xr3:uid="{1995E128-14C8-4F8F-908D-D03A5E8655DC}" name="البخر  AJD" dataDxfId="389" totalsRowDxfId="49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388" totalsRowDxfId="48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387" totalsRowDxfId="47"/>
    <tableColumn id="31" xr3:uid="{55F50B2A-C1E1-433E-9815-41A6E80E52CD}" name="(RES. LEVEL) BER" dataDxfId="386" totalsRowDxfId="46"/>
    <tableColumn id="28" xr3:uid="{2651ABE7-B931-449C-B6AE-ACC17C319D95}" name=" (RESV. STORGE) BER" dataDxfId="385" totalsRowDxfId="45"/>
    <tableColumn id="41" xr3:uid="{E68DD80B-5F75-4484-AE22-A4DBB5C3D9D7}" name="BER المخزون * 10" dataDxfId="23" totalsRowDxfId="24">
      <calculatedColumnFormula>TABL12[[#This Row],[ (RESV. STORGE) BER]]/10</calculatedColumnFormula>
    </tableColumn>
    <tableColumn id="29" xr3:uid="{72C12724-11AC-42CC-A11D-EFF1C3F9C26F}" name="البخر  BER" dataDxfId="384" totalsRowDxfId="44"/>
    <tableColumn id="34" xr3:uid="{6D25E223-64FE-4345-BF75-4C64F7653DD7}" name=" إستهلاك AJD(A/B) - BER.IN" totalsRowFunction="custom" dataDxfId="383" totalsRowDxfId="43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382" totalsRowDxfId="42"/>
    <tableColumn id="33" xr3:uid="{4E73E2C8-F54D-4138-8186-189B1AB2FC67}" name="(RES. LEVEL) SER " dataDxfId="381" totalsRowDxfId="41"/>
    <tableColumn id="27" xr3:uid="{078E4705-C3C5-46D2-9B78-A05F1D915B91}" name=" (RESV. STORGE) SER" dataDxfId="380" totalsRowDxfId="40"/>
    <tableColumn id="42" xr3:uid="{67E01307-DE8B-4AEB-9752-499927A54124}" name="SER المخزون * 10" dataDxfId="21" totalsRowDxfId="22">
      <calculatedColumnFormula>TABL12[[#This Row],[ (RESV. STORGE) SER]]/10</calculatedColumnFormula>
    </tableColumn>
    <tableColumn id="2" xr3:uid="{E2C3B7C8-2EF3-47A2-B8EC-2DE7243E9A49}" name="البخر  SER" dataDxfId="379" totalsRowDxfId="39"/>
    <tableColumn id="23" xr3:uid="{BC79413F-8931-48D4-A08F-5DEBEF496FAE}" name="إستهلاك AJD(A/S) - SER.IN" dataDxfId="378" totalsRowDxfId="38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15" headerRowBorderDxfId="16" tableBorderDxfId="377">
  <autoFilter ref="A1:AP366" xr:uid="{C2A051BE-B5E3-493B-964B-8205F3177506}"/>
  <tableColumns count="42">
    <tableColumn id="1" xr3:uid="{F2C94FEB-A00A-4D88-9DB9-A505F694326E}" name=" اليوم" dataDxfId="20" totalsRowDxfId="8" dataCellStyle="Normal 2"/>
    <tableColumn id="19" xr3:uid="{68DB4C1E-A17C-490E-9705-B462F20FB2F5}" name="آبار منتجة TAZ" dataDxfId="19" totalsRowDxfId="7" dataCellStyle="Normal 2"/>
    <tableColumn id="18" xr3:uid="{E796FBBC-59BD-4C13-A0B4-3F479BF911CC}" name="الانتاج 1000 (م3) TAZ" dataDxfId="127" totalsRowDxfId="108" dataCellStyle="Normal 2"/>
    <tableColumn id="17" xr3:uid="{C89E9AFB-A295-4B42-8D04-66D22406019A}" name="آبار عاملة TAZ" dataDxfId="126" totalsRowDxfId="107" dataCellStyle="Normal 2"/>
    <tableColumn id="16" xr3:uid="{CCAB6794-76BB-4656-8BFD-720321A160A1}" name="آبار احتياطية" dataDxfId="125" totalsRowDxfId="106" dataCellStyle="Normal 2"/>
    <tableColumn id="26" xr3:uid="{B93CAD1F-9F70-4073-BA5B-9A25C7E0773A}" name="آبار منتجة SAR" dataDxfId="124" totalsRowDxfId="105" dataCellStyle="Normal 2"/>
    <tableColumn id="25" xr3:uid="{843065C2-FA24-4EBC-946C-017549EDBE73}" name="إنتاج آبار  SAR" dataDxfId="123" totalsRowDxfId="104" dataCellStyle="Normal 2"/>
    <tableColumn id="24" xr3:uid="{72E79D2B-11DD-4F09-9A98-C3DC5E961080}" name="آبار احتياطية  SAR" dataDxfId="122" totalsRowDxfId="103" dataCellStyle="Normal 2">
      <calculatedColumnFormula>103-F2</calculatedColumnFormula>
    </tableColumn>
    <tableColumn id="8" xr3:uid="{32ADAB80-0731-4497-9C74-B767F325E7AA}" name="خط (T/B  TOT) SAR" dataDxfId="121" totalsRowDxfId="102" dataCellStyle="Normal 2"/>
    <tableColumn id="22" xr3:uid="{D6CA7FCA-765E-4E81-A162-4CD8BB0D7043}" name="خط (S/S  TOT) SAR2" dataDxfId="120" totalsRowDxfId="101" dataCellStyle="Normal 2"/>
    <tableColumn id="38" xr3:uid="{33C2CB21-9229-4243-ADAE-776B8647DFD1}" name="(S/S+TB)SAR" dataDxfId="36" totalsRowDxfId="37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119" totalsRowDxfId="100" dataCellStyle="Normal 2"/>
    <tableColumn id="20" xr3:uid="{66436F12-F860-44EF-B3A6-FFD54DC8AFC8}" name=" % ECV SAR" dataDxfId="118" totalsRowDxfId="99" dataCellStyle="Normal 2"/>
    <tableColumn id="6" xr3:uid="{4438EA12-D59A-4F0A-AA36-C59397D029D5}" name="الضغط ECV (bar) SAR" dataDxfId="18" totalsRowDxfId="6" dataCellStyle="Normal 2"/>
    <tableColumn id="3" xr3:uid="{5C7CE9FC-7273-4F20-97D1-277D70176732}" name="(S/S TOT) AJD" dataDxfId="117" totalsRowDxfId="98"/>
    <tableColumn id="36" xr3:uid="{6672827C-38A3-4694-A87C-BC06C39D02A5}" name="الفرق بين بداية ونهاية خط  S/S" dataDxfId="35" totalsRowDxfId="97">
      <calculatedColumnFormula>TABL123[[#This Row],[خط (S/S  TOT) SAR2]]-TABL123[[#This Row],[(S/S TOT) AJD]]</calculatedColumnFormula>
    </tableColumn>
    <tableColumn id="5" xr3:uid="{DF02E977-976C-497A-90D6-F963B833E43A}" name="(T/B TOT) AJD" dataDxfId="116" totalsRowDxfId="96"/>
    <tableColumn id="35" xr3:uid="{EA1BE12C-3660-4876-BFF2-4646FCDB4BA4}" name="الفرق بين بداية ونهاية خط  T/B" dataDxfId="34" totalsRowDxfId="95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33" totalsRowDxfId="94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32" totalsRowDxfId="93">
      <calculatedColumnFormula>TABL123[[#This Row],[(S/S TOT) AJD]]+TABL123[[#This Row],[(T/B TOT) AJD]]</calculatedColumnFormula>
    </tableColumn>
    <tableColumn id="7" xr3:uid="{21BC058B-8A61-431E-BCD6-7FDA77C9E7C5}" name="(A/B TOT) AJD" dataDxfId="115" totalsRowDxfId="92"/>
    <tableColumn id="9" xr3:uid="{E4125AA8-4C18-482A-92C7-44662200A444}" name="(A/S TOT) AJD" dataDxfId="114" totalsRowDxfId="91"/>
    <tableColumn id="14" xr3:uid="{A5BCC66E-3B62-4C06-92B8-78FF88D4151A}" name="(A/B + A/S) AJD" dataDxfId="31" totalsRowDxfId="90">
      <calculatedColumnFormula>TABL123[[#This Row],[(A/B TOT) AJD]]+TABL123[[#This Row],[(A/S TOT) AJD]]</calculatedColumnFormula>
    </tableColumn>
    <tableColumn id="15" xr3:uid="{3BBEAFA6-6146-471B-A18A-86F379088B70}" name="(IN - OUT) AJD" dataDxfId="30" totalsRowDxfId="89">
      <calculatedColumnFormula>TABL123[[#This Row],[( S/S+T/B) AJD]]-TABL123[[#This Row],[(A/B + A/S) AJD]]</calculatedColumnFormula>
    </tableColumn>
    <tableColumn id="10" xr3:uid="{876922B5-A4E9-45ED-86BF-10C757F7DE2A}" name="(RES. LEVEL) AJD" dataDxfId="113" totalsRowDxfId="88"/>
    <tableColumn id="11" xr3:uid="{2F9A8435-0058-45F7-AA38-B4B4E3E3322D}" name="(RESV. STORGE) AJD" dataDxfId="112" totalsRowDxfId="87"/>
    <tableColumn id="40" xr3:uid="{F87A19EF-5769-4625-AC0A-777F3AC43946}" name="AJD المخزون * 10" dataDxfId="111" totalsRowDxfId="86" dataCellStyle="Normal 2">
      <calculatedColumnFormula>TABL123[[#This Row],[(RESV. STORGE) AJD]]/10</calculatedColumnFormula>
    </tableColumn>
    <tableColumn id="4" xr3:uid="{F15E20D7-B8EF-4163-9E31-6D3BF77A73A3}" name="(STORGE DIFF.) AJD" dataDxfId="110" totalsRowDxfId="85"/>
    <tableColumn id="12" xr3:uid="{BC2F8435-ACF2-46F4-8794-4AC9C2B6C9E9}" name="البخر  AJD" dataDxfId="109" totalsRowDxfId="84" dataCellStyle="Normal 2"/>
    <tableColumn id="39" xr3:uid="{FCD950FB-697C-49D6-8E16-0E7ECE2CAB54}" name="الفاقد في خزان اجدابيا" dataDxfId="17" totalsRowDxfId="5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28" totalsRowDxfId="83"/>
    <tableColumn id="31" xr3:uid="{5D2F464C-C9F4-4576-8552-66822FE5010C}" name="(RES. LEVEL) BER" dataDxfId="27" totalsRowDxfId="82"/>
    <tableColumn id="28" xr3:uid="{79AC9202-E111-492A-A1C7-C20EAB7DB475}" name=" (RESV. STORGE) BER" dataDxfId="26" totalsRowDxfId="81"/>
    <tableColumn id="29" xr3:uid="{0D3228DA-C740-4CD4-8142-FA2E5314F93F}" name="BER المخزون * 10" dataDxfId="25" totalsRowDxfId="80"/>
    <tableColumn id="34" xr3:uid="{5733C1F9-D466-469C-ABB3-E7F7DB0EE0F1}" name="البخر  BER" dataDxfId="29" totalsRowDxfId="79"/>
    <tableColumn id="32" xr3:uid="{4CE1412A-4E2F-44FE-A87E-085A0A9129ED}" name=" إستهلاك AJD(A/B) - BER.IN" dataDxfId="0" totalsRowDxfId="4">
      <calculatedColumnFormula>TABL123[[#This Row],[(A/B TOT) AJD]]-TABL123[[#This Row],[BER_ IN]]</calculatedColumnFormula>
    </tableColumn>
    <tableColumn id="33" xr3:uid="{2395CD46-6205-4986-BD68-620680EE6F2E}" name="SER_ IN" dataDxfId="14" totalsRowDxfId="3"/>
    <tableColumn id="27" xr3:uid="{3AEA8C61-AA99-45B5-9461-2FF3EDCC8EA9}" name="(RES. LEVEL) SER " dataDxfId="13" totalsRowDxfId="78"/>
    <tableColumn id="2" xr3:uid="{7A48A26A-7876-4082-9402-59ED4782C9D4}" name=" (RESV. STORGE) SER" dataDxfId="12" totalsRowDxfId="2" dataCellStyle="Normal 2"/>
    <tableColumn id="23" xr3:uid="{CDFEC5F7-08FE-41DC-8D56-FDC100C5A4D5}" name="SER المخزون * 10" dataDxfId="9" totalsRowDxfId="1" dataCellStyle="Normal 2">
      <calculatedColumnFormula>TABL123[[#This Row],[ (RESV. STORGE) SER]]/10</calculatedColumnFormula>
    </tableColumn>
    <tableColumn id="42" xr3:uid="{BEA2B6C9-A747-4952-BA2D-D4DE723F4074}" name="البخر  SER" dataDxfId="11"/>
    <tableColumn id="43" xr3:uid="{B393EE02-A71B-4CC5-BB4E-081FA4FD0162}" name="إستهلاك AJD(A/S) - SER.IN" dataDxfId="10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N367" totalsRowCount="1" headerRowDxfId="503" headerRowBorderDxfId="502" tableBorderDxfId="501">
  <autoFilter ref="A1:AN366" xr:uid="{5FCB9D25-BF41-4AB4-98FB-CE010629717D}"/>
  <tableColumns count="40">
    <tableColumn id="1" xr3:uid="{CF2CC824-BD23-4EED-93E0-3B9E45F278EC}" name=" اليوم" dataDxfId="500" totalsRowDxfId="499" dataCellStyle="Normal 2"/>
    <tableColumn id="19" xr3:uid="{11FDAE88-09F6-4E94-8617-B2BA9147CD51}" name="آبار منتجة TAZ" dataDxfId="498" totalsRowDxfId="497" dataCellStyle="Normal 2"/>
    <tableColumn id="18" xr3:uid="{076C74DF-4714-4AD5-8210-E3B3407FBA13}" name="الانتاج 1000 (م3) TAZ" dataDxfId="496" totalsRowDxfId="495" dataCellStyle="Normal 2"/>
    <tableColumn id="17" xr3:uid="{C7220FDF-726E-40FC-99CD-A67D880F1387}" name="آبار عاملة TAZ" dataDxfId="494" totalsRowDxfId="493" dataCellStyle="Normal 2"/>
    <tableColumn id="16" xr3:uid="{DC504DC8-6426-4941-99CB-73AC50EFF406}" name="آبار احتياطية" dataDxfId="492" totalsRowDxfId="491" dataCellStyle="Normal 2"/>
    <tableColumn id="26" xr3:uid="{FF8B3ED8-B830-4308-B6C8-CB915A8ED015}" name="آبار منتجة SAR" dataDxfId="490" totalsRowDxfId="489" dataCellStyle="Normal 2"/>
    <tableColumn id="25" xr3:uid="{FA3000E5-6566-416F-921D-1508B5FB714F}" name="إنتاج آبار  SAR" dataDxfId="488" totalsRowDxfId="487" dataCellStyle="Normal 2"/>
    <tableColumn id="24" xr3:uid="{0AD83C01-DEC0-4843-A2F7-84F74F81F9CC}" name="آبار احتياطية  SAR" dataDxfId="486" totalsRowDxfId="485" dataCellStyle="Normal 2"/>
    <tableColumn id="8" xr3:uid="{7253E698-DAEB-48C5-A750-7FE54CB2AA8A}" name="خط (T/B  TOT) SAR" dataDxfId="484" totalsRowDxfId="483" dataCellStyle="Normal 2"/>
    <tableColumn id="22" xr3:uid="{876E68A1-B3C2-447A-AB99-8D4E310E232B}" name="خط (S/S  TOT) SAR2" dataDxfId="482" totalsRowDxfId="481" dataCellStyle="Normal 2"/>
    <tableColumn id="38" xr3:uid="{453CB68D-B69C-4F00-BDB3-40499D0BFC97}" name="(S/S+TB)SAR" dataDxfId="480" totalsRowDxfId="479" dataCellStyle="Normal 2"/>
    <tableColumn id="21" xr3:uid="{272404DA-C793-4A72-B0CB-0EB75185F322}" name="خط TAZ/SAR" dataDxfId="478" totalsRowDxfId="477" dataCellStyle="Normal 2"/>
    <tableColumn id="20" xr3:uid="{E1B79B18-AF6A-4A21-A847-69543D5853D3}" name=" % ECV SAR" dataDxfId="476" totalsRowDxfId="475" dataCellStyle="Normal 2"/>
    <tableColumn id="6" xr3:uid="{563D8C0C-0449-4C27-8802-1597757EAD90}" name="الضغط ECV (bar) SAR" dataDxfId="474" totalsRowDxfId="473" dataCellStyle="Normal 2"/>
    <tableColumn id="3" xr3:uid="{F8817DDA-13BF-41EE-A4AB-3E28920DA12E}" name="(S/S TOT) AJD" dataDxfId="472" totalsRowDxfId="471"/>
    <tableColumn id="36" xr3:uid="{1AEC5609-B8DD-415A-B860-5CA0A2B19CE9}" name="الفرق بين بداية ونهاية خط  S/S" dataDxfId="470" totalsRowDxfId="469"/>
    <tableColumn id="5" xr3:uid="{479D7584-5FE3-471E-B7AD-E43FC1963CC2}" name="(T/B TOT) AJD" dataDxfId="468" totalsRowDxfId="467"/>
    <tableColumn id="35" xr3:uid="{A8D868F1-5EFC-4A0C-9EDC-13DB03872867}" name="الفرق بين بداية ونهاية خط  T/B" dataDxfId="466" totalsRowDxfId="465"/>
    <tableColumn id="37" xr3:uid="{AA566E6C-9D8D-4B70-B216-3F23038B5006}" name="الفرق بين السرير و اجدابيا (الإستهلاك)" dataDxfId="464" totalsRowDxfId="463"/>
    <tableColumn id="13" xr3:uid="{5DED3E6B-48E1-4C56-9CED-69CF638DBC14}" name="( S/S+T/B) AJD" dataDxfId="462" totalsRowDxfId="461"/>
    <tableColumn id="7" xr3:uid="{2F33E916-32B0-4678-8AF4-810EB069F853}" name="(A/B TOT) AJD" dataDxfId="460" totalsRowDxfId="459"/>
    <tableColumn id="9" xr3:uid="{FE3BEA3B-570A-4810-85AD-CA10BE4443F4}" name="(A/S TOT) AJD" dataDxfId="458" totalsRowDxfId="457"/>
    <tableColumn id="14" xr3:uid="{C6961044-444C-4633-81B0-E220652A0956}" name="(A/B + A/S) AJD" dataDxfId="456" totalsRowDxfId="455"/>
    <tableColumn id="15" xr3:uid="{084A6C51-A878-48CC-8273-CFCD05C0A26F}" name="(IN - OUT) AJD" dataDxfId="454" totalsRowDxfId="453"/>
    <tableColumn id="10" xr3:uid="{00FDC030-FCB6-400F-BDC0-59478D75D7A6}" name="(RES. LEVEL) AJD" dataDxfId="452" totalsRowDxfId="451"/>
    <tableColumn id="11" xr3:uid="{75090017-34DE-44D2-BD87-EF83DB956968}" name="(RESV. STORGE) AJD" dataDxfId="450" totalsRowDxfId="449"/>
    <tableColumn id="40" xr3:uid="{DF1E881D-1F9A-435B-BA4E-D02A45A7E3F5}" name="المخزون * 10" dataDxfId="448" totalsRowDxfId="447" dataCellStyle="Normal 2"/>
    <tableColumn id="4" xr3:uid="{2B5AF874-2B4A-4BF8-9FF3-43DDA618D54F}" name="(STORGE DIFF.) AJD" dataDxfId="446" totalsRowDxfId="445"/>
    <tableColumn id="12" xr3:uid="{F362C966-6D40-4FD8-BEB9-91AD30F56531}" name="البخر  AJD" dataDxfId="444" totalsRowDxfId="443" dataCellStyle="Normal 2"/>
    <tableColumn id="39" xr3:uid="{F6CC0FCA-E331-472D-B69B-B56A51958C65}" name="الفاقد في خزان اجدابيا" dataDxfId="442" totalsRowDxfId="441"/>
    <tableColumn id="30" xr3:uid="{CBA7638F-53DA-4308-98C2-D8502C62FE53}" name="BER_ IN" dataDxfId="440" totalsRowDxfId="439"/>
    <tableColumn id="31" xr3:uid="{6A01F181-E82D-4F2D-86AB-EDF51D7FA079}" name="(RES. LEVEL) BER" dataDxfId="438" totalsRowDxfId="437"/>
    <tableColumn id="28" xr3:uid="{FE95C7D8-F5FD-4278-BB5F-1F990B036A22}" name=" (RESV. STORGE) BER" dataDxfId="436" totalsRowDxfId="435"/>
    <tableColumn id="29" xr3:uid="{1BBABB8C-A2C2-442C-B886-2D89A404BDEB}" name="البخر  BER" dataDxfId="434" totalsRowDxfId="433"/>
    <tableColumn id="34" xr3:uid="{332C7D2C-C6A3-4A26-8AC2-FCD8106086E6}" name=" إستهلاك AJD(A/B) - BER.IN" dataDxfId="432" totalsRowDxfId="431"/>
    <tableColumn id="32" xr3:uid="{C96F884E-1EEB-4DF2-9AA4-149162914A89}" name="SER_ IN" dataDxfId="430" totalsRowDxfId="429"/>
    <tableColumn id="33" xr3:uid="{617EB27D-221C-4A84-8637-DB1B7E5C8E4C}" name="(RES. LEVEL) SER " dataDxfId="428" totalsRowDxfId="427"/>
    <tableColumn id="27" xr3:uid="{F00A2A8B-D14F-4358-8227-4F0CF59784C3}" name=" (RESV. STORGE) SER" dataDxfId="426" totalsRowDxfId="425"/>
    <tableColumn id="2" xr3:uid="{838E1437-DDEE-489A-9F90-354DE69A5FBD}" name="البخر  SER" dataDxfId="424" totalsRowDxfId="423" dataCellStyle="Normal 2"/>
    <tableColumn id="23" xr3:uid="{09A5AB44-BC9D-4BE3-B380-C113AD5BED90}" name="إستهلاك AJD(A/S) - SER.IN" dataDxfId="422" totalsRowDxfId="421" dataCellStyle="Normal 2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N367" totalsRowCount="1" headerRowDxfId="376" headerRowBorderDxfId="375" tableBorderDxfId="374">
  <autoFilter ref="A1:AN366" xr:uid="{E27AB35F-C506-4638-82E0-C9375E719914}"/>
  <tableColumns count="40">
    <tableColumn id="1" xr3:uid="{02DACF0D-7EB8-407A-B9F7-7C2292288349}" name=" اليوم" dataDxfId="373" totalsRowDxfId="372" dataCellStyle="Normal 2"/>
    <tableColumn id="19" xr3:uid="{43E17B12-9F51-4E38-809C-0DC2FB9D2198}" name="آبار منتجة TAZ" dataDxfId="371" totalsRowDxfId="370" dataCellStyle="Normal 2"/>
    <tableColumn id="18" xr3:uid="{AE342FC5-E6EF-41F4-A320-A8389AD104C8}" name="الانتاج 1000 (م3) TAZ" dataDxfId="369" totalsRowDxfId="368" dataCellStyle="Normal 2"/>
    <tableColumn id="17" xr3:uid="{B3C5CB3A-D0F1-49AC-B037-6C320FADF260}" name="آبار عاملة TAZ" dataDxfId="367" totalsRowDxfId="366" dataCellStyle="Normal 2"/>
    <tableColumn id="16" xr3:uid="{B716E35D-9012-40EA-AC38-60E9F6339C0D}" name="آبار احتياطية" dataDxfId="365" totalsRowDxfId="364" dataCellStyle="Normal 2"/>
    <tableColumn id="26" xr3:uid="{BEC03712-E2DC-4DF5-9B30-7E545FD4FB18}" name="آبار منتجة SAR" dataDxfId="363" totalsRowDxfId="362" dataCellStyle="Normal 2"/>
    <tableColumn id="25" xr3:uid="{5D056D5F-DD4D-4B13-9030-D38421746905}" name="إنتاج آبار  SAR" dataDxfId="361" totalsRowDxfId="360" dataCellStyle="Normal 2"/>
    <tableColumn id="24" xr3:uid="{E0F5724B-8BCB-47AC-BCF7-0DBD0CF9C33E}" name="آبار احتياطية  SAR" dataDxfId="359" totalsRowDxfId="358" dataCellStyle="Normal 2"/>
    <tableColumn id="8" xr3:uid="{61D18039-EDAC-4612-86A4-AFF23A4064AC}" name="خط (T/B  TOT) SAR" dataDxfId="357" totalsRowDxfId="356" dataCellStyle="Normal 2"/>
    <tableColumn id="22" xr3:uid="{2C3F81BA-C095-49B2-BF14-75F548667ECB}" name="خط (S/S  TOT) SAR2" dataDxfId="355" totalsRowDxfId="354" dataCellStyle="Normal 2"/>
    <tableColumn id="38" xr3:uid="{1679208C-75B3-4E3C-A4D6-0EECE2F8E911}" name="(S/S+TB)SAR" dataDxfId="353" totalsRowDxfId="352" dataCellStyle="Normal 2"/>
    <tableColumn id="21" xr3:uid="{D2194429-B14F-4E7B-97D2-E7110F4C07FC}" name="خط TAZ/SAR" dataDxfId="351" totalsRowDxfId="350" dataCellStyle="Normal 2"/>
    <tableColumn id="20" xr3:uid="{35B39C80-C517-4DB5-B3E6-2C24ACD3BA7C}" name=" % ECV SAR" dataDxfId="349" totalsRowDxfId="348" dataCellStyle="Normal 2"/>
    <tableColumn id="6" xr3:uid="{22D7E0F8-B392-42D3-806C-5E133C18B9F0}" name="الضغط ECV (bar) SAR" dataDxfId="347" totalsRowDxfId="346" dataCellStyle="Normal 2"/>
    <tableColumn id="3" xr3:uid="{3907C5E1-E143-4AF6-8647-6264088EB00F}" name="(S/S TOT) AJD" dataDxfId="345" totalsRowDxfId="344"/>
    <tableColumn id="36" xr3:uid="{1631F47D-658D-4528-AA1F-B9937050D436}" name="الفرق بين بداية ونهاية خط  S/S" dataDxfId="343" totalsRowDxfId="342"/>
    <tableColumn id="5" xr3:uid="{D53678E2-A269-4C4F-8B0A-9BAE8FA907ED}" name="(T/B TOT) AJD" dataDxfId="341" totalsRowDxfId="340"/>
    <tableColumn id="35" xr3:uid="{5D374896-D11B-4B17-A855-150CE88C0760}" name="الفرق بين بداية ونهاية خط  T/B" dataDxfId="339" totalsRowDxfId="338"/>
    <tableColumn id="37" xr3:uid="{09D6D753-1A3C-4535-BA78-4BF8327D882B}" name="الفرق بين السرير و اجدابيا (الإستهلاك)" dataDxfId="337" totalsRowDxfId="336"/>
    <tableColumn id="13" xr3:uid="{C58643E7-024E-443D-83D0-9EB1C639B54D}" name="( S/S+T/B) AJD" dataDxfId="335" totalsRowDxfId="334"/>
    <tableColumn id="7" xr3:uid="{78547799-DE98-4575-BA47-DD3795A95957}" name="(A/B TOT) AJD" dataDxfId="333" totalsRowDxfId="332"/>
    <tableColumn id="9" xr3:uid="{07CD512D-7DBD-4DD8-A984-F7676F67A268}" name="(A/S TOT) AJD" dataDxfId="331" totalsRowDxfId="330"/>
    <tableColumn id="14" xr3:uid="{0213E337-B3B2-47BB-B8E3-6770CDF25454}" name="(A/B + A/S) AJD" dataDxfId="329" totalsRowDxfId="328"/>
    <tableColumn id="15" xr3:uid="{84EC5F01-D93C-4CD0-894A-EF313BB95D21}" name="(IN - OUT) AJD" dataDxfId="327" totalsRowDxfId="326"/>
    <tableColumn id="10" xr3:uid="{0BD7EC09-04AD-4217-9B85-C8B6B7E453F7}" name="(RES. LEVEL) AJD" dataDxfId="325" totalsRowDxfId="324"/>
    <tableColumn id="11" xr3:uid="{E3E279F5-1486-4471-939B-55F7B0DA545B}" name="(RESV. STORGE) AJD" dataDxfId="323" totalsRowDxfId="322"/>
    <tableColumn id="40" xr3:uid="{AF2423A7-B305-48AC-A45C-F40DDE6E1EDC}" name="المخزون * 10" dataDxfId="321" totalsRowDxfId="320" dataCellStyle="Normal 2"/>
    <tableColumn id="4" xr3:uid="{349662B3-3FED-4026-98BD-67FC3B66D23C}" name="(STORGE DIFF.) AJD" dataDxfId="319" totalsRowDxfId="318"/>
    <tableColumn id="12" xr3:uid="{852CAD1E-93C7-4B16-AA21-29103890C024}" name="البخر  AJD" dataDxfId="317" totalsRowDxfId="316" dataCellStyle="Normal 2"/>
    <tableColumn id="39" xr3:uid="{E8544CA2-A272-4E28-9BF8-A6613CA962F9}" name="الفاقد في خزان اجدابيا" dataDxfId="315" totalsRowDxfId="314"/>
    <tableColumn id="30" xr3:uid="{D5ED7AC2-6D51-4E79-8A60-BA6A9C05CE5E}" name="BER_ IN" dataDxfId="313" totalsRowDxfId="312"/>
    <tableColumn id="31" xr3:uid="{6AB09860-41B2-43B9-9D14-E120039D4952}" name="(RES. LEVEL) BER" dataDxfId="311" totalsRowDxfId="310"/>
    <tableColumn id="28" xr3:uid="{49154F88-FC89-408C-8485-83AC6DB6FE9D}" name=" (RESV. STORGE) BER" dataDxfId="309" totalsRowDxfId="308"/>
    <tableColumn id="29" xr3:uid="{57AD5D30-9B52-48CE-81E9-4506CB0FF416}" name="البخر  BER" dataDxfId="307" totalsRowDxfId="306"/>
    <tableColumn id="34" xr3:uid="{03FFF891-77B0-43E4-9D01-7AA2BB5AEA1B}" name=" إستهلاك AJD(A/B) - BER.IN" dataDxfId="305" totalsRowDxfId="304"/>
    <tableColumn id="32" xr3:uid="{03EB162E-C5F0-4278-B7BA-4E7D6BDCA6AC}" name="SER_ IN" dataDxfId="303" totalsRowDxfId="302"/>
    <tableColumn id="33" xr3:uid="{A605DDD5-2F17-45B7-899A-FD1B18D252A5}" name="(RES. LEVEL) SER " dataDxfId="301" totalsRowDxfId="300"/>
    <tableColumn id="27" xr3:uid="{8EAA7A02-F906-476E-939D-D3BC9104B7ED}" name=" (RESV. STORGE) SER" dataDxfId="299" totalsRowDxfId="298"/>
    <tableColumn id="2" xr3:uid="{8AA4184C-E831-4C5F-85E8-3E83C570A450}" name="البخر  SER" dataDxfId="297" totalsRowDxfId="296" dataCellStyle="Normal 2"/>
    <tableColumn id="23" xr3:uid="{A3F2F42E-A42B-4160-AB32-0553ADC6D120}" name="إستهلاك AJD(A/S) - SER.IN" dataDxfId="295" totalsRowDxfId="294" dataCellStyle="Normal 2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N367" totalsRowCount="1" headerRowDxfId="293" headerRowBorderDxfId="292" tableBorderDxfId="291">
  <autoFilter ref="A1:AN366" xr:uid="{E7543B07-8935-42EF-92D8-656B372E9736}"/>
  <tableColumns count="40">
    <tableColumn id="1" xr3:uid="{525EF22B-363C-4E42-BEC1-99974AC3914B}" name=" اليوم" dataDxfId="290" totalsRowDxfId="289" dataCellStyle="Normal 2"/>
    <tableColumn id="19" xr3:uid="{BBFD2272-00D1-40F1-8797-3143AAD020F9}" name="آبار منتجة TAZ" dataDxfId="288" totalsRowDxfId="287" dataCellStyle="Normal 2"/>
    <tableColumn id="18" xr3:uid="{712AB8DB-D153-43E7-B3E8-635DF026D77A}" name="الانتاج 1000 (م3) TAZ" dataDxfId="286" totalsRowDxfId="285" dataCellStyle="Normal 2"/>
    <tableColumn id="17" xr3:uid="{55B8ECA5-CE39-47C2-A6ED-14CEAE8B3795}" name="آبار عاملة TAZ" dataDxfId="284" totalsRowDxfId="283" dataCellStyle="Normal 2"/>
    <tableColumn id="16" xr3:uid="{246C05BA-85A0-4E77-8119-7636220A56F9}" name="آبار احتياطية" dataDxfId="282" totalsRowDxfId="281" dataCellStyle="Normal 2"/>
    <tableColumn id="26" xr3:uid="{094BC60A-1CF6-4A4B-BE60-0AEEB785FE36}" name="آبار منتجة SAR" dataDxfId="280" totalsRowDxfId="279" dataCellStyle="Normal 2"/>
    <tableColumn id="25" xr3:uid="{EA4E68FA-5894-461E-994C-AAA74C9883CA}" name="إنتاج آبار  SAR" dataDxfId="278" totalsRowDxfId="277" dataCellStyle="Normal 2"/>
    <tableColumn id="24" xr3:uid="{C9294D60-78EE-421F-8900-80F8405BAC32}" name="آبار احتياطية  SAR" dataDxfId="276" totalsRowDxfId="275" dataCellStyle="Normal 2"/>
    <tableColumn id="8" xr3:uid="{28BB0FAF-320E-4CAA-A70A-A794EC1A94D7}" name="خط (T/B  TOT) SAR" dataDxfId="274" totalsRowDxfId="273" dataCellStyle="Normal 2"/>
    <tableColumn id="22" xr3:uid="{5E58E18C-D145-47F5-B677-79734BB7CFBC}" name="خط (S/S  TOT) SAR2" dataDxfId="272" totalsRowDxfId="271" dataCellStyle="Normal 2"/>
    <tableColumn id="38" xr3:uid="{2F48D3DD-A6D8-4512-9A4F-D85F5CA18309}" name="(S/S+TB)SAR" dataDxfId="270" totalsRowDxfId="269" dataCellStyle="Normal 2"/>
    <tableColumn id="21" xr3:uid="{500FA4A5-CF8F-46D7-BBB4-E4E530627205}" name="خط TAZ/SAR" dataDxfId="268" totalsRowDxfId="267" dataCellStyle="Normal 2"/>
    <tableColumn id="20" xr3:uid="{FB597D7B-E75E-4591-B335-1E23486C3236}" name=" % ECV SAR" dataDxfId="266" totalsRowDxfId="265" dataCellStyle="Normal 2"/>
    <tableColumn id="6" xr3:uid="{41633F15-B202-4386-917C-B84CC5C6E285}" name="الضغط ECV (bar) SAR" dataDxfId="264" totalsRowDxfId="263" dataCellStyle="Normal 2"/>
    <tableColumn id="3" xr3:uid="{96C45BB2-5C20-4B2B-AE0F-0AF41B9474A0}" name="(S/S TOT) AJD" dataDxfId="262" totalsRowDxfId="261"/>
    <tableColumn id="36" xr3:uid="{E116085A-4C28-42B9-8496-8DD77CAB1331}" name="الفرق بين بداية ونهاية خط  S/S" dataDxfId="260" totalsRowDxfId="259"/>
    <tableColumn id="5" xr3:uid="{F00F4E64-3845-4567-BE48-F7826012C7F8}" name="(T/B TOT) AJD" dataDxfId="258" totalsRowDxfId="257"/>
    <tableColumn id="35" xr3:uid="{F181BD35-5DDB-4F11-ADA9-548C6789972C}" name="الفرق بين بداية ونهاية خط  T/B" dataDxfId="256" totalsRowDxfId="255"/>
    <tableColumn id="37" xr3:uid="{A65E1AA6-FBE5-420E-B607-1686836F6C14}" name="الفرق بين السرير و اجدابيا (الإستهلاك)" dataDxfId="254" totalsRowDxfId="253"/>
    <tableColumn id="13" xr3:uid="{3C22B4BE-8B55-4C2F-B4C3-F161B91AD417}" name="( S/S+T/B) AJD" dataDxfId="252" totalsRowDxfId="251"/>
    <tableColumn id="7" xr3:uid="{87D72257-7642-4DAF-8E24-A5F5CBF0BEB0}" name="(A/B TOT) AJD" dataDxfId="250" totalsRowDxfId="249"/>
    <tableColumn id="9" xr3:uid="{368D5D35-470D-4A72-9DBD-7470527C4DEF}" name="(A/S TOT) AJD" dataDxfId="248" totalsRowDxfId="247"/>
    <tableColumn id="14" xr3:uid="{30A93FA9-EC3C-46C1-8859-33826FB5401E}" name="(A/B + A/S) AJD" dataDxfId="246" totalsRowDxfId="245"/>
    <tableColumn id="15" xr3:uid="{D4FEF1FD-5268-4CDC-9945-6FA8FB640D31}" name="(IN - OUT) AJD" dataDxfId="244" totalsRowDxfId="243"/>
    <tableColumn id="10" xr3:uid="{3DEC801D-A55E-4E5A-974B-1A4FA5651638}" name="(RES. LEVEL) AJD" dataDxfId="242" totalsRowDxfId="241"/>
    <tableColumn id="11" xr3:uid="{371475F3-153D-40BB-93EC-3A3F61E1EB54}" name="(RESV. STORGE) AJD" dataDxfId="240" totalsRowDxfId="239"/>
    <tableColumn id="40" xr3:uid="{A040BB77-509F-41A3-998F-EC6AC3CFD45F}" name="المخزون * 10" dataDxfId="238" totalsRowDxfId="237" dataCellStyle="Normal 2"/>
    <tableColumn id="4" xr3:uid="{B7BD4A27-254A-4004-9685-D9D183A153FA}" name="(STORGE DIFF.) AJD" dataDxfId="236" totalsRowDxfId="235"/>
    <tableColumn id="12" xr3:uid="{0BDF0303-F420-454E-B83D-89B2F9658C4C}" name="البخر  AJD" dataDxfId="234" totalsRowDxfId="233" dataCellStyle="Normal 2"/>
    <tableColumn id="39" xr3:uid="{0C0AE5E4-307D-4B6B-85FD-83D0BC15DA60}" name="الفاقد في خزان اجدابيا" dataDxfId="232" totalsRowDxfId="231"/>
    <tableColumn id="30" xr3:uid="{CF2A9E9F-5B40-4E89-BE1F-AF9D0EBB71C9}" name="BER_ IN" dataDxfId="230" totalsRowDxfId="229"/>
    <tableColumn id="31" xr3:uid="{DFDF9A15-3FBA-40F1-B674-DA17F3DB5DF0}" name="(RES. LEVEL) BER" dataDxfId="228" totalsRowDxfId="227"/>
    <tableColumn id="28" xr3:uid="{58E98F53-C6BC-4C3B-A397-CAD6025B233A}" name=" (RESV. STORGE) BER" dataDxfId="226" totalsRowDxfId="225"/>
    <tableColumn id="29" xr3:uid="{21C368F2-CDF6-43D1-98A4-208C1068AF3B}" name="البخر  BER" dataDxfId="224" totalsRowDxfId="223"/>
    <tableColumn id="34" xr3:uid="{3A149D74-5981-49AA-86E8-C7523467C286}" name=" إستهلاك AJD(A/B) - BER.IN" dataDxfId="222" totalsRowDxfId="221"/>
    <tableColumn id="32" xr3:uid="{8FCACBA7-D6DA-43AC-9B4B-58F9A31A82FB}" name="SER_ IN" dataDxfId="220" totalsRowDxfId="219"/>
    <tableColumn id="33" xr3:uid="{3FAB8C84-669A-4365-9687-BA42F88F9EE8}" name="(RES. LEVEL) SER " dataDxfId="218" totalsRowDxfId="217"/>
    <tableColumn id="27" xr3:uid="{A2150E19-4112-4DE8-B939-4A36FAF35B2E}" name=" (RESV. STORGE) SER" dataDxfId="216" totalsRowDxfId="215"/>
    <tableColumn id="2" xr3:uid="{494545D1-C197-4C71-9179-498EFBA5E15C}" name="البخر  SER" dataDxfId="214" totalsRowDxfId="213" dataCellStyle="Normal 2"/>
    <tableColumn id="23" xr3:uid="{B15469FD-35C1-49E8-8152-F5BD459AFB5F}" name="إستهلاك AJD(A/S) - SER.IN" dataDxfId="212" totalsRowDxfId="211" dataCellStyle="Normal 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N367" totalsRowCount="1" headerRowDxfId="210" headerRowBorderDxfId="209" tableBorderDxfId="208">
  <autoFilter ref="A1:AN366" xr:uid="{AA162558-D62B-4F69-B07F-8331A10FC53C}"/>
  <tableColumns count="40">
    <tableColumn id="1" xr3:uid="{751002F6-A888-4837-99E2-7E0D85912333}" name=" اليوم" dataDxfId="207" totalsRowDxfId="206" dataCellStyle="Normal 2"/>
    <tableColumn id="19" xr3:uid="{35CE15FD-B62F-4162-8B94-6617CDB89C23}" name="آبار منتجة TAZ" dataDxfId="205" totalsRowDxfId="204" dataCellStyle="Normal 2"/>
    <tableColumn id="18" xr3:uid="{46DF6841-1F9E-41D3-AF7D-F69151633AB3}" name="الانتاج 1000 (م3) TAZ" dataDxfId="203" totalsRowDxfId="202" dataCellStyle="Normal 2"/>
    <tableColumn id="17" xr3:uid="{15A50B65-8329-4DF2-8B03-8CC58633DB3B}" name="آبار عاملة TAZ" dataDxfId="201" totalsRowDxfId="200" dataCellStyle="Normal 2"/>
    <tableColumn id="16" xr3:uid="{E59CBC36-5D17-487A-9048-CDB98FF86432}" name="آبار احتياطية" dataDxfId="199" totalsRowDxfId="198" dataCellStyle="Normal 2"/>
    <tableColumn id="26" xr3:uid="{C2216C4F-FCB4-4BF1-833B-F09F2AB5893B}" name="آبار منتجة SAR" dataDxfId="197" totalsRowDxfId="196" dataCellStyle="Normal 2"/>
    <tableColumn id="25" xr3:uid="{DDB02AC5-EEBA-42D5-AF3D-A688270A3903}" name="إنتاج آبار  SAR" dataDxfId="195" totalsRowDxfId="194" dataCellStyle="Normal 2"/>
    <tableColumn id="24" xr3:uid="{C1F65271-C300-48D5-8150-5A208A04E276}" name="آبار احتياطية  SAR" dataDxfId="193" totalsRowDxfId="192" dataCellStyle="Normal 2"/>
    <tableColumn id="8" xr3:uid="{99BC82DC-C117-4714-82BC-41BD7EFE9B7A}" name="خط (T/B  TOT) SAR" dataDxfId="191" totalsRowDxfId="190" dataCellStyle="Normal 2"/>
    <tableColumn id="22" xr3:uid="{70F41B18-9727-437B-9D61-98A032E25113}" name="خط (S/S  TOT) SAR2" dataDxfId="189" totalsRowDxfId="188" dataCellStyle="Normal 2"/>
    <tableColumn id="38" xr3:uid="{2866F477-780C-476E-812C-0493478FA09B}" name="(S/S+TB)SAR" dataDxfId="187" totalsRowDxfId="186" dataCellStyle="Normal 2"/>
    <tableColumn id="21" xr3:uid="{13809FD8-46C2-495B-AA9C-E10DCA1CEF5F}" name="خط TAZ/SAR" dataDxfId="185" totalsRowDxfId="184" dataCellStyle="Normal 2"/>
    <tableColumn id="20" xr3:uid="{F2EA422D-B857-433D-B594-043BDC3D176D}" name=" % ECV SAR" dataDxfId="183" totalsRowDxfId="182" dataCellStyle="Normal 2"/>
    <tableColumn id="6" xr3:uid="{0B7DE8EE-BBA7-400B-9540-2F6BF35DA27F}" name="الضغط ECV (bar) SAR" dataDxfId="181" totalsRowDxfId="180" dataCellStyle="Normal 2"/>
    <tableColumn id="3" xr3:uid="{3D2F869F-792E-4F6C-A64A-445F85181E23}" name="(S/S TOT) AJD" dataDxfId="179" totalsRowDxfId="178"/>
    <tableColumn id="36" xr3:uid="{24781E7C-F46A-4616-BD47-D8839229E28F}" name="الفرق بين بداية ونهاية خط  S/S" dataDxfId="177" totalsRowDxfId="176"/>
    <tableColumn id="5" xr3:uid="{B71A5541-F660-4BFA-8958-B82013885CE4}" name="(T/B TOT) AJD" dataDxfId="175" totalsRowDxfId="174"/>
    <tableColumn id="35" xr3:uid="{59396F52-72F8-4C53-BA73-083A8C83B139}" name="الفرق بين بداية ونهاية خط  T/B" dataDxfId="173" totalsRowDxfId="172"/>
    <tableColumn id="37" xr3:uid="{B3C31D20-4CBB-4079-AB8E-2668BDD2F637}" name="الفرق بين السرير و اجدابيا (الإستهلاك)" dataDxfId="171" totalsRowDxfId="170"/>
    <tableColumn id="13" xr3:uid="{03610F20-9C08-4434-837F-4DF4A60A8478}" name="( S/S+T/B) AJD" dataDxfId="169" totalsRowDxfId="168"/>
    <tableColumn id="7" xr3:uid="{E36F8478-728B-441A-82AE-8D54A95E1E22}" name="(A/B TOT) AJD" dataDxfId="167" totalsRowDxfId="166"/>
    <tableColumn id="9" xr3:uid="{928C88ED-CFD6-4632-999A-9D8C4BE2B942}" name="(A/S TOT) AJD" dataDxfId="165" totalsRowDxfId="164"/>
    <tableColumn id="14" xr3:uid="{4B43357E-A204-4D18-B8FD-82658A8ABAB7}" name="(A/B + A/S) AJD" dataDxfId="163" totalsRowDxfId="162"/>
    <tableColumn id="15" xr3:uid="{A25F41B0-AB42-4D50-85E4-E3BDE89969AE}" name="(IN - OUT) AJD" dataDxfId="161" totalsRowDxfId="160"/>
    <tableColumn id="10" xr3:uid="{CE16704C-98D1-448B-962B-0DB729C7D155}" name="(RES. LEVEL) AJD" dataDxfId="159" totalsRowDxfId="158"/>
    <tableColumn id="11" xr3:uid="{3F45A81B-2342-45BB-B824-F2B101C2AC50}" name="(RESV. STORGE) AJD" dataDxfId="157" totalsRowDxfId="156"/>
    <tableColumn id="40" xr3:uid="{D635A974-7832-49BF-93AE-DA56B75551AA}" name="المخزون * 10" dataDxfId="155" totalsRowDxfId="154" dataCellStyle="Normal 2"/>
    <tableColumn id="4" xr3:uid="{D71005CA-D204-451A-B127-C0B274763F5C}" name="(STORGE DIFF.) AJD" dataDxfId="153" totalsRowDxfId="152"/>
    <tableColumn id="12" xr3:uid="{73755E20-132E-4CD4-8FDE-DAF3B0899E5B}" name="البخر  AJD" dataDxfId="151" totalsRowDxfId="150" dataCellStyle="Normal 2"/>
    <tableColumn id="39" xr3:uid="{C96C9A21-4153-462C-9F7A-BD3A4C88FBBD}" name="الفاقد في خزان اجدابيا" dataDxfId="149" totalsRowDxfId="148"/>
    <tableColumn id="30" xr3:uid="{B657FAB8-4E19-4075-BCB4-CD671BEBF3D0}" name="BER_ IN" dataDxfId="147" totalsRowDxfId="146"/>
    <tableColumn id="31" xr3:uid="{4818E052-2768-477B-81D6-D4BAD7F6896E}" name="(RES. LEVEL) BER" dataDxfId="145" totalsRowDxfId="144"/>
    <tableColumn id="28" xr3:uid="{30C1A2CE-1B53-433D-B5DD-39B51FAFEDC4}" name=" (RESV. STORGE) BER" dataDxfId="143" totalsRowDxfId="142"/>
    <tableColumn id="29" xr3:uid="{A6766875-644B-48C7-8B9D-DAEBC6B21F1B}" name="البخر  BER" dataDxfId="141" totalsRowDxfId="140"/>
    <tableColumn id="34" xr3:uid="{65CC0527-D749-4FD5-A882-807A12178DF3}" name=" إستهلاك AJD(A/B) - BER.IN" dataDxfId="139" totalsRowDxfId="138"/>
    <tableColumn id="32" xr3:uid="{785EBFCF-EC83-4D18-AB04-FD14DF82714A}" name="SER_ IN" dataDxfId="137" totalsRowDxfId="136"/>
    <tableColumn id="33" xr3:uid="{52DB72BF-6BC6-40CD-9A9C-BFF86A20EC8B}" name="(RES. LEVEL) SER " dataDxfId="135" totalsRowDxfId="134"/>
    <tableColumn id="27" xr3:uid="{1A0DC5E1-529B-47A0-A598-A9B2C96D8DF1}" name=" (RESV. STORGE) SER" dataDxfId="133" totalsRowDxfId="132"/>
    <tableColumn id="2" xr3:uid="{392C98ED-9EBB-4BED-87FD-65BF982D2D98}" name="البخر  SER" dataDxfId="131" totalsRowDxfId="130" dataCellStyle="Normal 2"/>
    <tableColumn id="23" xr3:uid="{9F5A8109-22D9-435F-BF47-775C1DF114D7}" name="إستهلاك AJD(A/S) - SER.IN" dataDxfId="129" totalsRowDxfId="128" dataCellStyle="Normal 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AF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40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41</v>
      </c>
      <c r="AI1" s="1" t="s">
        <v>33</v>
      </c>
      <c r="AJ1" s="1" t="s">
        <v>34</v>
      </c>
      <c r="AK1" s="26" t="s">
        <v>35</v>
      </c>
      <c r="AL1" s="26" t="s">
        <v>36</v>
      </c>
      <c r="AM1" s="26" t="s">
        <v>37</v>
      </c>
      <c r="AN1" s="26" t="s">
        <v>42</v>
      </c>
      <c r="AO1" s="26" t="s">
        <v>38</v>
      </c>
      <c r="AP1" s="26" t="s">
        <v>39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 t="shared" ref="AB3:AB66" si="3"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si="3"/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950</v>
      </c>
      <c r="V364" s="41">
        <v>242</v>
      </c>
      <c r="W364" s="9">
        <f t="shared" si="21"/>
        <v>1192</v>
      </c>
      <c r="X364" s="9">
        <f t="shared" si="22"/>
        <v>-319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-349344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800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2"/>
      <c r="B367" s="53"/>
      <c r="C367" s="54"/>
      <c r="D367" s="54"/>
      <c r="E367" s="54"/>
      <c r="F367" s="54"/>
      <c r="G367" s="54"/>
      <c r="H367" s="54"/>
      <c r="I367" s="51"/>
      <c r="J367" s="54"/>
      <c r="K367" s="51"/>
      <c r="L367" s="54"/>
      <c r="M367" s="55"/>
      <c r="N367" s="56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59"/>
      <c r="AD367" s="60"/>
      <c r="AE367" s="57"/>
      <c r="AF367" s="20"/>
      <c r="AG367" s="19"/>
      <c r="AH367" s="19"/>
      <c r="AI367" s="19"/>
      <c r="AJ367" s="19">
        <f>SUBTOTAL(109,TABL12[] TABL12[ إستهلاك AJD(A/B) - BER.IN] )</f>
        <v>171904</v>
      </c>
      <c r="AK367" s="21"/>
      <c r="AL367" s="61"/>
      <c r="AM367" s="19"/>
      <c r="AN367" s="19"/>
      <c r="AO367" s="60"/>
      <c r="AP367" s="6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abSelected="1" topLeftCell="O19" zoomScale="85" zoomScaleNormal="85" workbookViewId="0">
      <selection activeCell="AB10" sqref="A10:XFD10"/>
    </sheetView>
  </sheetViews>
  <sheetFormatPr defaultRowHeight="15" x14ac:dyDescent="0.25"/>
  <cols>
    <col min="1" max="1" width="12.5" customWidth="1"/>
    <col min="2" max="2" width="7.875" style="63" hidden="1" customWidth="1"/>
    <col min="3" max="3" width="8.125" style="63" hidden="1" customWidth="1"/>
    <col min="4" max="4" width="7.75" style="63" hidden="1" customWidth="1"/>
    <col min="5" max="5" width="8.25" style="63" hidden="1" customWidth="1"/>
    <col min="6" max="6" width="8.125" style="63" hidden="1" customWidth="1"/>
    <col min="7" max="7" width="8" style="63" hidden="1" customWidth="1"/>
    <col min="8" max="8" width="7.25" style="63" hidden="1" customWidth="1"/>
    <col min="9" max="9" width="9.375" style="63" hidden="1" customWidth="1"/>
    <col min="10" max="11" width="10.625" style="63" hidden="1" customWidth="1"/>
    <col min="12" max="12" width="11.375" style="63" hidden="1" customWidth="1"/>
    <col min="13" max="13" width="10.625" style="64" hidden="1" customWidth="1"/>
    <col min="14" max="14" width="8.25" style="65" hidden="1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40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41</v>
      </c>
      <c r="AI1" s="1" t="s">
        <v>33</v>
      </c>
      <c r="AJ1" s="1" t="s">
        <v>34</v>
      </c>
      <c r="AK1" s="26" t="s">
        <v>35</v>
      </c>
      <c r="AL1" s="26" t="s">
        <v>36</v>
      </c>
      <c r="AM1" s="26" t="s">
        <v>37</v>
      </c>
      <c r="AN1" s="26" t="s">
        <v>42</v>
      </c>
      <c r="AO1" s="95" t="s">
        <v>38</v>
      </c>
      <c r="AP1" s="95" t="s">
        <v>39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92">
        <f>TABL123[[#This Row],[( S/S+T/B) AJD]]-(TABL123[[#This Row],[(A/B + A/S) AJD]]+(TABL123[[#This Row],[(STORGE DIFF.) AJD]]*1000)+TABL123[[#This Row],[البخر  AJD]])</f>
        <v>4213</v>
      </c>
      <c r="AE2" s="89">
        <v>143</v>
      </c>
      <c r="AF2" s="89">
        <v>57.936999999999998</v>
      </c>
      <c r="AG2" s="89">
        <v>926425</v>
      </c>
      <c r="AH2" s="43">
        <v>755</v>
      </c>
      <c r="AI2" s="43">
        <v>755</v>
      </c>
      <c r="AJ2" s="87">
        <f>TABL123[[#This Row],[(A/B TOT) AJD]]-TABL123[[#This Row],[BER_ IN]]</f>
        <v>443</v>
      </c>
      <c r="AK2" s="89">
        <v>22</v>
      </c>
      <c r="AL2" s="97">
        <v>42.743899999999996</v>
      </c>
      <c r="AM2" s="97">
        <v>2969930</v>
      </c>
      <c r="AN2" s="97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91">
        <f>TABL123[[#This Row],[( S/S+T/B) AJD]]-(TABL123[[#This Row],[(A/B + A/S) AJD]]+(TABL123[[#This Row],[(STORGE DIFF.) AJD]]*1000)+TABL123[[#This Row],[البخر  AJD]])</f>
        <v>-11888</v>
      </c>
      <c r="AE3" s="75">
        <v>150</v>
      </c>
      <c r="AF3" s="75">
        <v>57.997</v>
      </c>
      <c r="AG3" s="75">
        <v>965803</v>
      </c>
      <c r="AH3" s="45">
        <v>1581</v>
      </c>
      <c r="AI3" s="45">
        <v>1581</v>
      </c>
      <c r="AJ3" s="86">
        <f>TABL123[[#This Row],[(A/B TOT) AJD]]-TABL123[[#This Row],[BER_ IN]]</f>
        <v>437</v>
      </c>
      <c r="AK3" s="75">
        <v>23</v>
      </c>
      <c r="AL3" s="96">
        <v>42.754899999999999</v>
      </c>
      <c r="AM3" s="96">
        <v>2975860</v>
      </c>
      <c r="AN3" s="96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91">
        <f>TABL123[[#This Row],[( S/S+T/B) AJD]]-(TABL123[[#This Row],[(A/B + A/S) AJD]]+(TABL123[[#This Row],[(STORGE DIFF.) AJD]]*1000)+TABL123[[#This Row],[البخر  AJD]])</f>
        <v>15830</v>
      </c>
      <c r="AE4" s="75">
        <v>166</v>
      </c>
      <c r="AF4" s="75">
        <v>58.06</v>
      </c>
      <c r="AG4" s="75">
        <v>1006870</v>
      </c>
      <c r="AH4" s="43">
        <v>1731</v>
      </c>
      <c r="AI4" s="43">
        <v>1731</v>
      </c>
      <c r="AJ4" s="86">
        <f>TABL123[[#This Row],[(A/B TOT) AJD]]-TABL123[[#This Row],[BER_ IN]]</f>
        <v>423</v>
      </c>
      <c r="AK4" s="75">
        <v>22</v>
      </c>
      <c r="AL4" s="96">
        <v>42.766500000000001</v>
      </c>
      <c r="AM4" s="96">
        <v>2982330</v>
      </c>
      <c r="AN4" s="96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91">
        <f>TABL123[[#This Row],[( S/S+T/B) AJD]]-(TABL123[[#This Row],[(A/B + A/S) AJD]]+(TABL123[[#This Row],[(STORGE DIFF.) AJD]]*1000)+TABL123[[#This Row],[البخر  AJD]])</f>
        <v>-17364</v>
      </c>
      <c r="AE5" s="75">
        <v>167</v>
      </c>
      <c r="AF5" s="75">
        <v>58.116999999999997</v>
      </c>
      <c r="AG5" s="75">
        <v>1044053</v>
      </c>
      <c r="AH5" s="45">
        <v>1450</v>
      </c>
      <c r="AI5" s="45">
        <v>1450</v>
      </c>
      <c r="AJ5" s="86">
        <f>TABL123[[#This Row],[(A/B TOT) AJD]]-TABL123[[#This Row],[BER_ IN]]</f>
        <v>425</v>
      </c>
      <c r="AK5" s="75">
        <v>23</v>
      </c>
      <c r="AL5" s="96">
        <v>42.758200000000002</v>
      </c>
      <c r="AM5" s="96">
        <v>2977470</v>
      </c>
      <c r="AN5" s="96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91">
        <f>TABL123[[#This Row],[( S/S+T/B) AJD]]-(TABL123[[#This Row],[(A/B + A/S) AJD]]+(TABL123[[#This Row],[(STORGE DIFF.) AJD]]*1000)+TABL123[[#This Row],[البخر  AJD]])</f>
        <v>-18178</v>
      </c>
      <c r="AE6" s="75">
        <v>166</v>
      </c>
      <c r="AF6" s="75">
        <v>58.207999999999998</v>
      </c>
      <c r="AG6" s="75">
        <v>1103474</v>
      </c>
      <c r="AH6" s="43">
        <v>1548</v>
      </c>
      <c r="AI6" s="43">
        <v>1548</v>
      </c>
      <c r="AJ6" s="86">
        <f>TABL123[[#This Row],[(A/B TOT) AJD]]-TABL123[[#This Row],[BER_ IN]]</f>
        <v>426</v>
      </c>
      <c r="AK6" s="75">
        <v>23</v>
      </c>
      <c r="AL6" s="96">
        <v>42.7746</v>
      </c>
      <c r="AM6" s="96">
        <v>2989940</v>
      </c>
      <c r="AN6" s="96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74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91">
        <f>TABL123[[#This Row],[( S/S+T/B) AJD]]-(TABL123[[#This Row],[(A/B + A/S) AJD]]+(TABL123[[#This Row],[(STORGE DIFF.) AJD]]*1000)+TABL123[[#This Row],[البخر  AJD]])</f>
        <v>-283567</v>
      </c>
      <c r="AE7" s="75">
        <v>20</v>
      </c>
      <c r="AF7" s="75">
        <v>58.234999999999999</v>
      </c>
      <c r="AG7" s="75">
        <v>1121119</v>
      </c>
      <c r="AH7" s="45">
        <v>2355</v>
      </c>
      <c r="AI7" s="45">
        <v>2355</v>
      </c>
      <c r="AJ7" s="86">
        <f>TABL123[[#This Row],[(A/B TOT) AJD]]-TABL123[[#This Row],[BER_ IN]]</f>
        <v>205</v>
      </c>
      <c r="AK7" s="75">
        <v>78</v>
      </c>
      <c r="AL7" s="96">
        <v>42.881599999999999</v>
      </c>
      <c r="AM7" s="96">
        <v>3044400</v>
      </c>
      <c r="AN7" s="96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91">
        <f>TABL123[[#This Row],[( S/S+T/B) AJD]]-(TABL123[[#This Row],[(A/B + A/S) AJD]]+(TABL123[[#This Row],[(STORGE DIFF.) AJD]]*1000)+TABL123[[#This Row],[البخر  AJD]])</f>
        <v>-49778</v>
      </c>
      <c r="AE8" s="75">
        <v>0</v>
      </c>
      <c r="AF8" s="75">
        <v>58.231999999999999</v>
      </c>
      <c r="AG8" s="75">
        <v>1119158</v>
      </c>
      <c r="AH8" s="43">
        <v>1960</v>
      </c>
      <c r="AI8" s="43">
        <v>1960</v>
      </c>
      <c r="AJ8" s="86">
        <f>TABL123[[#This Row],[(A/B TOT) AJD]]-TABL123[[#This Row],[BER_ IN]]</f>
        <v>150</v>
      </c>
      <c r="AK8" s="75">
        <v>111</v>
      </c>
      <c r="AL8" s="96">
        <v>43.009500000000003</v>
      </c>
      <c r="AM8" s="96">
        <v>3113090</v>
      </c>
      <c r="AN8" s="96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91">
        <f>TABL123[[#This Row],[( S/S+T/B) AJD]]-(TABL123[[#This Row],[(A/B + A/S) AJD]]+(TABL123[[#This Row],[(STORGE DIFF.) AJD]]*1000)+TABL123[[#This Row],[البخر  AJD]])</f>
        <v>-44046</v>
      </c>
      <c r="AE9" s="75">
        <v>0</v>
      </c>
      <c r="AF9" s="75">
        <v>58.23</v>
      </c>
      <c r="AG9" s="75">
        <v>1117851</v>
      </c>
      <c r="AH9" s="45">
        <v>1307</v>
      </c>
      <c r="AI9" s="45">
        <v>1307</v>
      </c>
      <c r="AJ9" s="86">
        <f>TABL123[[#This Row],[(A/B TOT) AJD]]-TABL123[[#This Row],[BER_ IN]]</f>
        <v>149</v>
      </c>
      <c r="AK9" s="75">
        <v>111</v>
      </c>
      <c r="AL9" s="96">
        <v>43.088099999999997</v>
      </c>
      <c r="AM9" s="96">
        <v>3155860</v>
      </c>
      <c r="AN9" s="96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91">
        <f>TABL123[[#This Row],[( S/S+T/B) AJD]]-(TABL123[[#This Row],[(A/B + A/S) AJD]]+(TABL123[[#This Row],[(STORGE DIFF.) AJD]]*1000)+TABL123[[#This Row],[البخر  AJD]])</f>
        <v>3413</v>
      </c>
      <c r="AE10" s="75">
        <v>0</v>
      </c>
      <c r="AF10" s="75">
        <v>58.228000000000002</v>
      </c>
      <c r="AG10" s="75">
        <v>1116544</v>
      </c>
      <c r="AH10" s="43">
        <v>1307</v>
      </c>
      <c r="AI10" s="43">
        <v>1307</v>
      </c>
      <c r="AJ10" s="86">
        <f>TABL123[[#This Row],[(A/B TOT) AJD]]-TABL123[[#This Row],[BER_ IN]]</f>
        <v>149</v>
      </c>
      <c r="AK10" s="75">
        <v>109</v>
      </c>
      <c r="AL10" s="96">
        <v>43.087800000000001</v>
      </c>
      <c r="AM10" s="96">
        <v>3156470</v>
      </c>
      <c r="AN10" s="96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91">
        <f>TABL123[[#This Row],[( S/S+T/B) AJD]]-(TABL123[[#This Row],[(A/B + A/S) AJD]]+(TABL123[[#This Row],[(STORGE DIFF.) AJD]]*1000)+TABL123[[#This Row],[البخر  AJD]])</f>
        <v>5190</v>
      </c>
      <c r="AE11" s="75">
        <v>0</v>
      </c>
      <c r="AF11" s="75">
        <v>58.225000000000001</v>
      </c>
      <c r="AG11" s="75">
        <v>1114583</v>
      </c>
      <c r="AH11" s="45">
        <v>1960</v>
      </c>
      <c r="AI11" s="45">
        <v>1960</v>
      </c>
      <c r="AJ11" s="86">
        <f>TABL123[[#This Row],[(A/B TOT) AJD]]-TABL123[[#This Row],[BER_ IN]]</f>
        <v>148</v>
      </c>
      <c r="AK11" s="75">
        <v>110</v>
      </c>
      <c r="AL11" s="96">
        <v>43.119100000000003</v>
      </c>
      <c r="AM11" s="96">
        <v>3172270</v>
      </c>
      <c r="AN11" s="96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91">
        <f>TABL123[[#This Row],[( S/S+T/B) AJD]]-(TABL123[[#This Row],[(A/B + A/S) AJD]]+(TABL123[[#This Row],[(STORGE DIFF.) AJD]]*1000)+TABL123[[#This Row],[البخر  AJD]])</f>
        <v>-2960</v>
      </c>
      <c r="AE12" s="75">
        <v>0</v>
      </c>
      <c r="AF12" s="75">
        <v>58.222999999999999</v>
      </c>
      <c r="AG12" s="75">
        <v>1113276</v>
      </c>
      <c r="AH12" s="75">
        <v>1307</v>
      </c>
      <c r="AI12" s="75">
        <v>1307</v>
      </c>
      <c r="AJ12" s="86">
        <f>TABL123[[#This Row],[(A/B TOT) AJD]]-TABL123[[#This Row],[BER_ IN]]</f>
        <v>148</v>
      </c>
      <c r="AK12" s="75">
        <v>112</v>
      </c>
      <c r="AL12" s="96">
        <v>43.129600000000003</v>
      </c>
      <c r="AM12" s="96">
        <v>3178100</v>
      </c>
      <c r="AN12" s="96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91">
        <f>TABL123[[#This Row],[( S/S+T/B) AJD]]-(TABL123[[#This Row],[(A/B + A/S) AJD]]+(TABL123[[#This Row],[(STORGE DIFF.) AJD]]*1000)+TABL123[[#This Row],[البخر  AJD]])</f>
        <v>11046</v>
      </c>
      <c r="AE13" s="75">
        <v>0</v>
      </c>
      <c r="AF13" s="75">
        <v>58.201000000000001</v>
      </c>
      <c r="AG13" s="75">
        <v>1098901</v>
      </c>
      <c r="AH13" s="45">
        <v>1306</v>
      </c>
      <c r="AI13" s="45">
        <v>1306</v>
      </c>
      <c r="AJ13" s="86">
        <f>TABL123[[#This Row],[(A/B TOT) AJD]]-TABL123[[#This Row],[BER_ IN]]</f>
        <v>147</v>
      </c>
      <c r="AK13" s="75">
        <v>119</v>
      </c>
      <c r="AL13" s="96">
        <v>43.183799999999998</v>
      </c>
      <c r="AM13" s="96">
        <v>3207490</v>
      </c>
      <c r="AN13" s="96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91">
        <f>TABL123[[#This Row],[( S/S+T/B) AJD]]-(TABL123[[#This Row],[(A/B + A/S) AJD]]+(TABL123[[#This Row],[(STORGE DIFF.) AJD]]*1000)+TABL123[[#This Row],[البخر  AJD]])</f>
        <v>47875</v>
      </c>
      <c r="AE14" s="75">
        <v>0</v>
      </c>
      <c r="AF14" s="75">
        <v>58.198999999999998</v>
      </c>
      <c r="AG14" s="75">
        <v>1097594</v>
      </c>
      <c r="AH14" s="43">
        <v>1306</v>
      </c>
      <c r="AI14" s="43">
        <v>1306</v>
      </c>
      <c r="AJ14" s="86">
        <f>TABL123[[#This Row],[(A/B TOT) AJD]]-TABL123[[#This Row],[BER_ IN]]</f>
        <v>147</v>
      </c>
      <c r="AK14" s="75">
        <v>121</v>
      </c>
      <c r="AL14" s="96">
        <v>43.333199999999998</v>
      </c>
      <c r="AM14" s="96">
        <v>3288850</v>
      </c>
      <c r="AN14" s="96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91">
        <f>TABL123[[#This Row],[( S/S+T/B) AJD]]-(TABL123[[#This Row],[(A/B + A/S) AJD]]+(TABL123[[#This Row],[(STORGE DIFF.) AJD]]*1000)+TABL123[[#This Row],[البخر  AJD]])</f>
        <v>42588</v>
      </c>
      <c r="AE15" s="75">
        <v>0</v>
      </c>
      <c r="AF15" s="75">
        <v>58.198</v>
      </c>
      <c r="AG15" s="75">
        <v>1096941</v>
      </c>
      <c r="AH15" s="45">
        <v>653</v>
      </c>
      <c r="AI15" s="45">
        <v>653</v>
      </c>
      <c r="AJ15" s="86">
        <f>TABL123[[#This Row],[(A/B TOT) AJD]]-TABL123[[#This Row],[BER_ IN]]</f>
        <v>148</v>
      </c>
      <c r="AK15" s="75">
        <v>119</v>
      </c>
      <c r="AL15" s="96">
        <v>43.494</v>
      </c>
      <c r="AM15" s="96">
        <v>3376500</v>
      </c>
      <c r="AN15" s="96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91">
        <f>TABL123[[#This Row],[( S/S+T/B) AJD]]-(TABL123[[#This Row],[(A/B + A/S) AJD]]+(TABL123[[#This Row],[(STORGE DIFF.) AJD]]*1000)+TABL123[[#This Row],[البخر  AJD]])</f>
        <v>36546</v>
      </c>
      <c r="AE16" s="75">
        <v>0</v>
      </c>
      <c r="AF16" s="75">
        <v>58.197000000000003</v>
      </c>
      <c r="AG16" s="75">
        <v>1096288</v>
      </c>
      <c r="AH16" s="43">
        <v>653</v>
      </c>
      <c r="AI16" s="43">
        <v>653</v>
      </c>
      <c r="AJ16" s="86">
        <f>TABL123[[#This Row],[(A/B TOT) AJD]]-TABL123[[#This Row],[BER_ IN]]</f>
        <v>149</v>
      </c>
      <c r="AK16" s="75">
        <v>119</v>
      </c>
      <c r="AL16" s="96">
        <v>43.677399999999999</v>
      </c>
      <c r="AM16" s="96">
        <v>3476370</v>
      </c>
      <c r="AN16" s="96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91">
        <f>TABL123[[#This Row],[( S/S+T/B) AJD]]-(TABL123[[#This Row],[(A/B + A/S) AJD]]+(TABL123[[#This Row],[(STORGE DIFF.) AJD]]*1000)+TABL123[[#This Row],[البخر  AJD]])</f>
        <v>50887</v>
      </c>
      <c r="AE17" s="75">
        <v>0</v>
      </c>
      <c r="AF17" s="75">
        <v>58.195</v>
      </c>
      <c r="AG17" s="75">
        <v>1094981</v>
      </c>
      <c r="AH17" s="45">
        <v>1306</v>
      </c>
      <c r="AI17" s="45">
        <v>1306</v>
      </c>
      <c r="AJ17" s="86">
        <f>TABL123[[#This Row],[(A/B TOT) AJD]]-TABL123[[#This Row],[BER_ IN]]</f>
        <v>151</v>
      </c>
      <c r="AK17" s="75">
        <v>118</v>
      </c>
      <c r="AL17" s="96">
        <v>43.8536</v>
      </c>
      <c r="AM17" s="96">
        <v>3573210</v>
      </c>
      <c r="AN17" s="96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91">
        <f>TABL123[[#This Row],[( S/S+T/B) AJD]]-(TABL123[[#This Row],[(A/B + A/S) AJD]]+(TABL123[[#This Row],[(STORGE DIFF.) AJD]]*1000)+TABL123[[#This Row],[البخر  AJD]])</f>
        <v>92753</v>
      </c>
      <c r="AE18" s="75">
        <v>0</v>
      </c>
      <c r="AF18" s="75">
        <v>58.194000000000003</v>
      </c>
      <c r="AG18" s="75">
        <v>1094328</v>
      </c>
      <c r="AH18" s="43">
        <v>653</v>
      </c>
      <c r="AI18" s="43">
        <v>653</v>
      </c>
      <c r="AJ18" s="86">
        <f>TABL123[[#This Row],[(A/B TOT) AJD]]-TABL123[[#This Row],[BER_ IN]]</f>
        <v>248</v>
      </c>
      <c r="AK18" s="75">
        <v>117</v>
      </c>
      <c r="AL18" s="96">
        <v>44.005499999999998</v>
      </c>
      <c r="AM18" s="96">
        <v>3656590</v>
      </c>
      <c r="AN18" s="96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91">
        <f>TABL123[[#This Row],[( S/S+T/B) AJD]]-(TABL123[[#This Row],[(A/B + A/S) AJD]]+(TABL123[[#This Row],[(STORGE DIFF.) AJD]]*1000)+TABL123[[#This Row],[البخر  AJD]])</f>
        <v>-36268</v>
      </c>
      <c r="AE19" s="75">
        <v>15</v>
      </c>
      <c r="AF19" s="75">
        <v>58.215000000000003</v>
      </c>
      <c r="AG19" s="75">
        <v>1108048</v>
      </c>
      <c r="AH19" s="45">
        <v>1279</v>
      </c>
      <c r="AI19" s="45">
        <v>1279</v>
      </c>
      <c r="AJ19" s="86">
        <f>TABL123[[#This Row],[(A/B TOT) AJD]]-TABL123[[#This Row],[BER_ IN]]</f>
        <v>231</v>
      </c>
      <c r="AK19" s="75">
        <v>119</v>
      </c>
      <c r="AL19" s="96">
        <v>44.167200000000001</v>
      </c>
      <c r="AM19" s="96">
        <v>3745080</v>
      </c>
      <c r="AN19" s="96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91">
        <f>TABL123[[#This Row],[( S/S+T/B) AJD]]-(TABL123[[#This Row],[(A/B + A/S) AJD]]+(TABL123[[#This Row],[(STORGE DIFF.) AJD]]*1000)+TABL123[[#This Row],[البخر  AJD]])</f>
        <v>81778</v>
      </c>
      <c r="AE20" s="75">
        <v>100</v>
      </c>
      <c r="AF20" s="75">
        <v>58.265000000000001</v>
      </c>
      <c r="AG20" s="75">
        <v>1140731</v>
      </c>
      <c r="AH20" s="43">
        <v>1317</v>
      </c>
      <c r="AI20" s="43">
        <v>1317</v>
      </c>
      <c r="AJ20" s="86">
        <f>TABL123[[#This Row],[(A/B TOT) AJD]]-TABL123[[#This Row],[BER_ IN]]</f>
        <v>361</v>
      </c>
      <c r="AK20" s="75">
        <v>119</v>
      </c>
      <c r="AL20" s="96">
        <v>44.317599999999999</v>
      </c>
      <c r="AM20" s="96">
        <v>3827490</v>
      </c>
      <c r="AN20" s="96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91">
        <f>TABL123[[#This Row],[( S/S+T/B) AJD]]-(TABL123[[#This Row],[(A/B + A/S) AJD]]+(TABL123[[#This Row],[(STORGE DIFF.) AJD]]*1000)+TABL123[[#This Row],[البخر  AJD]])</f>
        <v>121213</v>
      </c>
      <c r="AE21" s="75">
        <v>85</v>
      </c>
      <c r="AF21" s="75">
        <v>58.325000000000003</v>
      </c>
      <c r="AG21" s="75">
        <v>1179978</v>
      </c>
      <c r="AH21" s="45">
        <v>2000</v>
      </c>
      <c r="AI21" s="45">
        <v>2000</v>
      </c>
      <c r="AJ21" s="86">
        <f>TABL123[[#This Row],[(A/B TOT) AJD]]-TABL123[[#This Row],[BER_ IN]]</f>
        <v>448</v>
      </c>
      <c r="AK21" s="75">
        <v>119</v>
      </c>
      <c r="AL21" s="96">
        <v>44.510800000000003</v>
      </c>
      <c r="AM21" s="96">
        <v>3934870</v>
      </c>
      <c r="AN21" s="96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91">
        <f>TABL123[[#This Row],[( S/S+T/B) AJD]]-(TABL123[[#This Row],[(A/B + A/S) AJD]]+(TABL123[[#This Row],[(STORGE DIFF.) AJD]]*1000)+TABL123[[#This Row],[البخر  AJD]])</f>
        <v>41289</v>
      </c>
      <c r="AE22" s="75">
        <v>87</v>
      </c>
      <c r="AF22" s="75">
        <v>58.375</v>
      </c>
      <c r="AG22" s="75">
        <v>1212708</v>
      </c>
      <c r="AH22" s="43">
        <v>1858</v>
      </c>
      <c r="AI22" s="43">
        <v>1858</v>
      </c>
      <c r="AJ22" s="86">
        <f>TABL123[[#This Row],[(A/B TOT) AJD]]-TABL123[[#This Row],[BER_ IN]]</f>
        <v>439</v>
      </c>
      <c r="AK22" s="75">
        <v>87</v>
      </c>
      <c r="AL22" s="96">
        <v>44.626600000000003</v>
      </c>
      <c r="AM22" s="96">
        <v>3998520</v>
      </c>
      <c r="AN22" s="96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91">
        <f>TABL123[[#This Row],[( S/S+T/B) AJD]]-(TABL123[[#This Row],[(A/B + A/S) AJD]]+(TABL123[[#This Row],[(STORGE DIFF.) AJD]]*1000)+TABL123[[#This Row],[البخر  AJD]])</f>
        <v>-42696</v>
      </c>
      <c r="AE23" s="75">
        <v>85</v>
      </c>
      <c r="AF23" s="75">
        <v>58.433</v>
      </c>
      <c r="AG23" s="75">
        <v>1250702</v>
      </c>
      <c r="AH23" s="45">
        <v>1769</v>
      </c>
      <c r="AI23" s="45">
        <v>1769</v>
      </c>
      <c r="AJ23" s="86">
        <f>TABL123[[#This Row],[(A/B TOT) AJD]]-TABL123[[#This Row],[BER_ IN]]</f>
        <v>442</v>
      </c>
      <c r="AK23" s="75">
        <v>75</v>
      </c>
      <c r="AL23" s="96">
        <v>44.7303</v>
      </c>
      <c r="AM23" s="96">
        <v>4055970</v>
      </c>
      <c r="AN23" s="96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91">
        <f>TABL123[[#This Row],[( S/S+T/B) AJD]]-(TABL123[[#This Row],[(A/B + A/S) AJD]]+(TABL123[[#This Row],[(STORGE DIFF.) AJD]]*1000)+TABL123[[#This Row],[البخر  AJD]])</f>
        <v>-3780</v>
      </c>
      <c r="AE24" s="75">
        <v>98</v>
      </c>
      <c r="AF24" s="75">
        <v>58.487000000000002</v>
      </c>
      <c r="AG24" s="75">
        <v>1286101</v>
      </c>
      <c r="AH24" s="43">
        <v>1660</v>
      </c>
      <c r="AI24" s="43">
        <v>1660</v>
      </c>
      <c r="AJ24" s="86">
        <f>TABL123[[#This Row],[(A/B TOT) AJD]]-TABL123[[#This Row],[BER_ IN]]</f>
        <v>452</v>
      </c>
      <c r="AK24" s="75">
        <v>76</v>
      </c>
      <c r="AL24" s="96">
        <v>44.839199999999998</v>
      </c>
      <c r="AM24" s="96">
        <v>4116700</v>
      </c>
      <c r="AN24" s="96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91">
        <f>TABL123[[#This Row],[( S/S+T/B) AJD]]-(TABL123[[#This Row],[(A/B + A/S) AJD]]+(TABL123[[#This Row],[(STORGE DIFF.) AJD]]*1000)+TABL123[[#This Row],[البخر  AJD]])</f>
        <v>15118</v>
      </c>
      <c r="AE25" s="75">
        <v>85</v>
      </c>
      <c r="AF25" s="75">
        <v>58.533999999999999</v>
      </c>
      <c r="AG25" s="75">
        <v>1316932</v>
      </c>
      <c r="AH25" s="45">
        <v>1780</v>
      </c>
      <c r="AI25" s="45">
        <v>1780</v>
      </c>
      <c r="AJ25" s="86">
        <f>TABL123[[#This Row],[(A/B TOT) AJD]]-TABL123[[#This Row],[BER_ IN]]</f>
        <v>453</v>
      </c>
      <c r="AK25" s="75">
        <v>76</v>
      </c>
      <c r="AL25" s="96">
        <v>44.946199999999997</v>
      </c>
      <c r="AM25" s="96">
        <v>4176200</v>
      </c>
      <c r="AN25" s="96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91">
        <f>TABL123[[#This Row],[( S/S+T/B) AJD]]-(TABL123[[#This Row],[(A/B + A/S) AJD]]+(TABL123[[#This Row],[(STORGE DIFF.) AJD]]*1000)+TABL123[[#This Row],[البخر  AJD]])</f>
        <v>-24911</v>
      </c>
      <c r="AE26" s="75">
        <v>71</v>
      </c>
      <c r="AF26" s="75">
        <v>58.530999999999999</v>
      </c>
      <c r="AG26" s="75">
        <v>1314964</v>
      </c>
      <c r="AH26" s="43">
        <v>1666</v>
      </c>
      <c r="AI26" s="43">
        <v>1666</v>
      </c>
      <c r="AJ26" s="86">
        <f>TABL123[[#This Row],[(A/B TOT) AJD]]-TABL123[[#This Row],[BER_ IN]]</f>
        <v>463</v>
      </c>
      <c r="AK26" s="75">
        <v>59</v>
      </c>
      <c r="AL26" s="96">
        <v>45.009799999999998</v>
      </c>
      <c r="AM26" s="96">
        <v>4211830</v>
      </c>
      <c r="AN26" s="96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91">
        <f>TABL123[[#This Row],[( S/S+T/B) AJD]]-(TABL123[[#This Row],[(A/B + A/S) AJD]]+(TABL123[[#This Row],[(STORGE DIFF.) AJD]]*1000)+TABL123[[#This Row],[البخر  AJD]])</f>
        <v>26566</v>
      </c>
      <c r="AE27" s="75">
        <v>82</v>
      </c>
      <c r="AF27" s="75">
        <v>58.57</v>
      </c>
      <c r="AG27" s="75">
        <v>1340560</v>
      </c>
      <c r="AH27" s="45">
        <v>0</v>
      </c>
      <c r="AI27" s="45">
        <v>0</v>
      </c>
      <c r="AJ27" s="86">
        <f>TABL123[[#This Row],[(A/B TOT) AJD]]-TABL123[[#This Row],[BER_ IN]]</f>
        <v>445</v>
      </c>
      <c r="AK27" s="75">
        <v>53</v>
      </c>
      <c r="AL27" s="96">
        <v>45.033900000000003</v>
      </c>
      <c r="AM27" s="96">
        <v>4225760</v>
      </c>
      <c r="AN27" s="96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91">
        <f>TABL123[[#This Row],[( S/S+T/B) AJD]]-(TABL123[[#This Row],[(A/B + A/S) AJD]]+(TABL123[[#This Row],[(STORGE DIFF.) AJD]]*1000)+TABL123[[#This Row],[البخر  AJD]])</f>
        <v>29347</v>
      </c>
      <c r="AE28" s="75">
        <v>85</v>
      </c>
      <c r="AF28" s="75">
        <v>58.61</v>
      </c>
      <c r="AG28" s="75">
        <v>1366827</v>
      </c>
      <c r="AH28" s="43">
        <v>0</v>
      </c>
      <c r="AI28" s="43">
        <v>0</v>
      </c>
      <c r="AJ28" s="86">
        <f>TABL123[[#This Row],[(A/B TOT) AJD]]-TABL123[[#This Row],[BER_ IN]]</f>
        <v>449</v>
      </c>
      <c r="AK28" s="75">
        <v>53</v>
      </c>
      <c r="AL28" s="96">
        <v>45.072400000000002</v>
      </c>
      <c r="AM28" s="96">
        <v>4246560</v>
      </c>
      <c r="AN28" s="96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91">
        <f>TABL123[[#This Row],[( S/S+T/B) AJD]]-(TABL123[[#This Row],[(A/B + A/S) AJD]]+(TABL123[[#This Row],[(STORGE DIFF.) AJD]]*1000)+TABL123[[#This Row],[البخر  AJD]])</f>
        <v>-7122</v>
      </c>
      <c r="AE29" s="75">
        <v>80</v>
      </c>
      <c r="AF29" s="75">
        <v>58.63</v>
      </c>
      <c r="AG29" s="75">
        <v>1379965</v>
      </c>
      <c r="AH29" s="45">
        <v>657</v>
      </c>
      <c r="AI29" s="45">
        <v>657</v>
      </c>
      <c r="AJ29" s="86">
        <f>TABL123[[#This Row],[(A/B TOT) AJD]]-TABL123[[#This Row],[BER_ IN]]</f>
        <v>446</v>
      </c>
      <c r="AK29" s="75">
        <v>53</v>
      </c>
      <c r="AL29" s="96">
        <v>45.121299999999998</v>
      </c>
      <c r="AM29" s="96">
        <v>4273770</v>
      </c>
      <c r="AN29" s="96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91">
        <f>TABL123[[#This Row],[( S/S+T/B) AJD]]-(TABL123[[#This Row],[(A/B + A/S) AJD]]+(TABL123[[#This Row],[(STORGE DIFF.) AJD]]*1000)+TABL123[[#This Row],[البخر  AJD]])</f>
        <v>36453</v>
      </c>
      <c r="AE30" s="75">
        <v>80</v>
      </c>
      <c r="AF30" s="75">
        <v>58.64</v>
      </c>
      <c r="AG30" s="75">
        <v>1386536</v>
      </c>
      <c r="AH30" s="43">
        <v>724</v>
      </c>
      <c r="AI30" s="43">
        <v>724</v>
      </c>
      <c r="AJ30" s="86">
        <f>TABL123[[#This Row],[(A/B TOT) AJD]]-TABL123[[#This Row],[BER_ IN]]</f>
        <v>447</v>
      </c>
      <c r="AK30" s="75">
        <v>53</v>
      </c>
      <c r="AL30" s="96">
        <v>45.1723</v>
      </c>
      <c r="AM30" s="96">
        <v>4302170</v>
      </c>
      <c r="AN30" s="96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91">
        <f>TABL123[[#This Row],[( S/S+T/B) AJD]]-(TABL123[[#This Row],[(A/B + A/S) AJD]]+(TABL123[[#This Row],[(STORGE DIFF.) AJD]]*1000)+TABL123[[#This Row],[البخر  AJD]])</f>
        <v>-24336</v>
      </c>
      <c r="AE31" s="75">
        <v>80</v>
      </c>
      <c r="AF31" s="75">
        <v>58.66</v>
      </c>
      <c r="AG31" s="75">
        <v>1399679</v>
      </c>
      <c r="AH31" s="45">
        <v>1376</v>
      </c>
      <c r="AI31" s="45">
        <v>1376</v>
      </c>
      <c r="AJ31" s="86">
        <f>TABL123[[#This Row],[(A/B TOT) AJD]]-TABL123[[#This Row],[BER_ IN]]</f>
        <v>451</v>
      </c>
      <c r="AK31" s="75">
        <v>32</v>
      </c>
      <c r="AL31" s="96">
        <v>45.191600000000001</v>
      </c>
      <c r="AM31" s="96">
        <v>4313340</v>
      </c>
      <c r="AN31" s="96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91">
        <f>TABL123[[#This Row],[( S/S+T/B) AJD]]-(TABL123[[#This Row],[(A/B + A/S) AJD]]+(TABL123[[#This Row],[(STORGE DIFF.) AJD]]*1000)+TABL123[[#This Row],[البخر  AJD]])</f>
        <v>-8663</v>
      </c>
      <c r="AE32" s="75">
        <v>85</v>
      </c>
      <c r="AF32" s="75">
        <v>58.68</v>
      </c>
      <c r="AG32" s="75">
        <v>1412827</v>
      </c>
      <c r="AH32" s="43">
        <v>1103</v>
      </c>
      <c r="AI32" s="43">
        <v>1103</v>
      </c>
      <c r="AJ32" s="86">
        <f>TABL123[[#This Row],[(A/B TOT) AJD]]-TABL123[[#This Row],[BER_ IN]]</f>
        <v>451</v>
      </c>
      <c r="AK32" s="75">
        <v>21</v>
      </c>
      <c r="AL32" s="96">
        <v>45.199800000000003</v>
      </c>
      <c r="AM32" s="96">
        <v>4317820</v>
      </c>
      <c r="AN32" s="96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91">
        <f>TABL123[[#This Row],[( S/S+T/B) AJD]]-(TABL123[[#This Row],[(A/B + A/S) AJD]]+(TABL123[[#This Row],[(STORGE DIFF.) AJD]]*1000)+TABL123[[#This Row],[البخر  AJD]])</f>
        <v>-4175</v>
      </c>
      <c r="AE33" s="75">
        <v>79</v>
      </c>
      <c r="AF33" s="75">
        <v>58.64</v>
      </c>
      <c r="AG33" s="75">
        <v>1386536</v>
      </c>
      <c r="AH33" s="43">
        <v>1832</v>
      </c>
      <c r="AI33" s="43">
        <v>1832</v>
      </c>
      <c r="AJ33" s="86">
        <f>TABL123[[#This Row],[(A/B TOT) AJD]]-TABL123[[#This Row],[BER_ IN]]</f>
        <v>449</v>
      </c>
      <c r="AK33" s="75">
        <v>22</v>
      </c>
      <c r="AL33" s="96">
        <v>45.198700000000002</v>
      </c>
      <c r="AM33" s="96">
        <v>4317230</v>
      </c>
      <c r="AN33" s="96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91">
        <f>TABL123[[#This Row],[( S/S+T/B) AJD]]-(TABL123[[#This Row],[(A/B + A/S) AJD]]+(TABL123[[#This Row],[(STORGE DIFF.) AJD]]*1000)+TABL123[[#This Row],[البخر  AJD]])</f>
        <v>-38585</v>
      </c>
      <c r="AE34" s="75">
        <v>90</v>
      </c>
      <c r="AF34" s="75">
        <v>58.55</v>
      </c>
      <c r="AG34" s="75">
        <v>1327432</v>
      </c>
      <c r="AH34" s="45">
        <v>0</v>
      </c>
      <c r="AI34" s="45">
        <v>0</v>
      </c>
      <c r="AJ34" s="86">
        <f>TABL123[[#This Row],[(A/B TOT) AJD]]-TABL123[[#This Row],[BER_ IN]]</f>
        <v>439</v>
      </c>
      <c r="AK34" s="75">
        <v>22</v>
      </c>
      <c r="AL34" s="96">
        <v>45.229399999999998</v>
      </c>
      <c r="AM34" s="96">
        <v>4334000</v>
      </c>
      <c r="AN34" s="96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91">
        <f>TABL123[[#This Row],[( S/S+T/B) AJD]]-(TABL123[[#This Row],[(A/B + A/S) AJD]]+(TABL123[[#This Row],[(STORGE DIFF.) AJD]]*1000)+TABL123[[#This Row],[البخر  AJD]])</f>
        <v>5501</v>
      </c>
      <c r="AE35" s="75">
        <v>90</v>
      </c>
      <c r="AF35" s="75">
        <v>58.5</v>
      </c>
      <c r="AG35" s="75">
        <v>1294627</v>
      </c>
      <c r="AH35" s="43">
        <v>1361</v>
      </c>
      <c r="AI35" s="43">
        <v>1361</v>
      </c>
      <c r="AJ35" s="86">
        <f>TABL123[[#This Row],[(A/B TOT) AJD]]-TABL123[[#This Row],[BER_ IN]]</f>
        <v>463</v>
      </c>
      <c r="AK35" s="75">
        <v>22</v>
      </c>
      <c r="AL35" s="96">
        <v>45.2483</v>
      </c>
      <c r="AM35" s="96">
        <v>4345090</v>
      </c>
      <c r="AN35" s="96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91">
        <f>TABL123[[#This Row],[( S/S+T/B) AJD]]-(TABL123[[#This Row],[(A/B + A/S) AJD]]+(TABL123[[#This Row],[(STORGE DIFF.) AJD]]*1000)+TABL123[[#This Row],[البخر  AJD]])</f>
        <v>30919.999999999996</v>
      </c>
      <c r="AE36" s="75">
        <v>87</v>
      </c>
      <c r="AF36" s="75">
        <v>58.52</v>
      </c>
      <c r="AG36" s="75">
        <v>1307747</v>
      </c>
      <c r="AH36" s="45">
        <v>1137</v>
      </c>
      <c r="AI36" s="45">
        <v>1137</v>
      </c>
      <c r="AJ36" s="86">
        <f>TABL123[[#This Row],[(A/B TOT) AJD]]-TABL123[[#This Row],[BER_ IN]]</f>
        <v>462</v>
      </c>
      <c r="AK36" s="75">
        <v>21</v>
      </c>
      <c r="AL36" s="96">
        <v>45.238700000000001</v>
      </c>
      <c r="AM36" s="96">
        <v>4339740</v>
      </c>
      <c r="AN36" s="96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91">
        <f>TABL123[[#This Row],[( S/S+T/B) AJD]]-(TABL123[[#This Row],[(A/B + A/S) AJD]]+(TABL123[[#This Row],[(STORGE DIFF.) AJD]]*1000)+TABL123[[#This Row],[البخر  AJD]])</f>
        <v>52150</v>
      </c>
      <c r="AE37" s="75">
        <v>86</v>
      </c>
      <c r="AF37" s="75">
        <v>58.55</v>
      </c>
      <c r="AG37" s="75">
        <v>1327432</v>
      </c>
      <c r="AH37" s="43">
        <v>871</v>
      </c>
      <c r="AI37" s="43">
        <v>871</v>
      </c>
      <c r="AJ37" s="86">
        <f>TABL123[[#This Row],[(A/B TOT) AJD]]-TABL123[[#This Row],[BER_ IN]]</f>
        <v>459</v>
      </c>
      <c r="AK37" s="75">
        <v>21</v>
      </c>
      <c r="AL37" s="96">
        <v>45.245199999999997</v>
      </c>
      <c r="AM37" s="96">
        <v>4342940</v>
      </c>
      <c r="AN37" s="96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91">
        <f>TABL123[[#This Row],[( S/S+T/B) AJD]]-(TABL123[[#This Row],[(A/B + A/S) AJD]]+(TABL123[[#This Row],[(STORGE DIFF.) AJD]]*1000)+TABL123[[#This Row],[البخر  AJD]])</f>
        <v>39183</v>
      </c>
      <c r="AE38" s="75">
        <v>86</v>
      </c>
      <c r="AF38" s="75">
        <v>58.58</v>
      </c>
      <c r="AG38" s="75">
        <v>1347126</v>
      </c>
      <c r="AH38" s="45">
        <v>1510</v>
      </c>
      <c r="AI38" s="45">
        <v>1510</v>
      </c>
      <c r="AJ38" s="86">
        <f>TABL123[[#This Row],[(A/B TOT) AJD]]-TABL123[[#This Row],[BER_ IN]]</f>
        <v>471</v>
      </c>
      <c r="AK38" s="75">
        <v>7</v>
      </c>
      <c r="AL38" s="96">
        <v>45.238</v>
      </c>
      <c r="AM38" s="96">
        <v>4339036</v>
      </c>
      <c r="AN38" s="96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91">
        <f>TABL123[[#This Row],[( S/S+T/B) AJD]]-(TABL123[[#This Row],[(A/B + A/S) AJD]]+(TABL123[[#This Row],[(STORGE DIFF.) AJD]]*1000)+TABL123[[#This Row],[البخر  AJD]])</f>
        <v>-32684</v>
      </c>
      <c r="AE39" s="75">
        <v>88</v>
      </c>
      <c r="AF39" s="75">
        <v>58.62</v>
      </c>
      <c r="AG39" s="75">
        <v>1373396</v>
      </c>
      <c r="AH39" s="43">
        <v>1679</v>
      </c>
      <c r="AI39" s="43">
        <v>1679</v>
      </c>
      <c r="AJ39" s="86">
        <f>TABL123[[#This Row],[(A/B TOT) AJD]]-TABL123[[#This Row],[BER_ IN]]</f>
        <v>388</v>
      </c>
      <c r="AK39" s="75">
        <v>0</v>
      </c>
      <c r="AL39" s="96">
        <v>45.232100000000003</v>
      </c>
      <c r="AM39" s="96">
        <v>4335680</v>
      </c>
      <c r="AN39" s="96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91">
        <f>TABL123[[#This Row],[( S/S+T/B) AJD]]-(TABL123[[#This Row],[(A/B + A/S) AJD]]+(TABL123[[#This Row],[(STORGE DIFF.) AJD]]*1000)+TABL123[[#This Row],[البخر  AJD]])</f>
        <v>30199</v>
      </c>
      <c r="AE40" s="75">
        <v>90</v>
      </c>
      <c r="AF40" s="75">
        <v>58.58</v>
      </c>
      <c r="AG40" s="75">
        <v>1347126</v>
      </c>
      <c r="AH40" s="45">
        <v>1447</v>
      </c>
      <c r="AI40" s="45">
        <v>1447</v>
      </c>
      <c r="AJ40" s="86">
        <f>TABL123[[#This Row],[(A/B TOT) AJD]]-TABL123[[#This Row],[BER_ IN]]</f>
        <v>463</v>
      </c>
      <c r="AK40" s="75">
        <v>0</v>
      </c>
      <c r="AL40" s="96">
        <v>45.185600000000001</v>
      </c>
      <c r="AM40" s="96">
        <v>4309440</v>
      </c>
      <c r="AN40" s="96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91">
        <f>TABL123[[#This Row],[( S/S+T/B) AJD]]-(TABL123[[#This Row],[(A/B + A/S) AJD]]+(TABL123[[#This Row],[(STORGE DIFF.) AJD]]*1000)+TABL123[[#This Row],[البخر  AJD]])</f>
        <v>16544</v>
      </c>
      <c r="AE41" s="75">
        <v>90</v>
      </c>
      <c r="AF41" s="75">
        <v>58.5</v>
      </c>
      <c r="AG41" s="75">
        <v>1294627</v>
      </c>
      <c r="AH41" s="43">
        <v>1498</v>
      </c>
      <c r="AI41" s="43">
        <v>1498</v>
      </c>
      <c r="AJ41" s="86">
        <f>TABL123[[#This Row],[(A/B TOT) AJD]]-TABL123[[#This Row],[BER_ IN]]</f>
        <v>464</v>
      </c>
      <c r="AK41" s="75">
        <v>0</v>
      </c>
      <c r="AL41" s="96">
        <v>45.168900000000001</v>
      </c>
      <c r="AM41" s="96">
        <v>4300490</v>
      </c>
      <c r="AN41" s="96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91">
        <f>TABL123[[#This Row],[( S/S+T/B) AJD]]-(TABL123[[#This Row],[(A/B + A/S) AJD]]+(TABL123[[#This Row],[(STORGE DIFF.) AJD]]*1000)+TABL123[[#This Row],[البخر  AJD]])</f>
        <v>7112</v>
      </c>
      <c r="AE42" s="75">
        <v>89</v>
      </c>
      <c r="AF42" s="75">
        <v>58.43</v>
      </c>
      <c r="AG42" s="75">
        <v>1248736</v>
      </c>
      <c r="AH42" s="45">
        <v>1891</v>
      </c>
      <c r="AI42" s="45">
        <v>1891</v>
      </c>
      <c r="AJ42" s="86">
        <f>TABL123[[#This Row],[(A/B TOT) AJD]]-TABL123[[#This Row],[BER_ IN]]</f>
        <v>473</v>
      </c>
      <c r="AK42" s="75">
        <v>0</v>
      </c>
      <c r="AL42" s="96">
        <v>45.115200000000002</v>
      </c>
      <c r="AM42" s="96">
        <v>4270360</v>
      </c>
      <c r="AN42" s="96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91">
        <f>TABL123[[#This Row],[( S/S+T/B) AJD]]-(TABL123[[#This Row],[(A/B + A/S) AJD]]+(TABL123[[#This Row],[(STORGE DIFF.) AJD]]*1000)+TABL123[[#This Row],[البخر  AJD]])</f>
        <v>31378</v>
      </c>
      <c r="AE43" s="75">
        <v>89</v>
      </c>
      <c r="AF43" s="75">
        <v>58.42</v>
      </c>
      <c r="AG43" s="75">
        <v>1242183</v>
      </c>
      <c r="AH43" s="43">
        <v>1552</v>
      </c>
      <c r="AI43" s="43">
        <v>1552</v>
      </c>
      <c r="AJ43" s="86">
        <f>TABL123[[#This Row],[(A/B TOT) AJD]]-TABL123[[#This Row],[BER_ IN]]</f>
        <v>467</v>
      </c>
      <c r="AK43" s="75">
        <v>0</v>
      </c>
      <c r="AL43" s="96">
        <v>45.024799999999999</v>
      </c>
      <c r="AM43" s="96">
        <v>4219780</v>
      </c>
      <c r="AN43" s="96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91">
        <f>TABL123[[#This Row],[( S/S+T/B) AJD]]-(TABL123[[#This Row],[(A/B + A/S) AJD]]+(TABL123[[#This Row],[(STORGE DIFF.) AJD]]*1000)+TABL123[[#This Row],[البخر  AJD]])</f>
        <v>33746</v>
      </c>
      <c r="AE44" s="75">
        <v>69</v>
      </c>
      <c r="AF44" s="75">
        <v>58.43</v>
      </c>
      <c r="AG44" s="75">
        <v>1248736</v>
      </c>
      <c r="AH44" s="45">
        <v>1927</v>
      </c>
      <c r="AI44" s="45">
        <v>1927</v>
      </c>
      <c r="AJ44" s="86">
        <f>TABL123[[#This Row],[(A/B TOT) AJD]]-TABL123[[#This Row],[BER_ IN]]</f>
        <v>469</v>
      </c>
      <c r="AK44" s="75">
        <v>0</v>
      </c>
      <c r="AL44" s="96">
        <v>44.954599999999999</v>
      </c>
      <c r="AM44" s="96">
        <v>4181210</v>
      </c>
      <c r="AN44" s="96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91">
        <f>TABL123[[#This Row],[( S/S+T/B) AJD]]-(TABL123[[#This Row],[(A/B + A/S) AJD]]+(TABL123[[#This Row],[(STORGE DIFF.) AJD]]*1000)+TABL123[[#This Row],[البخر  AJD]])</f>
        <v>-4123</v>
      </c>
      <c r="AE45" s="75">
        <v>61</v>
      </c>
      <c r="AF45" s="75">
        <v>58.44</v>
      </c>
      <c r="AG45" s="75">
        <v>1255289</v>
      </c>
      <c r="AH45" s="43">
        <v>1266</v>
      </c>
      <c r="AI45" s="43">
        <v>1266</v>
      </c>
      <c r="AJ45" s="86">
        <f>TABL123[[#This Row],[(A/B TOT) AJD]]-TABL123[[#This Row],[BER_ IN]]</f>
        <v>458</v>
      </c>
      <c r="AK45" s="75">
        <v>0</v>
      </c>
      <c r="AL45" s="96">
        <v>44.924199999999999</v>
      </c>
      <c r="AM45" s="96">
        <v>4163967</v>
      </c>
      <c r="AN45" s="96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91">
        <f>TABL123[[#This Row],[( S/S+T/B) AJD]]-(TABL123[[#This Row],[(A/B + A/S) AJD]]+(TABL123[[#This Row],[(STORGE DIFF.) AJD]]*1000)+TABL123[[#This Row],[البخر  AJD]])</f>
        <v>-44357</v>
      </c>
      <c r="AE46" s="75">
        <v>60</v>
      </c>
      <c r="AF46" s="75">
        <v>58.45</v>
      </c>
      <c r="AG46" s="75">
        <v>1261843</v>
      </c>
      <c r="AH46" s="45">
        <v>1150</v>
      </c>
      <c r="AI46" s="45">
        <v>1150</v>
      </c>
      <c r="AJ46" s="86">
        <f>TABL123[[#This Row],[(A/B TOT) AJD]]-TABL123[[#This Row],[BER_ IN]]</f>
        <v>461</v>
      </c>
      <c r="AK46" s="75">
        <v>0</v>
      </c>
      <c r="AL46" s="96">
        <v>44.877699999999997</v>
      </c>
      <c r="AM46" s="96">
        <v>4137560</v>
      </c>
      <c r="AN46" s="96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91">
        <f>TABL123[[#This Row],[( S/S+T/B) AJD]]-(TABL123[[#This Row],[(A/B + A/S) AJD]]+(TABL123[[#This Row],[(STORGE DIFF.) AJD]]*1000)+TABL123[[#This Row],[البخر  AJD]])</f>
        <v>-66876</v>
      </c>
      <c r="AE47" s="75">
        <v>60</v>
      </c>
      <c r="AF47" s="75">
        <v>58.4</v>
      </c>
      <c r="AG47" s="75">
        <v>1229081</v>
      </c>
      <c r="AH47" s="43">
        <v>1557</v>
      </c>
      <c r="AI47" s="43">
        <v>1557</v>
      </c>
      <c r="AJ47" s="86">
        <f>TABL123[[#This Row],[(A/B TOT) AJD]]-TABL123[[#This Row],[BER_ IN]]</f>
        <v>386</v>
      </c>
      <c r="AK47" s="75">
        <v>0</v>
      </c>
      <c r="AL47" s="96">
        <v>44.819800000000001</v>
      </c>
      <c r="AM47" s="96">
        <v>4106090</v>
      </c>
      <c r="AN47" s="96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91">
        <f>TABL123[[#This Row],[( S/S+T/B) AJD]]-(TABL123[[#This Row],[(A/B + A/S) AJD]]+(TABL123[[#This Row],[(STORGE DIFF.) AJD]]*1000)+TABL123[[#This Row],[البخر  AJD]])</f>
        <v>-32599</v>
      </c>
      <c r="AE48" s="75">
        <v>60</v>
      </c>
      <c r="AF48" s="75">
        <v>58.47</v>
      </c>
      <c r="AG48" s="75">
        <v>1274954</v>
      </c>
      <c r="AH48" s="45">
        <v>1815</v>
      </c>
      <c r="AI48" s="45">
        <v>1815</v>
      </c>
      <c r="AJ48" s="86">
        <f>TABL123[[#This Row],[(A/B TOT) AJD]]-TABL123[[#This Row],[BER_ IN]]</f>
        <v>456</v>
      </c>
      <c r="AK48" s="75">
        <v>0</v>
      </c>
      <c r="AL48" s="96">
        <v>44.786200000000001</v>
      </c>
      <c r="AM48" s="96">
        <v>4067260</v>
      </c>
      <c r="AN48" s="96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91">
        <f>TABL123[[#This Row],[( S/S+T/B) AJD]]-(TABL123[[#This Row],[(A/B + A/S) AJD]]+(TABL123[[#This Row],[(STORGE DIFF.) AJD]]*1000)+TABL123[[#This Row],[البخر  AJD]])</f>
        <v>1826</v>
      </c>
      <c r="AE49" s="75">
        <v>60</v>
      </c>
      <c r="AF49" s="75">
        <v>58.48</v>
      </c>
      <c r="AG49" s="75">
        <v>1281511</v>
      </c>
      <c r="AH49" s="43">
        <v>1481</v>
      </c>
      <c r="AI49" s="43">
        <v>1481</v>
      </c>
      <c r="AJ49" s="86">
        <f>TABL123[[#This Row],[(A/B TOT) AJD]]-TABL123[[#This Row],[BER_ IN]]</f>
        <v>461</v>
      </c>
      <c r="AK49" s="75">
        <v>0</v>
      </c>
      <c r="AL49" s="96">
        <v>44.742899999999999</v>
      </c>
      <c r="AM49" s="96">
        <v>4063390</v>
      </c>
      <c r="AN49" s="96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91">
        <f>TABL123[[#This Row],[( S/S+T/B) AJD]]-(TABL123[[#This Row],[(A/B + A/S) AJD]]+(TABL123[[#This Row],[(STORGE DIFF.) AJD]]*1000)+TABL123[[#This Row],[البخر  AJD]])</f>
        <v>-1734</v>
      </c>
      <c r="AE50" s="75">
        <v>60</v>
      </c>
      <c r="AF50" s="75">
        <v>58.49</v>
      </c>
      <c r="AG50" s="75">
        <v>1288069</v>
      </c>
      <c r="AH50" s="45">
        <v>1801</v>
      </c>
      <c r="AI50" s="45">
        <v>1801</v>
      </c>
      <c r="AJ50" s="86">
        <f>TABL123[[#This Row],[(A/B TOT) AJD]]-TABL123[[#This Row],[BER_ IN]]</f>
        <v>456</v>
      </c>
      <c r="AK50" s="75">
        <v>0</v>
      </c>
      <c r="AL50" s="96">
        <v>44.725099999999998</v>
      </c>
      <c r="AM50" s="96">
        <v>4053400</v>
      </c>
      <c r="AN50" s="96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91">
        <f>TABL123[[#This Row],[( S/S+T/B) AJD]]-(TABL123[[#This Row],[(A/B + A/S) AJD]]+(TABL123[[#This Row],[(STORGE DIFF.) AJD]]*1000)+TABL123[[#This Row],[البخر  AJD]])</f>
        <v>-30825</v>
      </c>
      <c r="AE51" s="75">
        <v>60</v>
      </c>
      <c r="AF51" s="75">
        <v>58.49</v>
      </c>
      <c r="AG51" s="75">
        <v>1288069</v>
      </c>
      <c r="AH51" s="43">
        <v>1794</v>
      </c>
      <c r="AI51" s="43">
        <v>1794</v>
      </c>
      <c r="AJ51" s="86">
        <f>TABL123[[#This Row],[(A/B TOT) AJD]]-TABL123[[#This Row],[BER_ IN]]</f>
        <v>455</v>
      </c>
      <c r="AK51" s="75">
        <v>0</v>
      </c>
      <c r="AL51" s="96">
        <v>44.648400000000002</v>
      </c>
      <c r="AM51" s="96">
        <v>4011220</v>
      </c>
      <c r="AN51" s="96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91">
        <f>TABL123[[#This Row],[( S/S+T/B) AJD]]-(TABL123[[#This Row],[(A/B + A/S) AJD]]+(TABL123[[#This Row],[(STORGE DIFF.) AJD]]*1000)+TABL123[[#This Row],[البخر  AJD]])</f>
        <v>-50477</v>
      </c>
      <c r="AE52" s="75">
        <v>74</v>
      </c>
      <c r="AF52" s="75">
        <v>58.51</v>
      </c>
      <c r="AG52" s="75">
        <v>1301186</v>
      </c>
      <c r="AH52" s="45">
        <v>1359</v>
      </c>
      <c r="AI52" s="45">
        <v>1359</v>
      </c>
      <c r="AJ52" s="86">
        <f>TABL123[[#This Row],[(A/B TOT) AJD]]-TABL123[[#This Row],[BER_ IN]]</f>
        <v>457</v>
      </c>
      <c r="AK52" s="75">
        <v>0</v>
      </c>
      <c r="AL52" s="96">
        <v>44.472299999999997</v>
      </c>
      <c r="AM52" s="96">
        <v>3913310</v>
      </c>
      <c r="AN52" s="96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91">
        <f>TABL123[[#This Row],[( S/S+T/B) AJD]]-(TABL123[[#This Row],[(A/B + A/S) AJD]]+(TABL123[[#This Row],[(STORGE DIFF.) AJD]]*1000)+TABL123[[#This Row],[البخر  AJD]])</f>
        <v>-23763</v>
      </c>
      <c r="AE53" s="75">
        <v>80</v>
      </c>
      <c r="AF53" s="75">
        <v>58.52</v>
      </c>
      <c r="AG53" s="75">
        <v>1370747</v>
      </c>
      <c r="AH53" s="43">
        <v>1442</v>
      </c>
      <c r="AI53" s="43">
        <v>1442</v>
      </c>
      <c r="AJ53" s="86">
        <f>TABL123[[#This Row],[(A/B TOT) AJD]]-TABL123[[#This Row],[BER_ IN]]</f>
        <v>440</v>
      </c>
      <c r="AK53" s="75">
        <v>0</v>
      </c>
      <c r="AL53" s="96">
        <v>44.305100000000003</v>
      </c>
      <c r="AM53" s="96">
        <v>3821120</v>
      </c>
      <c r="AN53" s="96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91">
        <f>TABL123[[#This Row],[( S/S+T/B) AJD]]-(TABL123[[#This Row],[(A/B + A/S) AJD]]+(TABL123[[#This Row],[(STORGE DIFF.) AJD]]*1000)+TABL123[[#This Row],[البخر  AJD]])</f>
        <v>5991</v>
      </c>
      <c r="AE54" s="75">
        <v>80</v>
      </c>
      <c r="AF54" s="75">
        <v>58.771999999999998</v>
      </c>
      <c r="AG54" s="75">
        <v>1327432</v>
      </c>
      <c r="AH54" s="45">
        <v>1542</v>
      </c>
      <c r="AI54" s="45">
        <v>1542</v>
      </c>
      <c r="AJ54" s="86">
        <f>TABL123[[#This Row],[(A/B TOT) AJD]]-TABL123[[#This Row],[BER_ IN]]</f>
        <v>460</v>
      </c>
      <c r="AK54" s="75">
        <v>0</v>
      </c>
      <c r="AL54" s="96">
        <v>44.238199999999999</v>
      </c>
      <c r="AM54" s="96">
        <v>3784200</v>
      </c>
      <c r="AN54" s="96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91">
        <f>TABL123[[#This Row],[( S/S+T/B) AJD]]-(TABL123[[#This Row],[(A/B + A/S) AJD]]+(TABL123[[#This Row],[(STORGE DIFF.) AJD]]*1000)+TABL123[[#This Row],[البخر  AJD]])</f>
        <v>-76760</v>
      </c>
      <c r="AE55" s="75">
        <v>78</v>
      </c>
      <c r="AF55" s="75">
        <v>58.58</v>
      </c>
      <c r="AG55" s="75">
        <v>1347126</v>
      </c>
      <c r="AH55" s="43">
        <v>1085</v>
      </c>
      <c r="AI55" s="43">
        <v>1085</v>
      </c>
      <c r="AJ55" s="86">
        <f>TABL123[[#This Row],[(A/B TOT) AJD]]-TABL123[[#This Row],[BER_ IN]]</f>
        <v>428</v>
      </c>
      <c r="AK55" s="75">
        <v>0</v>
      </c>
      <c r="AL55" s="96">
        <v>44.206800000000001</v>
      </c>
      <c r="AM55" s="96">
        <v>3767110</v>
      </c>
      <c r="AN55" s="96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91">
        <f>TABL123[[#This Row],[( S/S+T/B) AJD]]-(TABL123[[#This Row],[(A/B + A/S) AJD]]+(TABL123[[#This Row],[(STORGE DIFF.) AJD]]*1000)+TABL123[[#This Row],[البخر  AJD]])</f>
        <v>-38711</v>
      </c>
      <c r="AE56" s="75">
        <v>77</v>
      </c>
      <c r="AF56" s="75">
        <v>58.61</v>
      </c>
      <c r="AG56" s="75">
        <v>1366827</v>
      </c>
      <c r="AH56" s="45">
        <v>1692</v>
      </c>
      <c r="AI56" s="45">
        <v>1692</v>
      </c>
      <c r="AJ56" s="86">
        <f>TABL123[[#This Row],[(A/B TOT) AJD]]-TABL123[[#This Row],[BER_ IN]]</f>
        <v>466</v>
      </c>
      <c r="AK56" s="75">
        <v>0</v>
      </c>
      <c r="AL56" s="96">
        <v>44.175800000000002</v>
      </c>
      <c r="AM56" s="96">
        <v>3750270</v>
      </c>
      <c r="AN56" s="96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91">
        <f>TABL123[[#This Row],[( S/S+T/B) AJD]]-(TABL123[[#This Row],[(A/B + A/S) AJD]]+(TABL123[[#This Row],[(STORGE DIFF.) AJD]]*1000)+TABL123[[#This Row],[البخر  AJD]])</f>
        <v>-23812</v>
      </c>
      <c r="AE57" s="75">
        <v>94</v>
      </c>
      <c r="AF57" s="75">
        <v>58.54</v>
      </c>
      <c r="AG57" s="75">
        <v>1320869</v>
      </c>
      <c r="AH57" s="43">
        <v>1785</v>
      </c>
      <c r="AI57" s="43">
        <v>1785</v>
      </c>
      <c r="AJ57" s="86">
        <f>TABL123[[#This Row],[(A/B TOT) AJD]]-TABL123[[#This Row],[BER_ IN]]</f>
        <v>471</v>
      </c>
      <c r="AK57" s="75">
        <v>0</v>
      </c>
      <c r="AL57" s="96">
        <v>44.146299999999997</v>
      </c>
      <c r="AM57" s="96">
        <v>3733560</v>
      </c>
      <c r="AN57" s="96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91">
        <f>TABL123[[#This Row],[( S/S+T/B) AJD]]-(TABL123[[#This Row],[(A/B + A/S) AJD]]+(TABL123[[#This Row],[(STORGE DIFF.) AJD]]*1000)+TABL123[[#This Row],[البخر  AJD]])</f>
        <v>29</v>
      </c>
      <c r="AE58" s="75">
        <v>102</v>
      </c>
      <c r="AF58" s="75">
        <v>58.48</v>
      </c>
      <c r="AG58" s="75">
        <v>1281511</v>
      </c>
      <c r="AH58" s="45">
        <v>1758</v>
      </c>
      <c r="AI58" s="45">
        <v>1758</v>
      </c>
      <c r="AJ58" s="86">
        <f>TABL123[[#This Row],[(A/B TOT) AJD]]-TABL123[[#This Row],[BER_ IN]]</f>
        <v>468</v>
      </c>
      <c r="AK58" s="75">
        <v>0</v>
      </c>
      <c r="AL58" s="96">
        <v>44.111400000000003</v>
      </c>
      <c r="AM58" s="96">
        <v>3714450</v>
      </c>
      <c r="AN58" s="96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91">
        <f>TABL123[[#This Row],[( S/S+T/B) AJD]]-(TABL123[[#This Row],[(A/B + A/S) AJD]]+(TABL123[[#This Row],[(STORGE DIFF.) AJD]]*1000)+TABL123[[#This Row],[البخر  AJD]])</f>
        <v>25075</v>
      </c>
      <c r="AE59" s="75">
        <v>104</v>
      </c>
      <c r="AF59" s="75">
        <v>58.41</v>
      </c>
      <c r="AG59" s="75">
        <v>1235632</v>
      </c>
      <c r="AH59" s="43">
        <v>2583</v>
      </c>
      <c r="AI59" s="43">
        <v>2583</v>
      </c>
      <c r="AJ59" s="86">
        <f>TABL123[[#This Row],[(A/B TOT) AJD]]-TABL123[[#This Row],[BER_ IN]]</f>
        <v>452</v>
      </c>
      <c r="AK59" s="75">
        <v>0</v>
      </c>
      <c r="AL59" s="96">
        <v>44.177399999999999</v>
      </c>
      <c r="AM59" s="96">
        <v>3696260</v>
      </c>
      <c r="AN59" s="96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91">
        <f>TABL123[[#This Row],[( S/S+T/B) AJD]]-(TABL123[[#This Row],[(A/B + A/S) AJD]]+(TABL123[[#This Row],[(STORGE DIFF.) AJD]]*1000)+TABL123[[#This Row],[البخر  AJD]])</f>
        <v>14941</v>
      </c>
      <c r="AE60" s="75">
        <v>104</v>
      </c>
      <c r="AF60" s="75">
        <v>58.468000000000004</v>
      </c>
      <c r="AG60" s="75">
        <v>1273643</v>
      </c>
      <c r="AH60" s="45">
        <v>2001</v>
      </c>
      <c r="AI60" s="45">
        <v>2001</v>
      </c>
      <c r="AJ60" s="86">
        <f>TABL123[[#This Row],[(A/B TOT) AJD]]-TABL123[[#This Row],[BER_ IN]]</f>
        <v>468</v>
      </c>
      <c r="AK60" s="75">
        <v>0</v>
      </c>
      <c r="AL60" s="96">
        <v>44.0747</v>
      </c>
      <c r="AM60" s="96">
        <v>3694490</v>
      </c>
      <c r="AN60" s="96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91">
        <f>TABL123[[#This Row],[( S/S+T/B) AJD]]-(TABL123[[#This Row],[(A/B + A/S) AJD]]+(TABL123[[#This Row],[(STORGE DIFF.) AJD]]*1000)+TABL123[[#This Row],[البخر  AJD]])</f>
        <v>37789</v>
      </c>
      <c r="AE61" s="75">
        <v>102</v>
      </c>
      <c r="AF61" s="75">
        <v>58.51</v>
      </c>
      <c r="AG61" s="75">
        <v>1301186</v>
      </c>
      <c r="AH61" s="43">
        <v>1596</v>
      </c>
      <c r="AI61" s="43">
        <v>1596</v>
      </c>
      <c r="AJ61" s="86">
        <f>TABL123[[#This Row],[(A/B TOT) AJD]]-TABL123[[#This Row],[BER_ IN]]</f>
        <v>457</v>
      </c>
      <c r="AK61" s="75">
        <v>0</v>
      </c>
      <c r="AL61" s="96">
        <v>44.062899999999999</v>
      </c>
      <c r="AM61" s="96">
        <v>3686870</v>
      </c>
      <c r="AN61" s="96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91">
        <f>TABL123[[#This Row],[( S/S+T/B) AJD]]-(TABL123[[#This Row],[(A/B + A/S) AJD]]+(TABL123[[#This Row],[(STORGE DIFF.) AJD]]*1000)+TABL123[[#This Row],[البخر  AJD]])</f>
        <v>11964</v>
      </c>
      <c r="AE62" s="75">
        <v>101</v>
      </c>
      <c r="AF62" s="75">
        <v>58.55</v>
      </c>
      <c r="AG62" s="75">
        <v>1327423</v>
      </c>
      <c r="AH62" s="45">
        <v>1914</v>
      </c>
      <c r="AI62" s="45">
        <v>1914</v>
      </c>
      <c r="AJ62" s="86">
        <f>TABL123[[#This Row],[(A/B TOT) AJD]]-TABL123[[#This Row],[BER_ IN]]</f>
        <v>458</v>
      </c>
      <c r="AK62" s="75">
        <v>0</v>
      </c>
      <c r="AL62" s="96">
        <v>44.028799999999997</v>
      </c>
      <c r="AM62" s="96">
        <v>3669100</v>
      </c>
      <c r="AN62" s="96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91">
        <f>TABL123[[#This Row],[( S/S+T/B) AJD]]-(TABL123[[#This Row],[(A/B + A/S) AJD]]+(TABL123[[#This Row],[(STORGE DIFF.) AJD]]*1000)+TABL123[[#This Row],[البخر  AJD]])</f>
        <v>22005</v>
      </c>
      <c r="AE63" s="75">
        <v>101</v>
      </c>
      <c r="AF63" s="75">
        <v>58.58</v>
      </c>
      <c r="AG63" s="75">
        <v>1347126</v>
      </c>
      <c r="AH63" s="43">
        <v>1457</v>
      </c>
      <c r="AI63" s="43">
        <v>1457</v>
      </c>
      <c r="AJ63" s="86">
        <f>TABL123[[#This Row],[(A/B TOT) AJD]]-TABL123[[#This Row],[BER_ IN]]</f>
        <v>473</v>
      </c>
      <c r="AK63" s="75">
        <v>0</v>
      </c>
      <c r="AL63" s="96">
        <v>43.975700000000003</v>
      </c>
      <c r="AM63" s="96">
        <v>3639840</v>
      </c>
      <c r="AN63" s="96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91">
        <f>TABL123[[#This Row],[( S/S+T/B) AJD]]-(TABL123[[#This Row],[(A/B + A/S) AJD]]+(TABL123[[#This Row],[(STORGE DIFF.) AJD]]*1000)+TABL123[[#This Row],[البخر  AJD]])</f>
        <v>-21985</v>
      </c>
      <c r="AE64" s="75">
        <v>100</v>
      </c>
      <c r="AF64" s="75">
        <v>58.62</v>
      </c>
      <c r="AG64" s="75">
        <v>1373396</v>
      </c>
      <c r="AH64" s="45">
        <v>1889</v>
      </c>
      <c r="AI64" s="45">
        <v>1889</v>
      </c>
      <c r="AJ64" s="86">
        <f>TABL123[[#This Row],[(A/B TOT) AJD]]-TABL123[[#This Row],[BER_ IN]]</f>
        <v>479</v>
      </c>
      <c r="AK64" s="75">
        <v>0</v>
      </c>
      <c r="AL64" s="96">
        <v>43.9221</v>
      </c>
      <c r="AM64" s="96">
        <v>3610490</v>
      </c>
      <c r="AN64" s="96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91">
        <f>TABL123[[#This Row],[( S/S+T/B) AJD]]-(TABL123[[#This Row],[(A/B + A/S) AJD]]+(TABL123[[#This Row],[(STORGE DIFF.) AJD]]*1000)+TABL123[[#This Row],[البخر  AJD]])</f>
        <v>5994</v>
      </c>
      <c r="AE65" s="75">
        <v>98</v>
      </c>
      <c r="AF65" s="75">
        <v>58.66</v>
      </c>
      <c r="AG65" s="75">
        <v>1399679</v>
      </c>
      <c r="AH65" s="43">
        <v>2876</v>
      </c>
      <c r="AI65" s="43">
        <v>2876</v>
      </c>
      <c r="AJ65" s="86">
        <f>TABL123[[#This Row],[(A/B TOT) AJD]]-TABL123[[#This Row],[BER_ IN]]</f>
        <v>479</v>
      </c>
      <c r="AK65" s="75">
        <v>0</v>
      </c>
      <c r="AL65" s="96">
        <v>43.8613</v>
      </c>
      <c r="AM65" s="96">
        <v>3577400</v>
      </c>
      <c r="AN65" s="96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91">
        <f>TABL123[[#This Row],[( S/S+T/B) AJD]]-(TABL123[[#This Row],[(A/B + A/S) AJD]]+(TABL123[[#This Row],[(STORGE DIFF.) AJD]]*1000)+TABL123[[#This Row],[البخر  AJD]])</f>
        <v>26806</v>
      </c>
      <c r="AE66" s="75">
        <v>101</v>
      </c>
      <c r="AF66" s="75">
        <v>58.65</v>
      </c>
      <c r="AG66" s="75">
        <v>1393107</v>
      </c>
      <c r="AH66" s="45">
        <v>1339</v>
      </c>
      <c r="AI66" s="45">
        <v>1339</v>
      </c>
      <c r="AJ66" s="86">
        <f>TABL123[[#This Row],[(A/B TOT) AJD]]-TABL123[[#This Row],[BER_ IN]]</f>
        <v>468</v>
      </c>
      <c r="AK66" s="75">
        <v>0</v>
      </c>
      <c r="AL66" s="96">
        <v>43.8063</v>
      </c>
      <c r="AM66" s="96">
        <v>3546991</v>
      </c>
      <c r="AN66" s="96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91">
        <f>TABL123[[#This Row],[( S/S+T/B) AJD]]-(TABL123[[#This Row],[(A/B + A/S) AJD]]+(TABL123[[#This Row],[(STORGE DIFF.) AJD]]*1000)+TABL123[[#This Row],[البخر  AJD]])</f>
        <v>25459</v>
      </c>
      <c r="AE67" s="75">
        <v>98</v>
      </c>
      <c r="AF67" s="75">
        <v>58.58</v>
      </c>
      <c r="AG67" s="75">
        <v>1347126</v>
      </c>
      <c r="AH67" s="43">
        <v>1920</v>
      </c>
      <c r="AI67" s="43">
        <v>1920</v>
      </c>
      <c r="AJ67" s="86">
        <f>TABL123[[#This Row],[(A/B TOT) AJD]]-TABL123[[#This Row],[BER_ IN]]</f>
        <v>476</v>
      </c>
      <c r="AK67" s="75">
        <v>0</v>
      </c>
      <c r="AL67" s="96">
        <v>43.775199999999998</v>
      </c>
      <c r="AM67" s="96">
        <v>3530507</v>
      </c>
      <c r="AN67" s="96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91">
        <f>TABL123[[#This Row],[( S/S+T/B) AJD]]-(TABL123[[#This Row],[(A/B + A/S) AJD]]+(TABL123[[#This Row],[(STORGE DIFF.) AJD]]*1000)+TABL123[[#This Row],[البخر  AJD]])</f>
        <v>51872</v>
      </c>
      <c r="AE68" s="75">
        <v>99</v>
      </c>
      <c r="AF68" s="75">
        <v>58.5</v>
      </c>
      <c r="AG68" s="75">
        <v>1294628</v>
      </c>
      <c r="AH68" s="45">
        <v>998</v>
      </c>
      <c r="AI68" s="45">
        <v>998</v>
      </c>
      <c r="AJ68" s="86">
        <f>TABL123[[#This Row],[(A/B TOT) AJD]]-TABL123[[#This Row],[BER_ IN]]</f>
        <v>484</v>
      </c>
      <c r="AK68" s="75">
        <v>0</v>
      </c>
      <c r="AL68" s="96">
        <v>43.753700000000002</v>
      </c>
      <c r="AM68" s="96">
        <v>3518470</v>
      </c>
      <c r="AN68" s="96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91">
        <f>TABL123[[#This Row],[( S/S+T/B) AJD]]-(TABL123[[#This Row],[(A/B + A/S) AJD]]+(TABL123[[#This Row],[(STORGE DIFF.) AJD]]*1000)+TABL123[[#This Row],[البخر  AJD]])</f>
        <v>22249</v>
      </c>
      <c r="AE69" s="75">
        <v>89</v>
      </c>
      <c r="AF69" s="75">
        <v>58.4</v>
      </c>
      <c r="AG69" s="75">
        <v>1229081</v>
      </c>
      <c r="AH69" s="43">
        <v>1599</v>
      </c>
      <c r="AI69" s="43">
        <v>1599</v>
      </c>
      <c r="AJ69" s="86">
        <f>TABL123[[#This Row],[(A/B TOT) AJD]]-TABL123[[#This Row],[BER_ IN]]</f>
        <v>468</v>
      </c>
      <c r="AK69" s="75">
        <v>0</v>
      </c>
      <c r="AL69" s="96">
        <v>43.729199999999999</v>
      </c>
      <c r="AM69" s="96">
        <v>3504800</v>
      </c>
      <c r="AN69" s="96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91">
        <f>TABL123[[#This Row],[( S/S+T/B) AJD]]-(TABL123[[#This Row],[(A/B + A/S) AJD]]+(TABL123[[#This Row],[(STORGE DIFF.) AJD]]*1000)+TABL123[[#This Row],[البخر  AJD]])</f>
        <v>7274</v>
      </c>
      <c r="AE70" s="75">
        <v>80</v>
      </c>
      <c r="AF70" s="75">
        <v>58.38</v>
      </c>
      <c r="AG70" s="75">
        <v>1215982</v>
      </c>
      <c r="AH70" s="45">
        <v>1589</v>
      </c>
      <c r="AI70" s="45">
        <v>1589</v>
      </c>
      <c r="AJ70" s="86">
        <f>TABL123[[#This Row],[(A/B TOT) AJD]]-TABL123[[#This Row],[BER_ IN]]</f>
        <v>452</v>
      </c>
      <c r="AK70" s="75">
        <v>0</v>
      </c>
      <c r="AL70" s="96">
        <v>43.681600000000003</v>
      </c>
      <c r="AM70" s="96">
        <v>3475830</v>
      </c>
      <c r="AN70" s="96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91">
        <f>TABL123[[#This Row],[( S/S+T/B) AJD]]-(TABL123[[#This Row],[(A/B + A/S) AJD]]+(TABL123[[#This Row],[(STORGE DIFF.) AJD]]*1000)+TABL123[[#This Row],[البخر  AJD]])</f>
        <v>-7715</v>
      </c>
      <c r="AE71" s="75">
        <v>80</v>
      </c>
      <c r="AF71" s="75">
        <v>58.4</v>
      </c>
      <c r="AG71" s="75">
        <v>1229081</v>
      </c>
      <c r="AH71" s="75">
        <v>1399</v>
      </c>
      <c r="AI71" s="75">
        <v>1399</v>
      </c>
      <c r="AJ71" s="86">
        <f>TABL123[[#This Row],[(A/B TOT) AJD]]-TABL123[[#This Row],[BER_ IN]]</f>
        <v>433</v>
      </c>
      <c r="AK71" s="75">
        <v>0</v>
      </c>
      <c r="AL71" s="96">
        <v>43.645400000000002</v>
      </c>
      <c r="AM71" s="96">
        <v>3459380</v>
      </c>
      <c r="AN71" s="96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91">
        <f>TABL123[[#This Row],[( S/S+T/B) AJD]]-(TABL123[[#This Row],[(A/B + A/S) AJD]]+(TABL123[[#This Row],[(STORGE DIFF.) AJD]]*1000)+TABL123[[#This Row],[البخر  AJD]])</f>
        <v>66340</v>
      </c>
      <c r="AE72" s="75">
        <v>80</v>
      </c>
      <c r="AF72" s="75">
        <v>58.4</v>
      </c>
      <c r="AG72" s="75">
        <v>1229081</v>
      </c>
      <c r="AH72" s="45">
        <v>1498</v>
      </c>
      <c r="AI72" s="45">
        <v>1498</v>
      </c>
      <c r="AJ72" s="86">
        <f>TABL123[[#This Row],[(A/B TOT) AJD]]-TABL123[[#This Row],[BER_ IN]]</f>
        <v>466</v>
      </c>
      <c r="AK72" s="75">
        <v>0</v>
      </c>
      <c r="AL72" s="96">
        <v>43.608499999999999</v>
      </c>
      <c r="AM72" s="96">
        <v>3438700</v>
      </c>
      <c r="AN72" s="96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91">
        <f>TABL123[[#This Row],[( S/S+T/B) AJD]]-(TABL123[[#This Row],[(A/B + A/S) AJD]]+(TABL123[[#This Row],[(STORGE DIFF.) AJD]]*1000)+TABL123[[#This Row],[البخر  AJD]])</f>
        <v>43542</v>
      </c>
      <c r="AE73" s="75">
        <v>80</v>
      </c>
      <c r="AF73" s="75">
        <v>58.41</v>
      </c>
      <c r="AG73" s="75">
        <v>1235632</v>
      </c>
      <c r="AH73" s="43">
        <v>1498</v>
      </c>
      <c r="AI73" s="43">
        <v>1498</v>
      </c>
      <c r="AJ73" s="86">
        <f>TABL123[[#This Row],[(A/B TOT) AJD]]-TABL123[[#This Row],[BER_ IN]]</f>
        <v>477</v>
      </c>
      <c r="AK73" s="75">
        <v>0</v>
      </c>
      <c r="AL73" s="96">
        <v>43.567900000000002</v>
      </c>
      <c r="AM73" s="96">
        <v>3416735</v>
      </c>
      <c r="AN73" s="96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91">
        <f>TABL123[[#This Row],[( S/S+T/B) AJD]]-(TABL123[[#This Row],[(A/B + A/S) AJD]]+(TABL123[[#This Row],[(STORGE DIFF.) AJD]]*1000)+TABL123[[#This Row],[البخر  AJD]])</f>
        <v>-38765</v>
      </c>
      <c r="AE74" s="75">
        <v>80</v>
      </c>
      <c r="AF74" s="75">
        <v>58.4</v>
      </c>
      <c r="AG74" s="75">
        <v>1229081</v>
      </c>
      <c r="AH74" s="45">
        <v>1250</v>
      </c>
      <c r="AI74" s="45">
        <v>1250</v>
      </c>
      <c r="AJ74" s="86">
        <f>TABL123[[#This Row],[(A/B TOT) AJD]]-TABL123[[#This Row],[BER_ IN]]</f>
        <v>462</v>
      </c>
      <c r="AK74" s="75">
        <v>0</v>
      </c>
      <c r="AL74" s="96">
        <v>43.555300000000003</v>
      </c>
      <c r="AM74" s="96">
        <v>3409770</v>
      </c>
      <c r="AN74" s="96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91">
        <f>TABL123[[#This Row],[( S/S+T/B) AJD]]-(TABL123[[#This Row],[(A/B + A/S) AJD]]+(TABL123[[#This Row],[(STORGE DIFF.) AJD]]*1000)+TABL123[[#This Row],[البخر  AJD]])</f>
        <v>-26638</v>
      </c>
      <c r="AE75" s="75">
        <v>80</v>
      </c>
      <c r="AF75" s="75">
        <v>58.43</v>
      </c>
      <c r="AG75" s="75">
        <v>1248736</v>
      </c>
      <c r="AH75" s="43">
        <v>1367</v>
      </c>
      <c r="AI75" s="43">
        <v>1367</v>
      </c>
      <c r="AJ75" s="86">
        <f>TABL123[[#This Row],[(A/B TOT) AJD]]-TABL123[[#This Row],[BER_ IN]]</f>
        <v>479</v>
      </c>
      <c r="AK75" s="75">
        <v>0</v>
      </c>
      <c r="AL75" s="96">
        <v>43.537999999999997</v>
      </c>
      <c r="AM75" s="96">
        <v>3400140</v>
      </c>
      <c r="AN75" s="96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91">
        <f>TABL123[[#This Row],[( S/S+T/B) AJD]]-(TABL123[[#This Row],[(A/B + A/S) AJD]]+(TABL123[[#This Row],[(STORGE DIFF.) AJD]]*1000)+TABL123[[#This Row],[البخر  AJD]])</f>
        <v>-45514</v>
      </c>
      <c r="AE76" s="75">
        <v>79</v>
      </c>
      <c r="AF76" s="75">
        <v>58.43</v>
      </c>
      <c r="AG76" s="75">
        <v>1248736</v>
      </c>
      <c r="AH76" s="45">
        <v>1830</v>
      </c>
      <c r="AI76" s="45">
        <v>1830</v>
      </c>
      <c r="AJ76" s="86">
        <f>TABL123[[#This Row],[(A/B TOT) AJD]]-TABL123[[#This Row],[BER_ IN]]</f>
        <v>472</v>
      </c>
      <c r="AK76" s="75">
        <v>0</v>
      </c>
      <c r="AL76" s="96">
        <v>43.463000000000001</v>
      </c>
      <c r="AM76" s="96">
        <v>3359610</v>
      </c>
      <c r="AN76" s="96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91">
        <f>TABL123[[#This Row],[( S/S+T/B) AJD]]-(TABL123[[#This Row],[(A/B + A/S) AJD]]+(TABL123[[#This Row],[(STORGE DIFF.) AJD]]*1000)+TABL123[[#This Row],[البخر  AJD]])</f>
        <v>-24887</v>
      </c>
      <c r="AE77" s="75">
        <v>80</v>
      </c>
      <c r="AF77" s="75">
        <v>58.34</v>
      </c>
      <c r="AG77" s="75">
        <v>1189795</v>
      </c>
      <c r="AH77" s="43">
        <v>1621</v>
      </c>
      <c r="AI77" s="43">
        <v>1621</v>
      </c>
      <c r="AJ77" s="86">
        <f>TABL123[[#This Row],[(A/B TOT) AJD]]-TABL123[[#This Row],[BER_ IN]]</f>
        <v>468</v>
      </c>
      <c r="AK77" s="75">
        <v>0</v>
      </c>
      <c r="AL77" s="96">
        <v>43.393999999999998</v>
      </c>
      <c r="AM77" s="96">
        <v>3322050</v>
      </c>
      <c r="AN77" s="96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91">
        <f>TABL123[[#This Row],[( S/S+T/B) AJD]]-(TABL123[[#This Row],[(A/B + A/S) AJD]]+(TABL123[[#This Row],[(STORGE DIFF.) AJD]]*1000)+TABL123[[#This Row],[البخر  AJD]])</f>
        <v>-17798</v>
      </c>
      <c r="AE78" s="75">
        <v>80</v>
      </c>
      <c r="AF78" s="75">
        <v>58.34</v>
      </c>
      <c r="AG78" s="75">
        <v>1189795</v>
      </c>
      <c r="AH78" s="45">
        <v>1308</v>
      </c>
      <c r="AI78" s="45">
        <v>1308</v>
      </c>
      <c r="AJ78" s="86">
        <f>TABL123[[#This Row],[(A/B TOT) AJD]]-TABL123[[#This Row],[BER_ IN]]</f>
        <v>466</v>
      </c>
      <c r="AK78" s="75">
        <v>0</v>
      </c>
      <c r="AL78" s="96">
        <v>43.333199999999998</v>
      </c>
      <c r="AM78" s="96">
        <v>3288850</v>
      </c>
      <c r="AN78" s="96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91">
        <f>TABL123[[#This Row],[( S/S+T/B) AJD]]-(TABL123[[#This Row],[(A/B + A/S) AJD]]+(TABL123[[#This Row],[(STORGE DIFF.) AJD]]*1000)+TABL123[[#This Row],[البخر  AJD]])</f>
        <v>-53486</v>
      </c>
      <c r="AE79" s="75">
        <v>79</v>
      </c>
      <c r="AF79" s="75">
        <v>58.36</v>
      </c>
      <c r="AG79" s="75">
        <v>1202887</v>
      </c>
      <c r="AH79" s="43">
        <v>1838</v>
      </c>
      <c r="AI79" s="43">
        <v>1838</v>
      </c>
      <c r="AJ79" s="86">
        <f>TABL123[[#This Row],[(A/B TOT) AJD]]-TABL123[[#This Row],[BER_ IN]]</f>
        <v>492</v>
      </c>
      <c r="AK79" s="75">
        <v>0</v>
      </c>
      <c r="AL79" s="96">
        <v>43.305</v>
      </c>
      <c r="AM79" s="96">
        <v>3273470</v>
      </c>
      <c r="AN79" s="96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91">
        <f>TABL123[[#This Row],[( S/S+T/B) AJD]]-(TABL123[[#This Row],[(A/B + A/S) AJD]]+(TABL123[[#This Row],[(STORGE DIFF.) AJD]]*1000)+TABL123[[#This Row],[البخر  AJD]])</f>
        <v>19068</v>
      </c>
      <c r="AE80" s="75">
        <v>78</v>
      </c>
      <c r="AF80" s="75">
        <v>58.4</v>
      </c>
      <c r="AG80" s="75">
        <v>1229081</v>
      </c>
      <c r="AH80" s="45">
        <v>2000</v>
      </c>
      <c r="AI80" s="45">
        <v>2000</v>
      </c>
      <c r="AJ80" s="86">
        <f>TABL123[[#This Row],[(A/B TOT) AJD]]-TABL123[[#This Row],[BER_ IN]]</f>
        <v>474</v>
      </c>
      <c r="AK80" s="75">
        <v>14</v>
      </c>
      <c r="AL80" s="96">
        <v>43.2271</v>
      </c>
      <c r="AM80" s="96">
        <v>3231260</v>
      </c>
      <c r="AN80" s="96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91">
        <f>TABL123[[#This Row],[( S/S+T/B) AJD]]-(TABL123[[#This Row],[(A/B + A/S) AJD]]+(TABL123[[#This Row],[(STORGE DIFF.) AJD]]*1000)+TABL123[[#This Row],[البخر  AJD]])</f>
        <v>-44845</v>
      </c>
      <c r="AE81" s="75">
        <v>78</v>
      </c>
      <c r="AF81" s="75">
        <v>58.512</v>
      </c>
      <c r="AG81" s="75">
        <v>1308403</v>
      </c>
      <c r="AH81" s="43">
        <v>656</v>
      </c>
      <c r="AI81" s="43">
        <v>656</v>
      </c>
      <c r="AJ81" s="86">
        <f>TABL123[[#This Row],[(A/B TOT) AJD]]-TABL123[[#This Row],[BER_ IN]]</f>
        <v>472</v>
      </c>
      <c r="AK81" s="75">
        <v>20</v>
      </c>
      <c r="AL81" s="96">
        <v>43.202599999999997</v>
      </c>
      <c r="AM81" s="96">
        <v>3218220</v>
      </c>
      <c r="AN81" s="96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91">
        <f>TABL123[[#This Row],[( S/S+T/B) AJD]]-(TABL123[[#This Row],[(A/B + A/S) AJD]]+(TABL123[[#This Row],[(STORGE DIFF.) AJD]]*1000)+TABL123[[#This Row],[البخر  AJD]])</f>
        <v>-8021</v>
      </c>
      <c r="AE82" s="75">
        <v>81</v>
      </c>
      <c r="AF82" s="75">
        <v>58.51</v>
      </c>
      <c r="AG82" s="75">
        <v>1301186</v>
      </c>
      <c r="AH82" s="45">
        <v>2216</v>
      </c>
      <c r="AI82" s="45">
        <v>2216</v>
      </c>
      <c r="AJ82" s="86">
        <f>TABL123[[#This Row],[(A/B TOT) AJD]]-TABL123[[#This Row],[BER_ IN]]</f>
        <v>489</v>
      </c>
      <c r="AK82" s="75">
        <v>19</v>
      </c>
      <c r="AL82" s="96">
        <v>43.217399999999998</v>
      </c>
      <c r="AM82" s="96">
        <v>3226370</v>
      </c>
      <c r="AN82" s="96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91">
        <f>TABL123[[#This Row],[( S/S+T/B) AJD]]-(TABL123[[#This Row],[(A/B + A/S) AJD]]+(TABL123[[#This Row],[(STORGE DIFF.) AJD]]*1000)+TABL123[[#This Row],[البخر  AJD]])</f>
        <v>1959</v>
      </c>
      <c r="AE83" s="75">
        <v>82</v>
      </c>
      <c r="AF83" s="75">
        <v>58.53</v>
      </c>
      <c r="AG83" s="75">
        <v>1314308</v>
      </c>
      <c r="AH83" s="43">
        <v>1695</v>
      </c>
      <c r="AI83" s="43">
        <v>1695</v>
      </c>
      <c r="AJ83" s="86">
        <f>TABL123[[#This Row],[(A/B TOT) AJD]]-TABL123[[#This Row],[BER_ IN]]</f>
        <v>445</v>
      </c>
      <c r="AK83" s="75">
        <v>20</v>
      </c>
      <c r="AL83" s="96">
        <v>43.218600000000002</v>
      </c>
      <c r="AM83" s="96">
        <v>3226790</v>
      </c>
      <c r="AN83" s="96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91">
        <f>TABL123[[#This Row],[( S/S+T/B) AJD]]-(TABL123[[#This Row],[(A/B + A/S) AJD]]+(TABL123[[#This Row],[(STORGE DIFF.) AJD]]*1000)+TABL123[[#This Row],[البخر  AJD]])</f>
        <v>-4055</v>
      </c>
      <c r="AE84" s="75">
        <v>81</v>
      </c>
      <c r="AF84" s="75">
        <v>58.55</v>
      </c>
      <c r="AG84" s="75">
        <v>1327432</v>
      </c>
      <c r="AH84" s="45">
        <v>2035</v>
      </c>
      <c r="AI84" s="45">
        <v>2035</v>
      </c>
      <c r="AJ84" s="86">
        <f>TABL123[[#This Row],[(A/B TOT) AJD]]-TABL123[[#This Row],[BER_ IN]]</f>
        <v>469</v>
      </c>
      <c r="AK84" s="75">
        <v>21</v>
      </c>
      <c r="AL84" s="96">
        <v>43.223999999999997</v>
      </c>
      <c r="AM84" s="96">
        <v>3230690</v>
      </c>
      <c r="AN84" s="96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91">
        <f>TABL123[[#This Row],[( S/S+T/B) AJD]]-(TABL123[[#This Row],[(A/B + A/S) AJD]]+(TABL123[[#This Row],[(STORGE DIFF.) AJD]]*1000)+TABL123[[#This Row],[البخر  AJD]])</f>
        <v>-41660</v>
      </c>
      <c r="AE85" s="75">
        <v>78</v>
      </c>
      <c r="AF85" s="75">
        <v>58.57</v>
      </c>
      <c r="AG85" s="75">
        <v>1340560</v>
      </c>
      <c r="AH85" s="43">
        <v>923</v>
      </c>
      <c r="AI85" s="43">
        <v>923</v>
      </c>
      <c r="AJ85" s="86">
        <f>TABL123[[#This Row],[(A/B TOT) AJD]]-TABL123[[#This Row],[BER_ IN]]</f>
        <v>468</v>
      </c>
      <c r="AK85" s="75">
        <v>21</v>
      </c>
      <c r="AL85" s="96">
        <v>43.227699999999999</v>
      </c>
      <c r="AM85" s="96">
        <v>3231810</v>
      </c>
      <c r="AN85" s="96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91">
        <f>TABL123[[#This Row],[( S/S+T/B) AJD]]-(TABL123[[#This Row],[(A/B + A/S) AJD]]+(TABL123[[#This Row],[(STORGE DIFF.) AJD]]*1000)+TABL123[[#This Row],[البخر  AJD]])</f>
        <v>-8885</v>
      </c>
      <c r="AE86" s="75">
        <v>80</v>
      </c>
      <c r="AF86" s="75">
        <v>58.59</v>
      </c>
      <c r="AG86" s="75">
        <v>1353692</v>
      </c>
      <c r="AH86" s="45">
        <v>844</v>
      </c>
      <c r="AI86" s="45">
        <v>844</v>
      </c>
      <c r="AJ86" s="86">
        <f>TABL123[[#This Row],[(A/B TOT) AJD]]-TABL123[[#This Row],[BER_ IN]]</f>
        <v>461</v>
      </c>
      <c r="AK86" s="75">
        <v>22</v>
      </c>
      <c r="AL86" s="96">
        <v>43.2607</v>
      </c>
      <c r="AM86" s="96">
        <v>3249200</v>
      </c>
      <c r="AN86" s="96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91">
        <f>TABL123[[#This Row],[( S/S+T/B) AJD]]-(TABL123[[#This Row],[(A/B + A/S) AJD]]+(TABL123[[#This Row],[(STORGE DIFF.) AJD]]*1000)+TABL123[[#This Row],[البخر  AJD]])</f>
        <v>-9225</v>
      </c>
      <c r="AE87" s="75">
        <v>81</v>
      </c>
      <c r="AF87" s="75">
        <v>58.61</v>
      </c>
      <c r="AG87" s="75">
        <v>1366827</v>
      </c>
      <c r="AH87" s="43">
        <v>1744</v>
      </c>
      <c r="AI87" s="43">
        <v>1744</v>
      </c>
      <c r="AJ87" s="86">
        <f>TABL123[[#This Row],[(A/B TOT) AJD]]-TABL123[[#This Row],[BER_ IN]]</f>
        <v>468</v>
      </c>
      <c r="AK87" s="75">
        <v>22</v>
      </c>
      <c r="AL87" s="96">
        <v>43.262799999999999</v>
      </c>
      <c r="AM87" s="96">
        <v>3250800</v>
      </c>
      <c r="AN87" s="96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91">
        <f>TABL123[[#This Row],[( S/S+T/B) AJD]]-(TABL123[[#This Row],[(A/B + A/S) AJD]]+(TABL123[[#This Row],[(STORGE DIFF.) AJD]]*1000)+TABL123[[#This Row],[البخر  AJD]])</f>
        <v>1230</v>
      </c>
      <c r="AE88" s="75">
        <v>81</v>
      </c>
      <c r="AF88" s="75">
        <v>58.63</v>
      </c>
      <c r="AG88" s="75">
        <v>1379965</v>
      </c>
      <c r="AH88" s="45">
        <v>0</v>
      </c>
      <c r="AI88" s="45">
        <v>0</v>
      </c>
      <c r="AJ88" s="86">
        <f>TABL123[[#This Row],[(A/B TOT) AJD]]-TABL123[[#This Row],[BER_ IN]]</f>
        <v>472</v>
      </c>
      <c r="AK88" s="75">
        <v>22</v>
      </c>
      <c r="AL88" s="96">
        <v>43.286299999999997</v>
      </c>
      <c r="AM88" s="96">
        <v>3263300</v>
      </c>
      <c r="AN88" s="96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91">
        <f>TABL123[[#This Row],[( S/S+T/B) AJD]]-(TABL123[[#This Row],[(A/B + A/S) AJD]]+(TABL123[[#This Row],[(STORGE DIFF.) AJD]]*1000)+TABL123[[#This Row],[البخر  AJD]])</f>
        <v>-37076</v>
      </c>
      <c r="AE89" s="75">
        <v>80</v>
      </c>
      <c r="AF89" s="75">
        <v>58.65</v>
      </c>
      <c r="AG89" s="75">
        <v>1393107</v>
      </c>
      <c r="AH89" s="43">
        <v>723</v>
      </c>
      <c r="AI89" s="43">
        <v>723</v>
      </c>
      <c r="AJ89" s="86">
        <f>TABL123[[#This Row],[(A/B TOT) AJD]]-TABL123[[#This Row],[BER_ IN]]</f>
        <v>463</v>
      </c>
      <c r="AK89" s="75">
        <v>21</v>
      </c>
      <c r="AL89" s="96">
        <v>43.294499999999999</v>
      </c>
      <c r="AM89" s="96">
        <v>3267770</v>
      </c>
      <c r="AN89" s="96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91">
        <f>TABL123[[#This Row],[( S/S+T/B) AJD]]-(TABL123[[#This Row],[(A/B + A/S) AJD]]+(TABL123[[#This Row],[(STORGE DIFF.) AJD]]*1000)+TABL123[[#This Row],[البخر  AJD]])</f>
        <v>61411</v>
      </c>
      <c r="AE90" s="75">
        <v>86</v>
      </c>
      <c r="AF90" s="75">
        <v>58.68</v>
      </c>
      <c r="AG90" s="75">
        <v>1412827</v>
      </c>
      <c r="AH90" s="45">
        <v>1451</v>
      </c>
      <c r="AI90" s="45">
        <v>1451</v>
      </c>
      <c r="AJ90" s="86">
        <f>TABL123[[#This Row],[(A/B TOT) AJD]]-TABL123[[#This Row],[BER_ IN]]</f>
        <v>481</v>
      </c>
      <c r="AK90" s="75">
        <v>27</v>
      </c>
      <c r="AL90" s="96">
        <v>43.271799999999999</v>
      </c>
      <c r="AM90" s="96">
        <v>3255690</v>
      </c>
      <c r="AN90" s="96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91">
        <f>TABL123[[#This Row],[( S/S+T/B) AJD]]-(TABL123[[#This Row],[(A/B + A/S) AJD]]+(TABL123[[#This Row],[(STORGE DIFF.) AJD]]*1000)+TABL123[[#This Row],[البخر  AJD]])</f>
        <v>33878</v>
      </c>
      <c r="AE91" s="75">
        <v>90</v>
      </c>
      <c r="AF91" s="75">
        <v>58.71</v>
      </c>
      <c r="AG91" s="75">
        <v>1432554</v>
      </c>
      <c r="AH91" s="43">
        <v>2143</v>
      </c>
      <c r="AI91" s="43">
        <v>2143</v>
      </c>
      <c r="AJ91" s="86">
        <f>TABL123[[#This Row],[(A/B TOT) AJD]]-TABL123[[#This Row],[BER_ IN]]</f>
        <v>486</v>
      </c>
      <c r="AK91" s="75">
        <v>32</v>
      </c>
      <c r="AL91" s="96">
        <v>43.225900000000003</v>
      </c>
      <c r="AM91" s="96">
        <v>3230710</v>
      </c>
      <c r="AN91" s="96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91">
        <f>TABL123[[#This Row],[( S/S+T/B) AJD]]-(TABL123[[#This Row],[(A/B + A/S) AJD]]+(TABL123[[#This Row],[(STORGE DIFF.) AJD]]*1000)+TABL123[[#This Row],[البخر  AJD]])</f>
        <v>11928</v>
      </c>
      <c r="AE92" s="75">
        <v>90</v>
      </c>
      <c r="AF92" s="75">
        <v>58.75</v>
      </c>
      <c r="AG92" s="75">
        <v>1428868</v>
      </c>
      <c r="AH92" s="43">
        <v>1522</v>
      </c>
      <c r="AI92" s="43">
        <v>1522</v>
      </c>
      <c r="AJ92" s="86">
        <f>TABL123[[#This Row],[(A/B TOT) AJD]]-TABL123[[#This Row],[BER_ IN]]</f>
        <v>475</v>
      </c>
      <c r="AK92" s="75">
        <v>28</v>
      </c>
      <c r="AL92" s="96">
        <v>43.1235</v>
      </c>
      <c r="AM92" s="96">
        <v>3175240</v>
      </c>
      <c r="AN92" s="96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91">
        <f>TABL123[[#This Row],[( S/S+T/B) AJD]]-(TABL123[[#This Row],[(A/B + A/S) AJD]]+(TABL123[[#This Row],[(STORGE DIFF.) AJD]]*1000)+TABL123[[#This Row],[البخر  AJD]])</f>
        <v>38649</v>
      </c>
      <c r="AE93" s="75">
        <v>90</v>
      </c>
      <c r="AF93" s="75">
        <v>58.79</v>
      </c>
      <c r="AG93" s="75">
        <v>1485197</v>
      </c>
      <c r="AH93" s="45">
        <v>1053</v>
      </c>
      <c r="AI93" s="45">
        <v>1053</v>
      </c>
      <c r="AJ93" s="86">
        <f>TABL123[[#This Row],[(A/B TOT) AJD]]-TABL123[[#This Row],[BER_ IN]]</f>
        <v>474</v>
      </c>
      <c r="AK93" s="75">
        <v>29</v>
      </c>
      <c r="AL93" s="96">
        <v>42.998899999999999</v>
      </c>
      <c r="AM93" s="96">
        <v>3107000</v>
      </c>
      <c r="AN93" s="96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91">
        <f>TABL123[[#This Row],[( S/S+T/B) AJD]]-(TABL123[[#This Row],[(A/B + A/S) AJD]]+(TABL123[[#This Row],[(STORGE DIFF.) AJD]]*1000)+TABL123[[#This Row],[البخر  AJD]])</f>
        <v>100939</v>
      </c>
      <c r="AE94" s="75">
        <v>90</v>
      </c>
      <c r="AF94" s="75">
        <v>58.811999999999998</v>
      </c>
      <c r="AG94" s="75">
        <v>1499684</v>
      </c>
      <c r="AH94" s="43">
        <v>1732</v>
      </c>
      <c r="AI94" s="43">
        <v>1732</v>
      </c>
      <c r="AJ94" s="86">
        <f>TABL123[[#This Row],[(A/B TOT) AJD]]-TABL123[[#This Row],[BER_ IN]]</f>
        <v>471</v>
      </c>
      <c r="AK94" s="75">
        <v>27</v>
      </c>
      <c r="AL94" s="96">
        <v>42.860700000000001</v>
      </c>
      <c r="AM94" s="96">
        <v>3033000</v>
      </c>
      <c r="AN94" s="96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91">
        <f>TABL123[[#This Row],[( S/S+T/B) AJD]]-(TABL123[[#This Row],[(A/B + A/S) AJD]]+(TABL123[[#This Row],[(STORGE DIFF.) AJD]]*1000)+TABL123[[#This Row],[البخر  AJD]])</f>
        <v>40205</v>
      </c>
      <c r="AE95" s="75">
        <v>90</v>
      </c>
      <c r="AF95" s="75">
        <v>58.86</v>
      </c>
      <c r="AG95" s="75">
        <v>1531306</v>
      </c>
      <c r="AH95" s="45">
        <v>1401</v>
      </c>
      <c r="AI95" s="45">
        <v>1401</v>
      </c>
      <c r="AJ95" s="86">
        <f>TABL123[[#This Row],[(A/B TOT) AJD]]-TABL123[[#This Row],[BER_ IN]]</f>
        <v>481</v>
      </c>
      <c r="AK95" s="75">
        <v>26</v>
      </c>
      <c r="AL95" s="96">
        <v>42.805900000000001</v>
      </c>
      <c r="AM95" s="96">
        <v>3003083</v>
      </c>
      <c r="AN95" s="96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91">
        <f>TABL123[[#This Row],[( S/S+T/B) AJD]]-(TABL123[[#This Row],[(A/B + A/S) AJD]]+(TABL123[[#This Row],[(STORGE DIFF.) AJD]]*1000)+TABL123[[#This Row],[البخر  AJD]])</f>
        <v>-15891</v>
      </c>
      <c r="AE96" s="75">
        <v>89</v>
      </c>
      <c r="AF96" s="75">
        <v>58.9</v>
      </c>
      <c r="AG96" s="75">
        <v>1557672</v>
      </c>
      <c r="AH96" s="43">
        <v>2793</v>
      </c>
      <c r="AI96" s="43">
        <v>2793</v>
      </c>
      <c r="AJ96" s="86">
        <f>TABL123[[#This Row],[(A/B TOT) AJD]]-TABL123[[#This Row],[BER_ IN]]</f>
        <v>486</v>
      </c>
      <c r="AK96" s="75">
        <v>25</v>
      </c>
      <c r="AL96" s="96">
        <v>42.827800000000003</v>
      </c>
      <c r="AM96" s="96">
        <v>3014710</v>
      </c>
      <c r="AN96" s="96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91">
        <f>TABL123[[#This Row],[( S/S+T/B) AJD]]-(TABL123[[#This Row],[(A/B + A/S) AJD]]+(TABL123[[#This Row],[(STORGE DIFF.) AJD]]*1000)+TABL123[[#This Row],[البخر  AJD]])</f>
        <v>17816</v>
      </c>
      <c r="AE97" s="75">
        <v>90</v>
      </c>
      <c r="AF97" s="75">
        <v>58.85</v>
      </c>
      <c r="AG97" s="75">
        <v>1524716</v>
      </c>
      <c r="AH97" s="45">
        <v>2286</v>
      </c>
      <c r="AI97" s="45">
        <v>2286</v>
      </c>
      <c r="AJ97" s="86">
        <f>TABL123[[#This Row],[(A/B TOT) AJD]]-TABL123[[#This Row],[BER_ IN]]</f>
        <v>491</v>
      </c>
      <c r="AK97" s="75">
        <v>25</v>
      </c>
      <c r="AL97" s="96">
        <v>42.835099999999997</v>
      </c>
      <c r="AM97" s="96">
        <v>3019020</v>
      </c>
      <c r="AN97" s="96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91">
        <f>TABL123[[#This Row],[( S/S+T/B) AJD]]-(TABL123[[#This Row],[(A/B + A/S) AJD]]+(TABL123[[#This Row],[(STORGE DIFF.) AJD]]*1000)+TABL123[[#This Row],[البخر  AJD]])</f>
        <v>-13036</v>
      </c>
      <c r="AE98" s="75">
        <v>90</v>
      </c>
      <c r="AF98" s="75">
        <v>58.78</v>
      </c>
      <c r="AG98" s="75">
        <v>1478610</v>
      </c>
      <c r="AH98" s="43">
        <v>2223</v>
      </c>
      <c r="AI98" s="43">
        <v>657660</v>
      </c>
      <c r="AJ98" s="86">
        <f>TABL123[[#This Row],[(A/B TOT) AJD]]-TABL123[[#This Row],[BER_ IN]]</f>
        <v>489</v>
      </c>
      <c r="AK98" s="75">
        <v>24</v>
      </c>
      <c r="AL98" s="96">
        <v>42.854700000000001</v>
      </c>
      <c r="AM98" s="96">
        <v>3029840</v>
      </c>
      <c r="AN98" s="96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91">
        <f>TABL123[[#This Row],[( S/S+T/B) AJD]]-(TABL123[[#This Row],[(A/B + A/S) AJD]]+(TABL123[[#This Row],[(STORGE DIFF.) AJD]]*1000)+TABL123[[#This Row],[البخر  AJD]])</f>
        <v>-19248</v>
      </c>
      <c r="AE99" s="75">
        <v>92</v>
      </c>
      <c r="AF99" s="75">
        <v>58.71</v>
      </c>
      <c r="AG99" s="75">
        <v>1432554</v>
      </c>
      <c r="AH99" s="45">
        <v>2060</v>
      </c>
      <c r="AI99" s="45">
        <v>2060</v>
      </c>
      <c r="AJ99" s="86">
        <f>TABL123[[#This Row],[(A/B TOT) AJD]]-TABL123[[#This Row],[BER_ IN]]</f>
        <v>482</v>
      </c>
      <c r="AK99" s="75">
        <v>25</v>
      </c>
      <c r="AL99" s="96">
        <v>42.863300000000002</v>
      </c>
      <c r="AM99" s="96">
        <v>3033860</v>
      </c>
      <c r="AN99" s="96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91">
        <f>TABL123[[#This Row],[( S/S+T/B) AJD]]-(TABL123[[#This Row],[(A/B + A/S) AJD]]+(TABL123[[#This Row],[(STORGE DIFF.) AJD]]*1000)+TABL123[[#This Row],[البخر  AJD]])</f>
        <v>3491</v>
      </c>
      <c r="AE100" s="75">
        <v>90</v>
      </c>
      <c r="AF100" s="75">
        <v>58.64</v>
      </c>
      <c r="AG100" s="75">
        <v>1386536</v>
      </c>
      <c r="AH100" s="43">
        <v>1674</v>
      </c>
      <c r="AI100" s="43">
        <v>1674</v>
      </c>
      <c r="AJ100" s="86">
        <f>TABL123[[#This Row],[(A/B TOT) AJD]]-TABL123[[#This Row],[BER_ IN]]</f>
        <v>485</v>
      </c>
      <c r="AK100" s="75">
        <v>21</v>
      </c>
      <c r="AL100" s="96">
        <v>42.850900000000003</v>
      </c>
      <c r="AM100" s="96">
        <v>3027660</v>
      </c>
      <c r="AN100" s="96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91">
        <f>TABL123[[#This Row],[( S/S+T/B) AJD]]-(TABL123[[#This Row],[(A/B + A/S) AJD]]+(TABL123[[#This Row],[(STORGE DIFF.) AJD]]*1000)+TABL123[[#This Row],[البخر  AJD]])</f>
        <v>18986</v>
      </c>
      <c r="AE101" s="75">
        <v>90</v>
      </c>
      <c r="AF101" s="75">
        <v>58.56</v>
      </c>
      <c r="AG101" s="75">
        <v>1333996</v>
      </c>
      <c r="AH101" s="45">
        <v>1612</v>
      </c>
      <c r="AI101" s="45">
        <v>1612</v>
      </c>
      <c r="AJ101" s="86">
        <f>TABL123[[#This Row],[(A/B TOT) AJD]]-TABL123[[#This Row],[BER_ IN]]</f>
        <v>485</v>
      </c>
      <c r="AK101" s="75">
        <v>21</v>
      </c>
      <c r="AL101" s="96">
        <v>42.835099999999997</v>
      </c>
      <c r="AM101" s="96">
        <v>3019020</v>
      </c>
      <c r="AN101" s="96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91">
        <f>TABL123[[#This Row],[( S/S+T/B) AJD]]-(TABL123[[#This Row],[(A/B + A/S) AJD]]+(TABL123[[#This Row],[(STORGE DIFF.) AJD]]*1000)+TABL123[[#This Row],[البخر  AJD]])</f>
        <v>35552</v>
      </c>
      <c r="AE102" s="75">
        <v>90</v>
      </c>
      <c r="AF102" s="75">
        <v>58.49</v>
      </c>
      <c r="AG102" s="75">
        <v>1288069</v>
      </c>
      <c r="AH102" s="43">
        <v>2327</v>
      </c>
      <c r="AI102" s="43">
        <v>2327</v>
      </c>
      <c r="AJ102" s="86">
        <f>TABL123[[#This Row],[(A/B TOT) AJD]]-TABL123[[#This Row],[BER_ IN]]</f>
        <v>489</v>
      </c>
      <c r="AK102" s="75">
        <v>22</v>
      </c>
      <c r="AL102" s="96">
        <v>42.835099999999997</v>
      </c>
      <c r="AM102" s="96">
        <v>3019020</v>
      </c>
      <c r="AN102" s="96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91">
        <f>TABL123[[#This Row],[( S/S+T/B) AJD]]-(TABL123[[#This Row],[(A/B + A/S) AJD]]+(TABL123[[#This Row],[(STORGE DIFF.) AJD]]*1000)+TABL123[[#This Row],[البخر  AJD]])</f>
        <v>35547</v>
      </c>
      <c r="AE103" s="75">
        <v>92</v>
      </c>
      <c r="AF103" s="75">
        <v>58.51</v>
      </c>
      <c r="AG103" s="75">
        <v>1301186</v>
      </c>
      <c r="AH103" s="45">
        <v>2234</v>
      </c>
      <c r="AI103" s="45">
        <v>2234</v>
      </c>
      <c r="AJ103" s="86">
        <f>TABL123[[#This Row],[(A/B TOT) AJD]]-TABL123[[#This Row],[BER_ IN]]</f>
        <v>489</v>
      </c>
      <c r="AK103" s="75">
        <v>22</v>
      </c>
      <c r="AL103" s="96">
        <v>42.830800000000004</v>
      </c>
      <c r="AM103" s="96">
        <v>3016870</v>
      </c>
      <c r="AN103" s="96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91">
        <f>TABL123[[#This Row],[( S/S+T/B) AJD]]-(TABL123[[#This Row],[(A/B + A/S) AJD]]+(TABL123[[#This Row],[(STORGE DIFF.) AJD]]*1000)+TABL123[[#This Row],[البخر  AJD]])</f>
        <v>4336</v>
      </c>
      <c r="AE104" s="75">
        <v>72</v>
      </c>
      <c r="AF104" s="75">
        <v>58.53</v>
      </c>
      <c r="AG104" s="75">
        <v>1314308</v>
      </c>
      <c r="AH104" s="43">
        <v>1762</v>
      </c>
      <c r="AI104" s="43">
        <v>1762</v>
      </c>
      <c r="AJ104" s="86">
        <f>TABL123[[#This Row],[(A/B TOT) AJD]]-TABL123[[#This Row],[BER_ IN]]</f>
        <v>490</v>
      </c>
      <c r="AK104" s="75">
        <v>23</v>
      </c>
      <c r="AL104" s="96">
        <v>42.813099999999999</v>
      </c>
      <c r="AM104" s="96">
        <v>3007150</v>
      </c>
      <c r="AN104" s="96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91">
        <f>TABL123[[#This Row],[( S/S+T/B) AJD]]-(TABL123[[#This Row],[(A/B + A/S) AJD]]+(TABL123[[#This Row],[(STORGE DIFF.) AJD]]*1000)+TABL123[[#This Row],[البخر  AJD]])</f>
        <v>9154</v>
      </c>
      <c r="AE105" s="75">
        <v>61</v>
      </c>
      <c r="AF105" s="75">
        <v>58.55</v>
      </c>
      <c r="AG105" s="75">
        <v>1327432</v>
      </c>
      <c r="AH105" s="45">
        <v>2035</v>
      </c>
      <c r="AI105" s="45">
        <v>2035</v>
      </c>
      <c r="AJ105" s="86">
        <f>TABL123[[#This Row],[(A/B TOT) AJD]]-TABL123[[#This Row],[BER_ IN]]</f>
        <v>503</v>
      </c>
      <c r="AK105" s="75">
        <v>24</v>
      </c>
      <c r="AL105" s="96">
        <v>42.790100000000002</v>
      </c>
      <c r="AM105" s="96">
        <v>2995030</v>
      </c>
      <c r="AN105" s="96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91">
        <f>TABL123[[#This Row],[( S/S+T/B) AJD]]-(TABL123[[#This Row],[(A/B + A/S) AJD]]+(TABL123[[#This Row],[(STORGE DIFF.) AJD]]*1000)+TABL123[[#This Row],[البخر  AJD]])</f>
        <v>5703</v>
      </c>
      <c r="AE106" s="75">
        <v>61</v>
      </c>
      <c r="AF106" s="75">
        <v>58.54</v>
      </c>
      <c r="AG106" s="75">
        <v>1320869</v>
      </c>
      <c r="AH106" s="43">
        <v>2840</v>
      </c>
      <c r="AI106" s="43">
        <v>2840</v>
      </c>
      <c r="AJ106" s="86">
        <f>TABL123[[#This Row],[(A/B TOT) AJD]]-TABL123[[#This Row],[BER_ IN]]</f>
        <v>493</v>
      </c>
      <c r="AK106" s="75">
        <v>23</v>
      </c>
      <c r="AL106" s="96">
        <v>42.783000000000001</v>
      </c>
      <c r="AM106" s="96">
        <v>2990960</v>
      </c>
      <c r="AN106" s="96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91">
        <f>TABL123[[#This Row],[( S/S+T/B) AJD]]-(TABL123[[#This Row],[(A/B + A/S) AJD]]+(TABL123[[#This Row],[(STORGE DIFF.) AJD]]*1000)+TABL123[[#This Row],[البخر  AJD]])</f>
        <v>-7345</v>
      </c>
      <c r="AE107" s="75">
        <v>62</v>
      </c>
      <c r="AF107" s="75">
        <v>58.56</v>
      </c>
      <c r="AG107" s="75">
        <v>1333996</v>
      </c>
      <c r="AH107" s="45">
        <v>1745</v>
      </c>
      <c r="AI107" s="45">
        <v>1745</v>
      </c>
      <c r="AJ107" s="86">
        <f>TABL123[[#This Row],[(A/B TOT) AJD]]-TABL123[[#This Row],[BER_ IN]]</f>
        <v>491</v>
      </c>
      <c r="AK107" s="75">
        <v>6</v>
      </c>
      <c r="AL107" s="96">
        <v>42.745600000000003</v>
      </c>
      <c r="AM107" s="96">
        <v>2971220</v>
      </c>
      <c r="AN107" s="96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91">
        <f>TABL123[[#This Row],[( S/S+T/B) AJD]]-(TABL123[[#This Row],[(A/B + A/S) AJD]]+(TABL123[[#This Row],[(STORGE DIFF.) AJD]]*1000)+TABL123[[#This Row],[البخر  AJD]])</f>
        <v>-14977</v>
      </c>
      <c r="AE108" s="75">
        <v>60</v>
      </c>
      <c r="AF108" s="75">
        <v>58.58</v>
      </c>
      <c r="AG108" s="75">
        <v>1347126</v>
      </c>
      <c r="AH108" s="43">
        <v>2275</v>
      </c>
      <c r="AI108" s="43">
        <v>2275</v>
      </c>
      <c r="AJ108" s="86">
        <f>TABL123[[#This Row],[(A/B TOT) AJD]]-TABL123[[#This Row],[BER_ IN]]</f>
        <v>493</v>
      </c>
      <c r="AK108" s="75">
        <v>0</v>
      </c>
      <c r="AL108" s="96">
        <v>42.700600000000001</v>
      </c>
      <c r="AM108" s="96">
        <v>2946760</v>
      </c>
      <c r="AN108" s="96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91">
        <f>TABL123[[#This Row],[( S/S+T/B) AJD]]-(TABL123[[#This Row],[(A/B + A/S) AJD]]+(TABL123[[#This Row],[(STORGE DIFF.) AJD]]*1000)+TABL123[[#This Row],[البخر  AJD]])</f>
        <v>8092</v>
      </c>
      <c r="AE109" s="75">
        <v>60</v>
      </c>
      <c r="AF109" s="75">
        <v>58.6</v>
      </c>
      <c r="AG109" s="75">
        <v>1360259</v>
      </c>
      <c r="AH109" s="45">
        <v>2309</v>
      </c>
      <c r="AI109" s="45">
        <v>2309</v>
      </c>
      <c r="AJ109" s="86">
        <f>TABL123[[#This Row],[(A/B TOT) AJD]]-TABL123[[#This Row],[BER_ IN]]</f>
        <v>493</v>
      </c>
      <c r="AK109" s="75">
        <v>0</v>
      </c>
      <c r="AL109" s="96">
        <v>42.674399999999999</v>
      </c>
      <c r="AM109" s="96">
        <v>2932700</v>
      </c>
      <c r="AN109" s="96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91">
        <f>TABL123[[#This Row],[( S/S+T/B) AJD]]-(TABL123[[#This Row],[(A/B + A/S) AJD]]+(TABL123[[#This Row],[(STORGE DIFF.) AJD]]*1000)+TABL123[[#This Row],[البخر  AJD]])</f>
        <v>-49072</v>
      </c>
      <c r="AE110" s="75">
        <v>60</v>
      </c>
      <c r="AF110" s="75">
        <v>58.62</v>
      </c>
      <c r="AG110" s="75">
        <v>1373396</v>
      </c>
      <c r="AH110" s="43">
        <v>2424</v>
      </c>
      <c r="AI110" s="43">
        <v>2424</v>
      </c>
      <c r="AJ110" s="86">
        <f>TABL123[[#This Row],[(A/B TOT) AJD]]-TABL123[[#This Row],[BER_ IN]]</f>
        <v>492</v>
      </c>
      <c r="AK110" s="75">
        <v>0</v>
      </c>
      <c r="AL110" s="96">
        <v>42.6447</v>
      </c>
      <c r="AM110" s="96">
        <v>2916590</v>
      </c>
      <c r="AN110" s="96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91">
        <f>TABL123[[#This Row],[( S/S+T/B) AJD]]-(TABL123[[#This Row],[(A/B + A/S) AJD]]+(TABL123[[#This Row],[(STORGE DIFF.) AJD]]*1000)+TABL123[[#This Row],[البخر  AJD]])</f>
        <v>-46651</v>
      </c>
      <c r="AE111" s="75">
        <v>69</v>
      </c>
      <c r="AF111" s="75">
        <v>58.55</v>
      </c>
      <c r="AG111" s="75">
        <v>1327432</v>
      </c>
      <c r="AH111" s="45">
        <v>2063</v>
      </c>
      <c r="AI111" s="45">
        <v>2063</v>
      </c>
      <c r="AJ111" s="86">
        <f>TABL123[[#This Row],[(A/B TOT) AJD]]-TABL123[[#This Row],[BER_ IN]]</f>
        <v>490</v>
      </c>
      <c r="AK111" s="75">
        <v>0</v>
      </c>
      <c r="AL111" s="96">
        <v>42.598100000000002</v>
      </c>
      <c r="AM111" s="96">
        <v>2891290</v>
      </c>
      <c r="AN111" s="96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91">
        <f>TABL123[[#This Row],[( S/S+T/B) AJD]]-(TABL123[[#This Row],[(A/B + A/S) AJD]]+(TABL123[[#This Row],[(STORGE DIFF.) AJD]]*1000)+TABL123[[#This Row],[البخر  AJD]])</f>
        <v>-18903</v>
      </c>
      <c r="AE112" s="75">
        <v>70</v>
      </c>
      <c r="AF112" s="75">
        <v>58.47</v>
      </c>
      <c r="AG112" s="75">
        <v>1274954</v>
      </c>
      <c r="AH112" s="43">
        <v>2278</v>
      </c>
      <c r="AI112" s="43">
        <v>2278</v>
      </c>
      <c r="AJ112" s="86">
        <f>TABL123[[#This Row],[(A/B TOT) AJD]]-TABL123[[#This Row],[BER_ IN]]</f>
        <v>494</v>
      </c>
      <c r="AK112" s="75">
        <v>0</v>
      </c>
      <c r="AL112" s="96">
        <v>42.552300000000002</v>
      </c>
      <c r="AM112" s="96">
        <v>2866550</v>
      </c>
      <c r="AN112" s="96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91">
        <f>TABL123[[#This Row],[( S/S+T/B) AJD]]-(TABL123[[#This Row],[(A/B + A/S) AJD]]+(TABL123[[#This Row],[(STORGE DIFF.) AJD]]*1000)+TABL123[[#This Row],[البخر  AJD]])</f>
        <v>40412</v>
      </c>
      <c r="AE113" s="75">
        <v>78</v>
      </c>
      <c r="AF113" s="75">
        <v>58.41</v>
      </c>
      <c r="AG113" s="75">
        <v>1235632</v>
      </c>
      <c r="AH113" s="45">
        <v>2396</v>
      </c>
      <c r="AI113" s="45">
        <v>2396</v>
      </c>
      <c r="AJ113" s="86">
        <f>TABL123[[#This Row],[(A/B TOT) AJD]]-TABL123[[#This Row],[BER_ IN]]</f>
        <v>506</v>
      </c>
      <c r="AK113" s="75">
        <v>0</v>
      </c>
      <c r="AL113" s="96">
        <v>42.513199999999998</v>
      </c>
      <c r="AM113" s="96">
        <v>2845590</v>
      </c>
      <c r="AN113" s="96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91">
        <f>TABL123[[#This Row],[( S/S+T/B) AJD]]-(TABL123[[#This Row],[(A/B + A/S) AJD]]+(TABL123[[#This Row],[(STORGE DIFF.) AJD]]*1000)+TABL123[[#This Row],[البخر  AJD]])</f>
        <v>62183</v>
      </c>
      <c r="AE114" s="75">
        <v>80</v>
      </c>
      <c r="AF114" s="75">
        <v>58.35</v>
      </c>
      <c r="AG114" s="75">
        <v>1196341</v>
      </c>
      <c r="AH114" s="43">
        <v>2308</v>
      </c>
      <c r="AI114" s="43">
        <v>2308</v>
      </c>
      <c r="AJ114" s="86">
        <f>TABL123[[#This Row],[(A/B TOT) AJD]]-TABL123[[#This Row],[BER_ IN]]</f>
        <v>517</v>
      </c>
      <c r="AK114" s="75">
        <v>0</v>
      </c>
      <c r="AL114" s="96">
        <v>42.4604</v>
      </c>
      <c r="AM114" s="96">
        <v>2817120</v>
      </c>
      <c r="AN114" s="96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91">
        <f>TABL123[[#This Row],[( S/S+T/B) AJD]]-(TABL123[[#This Row],[(A/B + A/S) AJD]]+(TABL123[[#This Row],[(STORGE DIFF.) AJD]]*1000)+TABL123[[#This Row],[البخر  AJD]])</f>
        <v>-20688</v>
      </c>
      <c r="AE115" s="75">
        <v>80</v>
      </c>
      <c r="AF115" s="75">
        <v>58.36</v>
      </c>
      <c r="AG115" s="75">
        <v>1202887</v>
      </c>
      <c r="AH115" s="45">
        <v>2472</v>
      </c>
      <c r="AI115" s="45">
        <v>2472</v>
      </c>
      <c r="AJ115" s="86">
        <f>TABL123[[#This Row],[(A/B TOT) AJD]]-TABL123[[#This Row],[BER_ IN]]</f>
        <v>508</v>
      </c>
      <c r="AK115" s="75">
        <v>0</v>
      </c>
      <c r="AL115" s="96">
        <v>42.4161</v>
      </c>
      <c r="AM115" s="96">
        <v>2793590</v>
      </c>
      <c r="AN115" s="96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91">
        <f>TABL123[[#This Row],[( S/S+T/B) AJD]]-(TABL123[[#This Row],[(A/B + A/S) AJD]]+(TABL123[[#This Row],[(STORGE DIFF.) AJD]]*1000)+TABL123[[#This Row],[البخر  AJD]])</f>
        <v>-17294</v>
      </c>
      <c r="AE116" s="75">
        <v>80</v>
      </c>
      <c r="AF116" s="75">
        <v>58.39</v>
      </c>
      <c r="AG116" s="75">
        <v>1222531</v>
      </c>
      <c r="AH116" s="43">
        <v>2012</v>
      </c>
      <c r="AI116" s="43">
        <v>2012</v>
      </c>
      <c r="AJ116" s="86">
        <f>TABL123[[#This Row],[(A/B TOT) AJD]]-TABL123[[#This Row],[BER_ IN]]</f>
        <v>507</v>
      </c>
      <c r="AK116" s="75">
        <v>0</v>
      </c>
      <c r="AL116" s="96">
        <v>42.399000000000001</v>
      </c>
      <c r="AM116" s="96">
        <v>2784380</v>
      </c>
      <c r="AN116" s="96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74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91">
        <f>TABL123[[#This Row],[( S/S+T/B) AJD]]-(TABL123[[#This Row],[(A/B + A/S) AJD]]+(TABL123[[#This Row],[(STORGE DIFF.) AJD]]*1000)+TABL123[[#This Row],[البخر  AJD]])</f>
        <v>-15806</v>
      </c>
      <c r="AE117" s="75">
        <v>80</v>
      </c>
      <c r="AF117" s="75">
        <v>58.41</v>
      </c>
      <c r="AG117" s="75">
        <v>1235632</v>
      </c>
      <c r="AH117" s="45">
        <v>2203</v>
      </c>
      <c r="AI117" s="45">
        <v>2203</v>
      </c>
      <c r="AJ117" s="86">
        <f>TABL123[[#This Row],[(A/B TOT) AJD]]-TABL123[[#This Row],[BER_ IN]]</f>
        <v>510</v>
      </c>
      <c r="AK117" s="75">
        <v>0</v>
      </c>
      <c r="AL117" s="96">
        <v>42.362099999999998</v>
      </c>
      <c r="AM117" s="96">
        <v>2764530</v>
      </c>
      <c r="AN117" s="96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91">
        <f>TABL123[[#This Row],[( S/S+T/B) AJD]]-(TABL123[[#This Row],[(A/B + A/S) AJD]]+(TABL123[[#This Row],[(STORGE DIFF.) AJD]]*1000)+TABL123[[#This Row],[البخر  AJD]])</f>
        <v>7522</v>
      </c>
      <c r="AE118" s="75">
        <v>80</v>
      </c>
      <c r="AF118" s="75">
        <v>58.45</v>
      </c>
      <c r="AG118" s="75">
        <v>1261843</v>
      </c>
      <c r="AH118" s="43">
        <v>2328</v>
      </c>
      <c r="AI118" s="43">
        <v>2328</v>
      </c>
      <c r="AJ118" s="86">
        <f>TABL123[[#This Row],[(A/B TOT) AJD]]-TABL123[[#This Row],[BER_ IN]]</f>
        <v>506</v>
      </c>
      <c r="AK118" s="75">
        <v>0</v>
      </c>
      <c r="AL118" s="96">
        <v>42.308500000000002</v>
      </c>
      <c r="AM118" s="96">
        <v>2735590</v>
      </c>
      <c r="AN118" s="96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91">
        <f>TABL123[[#This Row],[( S/S+T/B) AJD]]-(TABL123[[#This Row],[(A/B + A/S) AJD]]+(TABL123[[#This Row],[(STORGE DIFF.) AJD]]*1000)+TABL123[[#This Row],[البخر  AJD]])</f>
        <v>-1366</v>
      </c>
      <c r="AE119" s="75">
        <v>58</v>
      </c>
      <c r="AF119" s="75">
        <v>58.43</v>
      </c>
      <c r="AG119" s="75">
        <v>1248736</v>
      </c>
      <c r="AH119" s="45">
        <v>1387</v>
      </c>
      <c r="AI119" s="45">
        <v>1387</v>
      </c>
      <c r="AJ119" s="86">
        <f>TABL123[[#This Row],[(A/B TOT) AJD]]-TABL123[[#This Row],[BER_ IN]]</f>
        <v>528</v>
      </c>
      <c r="AK119" s="75">
        <v>0</v>
      </c>
      <c r="AL119" s="96">
        <v>42.298299999999998</v>
      </c>
      <c r="AM119" s="96">
        <v>2730770</v>
      </c>
      <c r="AN119" s="96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91">
        <f>TABL123[[#This Row],[( S/S+T/B) AJD]]-(TABL123[[#This Row],[(A/B + A/S) AJD]]+(TABL123[[#This Row],[(STORGE DIFF.) AJD]]*1000)+TABL123[[#This Row],[البخر  AJD]])</f>
        <v>-64556</v>
      </c>
      <c r="AE120" s="75">
        <v>49</v>
      </c>
      <c r="AF120" s="75">
        <v>58.4</v>
      </c>
      <c r="AG120" s="75">
        <v>1229081</v>
      </c>
      <c r="AH120" s="43">
        <v>2254</v>
      </c>
      <c r="AI120" s="43">
        <v>2254</v>
      </c>
      <c r="AJ120" s="86">
        <f>TABL123[[#This Row],[(A/B TOT) AJD]]-TABL123[[#This Row],[BER_ IN]]</f>
        <v>459</v>
      </c>
      <c r="AK120" s="75">
        <v>0</v>
      </c>
      <c r="AL120" s="96">
        <v>42.291600000000003</v>
      </c>
      <c r="AM120" s="96">
        <v>2727870</v>
      </c>
      <c r="AN120" s="96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91">
        <f>TABL123[[#This Row],[( S/S+T/B) AJD]]-(TABL123[[#This Row],[(A/B + A/S) AJD]]+(TABL123[[#This Row],[(STORGE DIFF.) AJD]]*1000)+TABL123[[#This Row],[البخر  AJD]])</f>
        <v>-76315</v>
      </c>
      <c r="AE121" s="75">
        <v>49</v>
      </c>
      <c r="AF121" s="75">
        <v>58.35</v>
      </c>
      <c r="AG121" s="75">
        <v>1196341</v>
      </c>
      <c r="AH121" s="45">
        <v>2060</v>
      </c>
      <c r="AI121" s="45">
        <v>2060</v>
      </c>
      <c r="AJ121" s="86">
        <f>TABL123[[#This Row],[(A/B TOT) AJD]]-TABL123[[#This Row],[BER_ IN]]</f>
        <v>480</v>
      </c>
      <c r="AK121" s="75">
        <v>0</v>
      </c>
      <c r="AL121" s="96">
        <v>42.284300000000002</v>
      </c>
      <c r="AM121" s="96">
        <v>2722360</v>
      </c>
      <c r="AN121" s="96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91">
        <f>TABL123[[#This Row],[( S/S+T/B) AJD]]-(TABL123[[#This Row],[(A/B + A/S) AJD]]+(TABL123[[#This Row],[(STORGE DIFF.) AJD]]*1000)+TABL123[[#This Row],[البخر  AJD]])</f>
        <v>7824</v>
      </c>
      <c r="AE122" s="75">
        <v>66</v>
      </c>
      <c r="AF122" s="75">
        <v>58.33</v>
      </c>
      <c r="AG122" s="75">
        <v>1183250</v>
      </c>
      <c r="AH122" s="43">
        <v>2028</v>
      </c>
      <c r="AI122" s="43">
        <v>2028</v>
      </c>
      <c r="AJ122" s="86">
        <f>TABL123[[#This Row],[(A/B TOT) AJD]]-TABL123[[#This Row],[BER_ IN]]</f>
        <v>514</v>
      </c>
      <c r="AK122" s="75">
        <v>15</v>
      </c>
      <c r="AL122" s="96">
        <v>42.27</v>
      </c>
      <c r="AM122" s="96">
        <v>2715240</v>
      </c>
      <c r="AN122" s="96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91">
        <f>TABL123[[#This Row],[( S/S+T/B) AJD]]-(TABL123[[#This Row],[(A/B + A/S) AJD]]+(TABL123[[#This Row],[(STORGE DIFF.) AJD]]*1000)+TABL123[[#This Row],[البخر  AJD]])</f>
        <v>31075</v>
      </c>
      <c r="AE123" s="75">
        <v>69</v>
      </c>
      <c r="AF123" s="75">
        <v>58.32</v>
      </c>
      <c r="AG123" s="75">
        <v>1176706</v>
      </c>
      <c r="AH123" s="45">
        <v>1999</v>
      </c>
      <c r="AI123" s="45">
        <v>1999</v>
      </c>
      <c r="AJ123" s="86">
        <f>TABL123[[#This Row],[(A/B TOT) AJD]]-TABL123[[#This Row],[BER_ IN]]</f>
        <v>472</v>
      </c>
      <c r="AK123" s="75">
        <v>21</v>
      </c>
      <c r="AL123" s="96">
        <v>42.277000000000001</v>
      </c>
      <c r="AM123" s="96">
        <v>2718490</v>
      </c>
      <c r="AN123" s="96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91">
        <f>TABL123[[#This Row],[( S/S+T/B) AJD]]-(TABL123[[#This Row],[(A/B + A/S) AJD]]+(TABL123[[#This Row],[(STORGE DIFF.) AJD]]*1000)+TABL123[[#This Row],[البخر  AJD]])</f>
        <v>23747</v>
      </c>
      <c r="AE124" s="75">
        <v>70</v>
      </c>
      <c r="AF124" s="75">
        <v>58.32</v>
      </c>
      <c r="AG124" s="75">
        <v>1176706</v>
      </c>
      <c r="AH124" s="43">
        <v>2387</v>
      </c>
      <c r="AI124" s="43">
        <v>2387</v>
      </c>
      <c r="AJ124" s="86">
        <f>TABL123[[#This Row],[(A/B TOT) AJD]]-TABL123[[#This Row],[BER_ IN]]</f>
        <v>493</v>
      </c>
      <c r="AK124" s="75">
        <v>21</v>
      </c>
      <c r="AL124" s="96">
        <v>42.257100000000001</v>
      </c>
      <c r="AM124" s="96">
        <v>2708940</v>
      </c>
      <c r="AN124" s="96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91">
        <f>TABL123[[#This Row],[( S/S+T/B) AJD]]-(TABL123[[#This Row],[(A/B + A/S) AJD]]+(TABL123[[#This Row],[(STORGE DIFF.) AJD]]*1000)+TABL123[[#This Row],[البخر  AJD]])</f>
        <v>19685</v>
      </c>
      <c r="AE125" s="75">
        <v>70</v>
      </c>
      <c r="AF125" s="75">
        <v>58.33</v>
      </c>
      <c r="AG125" s="75">
        <v>1183250</v>
      </c>
      <c r="AH125" s="45">
        <v>2000</v>
      </c>
      <c r="AI125" s="45">
        <v>2000</v>
      </c>
      <c r="AJ125" s="86">
        <f>TABL123[[#This Row],[(A/B TOT) AJD]]-TABL123[[#This Row],[BER_ IN]]</f>
        <v>496</v>
      </c>
      <c r="AK125" s="75">
        <v>21</v>
      </c>
      <c r="AL125" s="96">
        <v>42.231499999999997</v>
      </c>
      <c r="AM125" s="96">
        <v>2694890</v>
      </c>
      <c r="AN125" s="96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91">
        <f>TABL123[[#This Row],[( S/S+T/B) AJD]]-(TABL123[[#This Row],[(A/B + A/S) AJD]]+(TABL123[[#This Row],[(STORGE DIFF.) AJD]]*1000)+TABL123[[#This Row],[البخر  AJD]])</f>
        <v>-20940</v>
      </c>
      <c r="AE126" s="75">
        <v>70</v>
      </c>
      <c r="AF126" s="75">
        <v>58.35</v>
      </c>
      <c r="AG126" s="75">
        <v>1196341</v>
      </c>
      <c r="AH126" s="43">
        <v>2795</v>
      </c>
      <c r="AI126" s="43">
        <v>2795</v>
      </c>
      <c r="AJ126" s="86">
        <f>TABL123[[#This Row],[(A/B TOT) AJD]]-TABL123[[#This Row],[BER_ IN]]</f>
        <v>493</v>
      </c>
      <c r="AK126" s="75">
        <v>22</v>
      </c>
      <c r="AL126" s="96">
        <v>42.214199999999998</v>
      </c>
      <c r="AM126" s="96">
        <v>2685260</v>
      </c>
      <c r="AN126" s="96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91">
        <f>TABL123[[#This Row],[( S/S+T/B) AJD]]-(TABL123[[#This Row],[(A/B + A/S) AJD]]+(TABL123[[#This Row],[(STORGE DIFF.) AJD]]*1000)+TABL123[[#This Row],[البخر  AJD]])</f>
        <v>-38687</v>
      </c>
      <c r="AE127" s="75">
        <v>70</v>
      </c>
      <c r="AF127" s="75">
        <v>58.37</v>
      </c>
      <c r="AG127" s="75">
        <v>1209434</v>
      </c>
      <c r="AH127" s="45">
        <v>2691</v>
      </c>
      <c r="AI127" s="45">
        <v>2691</v>
      </c>
      <c r="AJ127" s="86">
        <f>TABL123[[#This Row],[(A/B TOT) AJD]]-TABL123[[#This Row],[BER_ IN]]</f>
        <v>496</v>
      </c>
      <c r="AK127" s="75">
        <v>22</v>
      </c>
      <c r="AL127" s="96">
        <v>42.195500000000003</v>
      </c>
      <c r="AM127" s="96">
        <v>2675570</v>
      </c>
      <c r="AN127" s="96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91">
        <f>TABL123[[#This Row],[( S/S+T/B) AJD]]-(TABL123[[#This Row],[(A/B + A/S) AJD]]+(TABL123[[#This Row],[(STORGE DIFF.) AJD]]*1000)+TABL123[[#This Row],[البخر  AJD]])</f>
        <v>-49734</v>
      </c>
      <c r="AE128" s="75">
        <v>67</v>
      </c>
      <c r="AF128" s="75">
        <v>58.38</v>
      </c>
      <c r="AG128" s="75">
        <v>1215983</v>
      </c>
      <c r="AH128" s="43">
        <v>2509</v>
      </c>
      <c r="AI128" s="43">
        <v>2509</v>
      </c>
      <c r="AJ128" s="86">
        <f>TABL123[[#This Row],[(A/B TOT) AJD]]-TABL123[[#This Row],[BER_ IN]]</f>
        <v>494</v>
      </c>
      <c r="AK128" s="75">
        <v>22</v>
      </c>
      <c r="AL128" s="96">
        <v>42.170099999999998</v>
      </c>
      <c r="AM128" s="96">
        <v>2661730</v>
      </c>
      <c r="AN128" s="96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91">
        <f>TABL123[[#This Row],[( S/S+T/B) AJD]]-(TABL123[[#This Row],[(A/B + A/S) AJD]]+(TABL123[[#This Row],[(STORGE DIFF.) AJD]]*1000)+TABL123[[#This Row],[البخر  AJD]])</f>
        <v>-103428</v>
      </c>
      <c r="AE129" s="75">
        <v>74</v>
      </c>
      <c r="AF129" s="75">
        <v>58.4</v>
      </c>
      <c r="AG129" s="75">
        <v>1229087</v>
      </c>
      <c r="AH129" s="45">
        <v>3585</v>
      </c>
      <c r="AI129" s="45">
        <v>3585</v>
      </c>
      <c r="AJ129" s="86">
        <f>TABL123[[#This Row],[(A/B TOT) AJD]]-TABL123[[#This Row],[BER_ IN]]</f>
        <v>436</v>
      </c>
      <c r="AK129" s="75">
        <v>21</v>
      </c>
      <c r="AL129" s="96">
        <v>42.133600000000001</v>
      </c>
      <c r="AM129" s="96">
        <v>2642534</v>
      </c>
      <c r="AN129" s="96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91">
        <f>TABL123[[#This Row],[( S/S+T/B) AJD]]-(TABL123[[#This Row],[(A/B + A/S) AJD]]+(TABL123[[#This Row],[(STORGE DIFF.) AJD]]*1000)+TABL123[[#This Row],[البخر  AJD]])</f>
        <v>-49866</v>
      </c>
      <c r="AE130" s="75">
        <v>73</v>
      </c>
      <c r="AF130" s="75">
        <v>58.4</v>
      </c>
      <c r="AG130" s="75">
        <v>1229087</v>
      </c>
      <c r="AH130" s="43">
        <v>2499</v>
      </c>
      <c r="AI130" s="43">
        <v>2499</v>
      </c>
      <c r="AJ130" s="86">
        <f>TABL123[[#This Row],[(A/B TOT) AJD]]-TABL123[[#This Row],[BER_ IN]]</f>
        <v>472</v>
      </c>
      <c r="AK130" s="75">
        <v>20</v>
      </c>
      <c r="AL130" s="96">
        <v>42.0944</v>
      </c>
      <c r="AM130" s="96">
        <v>2620580</v>
      </c>
      <c r="AN130" s="96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91">
        <f>TABL123[[#This Row],[( S/S+T/B) AJD]]-(TABL123[[#This Row],[(A/B + A/S) AJD]]+(TABL123[[#This Row],[(STORGE DIFF.) AJD]]*1000)+TABL123[[#This Row],[البخر  AJD]])</f>
        <v>7190</v>
      </c>
      <c r="AE131" s="75">
        <v>77</v>
      </c>
      <c r="AF131" s="75">
        <v>58.41</v>
      </c>
      <c r="AG131" s="75">
        <v>1235632</v>
      </c>
      <c r="AH131" s="45">
        <v>2263</v>
      </c>
      <c r="AI131" s="45">
        <v>2263</v>
      </c>
      <c r="AJ131" s="86">
        <f>TABL123[[#This Row],[(A/B TOT) AJD]]-TABL123[[#This Row],[BER_ IN]]</f>
        <v>504</v>
      </c>
      <c r="AK131" s="75">
        <v>21</v>
      </c>
      <c r="AL131" s="96">
        <v>42.033799999999999</v>
      </c>
      <c r="AM131" s="96">
        <v>2589050</v>
      </c>
      <c r="AN131" s="96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91">
        <f>TABL123[[#This Row],[( S/S+T/B) AJD]]-(TABL123[[#This Row],[(A/B + A/S) AJD]]+(TABL123[[#This Row],[(STORGE DIFF.) AJD]]*1000)+TABL123[[#This Row],[البخر  AJD]])</f>
        <v>26557</v>
      </c>
      <c r="AE132" s="75">
        <v>79</v>
      </c>
      <c r="AF132" s="75">
        <v>58.44</v>
      </c>
      <c r="AG132" s="75">
        <v>1255289</v>
      </c>
      <c r="AH132" s="75">
        <v>2195</v>
      </c>
      <c r="AI132" s="75">
        <v>2195</v>
      </c>
      <c r="AJ132" s="86">
        <f>TABL123[[#This Row],[(A/B TOT) AJD]]-TABL123[[#This Row],[BER_ IN]]</f>
        <v>502</v>
      </c>
      <c r="AK132" s="75">
        <v>23</v>
      </c>
      <c r="AL132" s="96">
        <v>41.994599999999998</v>
      </c>
      <c r="AM132" s="96">
        <v>2568280</v>
      </c>
      <c r="AN132" s="96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91">
        <f>TABL123[[#This Row],[( S/S+T/B) AJD]]-(TABL123[[#This Row],[(A/B + A/S) AJD]]+(TABL123[[#This Row],[(STORGE DIFF.) AJD]]*1000)+TABL123[[#This Row],[البخر  AJD]])</f>
        <v>30292</v>
      </c>
      <c r="AE133" s="75">
        <v>85</v>
      </c>
      <c r="AF133" s="75">
        <v>58.47</v>
      </c>
      <c r="AG133" s="75">
        <v>1274954</v>
      </c>
      <c r="AH133" s="45">
        <v>2368</v>
      </c>
      <c r="AI133" s="45">
        <v>2368</v>
      </c>
      <c r="AJ133" s="86">
        <f>TABL123[[#This Row],[(A/B TOT) AJD]]-TABL123[[#This Row],[BER_ IN]]</f>
        <v>496</v>
      </c>
      <c r="AK133" s="75">
        <v>23</v>
      </c>
      <c r="AL133" s="96">
        <v>41.935400000000001</v>
      </c>
      <c r="AM133" s="96">
        <v>2536790</v>
      </c>
      <c r="AN133" s="96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91">
        <f>TABL123[[#This Row],[( S/S+T/B) AJD]]-(TABL123[[#This Row],[(A/B + A/S) AJD]]+(TABL123[[#This Row],[(STORGE DIFF.) AJD]]*1000)+TABL123[[#This Row],[البخر  AJD]])</f>
        <v>-17169</v>
      </c>
      <c r="AE134" s="75">
        <v>83</v>
      </c>
      <c r="AF134" s="75">
        <v>58.53</v>
      </c>
      <c r="AG134" s="75">
        <v>1314308</v>
      </c>
      <c r="AH134" s="43">
        <v>2312</v>
      </c>
      <c r="AI134" s="43">
        <v>2312</v>
      </c>
      <c r="AJ134" s="86">
        <f>TABL123[[#This Row],[(A/B TOT) AJD]]-TABL123[[#This Row],[BER_ IN]]</f>
        <v>459</v>
      </c>
      <c r="AK134" s="75">
        <v>22</v>
      </c>
      <c r="AL134" s="96">
        <v>41.8491</v>
      </c>
      <c r="AM134" s="96">
        <v>2490490</v>
      </c>
      <c r="AN134" s="96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91">
        <f>TABL123[[#This Row],[( S/S+T/B) AJD]]-(TABL123[[#This Row],[(A/B + A/S) AJD]]+(TABL123[[#This Row],[(STORGE DIFF.) AJD]]*1000)+TABL123[[#This Row],[البخر  AJD]])</f>
        <v>44698</v>
      </c>
      <c r="AE135" s="75">
        <v>84</v>
      </c>
      <c r="AF135" s="75">
        <v>58.6</v>
      </c>
      <c r="AG135" s="75">
        <v>1360259</v>
      </c>
      <c r="AH135" s="45">
        <v>2503</v>
      </c>
      <c r="AI135" s="45">
        <v>2503</v>
      </c>
      <c r="AJ135" s="86">
        <f>TABL123[[#This Row],[(A/B TOT) AJD]]-TABL123[[#This Row],[BER_ IN]]</f>
        <v>512</v>
      </c>
      <c r="AK135" s="75">
        <v>21</v>
      </c>
      <c r="AL135" s="96">
        <v>41.803199999999997</v>
      </c>
      <c r="AM135" s="96">
        <v>2466220</v>
      </c>
      <c r="AN135" s="96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91">
        <f>TABL123[[#This Row],[( S/S+T/B) AJD]]-(TABL123[[#This Row],[(A/B + A/S) AJD]]+(TABL123[[#This Row],[(STORGE DIFF.) AJD]]*1000)+TABL123[[#This Row],[البخر  AJD]])</f>
        <v>70279</v>
      </c>
      <c r="AE136" s="75">
        <v>83</v>
      </c>
      <c r="AF136" s="75">
        <v>58.71</v>
      </c>
      <c r="AG136" s="75">
        <v>1432554</v>
      </c>
      <c r="AH136" s="43">
        <v>2154</v>
      </c>
      <c r="AI136" s="43">
        <v>2154</v>
      </c>
      <c r="AJ136" s="86">
        <f>TABL123[[#This Row],[(A/B TOT) AJD]]-TABL123[[#This Row],[BER_ IN]]</f>
        <v>517</v>
      </c>
      <c r="AK136" s="75">
        <v>21</v>
      </c>
      <c r="AL136" s="96">
        <v>41.749600000000001</v>
      </c>
      <c r="AM136" s="96">
        <v>2437846</v>
      </c>
      <c r="AN136" s="96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91">
        <f>TABL123[[#This Row],[( S/S+T/B) AJD]]-(TABL123[[#This Row],[(A/B + A/S) AJD]]+(TABL123[[#This Row],[(STORGE DIFF.) AJD]]*1000)+TABL123[[#This Row],[البخر  AJD]])</f>
        <v>68218</v>
      </c>
      <c r="AE137" s="75">
        <v>77</v>
      </c>
      <c r="AF137" s="75">
        <v>58.805999999999997</v>
      </c>
      <c r="AG137" s="75">
        <v>1495732</v>
      </c>
      <c r="AH137" s="45">
        <v>3171</v>
      </c>
      <c r="AI137" s="45">
        <v>3171</v>
      </c>
      <c r="AJ137" s="86">
        <f>TABL123[[#This Row],[(A/B TOT) AJD]]-TABL123[[#This Row],[BER_ IN]]</f>
        <v>517</v>
      </c>
      <c r="AK137" s="75">
        <v>22</v>
      </c>
      <c r="AL137" s="96">
        <v>41.739400000000003</v>
      </c>
      <c r="AM137" s="96">
        <v>2432180</v>
      </c>
      <c r="AN137" s="96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91">
        <f>TABL123[[#This Row],[( S/S+T/B) AJD]]-(TABL123[[#This Row],[(A/B + A/S) AJD]]+(TABL123[[#This Row],[(STORGE DIFF.) AJD]]*1000)+TABL123[[#This Row],[البخر  AJD]])</f>
        <v>15946</v>
      </c>
      <c r="AE138" s="75">
        <v>67</v>
      </c>
      <c r="AF138" s="75">
        <v>58.89</v>
      </c>
      <c r="AG138" s="75">
        <v>1551079</v>
      </c>
      <c r="AH138" s="43">
        <v>3153</v>
      </c>
      <c r="AI138" s="43">
        <v>3153</v>
      </c>
      <c r="AJ138" s="86">
        <f>TABL123[[#This Row],[(A/B TOT) AJD]]-TABL123[[#This Row],[BER_ IN]]</f>
        <v>533</v>
      </c>
      <c r="AK138" s="75">
        <v>21</v>
      </c>
      <c r="AL138" s="96">
        <v>41.726900000000001</v>
      </c>
      <c r="AM138" s="96">
        <v>2425620</v>
      </c>
      <c r="AN138" s="96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91">
        <f>TABL123[[#This Row],[( S/S+T/B) AJD]]-(TABL123[[#This Row],[(A/B + A/S) AJD]]+(TABL123[[#This Row],[(STORGE DIFF.) AJD]]*1000)+TABL123[[#This Row],[البخر  AJD]])</f>
        <v>16355</v>
      </c>
      <c r="AE139" s="75">
        <v>55</v>
      </c>
      <c r="AF139" s="75">
        <v>58.9</v>
      </c>
      <c r="AG139" s="75">
        <v>1557672</v>
      </c>
      <c r="AH139" s="45">
        <v>3547</v>
      </c>
      <c r="AI139" s="45">
        <v>3547</v>
      </c>
      <c r="AJ139" s="86">
        <f>TABL123[[#This Row],[(A/B TOT) AJD]]-TABL123[[#This Row],[BER_ IN]]</f>
        <v>553</v>
      </c>
      <c r="AK139" s="75">
        <v>22</v>
      </c>
      <c r="AL139" s="96">
        <v>41.713000000000001</v>
      </c>
      <c r="AM139" s="96">
        <v>2418190</v>
      </c>
      <c r="AN139" s="96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91">
        <f>TABL123[[#This Row],[( S/S+T/B) AJD]]-(TABL123[[#This Row],[(A/B + A/S) AJD]]+(TABL123[[#This Row],[(STORGE DIFF.) AJD]]*1000)+TABL123[[#This Row],[البخر  AJD]])</f>
        <v>967</v>
      </c>
      <c r="AE140" s="75">
        <v>55</v>
      </c>
      <c r="AF140" s="75">
        <v>58.91</v>
      </c>
      <c r="AG140" s="75">
        <v>1564266</v>
      </c>
      <c r="AH140" s="43">
        <v>3566</v>
      </c>
      <c r="AI140" s="43">
        <v>3566</v>
      </c>
      <c r="AJ140" s="86">
        <f>TABL123[[#This Row],[(A/B TOT) AJD]]-TABL123[[#This Row],[BER_ IN]]</f>
        <v>545</v>
      </c>
      <c r="AK140" s="75">
        <v>21</v>
      </c>
      <c r="AL140" s="96">
        <v>41.699399999999997</v>
      </c>
      <c r="AM140" s="96">
        <v>2410720</v>
      </c>
      <c r="AN140" s="96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91">
        <f>TABL123[[#This Row],[( S/S+T/B) AJD]]-(TABL123[[#This Row],[(A/B + A/S) AJD]]+(TABL123[[#This Row],[(STORGE DIFF.) AJD]]*1000)+TABL123[[#This Row],[البخر  AJD]])</f>
        <v>15114</v>
      </c>
      <c r="AE141" s="75">
        <v>56</v>
      </c>
      <c r="AF141" s="75">
        <v>58.9</v>
      </c>
      <c r="AG141" s="75">
        <v>1557672</v>
      </c>
      <c r="AH141" s="45">
        <v>2253</v>
      </c>
      <c r="AI141" s="45">
        <v>2253</v>
      </c>
      <c r="AJ141" s="86">
        <f>TABL123[[#This Row],[(A/B TOT) AJD]]-TABL123[[#This Row],[BER_ IN]]</f>
        <v>544</v>
      </c>
      <c r="AK141" s="75">
        <v>21</v>
      </c>
      <c r="AL141" s="96">
        <v>41.711100000000002</v>
      </c>
      <c r="AM141" s="96">
        <v>2417120</v>
      </c>
      <c r="AN141" s="96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91">
        <f>TABL123[[#This Row],[( S/S+T/B) AJD]]-(TABL123[[#This Row],[(A/B + A/S) AJD]]+(TABL123[[#This Row],[(STORGE DIFF.) AJD]]*1000)+TABL123[[#This Row],[البخر  AJD]])</f>
        <v>-33633</v>
      </c>
      <c r="AE142" s="75">
        <v>60</v>
      </c>
      <c r="AF142" s="75">
        <v>58.89</v>
      </c>
      <c r="AG142" s="75">
        <v>1551079</v>
      </c>
      <c r="AH142" s="43">
        <v>2439</v>
      </c>
      <c r="AI142" s="43">
        <v>2439</v>
      </c>
      <c r="AJ142" s="86">
        <f>TABL123[[#This Row],[(A/B TOT) AJD]]-TABL123[[#This Row],[BER_ IN]]</f>
        <v>508</v>
      </c>
      <c r="AK142" s="75">
        <v>23</v>
      </c>
      <c r="AL142" s="96">
        <v>41.703400000000002</v>
      </c>
      <c r="AM142" s="96">
        <v>2412880</v>
      </c>
      <c r="AN142" s="96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91">
        <f>TABL123[[#This Row],[( S/S+T/B) AJD]]-(TABL123[[#This Row],[(A/B + A/S) AJD]]+(TABL123[[#This Row],[(STORGE DIFF.) AJD]]*1000)+TABL123[[#This Row],[البخر  AJD]])</f>
        <v>-4213</v>
      </c>
      <c r="AE143" s="75">
        <v>62</v>
      </c>
      <c r="AF143" s="75">
        <v>58.87</v>
      </c>
      <c r="AG143" s="75">
        <v>1537896</v>
      </c>
      <c r="AH143" s="45">
        <v>2427</v>
      </c>
      <c r="AI143" s="45">
        <v>2427</v>
      </c>
      <c r="AJ143" s="86">
        <f>TABL123[[#This Row],[(A/B TOT) AJD]]-TABL123[[#This Row],[BER_ IN]]</f>
        <v>495</v>
      </c>
      <c r="AK143" s="75">
        <v>22</v>
      </c>
      <c r="AL143" s="96">
        <v>41.691400000000002</v>
      </c>
      <c r="AM143" s="96">
        <v>2406300</v>
      </c>
      <c r="AN143" s="96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91">
        <f>TABL123[[#This Row],[( S/S+T/B) AJD]]-(TABL123[[#This Row],[(A/B + A/S) AJD]]+(TABL123[[#This Row],[(STORGE DIFF.) AJD]]*1000)+TABL123[[#This Row],[البخر  AJD]])</f>
        <v>-36604</v>
      </c>
      <c r="AE144" s="75">
        <v>59</v>
      </c>
      <c r="AF144" s="75">
        <v>58.9</v>
      </c>
      <c r="AG144" s="75">
        <v>1557673</v>
      </c>
      <c r="AH144" s="43">
        <v>1575</v>
      </c>
      <c r="AI144" s="43">
        <v>1575</v>
      </c>
      <c r="AJ144" s="86">
        <f>TABL123[[#This Row],[(A/B TOT) AJD]]-TABL123[[#This Row],[BER_ IN]]</f>
        <v>480</v>
      </c>
      <c r="AK144" s="75">
        <v>22</v>
      </c>
      <c r="AL144" s="96">
        <v>41.697400000000002</v>
      </c>
      <c r="AM144" s="96">
        <v>2409710</v>
      </c>
      <c r="AN144" s="96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91">
        <f>TABL123[[#This Row],[( S/S+T/B) AJD]]-(TABL123[[#This Row],[(A/B + A/S) AJD]]+(TABL123[[#This Row],[(STORGE DIFF.) AJD]]*1000)+TABL123[[#This Row],[البخر  AJD]])</f>
        <v>-45680</v>
      </c>
      <c r="AE145" s="75">
        <v>54</v>
      </c>
      <c r="AF145" s="75">
        <v>58.87</v>
      </c>
      <c r="AG145" s="75">
        <v>1537896</v>
      </c>
      <c r="AH145" s="45">
        <v>2421</v>
      </c>
      <c r="AI145" s="45">
        <v>2421</v>
      </c>
      <c r="AJ145" s="86">
        <f>TABL123[[#This Row],[(A/B TOT) AJD]]-TABL123[[#This Row],[BER_ IN]]</f>
        <v>483</v>
      </c>
      <c r="AK145" s="75">
        <v>22</v>
      </c>
      <c r="AL145" s="96">
        <v>41.688200000000002</v>
      </c>
      <c r="AM145" s="96">
        <v>2404910</v>
      </c>
      <c r="AN145" s="96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91">
        <f>TABL123[[#This Row],[( S/S+T/B) AJD]]-(TABL123[[#This Row],[(A/B + A/S) AJD]]+(TABL123[[#This Row],[(STORGE DIFF.) AJD]]*1000)+TABL123[[#This Row],[البخر  AJD]])</f>
        <v>-36717</v>
      </c>
      <c r="AE146" s="75">
        <v>62</v>
      </c>
      <c r="AF146" s="75">
        <v>58.86</v>
      </c>
      <c r="AG146" s="75">
        <v>1531306</v>
      </c>
      <c r="AH146" s="43">
        <v>2190</v>
      </c>
      <c r="AI146" s="43">
        <v>2190</v>
      </c>
      <c r="AJ146" s="86">
        <f>TABL123[[#This Row],[(A/B TOT) AJD]]-TABL123[[#This Row],[BER_ IN]]</f>
        <v>468</v>
      </c>
      <c r="AK146" s="75">
        <v>22</v>
      </c>
      <c r="AL146" s="96">
        <v>41.642600000000002</v>
      </c>
      <c r="AM146" s="96">
        <v>2381030</v>
      </c>
      <c r="AN146" s="96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91">
        <f>TABL123[[#This Row],[( S/S+T/B) AJD]]-(TABL123[[#This Row],[(A/B + A/S) AJD]]+(TABL123[[#This Row],[(STORGE DIFF.) AJD]]*1000)+TABL123[[#This Row],[البخر  AJD]])</f>
        <v>-39793</v>
      </c>
      <c r="AE147" s="75">
        <v>62</v>
      </c>
      <c r="AF147" s="75">
        <v>58.85</v>
      </c>
      <c r="AG147" s="75">
        <v>1524716</v>
      </c>
      <c r="AH147" s="45">
        <v>2189</v>
      </c>
      <c r="AI147" s="45">
        <v>2189</v>
      </c>
      <c r="AJ147" s="86">
        <f>TABL123[[#This Row],[(A/B TOT) AJD]]-TABL123[[#This Row],[BER_ IN]]</f>
        <v>461</v>
      </c>
      <c r="AK147" s="75">
        <v>22</v>
      </c>
      <c r="AL147" s="96">
        <v>41.604100000000003</v>
      </c>
      <c r="AM147" s="96">
        <v>2360540</v>
      </c>
      <c r="AN147" s="96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91">
        <f>TABL123[[#This Row],[( S/S+T/B) AJD]]-(TABL123[[#This Row],[(A/B + A/S) AJD]]+(TABL123[[#This Row],[(STORGE DIFF.) AJD]]*1000)+TABL123[[#This Row],[البخر  AJD]])</f>
        <v>-26034</v>
      </c>
      <c r="AE148" s="75">
        <v>59</v>
      </c>
      <c r="AF148" s="75">
        <v>58.936</v>
      </c>
      <c r="AG148" s="75">
        <v>1581414</v>
      </c>
      <c r="AH148" s="43">
        <v>2302</v>
      </c>
      <c r="AI148" s="43">
        <v>2302</v>
      </c>
      <c r="AJ148" s="86">
        <f>TABL123[[#This Row],[(A/B TOT) AJD]]-TABL123[[#This Row],[BER_ IN]]</f>
        <v>475</v>
      </c>
      <c r="AK148" s="75">
        <v>22</v>
      </c>
      <c r="AL148" s="96">
        <v>41.573099999999997</v>
      </c>
      <c r="AM148" s="96">
        <v>2343900</v>
      </c>
      <c r="AN148" s="96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91">
        <f>TABL123[[#This Row],[( S/S+T/B) AJD]]-(TABL123[[#This Row],[(A/B + A/S) AJD]]+(TABL123[[#This Row],[(STORGE DIFF.) AJD]]*1000)+TABL123[[#This Row],[البخر  AJD]])</f>
        <v>-31990</v>
      </c>
      <c r="AE149" s="75">
        <v>58</v>
      </c>
      <c r="AF149" s="75">
        <v>59.02</v>
      </c>
      <c r="AG149" s="75">
        <v>1636855</v>
      </c>
      <c r="AH149" s="45">
        <v>2558</v>
      </c>
      <c r="AI149" s="45">
        <v>2558</v>
      </c>
      <c r="AJ149" s="86">
        <f>TABL123[[#This Row],[(A/B TOT) AJD]]-TABL123[[#This Row],[BER_ IN]]</f>
        <v>473</v>
      </c>
      <c r="AK149" s="75">
        <v>22</v>
      </c>
      <c r="AL149" s="96">
        <v>41.573099999999997</v>
      </c>
      <c r="AM149" s="96">
        <v>2343900</v>
      </c>
      <c r="AN149" s="96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91">
        <f>TABL123[[#This Row],[( S/S+T/B) AJD]]-(TABL123[[#This Row],[(A/B + A/S) AJD]]+(TABL123[[#This Row],[(STORGE DIFF.) AJD]]*1000)+TABL123[[#This Row],[البخر  AJD]])</f>
        <v>-12152</v>
      </c>
      <c r="AE150" s="75">
        <v>52</v>
      </c>
      <c r="AF150" s="75">
        <v>58.97</v>
      </c>
      <c r="AG150" s="75">
        <v>1603847</v>
      </c>
      <c r="AH150" s="43">
        <v>2502</v>
      </c>
      <c r="AI150" s="43">
        <v>2502</v>
      </c>
      <c r="AJ150" s="86">
        <f>TABL123[[#This Row],[(A/B TOT) AJD]]-TABL123[[#This Row],[BER_ IN]]</f>
        <v>455</v>
      </c>
      <c r="AK150" s="75">
        <v>21</v>
      </c>
      <c r="AL150" s="96">
        <v>41.557600000000001</v>
      </c>
      <c r="AM150" s="96">
        <v>2335950</v>
      </c>
      <c r="AN150" s="96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91">
        <f>TABL123[[#This Row],[( S/S+T/B) AJD]]-(TABL123[[#This Row],[(A/B + A/S) AJD]]+(TABL123[[#This Row],[(STORGE DIFF.) AJD]]*1000)+TABL123[[#This Row],[البخر  AJD]])</f>
        <v>12668</v>
      </c>
      <c r="AE151" s="75">
        <v>50</v>
      </c>
      <c r="AF151" s="75">
        <v>58.9</v>
      </c>
      <c r="AG151" s="75">
        <v>1557672</v>
      </c>
      <c r="AH151" s="45">
        <v>2502</v>
      </c>
      <c r="AI151" s="45">
        <v>2502</v>
      </c>
      <c r="AJ151" s="86">
        <f>TABL123[[#This Row],[(A/B TOT) AJD]]-TABL123[[#This Row],[BER_ IN]]</f>
        <v>484</v>
      </c>
      <c r="AK151" s="75">
        <v>22</v>
      </c>
      <c r="AL151" s="96">
        <v>41.566299999999998</v>
      </c>
      <c r="AM151" s="96">
        <v>2340190</v>
      </c>
      <c r="AN151" s="96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91">
        <f>TABL123[[#This Row],[( S/S+T/B) AJD]]-(TABL123[[#This Row],[(A/B + A/S) AJD]]+(TABL123[[#This Row],[(STORGE DIFF.) AJD]]*1000)+TABL123[[#This Row],[البخر  AJD]])</f>
        <v>-11710</v>
      </c>
      <c r="AE152" s="75">
        <v>55</v>
      </c>
      <c r="AF152" s="75">
        <v>58.85</v>
      </c>
      <c r="AG152" s="75">
        <v>1524716</v>
      </c>
      <c r="AH152" s="43">
        <v>2331</v>
      </c>
      <c r="AI152" s="43">
        <v>2331</v>
      </c>
      <c r="AJ152" s="86">
        <f>TABL123[[#This Row],[(A/B TOT) AJD]]-TABL123[[#This Row],[BER_ IN]]</f>
        <v>448</v>
      </c>
      <c r="AK152" s="75">
        <v>21</v>
      </c>
      <c r="AL152" s="96">
        <v>41.5505</v>
      </c>
      <c r="AM152" s="96">
        <v>2331710</v>
      </c>
      <c r="AN152" s="96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91">
        <f>TABL123[[#This Row],[( S/S+T/B) AJD]]-(TABL123[[#This Row],[(A/B + A/S) AJD]]+(TABL123[[#This Row],[(STORGE DIFF.) AJD]]*1000)+TABL123[[#This Row],[البخر  AJD]])</f>
        <v>130785</v>
      </c>
      <c r="AE153" s="75">
        <v>55</v>
      </c>
      <c r="AF153" s="75">
        <v>58.78</v>
      </c>
      <c r="AG153" s="75">
        <v>1478614</v>
      </c>
      <c r="AH153" s="43">
        <v>2282</v>
      </c>
      <c r="AI153" s="43">
        <v>2282</v>
      </c>
      <c r="AJ153" s="86">
        <f>TABL123[[#This Row],[(A/B TOT) AJD]]-TABL123[[#This Row],[BER_ IN]]</f>
        <v>515</v>
      </c>
      <c r="AK153" s="75">
        <v>22</v>
      </c>
      <c r="AL153" s="96">
        <v>41.536200000000001</v>
      </c>
      <c r="AM153" s="96">
        <v>2324390</v>
      </c>
      <c r="AN153" s="96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91">
        <f>TABL123[[#This Row],[( S/S+T/B) AJD]]-(TABL123[[#This Row],[(A/B + A/S) AJD]]+(TABL123[[#This Row],[(STORGE DIFF.) AJD]]*1000)+TABL123[[#This Row],[البخر  AJD]])</f>
        <v>20798</v>
      </c>
      <c r="AE154" s="75">
        <v>57</v>
      </c>
      <c r="AF154" s="75">
        <v>58.75</v>
      </c>
      <c r="AG154" s="75">
        <v>1458868</v>
      </c>
      <c r="AH154" s="45">
        <v>2015</v>
      </c>
      <c r="AI154" s="45">
        <v>2015</v>
      </c>
      <c r="AJ154" s="86">
        <f>TABL123[[#This Row],[(A/B TOT) AJD]]-TABL123[[#This Row],[BER_ IN]]</f>
        <v>514</v>
      </c>
      <c r="AK154" s="75">
        <v>21</v>
      </c>
      <c r="AL154" s="96">
        <v>41.519799999999996</v>
      </c>
      <c r="AM154" s="96">
        <v>2315820</v>
      </c>
      <c r="AN154" s="96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91">
        <f>TABL123[[#This Row],[( S/S+T/B) AJD]]-(TABL123[[#This Row],[(A/B + A/S) AJD]]+(TABL123[[#This Row],[(STORGE DIFF.) AJD]]*1000)+TABL123[[#This Row],[البخر  AJD]])</f>
        <v>4742</v>
      </c>
      <c r="AE155" s="75">
        <v>65</v>
      </c>
      <c r="AF155" s="75">
        <v>59.59</v>
      </c>
      <c r="AG155" s="75">
        <v>2014674</v>
      </c>
      <c r="AH155" s="43">
        <v>2490</v>
      </c>
      <c r="AI155" s="43">
        <v>2490</v>
      </c>
      <c r="AJ155" s="86">
        <f>TABL123[[#This Row],[(A/B TOT) AJD]]-TABL123[[#This Row],[BER_ IN]]</f>
        <v>485</v>
      </c>
      <c r="AK155" s="75">
        <v>22</v>
      </c>
      <c r="AL155" s="96">
        <v>41.496499999999997</v>
      </c>
      <c r="AM155" s="96">
        <v>2303630</v>
      </c>
      <c r="AN155" s="96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91">
        <f>TABL123[[#This Row],[( S/S+T/B) AJD]]-(TABL123[[#This Row],[(A/B + A/S) AJD]]+(TABL123[[#This Row],[(STORGE DIFF.) AJD]]*1000)+TABL123[[#This Row],[البخر  AJD]])</f>
        <v>19168</v>
      </c>
      <c r="AE156" s="75">
        <v>55</v>
      </c>
      <c r="AF156" s="75">
        <v>59.54</v>
      </c>
      <c r="AG156" s="75">
        <v>1981420</v>
      </c>
      <c r="AH156" s="45">
        <v>2490</v>
      </c>
      <c r="AI156" s="45">
        <v>2490</v>
      </c>
      <c r="AJ156" s="86">
        <f>TABL123[[#This Row],[(A/B TOT) AJD]]-TABL123[[#This Row],[BER_ IN]]</f>
        <v>488</v>
      </c>
      <c r="AK156" s="75">
        <v>21</v>
      </c>
      <c r="AL156" s="96">
        <v>41.472000000000001</v>
      </c>
      <c r="AM156" s="96">
        <v>2290380</v>
      </c>
      <c r="AN156" s="96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91">
        <f>TABL123[[#This Row],[( S/S+T/B) AJD]]-(TABL123[[#This Row],[(A/B + A/S) AJD]]+(TABL123[[#This Row],[(STORGE DIFF.) AJD]]*1000)+TABL123[[#This Row],[البخر  AJD]])</f>
        <v>24930</v>
      </c>
      <c r="AE157" s="75">
        <v>53</v>
      </c>
      <c r="AF157" s="75">
        <v>59.5</v>
      </c>
      <c r="AG157" s="75">
        <v>1954832</v>
      </c>
      <c r="AH157" s="43">
        <v>2005</v>
      </c>
      <c r="AI157" s="43">
        <v>2005</v>
      </c>
      <c r="AJ157" s="86">
        <f>TABL123[[#This Row],[(A/B TOT) AJD]]-TABL123[[#This Row],[BER_ IN]]</f>
        <v>478</v>
      </c>
      <c r="AK157" s="75">
        <v>20</v>
      </c>
      <c r="AL157" s="96">
        <v>41.435699999999997</v>
      </c>
      <c r="AM157" s="96">
        <v>2271293</v>
      </c>
      <c r="AN157" s="96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91">
        <f>TABL123[[#This Row],[( S/S+T/B) AJD]]-(TABL123[[#This Row],[(A/B + A/S) AJD]]+(TABL123[[#This Row],[(STORGE DIFF.) AJD]]*1000)+TABL123[[#This Row],[البخر  AJD]])</f>
        <v>46126</v>
      </c>
      <c r="AE158" s="75">
        <v>75</v>
      </c>
      <c r="AF158" s="75">
        <v>59.588999999999999</v>
      </c>
      <c r="AG158" s="75">
        <v>2014009</v>
      </c>
      <c r="AH158" s="45">
        <v>2587</v>
      </c>
      <c r="AI158" s="45">
        <v>2587</v>
      </c>
      <c r="AJ158" s="86">
        <f>TABL123[[#This Row],[(A/B TOT) AJD]]-TABL123[[#This Row],[BER_ IN]]</f>
        <v>472</v>
      </c>
      <c r="AK158" s="75">
        <v>21</v>
      </c>
      <c r="AL158" s="96">
        <v>41.411200000000001</v>
      </c>
      <c r="AM158" s="96">
        <v>2258290</v>
      </c>
      <c r="AN158" s="96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91">
        <f>TABL123[[#This Row],[( S/S+T/B) AJD]]-(TABL123[[#This Row],[(A/B + A/S) AJD]]+(TABL123[[#This Row],[(STORGE DIFF.) AJD]]*1000)+TABL123[[#This Row],[البخر  AJD]])</f>
        <v>40045</v>
      </c>
      <c r="AE159" s="75">
        <v>50</v>
      </c>
      <c r="AF159" s="75">
        <v>59.47</v>
      </c>
      <c r="AG159" s="75">
        <v>1934900</v>
      </c>
      <c r="AH159" s="43">
        <v>2325</v>
      </c>
      <c r="AI159" s="43">
        <v>2325</v>
      </c>
      <c r="AJ159" s="86">
        <f>TABL123[[#This Row],[(A/B TOT) AJD]]-TABL123[[#This Row],[BER_ IN]]</f>
        <v>483</v>
      </c>
      <c r="AK159" s="75">
        <v>21</v>
      </c>
      <c r="AL159" s="96">
        <v>41.373199999999997</v>
      </c>
      <c r="AM159" s="96">
        <v>2238560</v>
      </c>
      <c r="AN159" s="96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91">
        <f>TABL123[[#This Row],[( S/S+T/B) AJD]]-(TABL123[[#This Row],[(A/B + A/S) AJD]]+(TABL123[[#This Row],[(STORGE DIFF.) AJD]]*1000)+TABL123[[#This Row],[البخر  AJD]])</f>
        <v>25753</v>
      </c>
      <c r="AE160" s="75">
        <v>52</v>
      </c>
      <c r="AF160" s="75">
        <v>59.37</v>
      </c>
      <c r="AG160" s="75">
        <v>1868516</v>
      </c>
      <c r="AH160" s="45">
        <v>2485</v>
      </c>
      <c r="AI160" s="45">
        <v>2485</v>
      </c>
      <c r="AJ160" s="86">
        <f>TABL123[[#This Row],[(A/B TOT) AJD]]-TABL123[[#This Row],[BER_ IN]]</f>
        <v>487</v>
      </c>
      <c r="AK160" s="75">
        <v>22</v>
      </c>
      <c r="AL160" s="96">
        <v>41.348199999999999</v>
      </c>
      <c r="AM160" s="96">
        <v>2225350</v>
      </c>
      <c r="AN160" s="96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91">
        <f>TABL123[[#This Row],[( S/S+T/B) AJD]]-(TABL123[[#This Row],[(A/B + A/S) AJD]]+(TABL123[[#This Row],[(STORGE DIFF.) AJD]]*1000)+TABL123[[#This Row],[البخر  AJD]])</f>
        <v>-20702</v>
      </c>
      <c r="AE161" s="75">
        <v>41</v>
      </c>
      <c r="AF161" s="75">
        <v>59.25</v>
      </c>
      <c r="AG161" s="75">
        <v>1788970</v>
      </c>
      <c r="AH161" s="43">
        <v>3009</v>
      </c>
      <c r="AI161" s="43">
        <v>3009</v>
      </c>
      <c r="AJ161" s="86">
        <f>TABL123[[#This Row],[(A/B TOT) AJD]]-TABL123[[#This Row],[BER_ IN]]</f>
        <v>480</v>
      </c>
      <c r="AK161" s="75">
        <v>21</v>
      </c>
      <c r="AL161" s="96">
        <v>41.3352</v>
      </c>
      <c r="AM161" s="96">
        <v>2218180</v>
      </c>
      <c r="AN161" s="96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91">
        <f>TABL123[[#This Row],[( S/S+T/B) AJD]]-(TABL123[[#This Row],[(A/B + A/S) AJD]]+(TABL123[[#This Row],[(STORGE DIFF.) AJD]]*1000)+TABL123[[#This Row],[البخر  AJD]])</f>
        <v>-36143</v>
      </c>
      <c r="AE162" s="75">
        <v>37</v>
      </c>
      <c r="AF162" s="75">
        <v>59.2</v>
      </c>
      <c r="AG162" s="75">
        <v>1755863</v>
      </c>
      <c r="AH162" s="45">
        <v>2160</v>
      </c>
      <c r="AI162" s="45">
        <v>2160</v>
      </c>
      <c r="AJ162" s="86">
        <f>TABL123[[#This Row],[(A/B TOT) AJD]]-TABL123[[#This Row],[BER_ IN]]</f>
        <v>484</v>
      </c>
      <c r="AK162" s="75">
        <v>21</v>
      </c>
      <c r="AL162" s="96">
        <v>41.328699999999998</v>
      </c>
      <c r="AM162" s="96">
        <v>2214800</v>
      </c>
      <c r="AN162" s="96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91">
        <f>TABL123[[#This Row],[( S/S+T/B) AJD]]-(TABL123[[#This Row],[(A/B + A/S) AJD]]+(TABL123[[#This Row],[(STORGE DIFF.) AJD]]*1000)+TABL123[[#This Row],[البخر  AJD]])</f>
        <v>-44459</v>
      </c>
      <c r="AE163" s="75">
        <v>35</v>
      </c>
      <c r="AF163" s="75">
        <v>59.14</v>
      </c>
      <c r="AG163" s="75">
        <v>1716162</v>
      </c>
      <c r="AH163" s="43">
        <v>3000</v>
      </c>
      <c r="AI163" s="43">
        <v>3000</v>
      </c>
      <c r="AJ163" s="86">
        <f>TABL123[[#This Row],[(A/B TOT) AJD]]-TABL123[[#This Row],[BER_ IN]]</f>
        <v>481</v>
      </c>
      <c r="AK163" s="75">
        <v>21</v>
      </c>
      <c r="AL163" s="96">
        <v>41.322800000000001</v>
      </c>
      <c r="AM163" s="96">
        <v>2211110</v>
      </c>
      <c r="AN163" s="96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91">
        <f>TABL123[[#This Row],[( S/S+T/B) AJD]]-(TABL123[[#This Row],[(A/B + A/S) AJD]]+(TABL123[[#This Row],[(STORGE DIFF.) AJD]]*1000)+TABL123[[#This Row],[البخر  AJD]])</f>
        <v>-44911</v>
      </c>
      <c r="AE164" s="75">
        <v>33</v>
      </c>
      <c r="AF164" s="75">
        <v>59.098999999999997</v>
      </c>
      <c r="AG164" s="75">
        <v>1689052</v>
      </c>
      <c r="AH164" s="45">
        <v>2911</v>
      </c>
      <c r="AI164" s="45">
        <v>2911</v>
      </c>
      <c r="AJ164" s="86">
        <f>TABL123[[#This Row],[(A/B TOT) AJD]]-TABL123[[#This Row],[BER_ IN]]</f>
        <v>497</v>
      </c>
      <c r="AK164" s="75">
        <v>21</v>
      </c>
      <c r="AL164" s="96">
        <v>41.313499999999998</v>
      </c>
      <c r="AM164" s="96">
        <v>2206375</v>
      </c>
      <c r="AN164" s="96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91">
        <f>TABL123[[#This Row],[( S/S+T/B) AJD]]-(TABL123[[#This Row],[(A/B + A/S) AJD]]+(TABL123[[#This Row],[(STORGE DIFF.) AJD]]*1000)+TABL123[[#This Row],[البخر  AJD]])</f>
        <v>-55158</v>
      </c>
      <c r="AE165" s="75">
        <v>37</v>
      </c>
      <c r="AF165" s="75">
        <v>59.02</v>
      </c>
      <c r="AG165" s="75">
        <v>1636855</v>
      </c>
      <c r="AH165" s="43">
        <v>2000</v>
      </c>
      <c r="AI165" s="43">
        <v>2000</v>
      </c>
      <c r="AJ165" s="86">
        <f>TABL123[[#This Row],[(A/B TOT) AJD]]-TABL123[[#This Row],[BER_ IN]]</f>
        <v>495</v>
      </c>
      <c r="AK165" s="75">
        <v>21</v>
      </c>
      <c r="AL165" s="96">
        <v>41.305799999999998</v>
      </c>
      <c r="AM165" s="96">
        <v>2202650</v>
      </c>
      <c r="AN165" s="96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91">
        <f>TABL123[[#This Row],[( S/S+T/B) AJD]]-(TABL123[[#This Row],[(A/B + A/S) AJD]]+(TABL123[[#This Row],[(STORGE DIFF.) AJD]]*1000)+TABL123[[#This Row],[البخر  AJD]])</f>
        <v>-43917</v>
      </c>
      <c r="AE166" s="75">
        <v>45</v>
      </c>
      <c r="AF166" s="75">
        <v>59.04</v>
      </c>
      <c r="AG166" s="75">
        <v>1650054</v>
      </c>
      <c r="AH166" s="45">
        <v>2960</v>
      </c>
      <c r="AI166" s="45">
        <v>2960</v>
      </c>
      <c r="AJ166" s="86">
        <f>TABL123[[#This Row],[(A/B TOT) AJD]]-TABL123[[#This Row],[BER_ IN]]</f>
        <v>489</v>
      </c>
      <c r="AK166" s="75">
        <v>34</v>
      </c>
      <c r="AL166" s="96">
        <v>41.305100000000003</v>
      </c>
      <c r="AM166" s="96">
        <v>2202190</v>
      </c>
      <c r="AN166" s="96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91">
        <f>TABL123[[#This Row],[( S/S+T/B) AJD]]-(TABL123[[#This Row],[(A/B + A/S) AJD]]+(TABL123[[#This Row],[(STORGE DIFF.) AJD]]*1000)+TABL123[[#This Row],[البخر  AJD]])</f>
        <v>-36058</v>
      </c>
      <c r="AE167" s="75">
        <v>50</v>
      </c>
      <c r="AF167" s="75">
        <v>59.03</v>
      </c>
      <c r="AG167" s="75">
        <v>1643459</v>
      </c>
      <c r="AH167" s="43">
        <v>2965</v>
      </c>
      <c r="AI167" s="43">
        <v>2965</v>
      </c>
      <c r="AJ167" s="86">
        <f>TABL123[[#This Row],[(A/B TOT) AJD]]-TABL123[[#This Row],[BER_ IN]]</f>
        <v>499</v>
      </c>
      <c r="AK167" s="75">
        <v>31</v>
      </c>
      <c r="AL167" s="96">
        <v>41.2988</v>
      </c>
      <c r="AM167" s="96">
        <v>2198960</v>
      </c>
      <c r="AN167" s="96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91">
        <f>TABL123[[#This Row],[( S/S+T/B) AJD]]-(TABL123[[#This Row],[(A/B + A/S) AJD]]+(TABL123[[#This Row],[(STORGE DIFF.) AJD]]*1000)+TABL123[[#This Row],[البخر  AJD]])</f>
        <v>-2023</v>
      </c>
      <c r="AE168" s="75">
        <v>55</v>
      </c>
      <c r="AF168" s="75">
        <v>59.07</v>
      </c>
      <c r="AG168" s="75">
        <v>1669884</v>
      </c>
      <c r="AH168" s="45">
        <v>1999</v>
      </c>
      <c r="AI168" s="45">
        <v>1999</v>
      </c>
      <c r="AJ168" s="86">
        <f>TABL123[[#This Row],[(A/B TOT) AJD]]-TABL123[[#This Row],[BER_ IN]]</f>
        <v>495</v>
      </c>
      <c r="AK168" s="75">
        <v>27</v>
      </c>
      <c r="AL168" s="96">
        <v>41.288400000000003</v>
      </c>
      <c r="AM168" s="96">
        <v>2193170</v>
      </c>
      <c r="AN168" s="96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91">
        <f>TABL123[[#This Row],[( S/S+T/B) AJD]]-(TABL123[[#This Row],[(A/B + A/S) AJD]]+(TABL123[[#This Row],[(STORGE DIFF.) AJD]]*1000)+TABL123[[#This Row],[البخر  AJD]])</f>
        <v>-19420</v>
      </c>
      <c r="AE169" s="75">
        <v>59</v>
      </c>
      <c r="AF169" s="75">
        <v>59.08</v>
      </c>
      <c r="AG169" s="75">
        <v>1676493</v>
      </c>
      <c r="AH169" s="43">
        <v>2999</v>
      </c>
      <c r="AI169" s="43">
        <v>2999</v>
      </c>
      <c r="AJ169" s="86">
        <f>TABL123[[#This Row],[(A/B TOT) AJD]]-TABL123[[#This Row],[BER_ IN]]</f>
        <v>480</v>
      </c>
      <c r="AK169" s="75">
        <v>28</v>
      </c>
      <c r="AL169" s="96">
        <v>41.29</v>
      </c>
      <c r="AM169" s="96">
        <v>2194210</v>
      </c>
      <c r="AN169" s="96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91">
        <f>TABL123[[#This Row],[( S/S+T/B) AJD]]-(TABL123[[#This Row],[(A/B + A/S) AJD]]+(TABL123[[#This Row],[(STORGE DIFF.) AJD]]*1000)+TABL123[[#This Row],[البخر  AJD]])</f>
        <v>20577</v>
      </c>
      <c r="AE170" s="75">
        <v>59</v>
      </c>
      <c r="AF170" s="75">
        <v>59.13</v>
      </c>
      <c r="AG170" s="75">
        <v>1709548</v>
      </c>
      <c r="AH170" s="45">
        <v>2965</v>
      </c>
      <c r="AI170" s="45">
        <v>2965</v>
      </c>
      <c r="AJ170" s="86">
        <f>TABL123[[#This Row],[(A/B TOT) AJD]]-TABL123[[#This Row],[BER_ IN]]</f>
        <v>511</v>
      </c>
      <c r="AK170" s="75">
        <v>30</v>
      </c>
      <c r="AL170" s="96">
        <v>41.296999999999997</v>
      </c>
      <c r="AM170" s="96">
        <v>2197980</v>
      </c>
      <c r="AN170" s="96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91">
        <f>TABL123[[#This Row],[( S/S+T/B) AJD]]-(TABL123[[#This Row],[(A/B + A/S) AJD]]+(TABL123[[#This Row],[(STORGE DIFF.) AJD]]*1000)+TABL123[[#This Row],[البخر  AJD]])</f>
        <v>12969</v>
      </c>
      <c r="AE171" s="75">
        <v>60</v>
      </c>
      <c r="AF171" s="75">
        <v>59.17</v>
      </c>
      <c r="AG171" s="75">
        <v>1736008</v>
      </c>
      <c r="AH171" s="43">
        <v>1999</v>
      </c>
      <c r="AI171" s="43">
        <v>1999</v>
      </c>
      <c r="AJ171" s="86">
        <f>TABL123[[#This Row],[(A/B TOT) AJD]]-TABL123[[#This Row],[BER_ IN]]</f>
        <v>506</v>
      </c>
      <c r="AK171" s="75">
        <v>30</v>
      </c>
      <c r="AL171" s="96">
        <v>41.245199999999997</v>
      </c>
      <c r="AM171" s="96">
        <v>2170510</v>
      </c>
      <c r="AN171" s="96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91">
        <f>TABL123[[#This Row],[( S/S+T/B) AJD]]-(TABL123[[#This Row],[(A/B + A/S) AJD]]+(TABL123[[#This Row],[(STORGE DIFF.) AJD]]*1000)+TABL123[[#This Row],[البخر  AJD]])</f>
        <v>24313</v>
      </c>
      <c r="AE172" s="75">
        <v>60</v>
      </c>
      <c r="AF172" s="75">
        <v>59.19</v>
      </c>
      <c r="AG172" s="75">
        <v>1749244</v>
      </c>
      <c r="AH172" s="45">
        <v>2498</v>
      </c>
      <c r="AI172" s="45">
        <v>2498</v>
      </c>
      <c r="AJ172" s="86">
        <f>TABL123[[#This Row],[(A/B TOT) AJD]]-TABL123[[#This Row],[BER_ IN]]</f>
        <v>530</v>
      </c>
      <c r="AK172" s="75">
        <v>30</v>
      </c>
      <c r="AL172" s="96">
        <v>41.244999999999997</v>
      </c>
      <c r="AM172" s="96">
        <v>2170490</v>
      </c>
      <c r="AN172" s="96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91">
        <f>TABL123[[#This Row],[( S/S+T/B) AJD]]-(TABL123[[#This Row],[(A/B + A/S) AJD]]+(TABL123[[#This Row],[(STORGE DIFF.) AJD]]*1000)+TABL123[[#This Row],[البخر  AJD]])</f>
        <v>5974</v>
      </c>
      <c r="AE173" s="75">
        <v>60</v>
      </c>
      <c r="AF173" s="75">
        <v>59.22</v>
      </c>
      <c r="AG173" s="75">
        <v>1769103</v>
      </c>
      <c r="AH173" s="43">
        <v>2287</v>
      </c>
      <c r="AI173" s="43">
        <v>2287</v>
      </c>
      <c r="AJ173" s="86">
        <f>TABL123[[#This Row],[(A/B TOT) AJD]]-TABL123[[#This Row],[BER_ IN]]</f>
        <v>506</v>
      </c>
      <c r="AK173" s="75">
        <v>30</v>
      </c>
      <c r="AL173" s="96">
        <v>41.2286</v>
      </c>
      <c r="AM173" s="96">
        <v>2162020</v>
      </c>
      <c r="AN173" s="96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91">
        <f>TABL123[[#This Row],[( S/S+T/B) AJD]]-(TABL123[[#This Row],[(A/B + A/S) AJD]]+(TABL123[[#This Row],[(STORGE DIFF.) AJD]]*1000)+TABL123[[#This Row],[البخر  AJD]])</f>
        <v>1088</v>
      </c>
      <c r="AE174" s="75">
        <v>60</v>
      </c>
      <c r="AF174" s="75">
        <v>59.25</v>
      </c>
      <c r="AG174" s="75">
        <v>1788970</v>
      </c>
      <c r="AH174" s="45">
        <v>2015</v>
      </c>
      <c r="AI174" s="45">
        <v>2015</v>
      </c>
      <c r="AJ174" s="86">
        <f>TABL123[[#This Row],[(A/B TOT) AJD]]-TABL123[[#This Row],[BER_ IN]]</f>
        <v>505</v>
      </c>
      <c r="AK174" s="75">
        <v>30</v>
      </c>
      <c r="AL174" s="96">
        <v>41.183</v>
      </c>
      <c r="AM174" s="96">
        <v>2137770</v>
      </c>
      <c r="AN174" s="96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91">
        <f>TABL123[[#This Row],[( S/S+T/B) AJD]]-(TABL123[[#This Row],[(A/B + A/S) AJD]]+(TABL123[[#This Row],[(STORGE DIFF.) AJD]]*1000)+TABL123[[#This Row],[البخر  AJD]])</f>
        <v>-3942</v>
      </c>
      <c r="AE175" s="75">
        <v>60</v>
      </c>
      <c r="AF175" s="75">
        <v>59.27</v>
      </c>
      <c r="AG175" s="75">
        <v>1802219</v>
      </c>
      <c r="AH175" s="43">
        <v>2524</v>
      </c>
      <c r="AI175" s="43">
        <v>2524</v>
      </c>
      <c r="AJ175" s="86">
        <f>TABL123[[#This Row],[(A/B TOT) AJD]]-TABL123[[#This Row],[BER_ IN]]</f>
        <v>498</v>
      </c>
      <c r="AK175" s="75">
        <v>30</v>
      </c>
      <c r="AL175" s="96">
        <v>41.145099999999999</v>
      </c>
      <c r="AM175" s="96">
        <v>2117740</v>
      </c>
      <c r="AN175" s="96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91">
        <f>TABL123[[#This Row],[( S/S+T/B) AJD]]-(TABL123[[#This Row],[(A/B + A/S) AJD]]+(TABL123[[#This Row],[(STORGE DIFF.) AJD]]*1000)+TABL123[[#This Row],[البخر  AJD]])</f>
        <v>14641</v>
      </c>
      <c r="AE176" s="75">
        <v>60</v>
      </c>
      <c r="AF176" s="75">
        <v>59.28</v>
      </c>
      <c r="AG176" s="75">
        <v>1808845</v>
      </c>
      <c r="AH176" s="45">
        <v>2060</v>
      </c>
      <c r="AI176" s="45">
        <v>2060</v>
      </c>
      <c r="AJ176" s="86">
        <f>TABL123[[#This Row],[(A/B TOT) AJD]]-TABL123[[#This Row],[BER_ IN]]</f>
        <v>487</v>
      </c>
      <c r="AK176" s="75">
        <v>30</v>
      </c>
      <c r="AL176" s="96">
        <v>41.128399999999999</v>
      </c>
      <c r="AM176" s="96">
        <v>2109030</v>
      </c>
      <c r="AN176" s="96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91">
        <f>TABL123[[#This Row],[( S/S+T/B) AJD]]-(TABL123[[#This Row],[(A/B + A/S) AJD]]+(TABL123[[#This Row],[(STORGE DIFF.) AJD]]*1000)+TABL123[[#This Row],[البخر  AJD]])</f>
        <v>58341</v>
      </c>
      <c r="AE177" s="75">
        <v>53</v>
      </c>
      <c r="AF177" s="75">
        <v>59.24</v>
      </c>
      <c r="AG177" s="75">
        <v>1782347</v>
      </c>
      <c r="AH177" s="43">
        <v>2157</v>
      </c>
      <c r="AI177" s="43">
        <v>2157</v>
      </c>
      <c r="AJ177" s="86">
        <f>TABL123[[#This Row],[(A/B TOT) AJD]]-TABL123[[#This Row],[BER_ IN]]</f>
        <v>466</v>
      </c>
      <c r="AK177" s="75">
        <v>16</v>
      </c>
      <c r="AL177" s="96">
        <v>41.130899999999997</v>
      </c>
      <c r="AM177" s="96">
        <v>2110370</v>
      </c>
      <c r="AN177" s="96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91">
        <f>TABL123[[#This Row],[( S/S+T/B) AJD]]-(TABL123[[#This Row],[(A/B + A/S) AJD]]+(TABL123[[#This Row],[(STORGE DIFF.) AJD]]*1000)+TABL123[[#This Row],[البخر  AJD]])</f>
        <v>45484</v>
      </c>
      <c r="AE178" s="75">
        <v>40</v>
      </c>
      <c r="AF178" s="75">
        <v>59.16</v>
      </c>
      <c r="AG178" s="75">
        <v>1729392</v>
      </c>
      <c r="AH178" s="45">
        <v>2513</v>
      </c>
      <c r="AI178" s="45">
        <v>2513</v>
      </c>
      <c r="AJ178" s="86">
        <f>TABL123[[#This Row],[(A/B TOT) AJD]]-TABL123[[#This Row],[BER_ IN]]</f>
        <v>513</v>
      </c>
      <c r="AK178" s="75">
        <v>13</v>
      </c>
      <c r="AL178" s="96">
        <v>41.135800000000003</v>
      </c>
      <c r="AM178" s="96">
        <v>2113010</v>
      </c>
      <c r="AN178" s="96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91">
        <f>TABL123[[#This Row],[( S/S+T/B) AJD]]-(TABL123[[#This Row],[(A/B + A/S) AJD]]+(TABL123[[#This Row],[(STORGE DIFF.) AJD]]*1000)+TABL123[[#This Row],[البخر  AJD]])</f>
        <v>58001</v>
      </c>
      <c r="AE179" s="75">
        <v>40</v>
      </c>
      <c r="AF179" s="75">
        <v>59.13</v>
      </c>
      <c r="AG179" s="75">
        <v>1709548</v>
      </c>
      <c r="AH179" s="43">
        <v>2643</v>
      </c>
      <c r="AI179" s="43">
        <v>2643</v>
      </c>
      <c r="AJ179" s="86">
        <f>TABL123[[#This Row],[(A/B TOT) AJD]]-TABL123[[#This Row],[BER_ IN]]</f>
        <v>515</v>
      </c>
      <c r="AK179" s="75">
        <v>13</v>
      </c>
      <c r="AL179" s="96">
        <v>41.137999999999998</v>
      </c>
      <c r="AM179" s="96">
        <v>2114640</v>
      </c>
      <c r="AN179" s="96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91">
        <f>TABL123[[#This Row],[( S/S+T/B) AJD]]-(TABL123[[#This Row],[(A/B + A/S) AJD]]+(TABL123[[#This Row],[(STORGE DIFF.) AJD]]*1000)+TABL123[[#This Row],[البخر  AJD]])</f>
        <v>3678</v>
      </c>
      <c r="AE180" s="75">
        <v>42</v>
      </c>
      <c r="AF180" s="75">
        <v>59.08</v>
      </c>
      <c r="AG180" s="75">
        <v>1676493</v>
      </c>
      <c r="AH180" s="45">
        <v>2627</v>
      </c>
      <c r="AI180" s="45">
        <v>2627</v>
      </c>
      <c r="AJ180" s="86">
        <f>TABL123[[#This Row],[(A/B TOT) AJD]]-TABL123[[#This Row],[BER_ IN]]</f>
        <v>512</v>
      </c>
      <c r="AK180" s="75">
        <v>14</v>
      </c>
      <c r="AL180" s="96">
        <v>41.145000000000003</v>
      </c>
      <c r="AM180" s="96">
        <v>2114380</v>
      </c>
      <c r="AN180" s="96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91">
        <f>TABL123[[#This Row],[( S/S+T/B) AJD]]-(TABL123[[#This Row],[(A/B + A/S) AJD]]+(TABL123[[#This Row],[(STORGE DIFF.) AJD]]*1000)+TABL123[[#This Row],[البخر  AJD]])</f>
        <v>7878</v>
      </c>
      <c r="AE181" s="75">
        <v>43</v>
      </c>
      <c r="AF181" s="75">
        <v>59.081000000000003</v>
      </c>
      <c r="AG181" s="75">
        <v>1677154</v>
      </c>
      <c r="AH181" s="43">
        <v>2659</v>
      </c>
      <c r="AI181" s="43">
        <v>2659</v>
      </c>
      <c r="AJ181" s="86">
        <f>TABL123[[#This Row],[(A/B TOT) AJD]]-TABL123[[#This Row],[BER_ IN]]</f>
        <v>510</v>
      </c>
      <c r="AK181" s="75">
        <v>13</v>
      </c>
      <c r="AL181" s="96">
        <v>41.118600000000001</v>
      </c>
      <c r="AM181" s="96">
        <v>2103570</v>
      </c>
      <c r="AN181" s="96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91">
        <f>TABL123[[#This Row],[( S/S+T/B) AJD]]-(TABL123[[#This Row],[(A/B + A/S) AJD]]+(TABL123[[#This Row],[(STORGE DIFF.) AJD]]*1000)+TABL123[[#This Row],[البخر  AJD]])</f>
        <v>-51629</v>
      </c>
      <c r="AE182" s="75">
        <v>39</v>
      </c>
      <c r="AF182" s="75">
        <v>59.05</v>
      </c>
      <c r="AG182" s="75">
        <v>1656670</v>
      </c>
      <c r="AH182" s="45">
        <v>2601</v>
      </c>
      <c r="AI182" s="45">
        <v>2601</v>
      </c>
      <c r="AJ182" s="86">
        <f>TABL123[[#This Row],[(A/B TOT) AJD]]-TABL123[[#This Row],[BER_ IN]]</f>
        <v>518</v>
      </c>
      <c r="AK182" s="75">
        <v>14</v>
      </c>
      <c r="AL182" s="96">
        <v>41.096400000000003</v>
      </c>
      <c r="AM182" s="96">
        <v>2092440</v>
      </c>
      <c r="AN182" s="96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91">
        <f>TABL123[[#This Row],[( S/S+T/B) AJD]]-(TABL123[[#This Row],[(A/B + A/S) AJD]]+(TABL123[[#This Row],[(STORGE DIFF.) AJD]]*1000)+TABL123[[#This Row],[البخر  AJD]])</f>
        <v>-39425</v>
      </c>
      <c r="AE183" s="75">
        <v>40</v>
      </c>
      <c r="AF183" s="75">
        <v>59.08</v>
      </c>
      <c r="AG183" s="75">
        <v>1676493</v>
      </c>
      <c r="AH183" s="43">
        <v>2802</v>
      </c>
      <c r="AI183" s="43">
        <v>2802</v>
      </c>
      <c r="AJ183" s="86">
        <f>TABL123[[#This Row],[(A/B TOT) AJD]]-TABL123[[#This Row],[BER_ IN]]</f>
        <v>515</v>
      </c>
      <c r="AK183" s="75">
        <v>13</v>
      </c>
      <c r="AL183" s="96">
        <v>41.068199999999997</v>
      </c>
      <c r="AM183" s="96">
        <v>2077210</v>
      </c>
      <c r="AN183" s="96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91">
        <f>TABL123[[#This Row],[( S/S+T/B) AJD]]-(TABL123[[#This Row],[(A/B + A/S) AJD]]+(TABL123[[#This Row],[(STORGE DIFF.) AJD]]*1000)+TABL123[[#This Row],[البخر  AJD]])</f>
        <v>-75856</v>
      </c>
      <c r="AE184" s="75">
        <v>44</v>
      </c>
      <c r="AF184" s="75">
        <v>59.11</v>
      </c>
      <c r="AG184" s="75">
        <v>1696324</v>
      </c>
      <c r="AH184" s="45">
        <v>2364</v>
      </c>
      <c r="AI184" s="45">
        <v>2364</v>
      </c>
      <c r="AJ184" s="86">
        <f>TABL123[[#This Row],[(A/B TOT) AJD]]-TABL123[[#This Row],[BER_ IN]]</f>
        <v>491</v>
      </c>
      <c r="AK184" s="75">
        <v>13</v>
      </c>
      <c r="AL184" s="96">
        <v>41.0381</v>
      </c>
      <c r="AM184" s="96">
        <v>2061430</v>
      </c>
      <c r="AN184" s="96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91">
        <f>TABL123[[#This Row],[( S/S+T/B) AJD]]-(TABL123[[#This Row],[(A/B + A/S) AJD]]+(TABL123[[#This Row],[(STORGE DIFF.) AJD]]*1000)+TABL123[[#This Row],[البخر  AJD]])</f>
        <v>-82989</v>
      </c>
      <c r="AE185" s="75">
        <v>41</v>
      </c>
      <c r="AF185" s="75">
        <v>59.08</v>
      </c>
      <c r="AG185" s="75">
        <v>1676493</v>
      </c>
      <c r="AH185" s="43">
        <v>2465</v>
      </c>
      <c r="AI185" s="43">
        <v>2465</v>
      </c>
      <c r="AJ185" s="86">
        <f>TABL123[[#This Row],[(A/B TOT) AJD]]-TABL123[[#This Row],[BER_ IN]]</f>
        <v>474</v>
      </c>
      <c r="AK185" s="75">
        <v>13</v>
      </c>
      <c r="AL185" s="96">
        <v>41.0015</v>
      </c>
      <c r="AM185" s="96">
        <v>2042032</v>
      </c>
      <c r="AN185" s="96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91">
        <f>TABL123[[#This Row],[( S/S+T/B) AJD]]-(TABL123[[#This Row],[(A/B + A/S) AJD]]+(TABL123[[#This Row],[(STORGE DIFF.) AJD]]*1000)+TABL123[[#This Row],[البخر  AJD]])</f>
        <v>-34652</v>
      </c>
      <c r="AE186" s="75">
        <v>41</v>
      </c>
      <c r="AF186" s="75">
        <v>59.02</v>
      </c>
      <c r="AG186" s="75">
        <v>1636855</v>
      </c>
      <c r="AH186" s="45">
        <v>2999</v>
      </c>
      <c r="AI186" s="45">
        <v>2999</v>
      </c>
      <c r="AJ186" s="86">
        <f>TABL123[[#This Row],[(A/B TOT) AJD]]-TABL123[[#This Row],[BER_ IN]]</f>
        <v>521</v>
      </c>
      <c r="AK186" s="75">
        <v>14</v>
      </c>
      <c r="AL186" s="96">
        <v>41.000700000000002</v>
      </c>
      <c r="AM186" s="96">
        <v>2041850</v>
      </c>
      <c r="AN186" s="96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91">
        <f>TABL123[[#This Row],[( S/S+T/B) AJD]]-(TABL123[[#This Row],[(A/B + A/S) AJD]]+(TABL123[[#This Row],[(STORGE DIFF.) AJD]]*1000)+TABL123[[#This Row],[البخر  AJD]])</f>
        <v>-44037</v>
      </c>
      <c r="AE187" s="75">
        <v>42</v>
      </c>
      <c r="AF187" s="75">
        <v>58.98</v>
      </c>
      <c r="AG187" s="75">
        <v>1610447</v>
      </c>
      <c r="AH187" s="43">
        <v>2728</v>
      </c>
      <c r="AI187" s="43">
        <v>2728</v>
      </c>
      <c r="AJ187" s="86">
        <f>TABL123[[#This Row],[(A/B TOT) AJD]]-TABL123[[#This Row],[BER_ IN]]</f>
        <v>517</v>
      </c>
      <c r="AK187" s="75">
        <v>13</v>
      </c>
      <c r="AL187" s="96">
        <v>40.9925</v>
      </c>
      <c r="AM187" s="96">
        <v>2037770</v>
      </c>
      <c r="AN187" s="96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91">
        <f>TABL123[[#This Row],[( S/S+T/B) AJD]]-(TABL123[[#This Row],[(A/B + A/S) AJD]]+(TABL123[[#This Row],[(STORGE DIFF.) AJD]]*1000)+TABL123[[#This Row],[البخر  AJD]])</f>
        <v>-22977</v>
      </c>
      <c r="AE188" s="75">
        <v>39</v>
      </c>
      <c r="AF188" s="75">
        <v>58.97</v>
      </c>
      <c r="AG188" s="75">
        <v>1603847</v>
      </c>
      <c r="AH188" s="45">
        <v>2999</v>
      </c>
      <c r="AI188" s="45">
        <v>2999</v>
      </c>
      <c r="AJ188" s="86">
        <f>TABL123[[#This Row],[(A/B TOT) AJD]]-TABL123[[#This Row],[BER_ IN]]</f>
        <v>529</v>
      </c>
      <c r="AK188" s="75">
        <v>14</v>
      </c>
      <c r="AL188" s="96">
        <v>40.979300000000002</v>
      </c>
      <c r="AM188" s="96">
        <v>2030920</v>
      </c>
      <c r="AN188" s="96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91">
        <f>TABL123[[#This Row],[( S/S+T/B) AJD]]-(TABL123[[#This Row],[(A/B + A/S) AJD]]+(TABL123[[#This Row],[(STORGE DIFF.) AJD]]*1000)+TABL123[[#This Row],[البخر  AJD]])</f>
        <v>-20823</v>
      </c>
      <c r="AE189" s="75">
        <v>48</v>
      </c>
      <c r="AF189" s="75">
        <v>58.95</v>
      </c>
      <c r="AG189" s="75">
        <v>1590650</v>
      </c>
      <c r="AH189" s="43">
        <v>2987</v>
      </c>
      <c r="AI189" s="43">
        <v>2987</v>
      </c>
      <c r="AJ189" s="86">
        <f>TABL123[[#This Row],[(A/B TOT) AJD]]-TABL123[[#This Row],[BER_ IN]]</f>
        <v>517</v>
      </c>
      <c r="AK189" s="75">
        <v>22</v>
      </c>
      <c r="AL189" s="96">
        <v>40.976100000000002</v>
      </c>
      <c r="AM189" s="96">
        <v>2028840</v>
      </c>
      <c r="AN189" s="96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91">
        <f>TABL123[[#This Row],[( S/S+T/B) AJD]]-(TABL123[[#This Row],[(A/B + A/S) AJD]]+(TABL123[[#This Row],[(STORGE DIFF.) AJD]]*1000)+TABL123[[#This Row],[البخر  AJD]])</f>
        <v>-35000</v>
      </c>
      <c r="AE190" s="75">
        <v>50</v>
      </c>
      <c r="AF190" s="75">
        <v>58.91</v>
      </c>
      <c r="AG190" s="75">
        <v>1564266</v>
      </c>
      <c r="AH190" s="45">
        <v>2999</v>
      </c>
      <c r="AI190" s="45">
        <v>2999</v>
      </c>
      <c r="AJ190" s="86">
        <f>TABL123[[#This Row],[(A/B TOT) AJD]]-TABL123[[#This Row],[BER_ IN]]</f>
        <v>509</v>
      </c>
      <c r="AK190" s="75">
        <v>23</v>
      </c>
      <c r="AL190" s="96">
        <v>40.973399999999998</v>
      </c>
      <c r="AM190" s="96">
        <v>2027130</v>
      </c>
      <c r="AN190" s="96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91">
        <f>TABL123[[#This Row],[( S/S+T/B) AJD]]-(TABL123[[#This Row],[(A/B + A/S) AJD]]+(TABL123[[#This Row],[(STORGE DIFF.) AJD]]*1000)+TABL123[[#This Row],[البخر  AJD]])</f>
        <v>-48643</v>
      </c>
      <c r="AE191" s="75">
        <v>56</v>
      </c>
      <c r="AF191" s="75">
        <v>58.88</v>
      </c>
      <c r="AG191" s="75">
        <v>1544487</v>
      </c>
      <c r="AH191" s="43">
        <v>2999</v>
      </c>
      <c r="AI191" s="43">
        <v>2999</v>
      </c>
      <c r="AJ191" s="86">
        <f>TABL123[[#This Row],[(A/B TOT) AJD]]-TABL123[[#This Row],[BER_ IN]]</f>
        <v>503</v>
      </c>
      <c r="AK191" s="75">
        <v>32</v>
      </c>
      <c r="AL191" s="96">
        <v>40.979100000000003</v>
      </c>
      <c r="AM191" s="96">
        <v>2028840</v>
      </c>
      <c r="AN191" s="96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91">
        <f>TABL123[[#This Row],[( S/S+T/B) AJD]]-(TABL123[[#This Row],[(A/B + A/S) AJD]]+(TABL123[[#This Row],[(STORGE DIFF.) AJD]]*1000)+TABL123[[#This Row],[البخر  AJD]])</f>
        <v>-57184</v>
      </c>
      <c r="AE192" s="75">
        <v>77</v>
      </c>
      <c r="AF192" s="75">
        <v>58.89</v>
      </c>
      <c r="AG192" s="75">
        <v>1551079</v>
      </c>
      <c r="AH192" s="45">
        <v>2999</v>
      </c>
      <c r="AI192" s="45">
        <v>2999</v>
      </c>
      <c r="AJ192" s="86">
        <f>TABL123[[#This Row],[(A/B TOT) AJD]]-TABL123[[#This Row],[BER_ IN]]</f>
        <v>482</v>
      </c>
      <c r="AK192" s="75">
        <v>41</v>
      </c>
      <c r="AL192" s="96">
        <v>40.978700000000003</v>
      </c>
      <c r="AM192" s="96">
        <v>2030220</v>
      </c>
      <c r="AN192" s="96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91">
        <f>TABL123[[#This Row],[( S/S+T/B) AJD]]-(TABL123[[#This Row],[(A/B + A/S) AJD]]+(TABL123[[#This Row],[(STORGE DIFF.) AJD]]*1000)+TABL123[[#This Row],[البخر  AJD]])</f>
        <v>-74439</v>
      </c>
      <c r="AE193" s="75">
        <v>77</v>
      </c>
      <c r="AF193" s="75">
        <v>58.86</v>
      </c>
      <c r="AG193" s="75">
        <v>1531306</v>
      </c>
      <c r="AH193" s="75">
        <v>3000</v>
      </c>
      <c r="AI193" s="75">
        <v>3000</v>
      </c>
      <c r="AJ193" s="86">
        <f>TABL123[[#This Row],[(A/B TOT) AJD]]-TABL123[[#This Row],[BER_ IN]]</f>
        <v>490</v>
      </c>
      <c r="AK193" s="75">
        <v>42</v>
      </c>
      <c r="AL193" s="96">
        <v>40.9848</v>
      </c>
      <c r="AM193" s="96">
        <v>2033560</v>
      </c>
      <c r="AN193" s="96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91">
        <f>TABL123[[#This Row],[( S/S+T/B) AJD]]-(TABL123[[#This Row],[(A/B + A/S) AJD]]+(TABL123[[#This Row],[(STORGE DIFF.) AJD]]*1000)+TABL123[[#This Row],[البخر  AJD]])</f>
        <v>11615</v>
      </c>
      <c r="AE194" s="75">
        <v>82</v>
      </c>
      <c r="AF194" s="75">
        <v>58.83</v>
      </c>
      <c r="AG194" s="75">
        <v>1511540</v>
      </c>
      <c r="AH194" s="45">
        <v>2987</v>
      </c>
      <c r="AI194" s="45">
        <v>2987</v>
      </c>
      <c r="AJ194" s="86">
        <f>TABL123[[#This Row],[(A/B TOT) AJD]]-TABL123[[#This Row],[BER_ IN]]</f>
        <v>502</v>
      </c>
      <c r="AK194" s="75">
        <v>60</v>
      </c>
      <c r="AL194" s="96">
        <v>41.0366</v>
      </c>
      <c r="AM194" s="96">
        <v>2060900</v>
      </c>
      <c r="AN194" s="96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91">
        <f>TABL123[[#This Row],[( S/S+T/B) AJD]]-(TABL123[[#This Row],[(A/B + A/S) AJD]]+(TABL123[[#This Row],[(STORGE DIFF.) AJD]]*1000)+TABL123[[#This Row],[البخر  AJD]])</f>
        <v>42955</v>
      </c>
      <c r="AE195" s="75">
        <v>86</v>
      </c>
      <c r="AF195" s="75">
        <v>58.82</v>
      </c>
      <c r="AG195" s="75">
        <v>1504953</v>
      </c>
      <c r="AH195" s="43">
        <v>2414</v>
      </c>
      <c r="AI195" s="43">
        <v>2414</v>
      </c>
      <c r="AJ195" s="86">
        <f>TABL123[[#This Row],[(A/B TOT) AJD]]-TABL123[[#This Row],[BER_ IN]]</f>
        <v>501</v>
      </c>
      <c r="AK195" s="75">
        <v>68</v>
      </c>
      <c r="AL195" s="96">
        <v>41.119100000000003</v>
      </c>
      <c r="AM195" s="96">
        <v>2104220</v>
      </c>
      <c r="AN195" s="96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91">
        <f>TABL123[[#This Row],[( S/S+T/B) AJD]]-(TABL123[[#This Row],[(A/B + A/S) AJD]]+(TABL123[[#This Row],[(STORGE DIFF.) AJD]]*1000)+TABL123[[#This Row],[البخر  AJD]])</f>
        <v>48329</v>
      </c>
      <c r="AE196" s="75">
        <v>86</v>
      </c>
      <c r="AF196" s="75">
        <v>58.84</v>
      </c>
      <c r="AG196" s="75">
        <v>1518127</v>
      </c>
      <c r="AH196" s="45">
        <v>2367</v>
      </c>
      <c r="AI196" s="45">
        <v>2367</v>
      </c>
      <c r="AJ196" s="86">
        <f>TABL123[[#This Row],[(A/B TOT) AJD]]-TABL123[[#This Row],[BER_ IN]]</f>
        <v>500</v>
      </c>
      <c r="AK196" s="75">
        <v>70</v>
      </c>
      <c r="AL196" s="96">
        <v>41.213700000000003</v>
      </c>
      <c r="AM196" s="96">
        <v>2154110</v>
      </c>
      <c r="AN196" s="96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91">
        <f>TABL123[[#This Row],[( S/S+T/B) AJD]]-(TABL123[[#This Row],[(A/B + A/S) AJD]]+(TABL123[[#This Row],[(STORGE DIFF.) AJD]]*1000)+TABL123[[#This Row],[البخر  AJD]])</f>
        <v>107561</v>
      </c>
      <c r="AE197" s="75">
        <v>86</v>
      </c>
      <c r="AF197" s="75">
        <v>58.835999999999999</v>
      </c>
      <c r="AG197" s="75">
        <v>1515492</v>
      </c>
      <c r="AH197" s="43">
        <v>2635</v>
      </c>
      <c r="AI197" s="43">
        <v>2635</v>
      </c>
      <c r="AJ197" s="86">
        <f>TABL123[[#This Row],[(A/B TOT) AJD]]-TABL123[[#This Row],[BER_ IN]]</f>
        <v>491</v>
      </c>
      <c r="AK197" s="75">
        <v>71</v>
      </c>
      <c r="AL197" s="96">
        <v>41.320300000000003</v>
      </c>
      <c r="AM197" s="96">
        <v>2210540</v>
      </c>
      <c r="AN197" s="96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91">
        <f>TABL123[[#This Row],[( S/S+T/B) AJD]]-(TABL123[[#This Row],[(A/B + A/S) AJD]]+(TABL123[[#This Row],[(STORGE DIFF.) AJD]]*1000)+TABL123[[#This Row],[البخر  AJD]])</f>
        <v>253857.00000000003</v>
      </c>
      <c r="AE198" s="75">
        <v>90</v>
      </c>
      <c r="AF198" s="75">
        <v>58.85</v>
      </c>
      <c r="AG198" s="75">
        <v>1524716</v>
      </c>
      <c r="AH198" s="45">
        <v>2357</v>
      </c>
      <c r="AI198" s="45">
        <v>2357</v>
      </c>
      <c r="AJ198" s="86">
        <f>TABL123[[#This Row],[(A/B TOT) AJD]]-TABL123[[#This Row],[BER_ IN]]</f>
        <v>494</v>
      </c>
      <c r="AK198" s="75">
        <v>70</v>
      </c>
      <c r="AL198" s="96">
        <v>41.420499999999997</v>
      </c>
      <c r="AM198" s="96">
        <v>2263420</v>
      </c>
      <c r="AN198" s="96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91">
        <f>TABL123[[#This Row],[( S/S+T/B) AJD]]-(TABL123[[#This Row],[(A/B + A/S) AJD]]+(TABL123[[#This Row],[(STORGE DIFF.) AJD]]*1000)+TABL123[[#This Row],[البخر  AJD]])</f>
        <v>-45648</v>
      </c>
      <c r="AE199" s="75">
        <v>61</v>
      </c>
      <c r="AF199" s="75">
        <v>58.83</v>
      </c>
      <c r="AG199" s="75">
        <v>1512810</v>
      </c>
      <c r="AH199" s="43">
        <v>2400</v>
      </c>
      <c r="AI199" s="43">
        <v>2400</v>
      </c>
      <c r="AJ199" s="86">
        <f>TABL123[[#This Row],[(A/B TOT) AJD]]-TABL123[[#This Row],[BER_ IN]]</f>
        <v>489</v>
      </c>
      <c r="AK199" s="75">
        <v>51</v>
      </c>
      <c r="AL199" s="96">
        <v>41.489100000000001</v>
      </c>
      <c r="AM199" s="96">
        <v>2299400</v>
      </c>
      <c r="AN199" s="96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91">
        <f>TABL123[[#This Row],[( S/S+T/B) AJD]]-(TABL123[[#This Row],[(A/B + A/S) AJD]]+(TABL123[[#This Row],[(STORGE DIFF.) AJD]]*1000)+TABL123[[#This Row],[البخر  AJD]])</f>
        <v>-127863</v>
      </c>
      <c r="AE200" s="75">
        <v>51</v>
      </c>
      <c r="AF200" s="75">
        <v>58.87</v>
      </c>
      <c r="AG200" s="75">
        <v>1537896</v>
      </c>
      <c r="AH200" s="45">
        <v>2999</v>
      </c>
      <c r="AI200" s="45">
        <v>2999</v>
      </c>
      <c r="AJ200" s="86">
        <f>TABL123[[#This Row],[(A/B TOT) AJD]]-TABL123[[#This Row],[BER_ IN]]</f>
        <v>436</v>
      </c>
      <c r="AK200" s="75">
        <v>42</v>
      </c>
      <c r="AL200" s="96">
        <v>41.5</v>
      </c>
      <c r="AM200" s="96">
        <v>2304060</v>
      </c>
      <c r="AN200" s="96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91">
        <f>TABL123[[#This Row],[( S/S+T/B) AJD]]-(TABL123[[#This Row],[(A/B + A/S) AJD]]+(TABL123[[#This Row],[(STORGE DIFF.) AJD]]*1000)+TABL123[[#This Row],[البخر  AJD]])</f>
        <v>8660</v>
      </c>
      <c r="AE201" s="75">
        <v>50</v>
      </c>
      <c r="AF201" s="75">
        <v>58.92</v>
      </c>
      <c r="AG201" s="75">
        <v>1570861</v>
      </c>
      <c r="AH201" s="43">
        <v>3004</v>
      </c>
      <c r="AI201" s="43">
        <v>3004</v>
      </c>
      <c r="AJ201" s="86">
        <f>TABL123[[#This Row],[(A/B TOT) AJD]]-TABL123[[#This Row],[BER_ IN]]</f>
        <v>403</v>
      </c>
      <c r="AK201" s="75">
        <v>21</v>
      </c>
      <c r="AL201" s="96">
        <v>41.534999999999997</v>
      </c>
      <c r="AM201" s="96">
        <v>2322990</v>
      </c>
      <c r="AN201" s="96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91">
        <f>TABL123[[#This Row],[( S/S+T/B) AJD]]-(TABL123[[#This Row],[(A/B + A/S) AJD]]+(TABL123[[#This Row],[(STORGE DIFF.) AJD]]*1000)+TABL123[[#This Row],[البخر  AJD]])</f>
        <v>62731</v>
      </c>
      <c r="AE202" s="75">
        <v>50</v>
      </c>
      <c r="AF202" s="75">
        <v>58.991999999999997</v>
      </c>
      <c r="AG202" s="75">
        <v>1618368</v>
      </c>
      <c r="AH202" s="45">
        <v>2492</v>
      </c>
      <c r="AI202" s="45">
        <v>2492</v>
      </c>
      <c r="AJ202" s="86">
        <f>TABL123[[#This Row],[(A/B TOT) AJD]]-TABL123[[#This Row],[BER_ IN]]</f>
        <v>429</v>
      </c>
      <c r="AK202" s="75">
        <v>0</v>
      </c>
      <c r="AL202" s="96">
        <v>41.502800000000001</v>
      </c>
      <c r="AM202" s="96">
        <v>2306820</v>
      </c>
      <c r="AN202" s="96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91">
        <f>TABL123[[#This Row],[( S/S+T/B) AJD]]-(TABL123[[#This Row],[(A/B + A/S) AJD]]+(TABL123[[#This Row],[(STORGE DIFF.) AJD]]*1000)+TABL123[[#This Row],[البخر  AJD]])</f>
        <v>62044</v>
      </c>
      <c r="AE203" s="75">
        <v>53</v>
      </c>
      <c r="AF203" s="75">
        <v>59.069000000000003</v>
      </c>
      <c r="AG203" s="75">
        <v>1669224</v>
      </c>
      <c r="AH203" s="43">
        <v>2144</v>
      </c>
      <c r="AI203" s="43">
        <v>2144</v>
      </c>
      <c r="AJ203" s="86">
        <f>TABL123[[#This Row],[(A/B TOT) AJD]]-TABL123[[#This Row],[BER_ IN]]</f>
        <v>475</v>
      </c>
      <c r="AK203" s="75">
        <v>0</v>
      </c>
      <c r="AL203" s="96">
        <v>41.482100000000003</v>
      </c>
      <c r="AM203" s="96">
        <v>2295170</v>
      </c>
      <c r="AN203" s="96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91">
        <f>TABL123[[#This Row],[( S/S+T/B) AJD]]-(TABL123[[#This Row],[(A/B + A/S) AJD]]+(TABL123[[#This Row],[(STORGE DIFF.) AJD]]*1000)+TABL123[[#This Row],[البخر  AJD]])</f>
        <v>67254</v>
      </c>
      <c r="AE204" s="75">
        <v>50</v>
      </c>
      <c r="AF204" s="75">
        <v>59.14</v>
      </c>
      <c r="AG204" s="75">
        <v>1716162</v>
      </c>
      <c r="AH204" s="45">
        <v>3061</v>
      </c>
      <c r="AI204" s="45">
        <v>3061</v>
      </c>
      <c r="AJ204" s="86">
        <f>TABL123[[#This Row],[(A/B TOT) AJD]]-TABL123[[#This Row],[BER_ IN]]</f>
        <v>502</v>
      </c>
      <c r="AK204" s="75">
        <v>0</v>
      </c>
      <c r="AL204" s="96">
        <v>41.4664</v>
      </c>
      <c r="AM204" s="96">
        <v>2287280</v>
      </c>
      <c r="AN204" s="96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91">
        <f>TABL123[[#This Row],[( S/S+T/B) AJD]]-(TABL123[[#This Row],[(A/B + A/S) AJD]]+(TABL123[[#This Row],[(STORGE DIFF.) AJD]]*1000)+TABL123[[#This Row],[البخر  AJD]])</f>
        <v>-19764</v>
      </c>
      <c r="AE205" s="75">
        <v>51</v>
      </c>
      <c r="AF205" s="75">
        <v>59.16</v>
      </c>
      <c r="AG205" s="75">
        <v>1729392</v>
      </c>
      <c r="AH205" s="43">
        <v>3209</v>
      </c>
      <c r="AI205" s="43">
        <v>3209</v>
      </c>
      <c r="AJ205" s="86">
        <f>TABL123[[#This Row],[(A/B TOT) AJD]]-TABL123[[#This Row],[BER_ IN]]</f>
        <v>509</v>
      </c>
      <c r="AK205" s="75">
        <v>0</v>
      </c>
      <c r="AL205" s="96">
        <v>41.449399999999997</v>
      </c>
      <c r="AM205" s="96">
        <v>2278040</v>
      </c>
      <c r="AN205" s="96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91">
        <f>TABL123[[#This Row],[( S/S+T/B) AJD]]-(TABL123[[#This Row],[(A/B + A/S) AJD]]+(TABL123[[#This Row],[(STORGE DIFF.) AJD]]*1000)+TABL123[[#This Row],[البخر  AJD]])</f>
        <v>-173773</v>
      </c>
      <c r="AE206" s="75">
        <v>50</v>
      </c>
      <c r="AF206" s="75">
        <v>59.14</v>
      </c>
      <c r="AG206" s="75">
        <v>1716162</v>
      </c>
      <c r="AH206" s="45">
        <v>3149</v>
      </c>
      <c r="AI206" s="45">
        <v>3149</v>
      </c>
      <c r="AJ206" s="86">
        <f>TABL123[[#This Row],[(A/B TOT) AJD]]-TABL123[[#This Row],[BER_ IN]]</f>
        <v>447</v>
      </c>
      <c r="AK206" s="75">
        <v>0</v>
      </c>
      <c r="AL206" s="96">
        <v>41.427700000000002</v>
      </c>
      <c r="AM206" s="96">
        <v>2267130</v>
      </c>
      <c r="AN206" s="96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91">
        <f>TABL123[[#This Row],[( S/S+T/B) AJD]]-(TABL123[[#This Row],[(A/B + A/S) AJD]]+(TABL123[[#This Row],[(STORGE DIFF.) AJD]]*1000)+TABL123[[#This Row],[البخر  AJD]])</f>
        <v>-176948</v>
      </c>
      <c r="AE207" s="75">
        <v>49</v>
      </c>
      <c r="AF207" s="75">
        <v>59.16</v>
      </c>
      <c r="AG207" s="75">
        <v>1729392</v>
      </c>
      <c r="AH207" s="43">
        <v>2999</v>
      </c>
      <c r="AI207" s="43">
        <v>2999</v>
      </c>
      <c r="AJ207" s="86">
        <f>TABL123[[#This Row],[(A/B TOT) AJD]]-TABL123[[#This Row],[BER_ IN]]</f>
        <v>399</v>
      </c>
      <c r="AK207" s="75">
        <v>0</v>
      </c>
      <c r="AL207" s="96">
        <v>41.4176</v>
      </c>
      <c r="AM207" s="96">
        <v>2261480</v>
      </c>
      <c r="AN207" s="96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91">
        <f>TABL123[[#This Row],[( S/S+T/B) AJD]]-(TABL123[[#This Row],[(A/B + A/S) AJD]]+(TABL123[[#This Row],[(STORGE DIFF.) AJD]]*1000)+TABL123[[#This Row],[البخر  AJD]])</f>
        <v>96076</v>
      </c>
      <c r="AE208" s="75">
        <v>50</v>
      </c>
      <c r="AF208" s="75">
        <v>59.14</v>
      </c>
      <c r="AG208" s="75">
        <v>1716162</v>
      </c>
      <c r="AH208" s="45">
        <v>2999</v>
      </c>
      <c r="AI208" s="45">
        <v>2999</v>
      </c>
      <c r="AJ208" s="86">
        <f>TABL123[[#This Row],[(A/B TOT) AJD]]-TABL123[[#This Row],[BER_ IN]]</f>
        <v>413</v>
      </c>
      <c r="AK208" s="75">
        <v>0</v>
      </c>
      <c r="AL208" s="96">
        <v>41.412799999999997</v>
      </c>
      <c r="AM208" s="96">
        <v>2259190</v>
      </c>
      <c r="AN208" s="96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91">
        <f>TABL123[[#This Row],[( S/S+T/B) AJD]]-(TABL123[[#This Row],[(A/B + A/S) AJD]]+(TABL123[[#This Row],[(STORGE DIFF.) AJD]]*1000)+TABL123[[#This Row],[البخر  AJD]])</f>
        <v>18705</v>
      </c>
      <c r="AE209" s="75">
        <v>50</v>
      </c>
      <c r="AF209" s="75">
        <v>59.13</v>
      </c>
      <c r="AG209" s="75">
        <v>1709548</v>
      </c>
      <c r="AH209" s="43">
        <v>2999</v>
      </c>
      <c r="AI209" s="43">
        <v>2999</v>
      </c>
      <c r="AJ209" s="86">
        <f>TABL123[[#This Row],[(A/B TOT) AJD]]-TABL123[[#This Row],[BER_ IN]]</f>
        <v>448</v>
      </c>
      <c r="AK209" s="75">
        <v>0</v>
      </c>
      <c r="AL209" s="96">
        <v>41.380200000000002</v>
      </c>
      <c r="AM209" s="96">
        <v>2241950</v>
      </c>
      <c r="AN209" s="96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91">
        <f>TABL123[[#This Row],[( S/S+T/B) AJD]]-(TABL123[[#This Row],[(A/B + A/S) AJD]]+(TABL123[[#This Row],[(STORGE DIFF.) AJD]]*1000)+TABL123[[#This Row],[البخر  AJD]])</f>
        <v>-11917</v>
      </c>
      <c r="AE210" s="75">
        <v>50</v>
      </c>
      <c r="AF210" s="75">
        <v>59.11</v>
      </c>
      <c r="AG210" s="75">
        <v>1696324</v>
      </c>
      <c r="AH210" s="45">
        <v>2999</v>
      </c>
      <c r="AI210" s="45">
        <v>2999</v>
      </c>
      <c r="AJ210" s="86">
        <f>TABL123[[#This Row],[(A/B TOT) AJD]]-TABL123[[#This Row],[BER_ IN]]</f>
        <v>479</v>
      </c>
      <c r="AK210" s="75">
        <v>0</v>
      </c>
      <c r="AL210" s="96">
        <v>41.343600000000002</v>
      </c>
      <c r="AM210" s="96">
        <v>2222630</v>
      </c>
      <c r="AN210" s="96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91">
        <f>TABL123[[#This Row],[( S/S+T/B) AJD]]-(TABL123[[#This Row],[(A/B + A/S) AJD]]+(TABL123[[#This Row],[(STORGE DIFF.) AJD]]*1000)+TABL123[[#This Row],[البخر  AJD]])</f>
        <v>-117371</v>
      </c>
      <c r="AE211" s="75">
        <v>49</v>
      </c>
      <c r="AF211" s="75">
        <v>59.11</v>
      </c>
      <c r="AG211" s="75">
        <v>1696324</v>
      </c>
      <c r="AH211" s="43">
        <v>3000</v>
      </c>
      <c r="AI211" s="43">
        <v>3000</v>
      </c>
      <c r="AJ211" s="86">
        <f>TABL123[[#This Row],[(A/B TOT) AJD]]-TABL123[[#This Row],[BER_ IN]]</f>
        <v>505</v>
      </c>
      <c r="AK211" s="75">
        <v>15</v>
      </c>
      <c r="AL211" s="96">
        <v>41.328699999999998</v>
      </c>
      <c r="AM211" s="96">
        <v>2214800</v>
      </c>
      <c r="AN211" s="96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91">
        <f>TABL123[[#This Row],[( S/S+T/B) AJD]]-(TABL123[[#This Row],[(A/B + A/S) AJD]]+(TABL123[[#This Row],[(STORGE DIFF.) AJD]]*1000)+TABL123[[#This Row],[البخر  AJD]])</f>
        <v>-87390</v>
      </c>
      <c r="AE212" s="75">
        <v>66</v>
      </c>
      <c r="AF212" s="75">
        <v>59.12</v>
      </c>
      <c r="AG212" s="75">
        <v>1702936</v>
      </c>
      <c r="AH212" s="45">
        <v>2814</v>
      </c>
      <c r="AI212" s="45">
        <v>2814</v>
      </c>
      <c r="AJ212" s="86">
        <f>TABL123[[#This Row],[(A/B TOT) AJD]]-TABL123[[#This Row],[BER_ IN]]</f>
        <v>452</v>
      </c>
      <c r="AK212" s="75">
        <v>20</v>
      </c>
      <c r="AL212" s="96">
        <v>41.328600000000002</v>
      </c>
      <c r="AM212" s="96">
        <v>2213500</v>
      </c>
      <c r="AN212" s="96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91">
        <f>TABL123[[#This Row],[( S/S+T/B) AJD]]-(TABL123[[#This Row],[(A/B + A/S) AJD]]+(TABL123[[#This Row],[(STORGE DIFF.) AJD]]*1000)+TABL123[[#This Row],[البخر  AJD]])</f>
        <v>57576</v>
      </c>
      <c r="AE213" s="75">
        <v>68</v>
      </c>
      <c r="AF213" s="75">
        <v>59.14</v>
      </c>
      <c r="AG213" s="75">
        <v>1716162</v>
      </c>
      <c r="AH213" s="43">
        <v>3157</v>
      </c>
      <c r="AI213" s="43">
        <v>3157</v>
      </c>
      <c r="AJ213" s="86">
        <f>TABL123[[#This Row],[(A/B TOT) AJD]]-TABL123[[#This Row],[BER_ IN]]</f>
        <v>494</v>
      </c>
      <c r="AK213" s="75">
        <v>22</v>
      </c>
      <c r="AL213" s="96">
        <v>41.319699999999997</v>
      </c>
      <c r="AM213" s="96">
        <v>2210030</v>
      </c>
      <c r="AN213" s="96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91">
        <f>TABL123[[#This Row],[( S/S+T/B) AJD]]-(TABL123[[#This Row],[(A/B + A/S) AJD]]+(TABL123[[#This Row],[(STORGE DIFF.) AJD]]*1000)+TABL123[[#This Row],[البخر  AJD]])</f>
        <v>-87787</v>
      </c>
      <c r="AE214" s="75">
        <v>67</v>
      </c>
      <c r="AF214" s="75">
        <v>59.21</v>
      </c>
      <c r="AG214" s="75">
        <v>1762482</v>
      </c>
      <c r="AH214" s="43">
        <v>3175</v>
      </c>
      <c r="AI214" s="43">
        <v>3175</v>
      </c>
      <c r="AJ214" s="86">
        <f>TABL123[[#This Row],[(A/B TOT) AJD]]-TABL123[[#This Row],[BER_ IN]]</f>
        <v>427</v>
      </c>
      <c r="AK214" s="75">
        <v>23</v>
      </c>
      <c r="AL214" s="96">
        <v>41.328699999999998</v>
      </c>
      <c r="AM214" s="96">
        <v>2214800</v>
      </c>
      <c r="AN214" s="96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91">
        <f>TABL123[[#This Row],[( S/S+T/B) AJD]]-(TABL123[[#This Row],[(A/B + A/S) AJD]]+(TABL123[[#This Row],[(STORGE DIFF.) AJD]]*1000)+TABL123[[#This Row],[البخر  AJD]])</f>
        <v>-2966</v>
      </c>
      <c r="AE215" s="75">
        <v>50</v>
      </c>
      <c r="AF215" s="75">
        <v>59.12</v>
      </c>
      <c r="AG215" s="75">
        <v>1702936</v>
      </c>
      <c r="AH215" s="45">
        <v>3422</v>
      </c>
      <c r="AI215" s="45">
        <v>3422</v>
      </c>
      <c r="AJ215" s="86">
        <f>TABL123[[#This Row],[(A/B TOT) AJD]]-TABL123[[#This Row],[BER_ IN]]</f>
        <v>476</v>
      </c>
      <c r="AK215" s="75">
        <v>21</v>
      </c>
      <c r="AL215" s="96">
        <v>41.271799999999999</v>
      </c>
      <c r="AM215" s="96">
        <v>2184700</v>
      </c>
      <c r="AN215" s="96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91">
        <f>TABL123[[#This Row],[( S/S+T/B) AJD]]-(TABL123[[#This Row],[(A/B + A/S) AJD]]+(TABL123[[#This Row],[(STORGE DIFF.) AJD]]*1000)+TABL123[[#This Row],[البخر  AJD]])</f>
        <v>49254</v>
      </c>
      <c r="AE216" s="75">
        <v>63</v>
      </c>
      <c r="AF216" s="75">
        <v>59.1</v>
      </c>
      <c r="AG216" s="75">
        <v>1689713</v>
      </c>
      <c r="AH216" s="43">
        <v>3161</v>
      </c>
      <c r="AI216" s="43">
        <v>3161</v>
      </c>
      <c r="AJ216" s="86">
        <f>TABL123[[#This Row],[(A/B TOT) AJD]]-TABL123[[#This Row],[BER_ IN]]</f>
        <v>494</v>
      </c>
      <c r="AK216" s="75">
        <v>41</v>
      </c>
      <c r="AL216" s="96">
        <v>41.247999999999998</v>
      </c>
      <c r="AM216" s="96">
        <v>2171750</v>
      </c>
      <c r="AN216" s="96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91">
        <f>TABL123[[#This Row],[( S/S+T/B) AJD]]-(TABL123[[#This Row],[(A/B + A/S) AJD]]+(TABL123[[#This Row],[(STORGE DIFF.) AJD]]*1000)+TABL123[[#This Row],[البخر  AJD]])</f>
        <v>23390</v>
      </c>
      <c r="AE217" s="75">
        <v>70</v>
      </c>
      <c r="AF217" s="75">
        <v>59.09</v>
      </c>
      <c r="AG217" s="75">
        <v>1683102</v>
      </c>
      <c r="AH217" s="45">
        <v>3232</v>
      </c>
      <c r="AI217" s="45">
        <v>3232</v>
      </c>
      <c r="AJ217" s="86">
        <f>TABL123[[#This Row],[(A/B TOT) AJD]]-TABL123[[#This Row],[BER_ IN]]</f>
        <v>502</v>
      </c>
      <c r="AK217" s="75">
        <v>45</v>
      </c>
      <c r="AL217" s="96">
        <v>41.244999999999997</v>
      </c>
      <c r="AM217" s="96">
        <v>2170460</v>
      </c>
      <c r="AN217" s="96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91">
        <f>TABL123[[#This Row],[( S/S+T/B) AJD]]-(TABL123[[#This Row],[(A/B + A/S) AJD]]+(TABL123[[#This Row],[(STORGE DIFF.) AJD]]*1000)+TABL123[[#This Row],[البخر  AJD]])</f>
        <v>-43411</v>
      </c>
      <c r="AE218" s="75">
        <v>83</v>
      </c>
      <c r="AF218" s="75">
        <v>59.064999999999998</v>
      </c>
      <c r="AG218" s="75">
        <v>1666581</v>
      </c>
      <c r="AH218" s="43">
        <v>3320</v>
      </c>
      <c r="AI218" s="43">
        <v>3320</v>
      </c>
      <c r="AJ218" s="86">
        <f>TABL123[[#This Row],[(A/B TOT) AJD]]-TABL123[[#This Row],[BER_ IN]]</f>
        <v>487</v>
      </c>
      <c r="AK218" s="75">
        <v>50</v>
      </c>
      <c r="AL218" s="96">
        <v>41.2986</v>
      </c>
      <c r="AM218" s="96">
        <v>2198960</v>
      </c>
      <c r="AN218" s="96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91">
        <f>TABL123[[#This Row],[( S/S+T/B) AJD]]-(TABL123[[#This Row],[(A/B + A/S) AJD]]+(TABL123[[#This Row],[(STORGE DIFF.) AJD]]*1000)+TABL123[[#This Row],[البخر  AJD]])</f>
        <v>-66608</v>
      </c>
      <c r="AE219" s="75">
        <v>87</v>
      </c>
      <c r="AF219" s="75">
        <v>59.05</v>
      </c>
      <c r="AG219" s="75">
        <v>1702936</v>
      </c>
      <c r="AH219" s="45">
        <v>3320</v>
      </c>
      <c r="AI219" s="45">
        <v>3320</v>
      </c>
      <c r="AJ219" s="86">
        <f>TABL123[[#This Row],[(A/B TOT) AJD]]-TABL123[[#This Row],[BER_ IN]]</f>
        <v>471</v>
      </c>
      <c r="AK219" s="75">
        <v>58</v>
      </c>
      <c r="AL219" s="96">
        <v>41.331000000000003</v>
      </c>
      <c r="AM219" s="96">
        <v>2215980</v>
      </c>
      <c r="AN219" s="96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91">
        <f>TABL123[[#This Row],[( S/S+T/B) AJD]]-(TABL123[[#This Row],[(A/B + A/S) AJD]]+(TABL123[[#This Row],[(STORGE DIFF.) AJD]]*1000)+TABL123[[#This Row],[البخر  AJD]])</f>
        <v>-31633</v>
      </c>
      <c r="AE220" s="75">
        <v>96</v>
      </c>
      <c r="AF220" s="75">
        <v>59.12</v>
      </c>
      <c r="AG220" s="75">
        <v>1702936</v>
      </c>
      <c r="AH220" s="43">
        <v>3121</v>
      </c>
      <c r="AI220" s="43">
        <v>3121</v>
      </c>
      <c r="AJ220" s="86">
        <f>TABL123[[#This Row],[(A/B TOT) AJD]]-TABL123[[#This Row],[BER_ IN]]</f>
        <v>455</v>
      </c>
      <c r="AK220" s="75">
        <v>80</v>
      </c>
      <c r="AL220" s="96">
        <v>41.331000000000003</v>
      </c>
      <c r="AM220" s="96">
        <v>2280368</v>
      </c>
      <c r="AN220" s="96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91">
        <f>TABL123[[#This Row],[( S/S+T/B) AJD]]-(TABL123[[#This Row],[(A/B + A/S) AJD]]+(TABL123[[#This Row],[(STORGE DIFF.) AJD]]*1000)+TABL123[[#This Row],[البخر  AJD]])</f>
        <v>-29754</v>
      </c>
      <c r="AE221" s="75">
        <v>116</v>
      </c>
      <c r="AF221" s="75">
        <v>59.2</v>
      </c>
      <c r="AG221" s="75">
        <v>1755863</v>
      </c>
      <c r="AH221" s="45">
        <v>3007</v>
      </c>
      <c r="AI221" s="45">
        <v>3007</v>
      </c>
      <c r="AJ221" s="86">
        <f>TABL123[[#This Row],[(A/B TOT) AJD]]-TABL123[[#This Row],[BER_ IN]]</f>
        <v>430</v>
      </c>
      <c r="AK221" s="75">
        <v>87</v>
      </c>
      <c r="AL221" s="96">
        <v>41.453600000000002</v>
      </c>
      <c r="AM221" s="96">
        <v>2343099</v>
      </c>
      <c r="AN221" s="96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91">
        <f>TABL123[[#This Row],[( S/S+T/B) AJD]]-(TABL123[[#This Row],[(A/B + A/S) AJD]]+(TABL123[[#This Row],[(STORGE DIFF.) AJD]]*1000)+TABL123[[#This Row],[البخر  AJD]])</f>
        <v>-55211</v>
      </c>
      <c r="AE222" s="75">
        <v>129</v>
      </c>
      <c r="AF222" s="75">
        <v>59.284999999999997</v>
      </c>
      <c r="AG222" s="75">
        <v>1812158</v>
      </c>
      <c r="AH222" s="43">
        <v>2984</v>
      </c>
      <c r="AI222" s="43">
        <v>2984</v>
      </c>
      <c r="AJ222" s="86">
        <f>TABL123[[#This Row],[(A/B TOT) AJD]]-TABL123[[#This Row],[BER_ IN]]</f>
        <v>395</v>
      </c>
      <c r="AK222" s="75">
        <v>93</v>
      </c>
      <c r="AL222" s="96">
        <v>41.688200000000002</v>
      </c>
      <c r="AM222" s="96">
        <v>2404913</v>
      </c>
      <c r="AN222" s="96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91">
        <f>TABL123[[#This Row],[( S/S+T/B) AJD]]-(TABL123[[#This Row],[(A/B + A/S) AJD]]+(TABL123[[#This Row],[(STORGE DIFF.) AJD]]*1000)+TABL123[[#This Row],[البخر  AJD]])</f>
        <v>-25606</v>
      </c>
      <c r="AE223" s="75">
        <v>145</v>
      </c>
      <c r="AF223" s="75">
        <v>59.363999999999997</v>
      </c>
      <c r="AG223" s="75">
        <v>1864536</v>
      </c>
      <c r="AH223" s="45">
        <v>3039</v>
      </c>
      <c r="AI223" s="45">
        <v>3039</v>
      </c>
      <c r="AJ223" s="86">
        <f>TABL123[[#This Row],[(A/B TOT) AJD]]-TABL123[[#This Row],[BER_ IN]]</f>
        <v>383</v>
      </c>
      <c r="AK223" s="75">
        <v>120</v>
      </c>
      <c r="AL223" s="96">
        <v>41.848799999999997</v>
      </c>
      <c r="AM223" s="96">
        <v>2490499</v>
      </c>
      <c r="AN223" s="96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91">
        <f>TABL123[[#This Row],[( S/S+T/B) AJD]]-(TABL123[[#This Row],[(A/B + A/S) AJD]]+(TABL123[[#This Row],[(STORGE DIFF.) AJD]]*1000)+TABL123[[#This Row],[البخر  AJD]])</f>
        <v>34811</v>
      </c>
      <c r="AE224" s="75">
        <v>149</v>
      </c>
      <c r="AF224" s="75">
        <v>59.475000000000001</v>
      </c>
      <c r="AG224" s="75">
        <v>1938221</v>
      </c>
      <c r="AH224" s="75">
        <v>2902</v>
      </c>
      <c r="AI224" s="75">
        <v>2902</v>
      </c>
      <c r="AJ224" s="86">
        <f>TABL123[[#This Row],[(A/B TOT) AJD]]-TABL123[[#This Row],[BER_ IN]]</f>
        <v>409</v>
      </c>
      <c r="AK224" s="75">
        <v>141</v>
      </c>
      <c r="AL224" s="96">
        <v>42.0854</v>
      </c>
      <c r="AM224" s="96">
        <v>2616840</v>
      </c>
      <c r="AN224" s="96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91">
        <f>TABL123[[#This Row],[( S/S+T/B) AJD]]-(TABL123[[#This Row],[(A/B + A/S) AJD]]+(TABL123[[#This Row],[(STORGE DIFF.) AJD]]*1000)+TABL123[[#This Row],[البخر  AJD]])</f>
        <v>67201</v>
      </c>
      <c r="AE225" s="75">
        <v>148</v>
      </c>
      <c r="AF225" s="75">
        <v>59.548000000000002</v>
      </c>
      <c r="AG225" s="75">
        <v>1987051</v>
      </c>
      <c r="AH225" s="45">
        <v>3169</v>
      </c>
      <c r="AI225" s="45">
        <v>3169</v>
      </c>
      <c r="AJ225" s="86">
        <f>TABL123[[#This Row],[(A/B TOT) AJD]]-TABL123[[#This Row],[BER_ IN]]</f>
        <v>446</v>
      </c>
      <c r="AK225" s="75">
        <v>153</v>
      </c>
      <c r="AL225" s="96">
        <v>42.323300000000003</v>
      </c>
      <c r="AM225" s="96">
        <v>2743630</v>
      </c>
      <c r="AN225" s="96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91">
        <f>TABL123[[#This Row],[( S/S+T/B) AJD]]-(TABL123[[#This Row],[(A/B + A/S) AJD]]+(TABL123[[#This Row],[(STORGE DIFF.) AJD]]*1000)+TABL123[[#This Row],[البخر  AJD]])</f>
        <v>79035</v>
      </c>
      <c r="AE226" s="75">
        <v>148</v>
      </c>
      <c r="AF226" s="75">
        <v>59.616</v>
      </c>
      <c r="AG226" s="75">
        <v>2031975</v>
      </c>
      <c r="AH226" s="43">
        <v>3395</v>
      </c>
      <c r="AI226" s="43">
        <v>3395</v>
      </c>
      <c r="AJ226" s="86">
        <f>TABL123[[#This Row],[(A/B TOT) AJD]]-TABL123[[#This Row],[BER_ IN]]</f>
        <v>464</v>
      </c>
      <c r="AK226" s="75">
        <v>151</v>
      </c>
      <c r="AL226" s="96">
        <v>42.583199999999998</v>
      </c>
      <c r="AM226" s="96">
        <v>2883220</v>
      </c>
      <c r="AN226" s="96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91">
        <f>TABL123[[#This Row],[( S/S+T/B) AJD]]-(TABL123[[#This Row],[(A/B + A/S) AJD]]+(TABL123[[#This Row],[(STORGE DIFF.) AJD]]*1000)+TABL123[[#This Row],[البخر  AJD]])</f>
        <v>85769</v>
      </c>
      <c r="AE227" s="75">
        <v>151</v>
      </c>
      <c r="AF227" s="75">
        <v>59.585000000000001</v>
      </c>
      <c r="AG227" s="75">
        <v>2011348</v>
      </c>
      <c r="AH227" s="45">
        <v>2763</v>
      </c>
      <c r="AI227" s="45">
        <v>2763</v>
      </c>
      <c r="AJ227" s="86">
        <f>TABL123[[#This Row],[(A/B TOT) AJD]]-TABL123[[#This Row],[BER_ IN]]</f>
        <v>465</v>
      </c>
      <c r="AK227" s="75">
        <v>153</v>
      </c>
      <c r="AL227" s="96">
        <v>42.850900000000003</v>
      </c>
      <c r="AM227" s="96">
        <v>3027660</v>
      </c>
      <c r="AN227" s="96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91">
        <f>TABL123[[#This Row],[( S/S+T/B) AJD]]-(TABL123[[#This Row],[(A/B + A/S) AJD]]+(TABL123[[#This Row],[(STORGE DIFF.) AJD]]*1000)+TABL123[[#This Row],[البخر  AJD]])</f>
        <v>62002</v>
      </c>
      <c r="AE228" s="75">
        <v>134</v>
      </c>
      <c r="AF228" s="75">
        <v>59.470999999999997</v>
      </c>
      <c r="AG228" s="75">
        <v>1935564</v>
      </c>
      <c r="AH228" s="43">
        <v>2696</v>
      </c>
      <c r="AI228" s="43">
        <v>2696</v>
      </c>
      <c r="AJ228" s="86">
        <f>TABL123[[#This Row],[(A/B TOT) AJD]]-TABL123[[#This Row],[BER_ IN]]</f>
        <v>482</v>
      </c>
      <c r="AK228" s="75">
        <v>132</v>
      </c>
      <c r="AL228" s="96">
        <v>43.091700000000003</v>
      </c>
      <c r="AM228" s="96">
        <v>3157820</v>
      </c>
      <c r="AN228" s="96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91">
        <f>TABL123[[#This Row],[( S/S+T/B) AJD]]-(TABL123[[#This Row],[(A/B + A/S) AJD]]+(TABL123[[#This Row],[(STORGE DIFF.) AJD]]*1000)+TABL123[[#This Row],[البخر  AJD]])</f>
        <v>72094</v>
      </c>
      <c r="AE229" s="75">
        <v>140</v>
      </c>
      <c r="AF229" s="75">
        <v>59.368000000000002</v>
      </c>
      <c r="AG229" s="75">
        <v>1867189</v>
      </c>
      <c r="AH229" s="45">
        <v>2670</v>
      </c>
      <c r="AI229" s="45">
        <v>2670</v>
      </c>
      <c r="AJ229" s="86">
        <f>TABL123[[#This Row],[(A/B TOT) AJD]]-TABL123[[#This Row],[BER_ IN]]</f>
        <v>475</v>
      </c>
      <c r="AK229" s="75">
        <v>122</v>
      </c>
      <c r="AL229" s="96">
        <v>43.300600000000003</v>
      </c>
      <c r="AM229" s="96">
        <v>3271450</v>
      </c>
      <c r="AN229" s="96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91">
        <f>TABL123[[#This Row],[( S/S+T/B) AJD]]-(TABL123[[#This Row],[(A/B + A/S) AJD]]+(TABL123[[#This Row],[(STORGE DIFF.) AJD]]*1000)+TABL123[[#This Row],[البخر  AJD]])</f>
        <v>34674</v>
      </c>
      <c r="AE230" s="75">
        <v>111</v>
      </c>
      <c r="AF230" s="75">
        <v>59.258000000000003</v>
      </c>
      <c r="AG230" s="75">
        <v>1794269</v>
      </c>
      <c r="AH230" s="43">
        <v>3283</v>
      </c>
      <c r="AI230" s="43">
        <v>3283</v>
      </c>
      <c r="AJ230" s="86">
        <f>TABL123[[#This Row],[(A/B TOT) AJD]]-TABL123[[#This Row],[BER_ IN]]</f>
        <v>480</v>
      </c>
      <c r="AK230" s="75">
        <v>92</v>
      </c>
      <c r="AL230" s="96">
        <v>43.420900000000003</v>
      </c>
      <c r="AM230" s="96">
        <v>3334980</v>
      </c>
      <c r="AN230" s="96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91">
        <f>TABL123[[#This Row],[( S/S+T/B) AJD]]-(TABL123[[#This Row],[(A/B + A/S) AJD]]+(TABL123[[#This Row],[(STORGE DIFF.) AJD]]*1000)+TABL123[[#This Row],[البخر  AJD]])</f>
        <v>11269</v>
      </c>
      <c r="AE231" s="75">
        <v>96</v>
      </c>
      <c r="AF231" s="75">
        <v>59.238</v>
      </c>
      <c r="AG231" s="75">
        <v>1781022</v>
      </c>
      <c r="AH231" s="45">
        <v>3534</v>
      </c>
      <c r="AI231" s="45">
        <v>3534</v>
      </c>
      <c r="AJ231" s="86">
        <f>TABL123[[#This Row],[(A/B TOT) AJD]]-TABL123[[#This Row],[BER_ IN]]</f>
        <v>503</v>
      </c>
      <c r="AK231" s="75">
        <v>82</v>
      </c>
      <c r="AL231" s="96">
        <v>43.521999999999998</v>
      </c>
      <c r="AM231" s="96">
        <v>3390043</v>
      </c>
      <c r="AN231" s="96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9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91">
        <f>TABL123[[#This Row],[( S/S+T/B) AJD]]-(TABL123[[#This Row],[(A/B + A/S) AJD]]+(TABL123[[#This Row],[(STORGE DIFF.) AJD]]*1000)+TABL123[[#This Row],[البخر  AJD]])</f>
        <v>-47606</v>
      </c>
      <c r="AE232" s="75">
        <v>94</v>
      </c>
      <c r="AF232" s="75">
        <v>59.226999999999997</v>
      </c>
      <c r="AG232" s="75">
        <v>1773738</v>
      </c>
      <c r="AH232" s="43">
        <v>3604</v>
      </c>
      <c r="AI232" s="43">
        <v>3604</v>
      </c>
      <c r="AJ232" s="86">
        <f>TABL123[[#This Row],[(A/B TOT) AJD]]-TABL123[[#This Row],[BER_ IN]]</f>
        <v>504</v>
      </c>
      <c r="AK232" s="75">
        <v>70</v>
      </c>
      <c r="AL232" s="96">
        <v>43.555</v>
      </c>
      <c r="AM232" s="96">
        <v>3408031</v>
      </c>
      <c r="AN232" s="96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91">
        <f>TABL123[[#This Row],[( S/S+T/B) AJD]]-(TABL123[[#This Row],[(A/B + A/S) AJD]]+(TABL123[[#This Row],[(STORGE DIFF.) AJD]]*1000)+TABL123[[#This Row],[البخر  AJD]])</f>
        <v>1004</v>
      </c>
      <c r="AE233" s="75">
        <v>96</v>
      </c>
      <c r="AF233" s="75">
        <v>59.218000000000004</v>
      </c>
      <c r="AG233" s="75">
        <v>1768035</v>
      </c>
      <c r="AH233" s="45">
        <v>3023</v>
      </c>
      <c r="AI233" s="45">
        <v>3023</v>
      </c>
      <c r="AJ233" s="86">
        <f>TABL123[[#This Row],[(A/B TOT) AJD]]-TABL123[[#This Row],[BER_ IN]]</f>
        <v>497</v>
      </c>
      <c r="AK233" s="75">
        <v>74</v>
      </c>
      <c r="AL233" s="96">
        <v>43.512</v>
      </c>
      <c r="AM233" s="96">
        <v>3384593</v>
      </c>
      <c r="AN233" s="96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91">
        <f>TABL123[[#This Row],[( S/S+T/B) AJD]]-(TABL123[[#This Row],[(A/B + A/S) AJD]]+(TABL123[[#This Row],[(STORGE DIFF.) AJD]]*1000)+TABL123[[#This Row],[البخر  AJD]])</f>
        <v>-92341</v>
      </c>
      <c r="AE234" s="75">
        <v>82</v>
      </c>
      <c r="AF234" s="75">
        <v>59.207000000000001</v>
      </c>
      <c r="AG234" s="75">
        <v>1760496</v>
      </c>
      <c r="AH234" s="43">
        <v>3138</v>
      </c>
      <c r="AI234" s="43">
        <v>3138</v>
      </c>
      <c r="AJ234" s="86">
        <f>TABL123[[#This Row],[(A/B TOT) AJD]]-TABL123[[#This Row],[BER_ IN]]</f>
        <v>439</v>
      </c>
      <c r="AK234" s="75">
        <v>45</v>
      </c>
      <c r="AL234" s="96">
        <v>43.3795</v>
      </c>
      <c r="AM234" s="96">
        <v>3313880</v>
      </c>
      <c r="AN234" s="96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91">
        <f>TABL123[[#This Row],[( S/S+T/B) AJD]]-(TABL123[[#This Row],[(A/B + A/S) AJD]]+(TABL123[[#This Row],[(STORGE DIFF.) AJD]]*1000)+TABL123[[#This Row],[البخر  AJD]])</f>
        <v>50758</v>
      </c>
      <c r="AE235" s="75">
        <v>45</v>
      </c>
      <c r="AF235" s="75">
        <v>59.137999999999998</v>
      </c>
      <c r="AG235" s="75">
        <v>1714910</v>
      </c>
      <c r="AH235" s="45">
        <v>3356</v>
      </c>
      <c r="AI235" s="45">
        <v>3356</v>
      </c>
      <c r="AJ235" s="86">
        <f>TABL123[[#This Row],[(A/B TOT) AJD]]-TABL123[[#This Row],[BER_ IN]]</f>
        <v>444</v>
      </c>
      <c r="AK235" s="75">
        <v>0</v>
      </c>
      <c r="AL235" s="96">
        <v>43.203299999999999</v>
      </c>
      <c r="AM235" s="96">
        <v>3218240</v>
      </c>
      <c r="AN235" s="96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91">
        <f>TABL123[[#This Row],[( S/S+T/B) AJD]]-(TABL123[[#This Row],[(A/B + A/S) AJD]]+(TABL123[[#This Row],[(STORGE DIFF.) AJD]]*1000)+TABL123[[#This Row],[البخر  AJD]])</f>
        <v>98701</v>
      </c>
      <c r="AE236" s="75">
        <v>48</v>
      </c>
      <c r="AF236" s="75">
        <v>59.09</v>
      </c>
      <c r="AG236" s="75">
        <v>1683102</v>
      </c>
      <c r="AH236" s="43">
        <v>3209</v>
      </c>
      <c r="AI236" s="43">
        <v>3209</v>
      </c>
      <c r="AJ236" s="86">
        <f>TABL123[[#This Row],[(A/B TOT) AJD]]-TABL123[[#This Row],[BER_ IN]]</f>
        <v>419</v>
      </c>
      <c r="AK236" s="75">
        <v>0</v>
      </c>
      <c r="AL236" s="96">
        <v>43.134099999999997</v>
      </c>
      <c r="AM236" s="96">
        <v>3180790</v>
      </c>
      <c r="AN236" s="96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91">
        <f>TABL123[[#This Row],[( S/S+T/B) AJD]]-(TABL123[[#This Row],[(A/B + A/S) AJD]]+(TABL123[[#This Row],[(STORGE DIFF.) AJD]]*1000)+TABL123[[#This Row],[البخر  AJD]])</f>
        <v>90082</v>
      </c>
      <c r="AE237" s="75">
        <v>45</v>
      </c>
      <c r="AF237" s="75">
        <v>59.002000000000002</v>
      </c>
      <c r="AG237" s="75">
        <v>1625441</v>
      </c>
      <c r="AH237" s="45">
        <v>2981</v>
      </c>
      <c r="AI237" s="45">
        <v>2981</v>
      </c>
      <c r="AJ237" s="86">
        <f>TABL123[[#This Row],[(A/B TOT) AJD]]-TABL123[[#This Row],[BER_ IN]]</f>
        <v>472</v>
      </c>
      <c r="AK237" s="75">
        <v>0</v>
      </c>
      <c r="AL237" s="96">
        <v>43.095599999999997</v>
      </c>
      <c r="AM237" s="96">
        <v>3160200</v>
      </c>
      <c r="AN237" s="96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91">
        <f>TABL123[[#This Row],[( S/S+T/B) AJD]]-(TABL123[[#This Row],[(A/B + A/S) AJD]]+(TABL123[[#This Row],[(STORGE DIFF.) AJD]]*1000)+TABL123[[#This Row],[البخر  AJD]])</f>
        <v>-109756</v>
      </c>
      <c r="AE238" s="75">
        <v>45</v>
      </c>
      <c r="AF238" s="75">
        <v>58.914999999999999</v>
      </c>
      <c r="AG238" s="75">
        <v>1567563</v>
      </c>
      <c r="AH238" s="43">
        <v>3197</v>
      </c>
      <c r="AI238" s="43">
        <v>3197</v>
      </c>
      <c r="AJ238" s="86">
        <f>TABL123[[#This Row],[(A/B TOT) AJD]]-TABL123[[#This Row],[BER_ IN]]</f>
        <v>419</v>
      </c>
      <c r="AK238" s="75">
        <v>0</v>
      </c>
      <c r="AL238" s="96">
        <v>43.050199999999997</v>
      </c>
      <c r="AM238" s="96">
        <v>3134740</v>
      </c>
      <c r="AN238" s="96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91">
        <f>TABL123[[#This Row],[( S/S+T/B) AJD]]-(TABL123[[#This Row],[(A/B + A/S) AJD]]+(TABL123[[#This Row],[(STORGE DIFF.) AJD]]*1000)+TABL123[[#This Row],[البخر  AJD]])</f>
        <v>-87201</v>
      </c>
      <c r="AE239" s="75">
        <v>45</v>
      </c>
      <c r="AF239" s="75">
        <v>58.83</v>
      </c>
      <c r="AG239" s="75">
        <v>1511540</v>
      </c>
      <c r="AH239" s="45">
        <v>3343</v>
      </c>
      <c r="AI239" s="45">
        <v>3343</v>
      </c>
      <c r="AJ239" s="86">
        <f>TABL123[[#This Row],[(A/B TOT) AJD]]-TABL123[[#This Row],[BER_ IN]]</f>
        <v>469</v>
      </c>
      <c r="AK239" s="75">
        <v>0</v>
      </c>
      <c r="AL239" s="96">
        <v>43.0426</v>
      </c>
      <c r="AM239" s="96">
        <v>3131220</v>
      </c>
      <c r="AN239" s="96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91">
        <f>TABL123[[#This Row],[( S/S+T/B) AJD]]-(TABL123[[#This Row],[(A/B + A/S) AJD]]+(TABL123[[#This Row],[(STORGE DIFF.) AJD]]*1000)+TABL123[[#This Row],[البخر  AJD]])</f>
        <v>-127036</v>
      </c>
      <c r="AE240" s="75">
        <v>45</v>
      </c>
      <c r="AF240" s="75">
        <v>58.726999999999997</v>
      </c>
      <c r="AG240" s="75">
        <v>1473348</v>
      </c>
      <c r="AH240" s="43">
        <v>3512</v>
      </c>
      <c r="AI240" s="43">
        <v>3512</v>
      </c>
      <c r="AJ240" s="86">
        <f>TABL123[[#This Row],[(A/B TOT) AJD]]-TABL123[[#This Row],[BER_ IN]]</f>
        <v>492</v>
      </c>
      <c r="AK240" s="75">
        <v>12</v>
      </c>
      <c r="AL240" s="96">
        <v>43.049399999999999</v>
      </c>
      <c r="AM240" s="96">
        <v>3134730</v>
      </c>
      <c r="AN240" s="96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91">
        <f>TABL123[[#This Row],[( S/S+T/B) AJD]]-(TABL123[[#This Row],[(A/B + A/S) AJD]]+(TABL123[[#This Row],[(STORGE DIFF.) AJD]]*1000)+TABL123[[#This Row],[البخر  AJD]])</f>
        <v>-48272</v>
      </c>
      <c r="AE241" s="75">
        <v>45</v>
      </c>
      <c r="AF241" s="75">
        <v>58.725000000000001</v>
      </c>
      <c r="AG241" s="75">
        <v>1442420</v>
      </c>
      <c r="AH241" s="45">
        <v>35790</v>
      </c>
      <c r="AI241" s="45">
        <v>35790</v>
      </c>
      <c r="AJ241" s="86">
        <f>TABL123[[#This Row],[(A/B TOT) AJD]]-TABL123[[#This Row],[BER_ IN]]</f>
        <v>497</v>
      </c>
      <c r="AK241" s="75">
        <v>0</v>
      </c>
      <c r="AL241" s="96">
        <v>43.0077</v>
      </c>
      <c r="AM241" s="96">
        <v>3112500</v>
      </c>
      <c r="AN241" s="96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91">
        <f>TABL123[[#This Row],[( S/S+T/B) AJD]]-(TABL123[[#This Row],[(A/B + A/S) AJD]]+(TABL123[[#This Row],[(STORGE DIFF.) AJD]]*1000)+TABL123[[#This Row],[البخر  AJD]])</f>
        <v>-88782</v>
      </c>
      <c r="AE242" s="75">
        <v>73</v>
      </c>
      <c r="AF242" s="75">
        <v>58.71</v>
      </c>
      <c r="AG242" s="75">
        <v>1432554</v>
      </c>
      <c r="AH242" s="43">
        <v>1386</v>
      </c>
      <c r="AI242" s="43">
        <v>1386</v>
      </c>
      <c r="AJ242" s="86">
        <f>TABL123[[#This Row],[(A/B TOT) AJD]]-TABL123[[#This Row],[BER_ IN]]</f>
        <v>476</v>
      </c>
      <c r="AK242" s="75">
        <v>0</v>
      </c>
      <c r="AL242" s="96">
        <v>43.002699999999997</v>
      </c>
      <c r="AM242" s="96">
        <v>3108990</v>
      </c>
      <c r="AN242" s="96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91">
        <f>TABL123[[#This Row],[( S/S+T/B) AJD]]-(TABL123[[#This Row],[(A/B + A/S) AJD]]+(TABL123[[#This Row],[(STORGE DIFF.) AJD]]*1000)+TABL123[[#This Row],[البخر  AJD]])</f>
        <v>-662</v>
      </c>
      <c r="AE243" s="75">
        <v>89</v>
      </c>
      <c r="AF243" s="75">
        <v>58.723999999999997</v>
      </c>
      <c r="AG243" s="75">
        <v>1441762</v>
      </c>
      <c r="AH243" s="45">
        <v>3431</v>
      </c>
      <c r="AI243" s="45">
        <v>3431</v>
      </c>
      <c r="AJ243" s="86">
        <f>TABL123[[#This Row],[(A/B TOT) AJD]]-TABL123[[#This Row],[BER_ IN]]</f>
        <v>483</v>
      </c>
      <c r="AK243" s="75">
        <v>28</v>
      </c>
      <c r="AL243" s="96">
        <v>42.983499999999999</v>
      </c>
      <c r="AM243" s="96">
        <v>3099020</v>
      </c>
      <c r="AN243" s="96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91">
        <f>TABL123[[#This Row],[( S/S+T/B) AJD]]-(TABL123[[#This Row],[(A/B + A/S) AJD]]+(TABL123[[#This Row],[(STORGE DIFF.) AJD]]*1000)+TABL123[[#This Row],[البخر  AJD]])</f>
        <v>41124</v>
      </c>
      <c r="AE244" s="75">
        <v>98</v>
      </c>
      <c r="AF244" s="75">
        <v>58.777999999999999</v>
      </c>
      <c r="AG244" s="75">
        <v>1477297</v>
      </c>
      <c r="AH244" s="43">
        <v>3535</v>
      </c>
      <c r="AI244" s="43">
        <v>3535</v>
      </c>
      <c r="AJ244" s="86">
        <f>TABL123[[#This Row],[(A/B TOT) AJD]]-TABL123[[#This Row],[BER_ IN]]</f>
        <v>483</v>
      </c>
      <c r="AK244" s="75">
        <v>43</v>
      </c>
      <c r="AL244" s="96">
        <v>43.018900000000002</v>
      </c>
      <c r="AM244" s="96">
        <v>3118490</v>
      </c>
      <c r="AN244" s="96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91">
        <f>TABL123[[#This Row],[( S/S+T/B) AJD]]-(TABL123[[#This Row],[(A/B + A/S) AJD]]+(TABL123[[#This Row],[(STORGE DIFF.) AJD]]*1000)+TABL123[[#This Row],[البخر  AJD]])</f>
        <v>84321</v>
      </c>
      <c r="AE245" s="75">
        <v>97</v>
      </c>
      <c r="AF245" s="75">
        <v>58.811999999999998</v>
      </c>
      <c r="AG245" s="75">
        <v>1499684</v>
      </c>
      <c r="AH245" s="43">
        <v>3233</v>
      </c>
      <c r="AI245" s="43">
        <v>3233</v>
      </c>
      <c r="AJ245" s="86">
        <f>TABL123[[#This Row],[(A/B TOT) AJD]]-TABL123[[#This Row],[BER_ IN]]</f>
        <v>491</v>
      </c>
      <c r="AK245" s="75">
        <v>43</v>
      </c>
      <c r="AL245" s="96">
        <v>43.018900000000002</v>
      </c>
      <c r="AM245" s="96">
        <v>3118490</v>
      </c>
      <c r="AN245" s="96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91">
        <f>TABL123[[#This Row],[( S/S+T/B) AJD]]-(TABL123[[#This Row],[(A/B + A/S) AJD]]+(TABL123[[#This Row],[(STORGE DIFF.) AJD]]*1000)+TABL123[[#This Row],[البخر  AJD]])</f>
        <v>126237</v>
      </c>
      <c r="AE246" s="75">
        <v>89</v>
      </c>
      <c r="AF246" s="75">
        <v>58.829000000000001</v>
      </c>
      <c r="AG246" s="75">
        <v>1510881</v>
      </c>
      <c r="AH246" s="45">
        <v>3102</v>
      </c>
      <c r="AI246" s="45">
        <v>3102</v>
      </c>
      <c r="AJ246" s="86">
        <f>TABL123[[#This Row],[(A/B TOT) AJD]]-TABL123[[#This Row],[BER_ IN]]</f>
        <v>494</v>
      </c>
      <c r="AK246" s="75">
        <v>42</v>
      </c>
      <c r="AL246" s="96">
        <v>43.122999999999998</v>
      </c>
      <c r="AM246" s="96">
        <v>3175280</v>
      </c>
      <c r="AN246" s="96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91">
        <f>TABL123[[#This Row],[( S/S+T/B) AJD]]-(TABL123[[#This Row],[(A/B + A/S) AJD]]+(TABL123[[#This Row],[(STORGE DIFF.) AJD]]*1000)+TABL123[[#This Row],[البخر  AJD]])</f>
        <v>107961</v>
      </c>
      <c r="AE247" s="75">
        <v>80</v>
      </c>
      <c r="AF247" s="75">
        <v>58.83</v>
      </c>
      <c r="AG247" s="75">
        <v>1511540</v>
      </c>
      <c r="AH247" s="43">
        <v>2981</v>
      </c>
      <c r="AI247" s="43">
        <v>2981</v>
      </c>
      <c r="AJ247" s="86">
        <f>TABL123[[#This Row],[(A/B TOT) AJD]]-TABL123[[#This Row],[BER_ IN]]</f>
        <v>520</v>
      </c>
      <c r="AK247" s="75">
        <v>16</v>
      </c>
      <c r="AL247" s="96">
        <v>43.104399999999998</v>
      </c>
      <c r="AM247" s="96">
        <v>31664010</v>
      </c>
      <c r="AN247" s="96">
        <f>TABL123[[#This Row],[ (RESV. STORGE) SER]]/10</f>
        <v>3166401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91">
        <f>TABL123[[#This Row],[( S/S+T/B) AJD]]-(TABL123[[#This Row],[(A/B + A/S) AJD]]+(TABL123[[#This Row],[(STORGE DIFF.) AJD]]*1000)+TABL123[[#This Row],[البخر  AJD]])</f>
        <v>56298</v>
      </c>
      <c r="AE248" s="75">
        <v>56</v>
      </c>
      <c r="AF248" s="75">
        <v>58.787999999999997</v>
      </c>
      <c r="AG248" s="75">
        <v>1483850</v>
      </c>
      <c r="AH248" s="45">
        <v>2979</v>
      </c>
      <c r="AI248" s="45">
        <v>2979</v>
      </c>
      <c r="AJ248" s="86">
        <f>TABL123[[#This Row],[(A/B TOT) AJD]]-TABL123[[#This Row],[BER_ IN]]</f>
        <v>520</v>
      </c>
      <c r="AK248" s="75">
        <v>0</v>
      </c>
      <c r="AL248" s="96">
        <v>43.0627</v>
      </c>
      <c r="AM248" s="96">
        <v>3142146</v>
      </c>
      <c r="AN248" s="96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91">
        <f>TABL123[[#This Row],[( S/S+T/B) AJD]]-(TABL123[[#This Row],[(A/B + A/S) AJD]]+(TABL123[[#This Row],[(STORGE DIFF.) AJD]]*1000)+TABL123[[#This Row],[البخر  AJD]])</f>
        <v>8765</v>
      </c>
      <c r="AE249" s="75">
        <v>50</v>
      </c>
      <c r="AF249" s="75">
        <v>58.738</v>
      </c>
      <c r="AG249" s="75">
        <v>1450973</v>
      </c>
      <c r="AH249" s="43">
        <v>3227</v>
      </c>
      <c r="AI249" s="43">
        <v>3227</v>
      </c>
      <c r="AJ249" s="86">
        <f>TABL123[[#This Row],[(A/B TOT) AJD]]-TABL123[[#This Row],[BER_ IN]]</f>
        <v>518</v>
      </c>
      <c r="AK249" s="75">
        <v>0</v>
      </c>
      <c r="AL249" s="96">
        <v>43.034500000000001</v>
      </c>
      <c r="AM249" s="96">
        <v>3126610</v>
      </c>
      <c r="AN249" s="96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91">
        <f>TABL123[[#This Row],[( S/S+T/B) AJD]]-(TABL123[[#This Row],[(A/B + A/S) AJD]]+(TABL123[[#This Row],[(STORGE DIFF.) AJD]]*1000)+TABL123[[#This Row],[البخر  AJD]])</f>
        <v>-34072</v>
      </c>
      <c r="AE250" s="75">
        <v>50</v>
      </c>
      <c r="AF250" s="75">
        <v>58.723999999999997</v>
      </c>
      <c r="AG250" s="75">
        <v>1441762</v>
      </c>
      <c r="AH250" s="45">
        <v>2770</v>
      </c>
      <c r="AI250" s="45">
        <v>2770</v>
      </c>
      <c r="AJ250" s="86">
        <f>TABL123[[#This Row],[(A/B TOT) AJD]]-TABL123[[#This Row],[BER_ IN]]</f>
        <v>508</v>
      </c>
      <c r="AK250" s="75">
        <v>0</v>
      </c>
      <c r="AL250" s="96">
        <v>42.995699999999999</v>
      </c>
      <c r="AM250" s="96">
        <v>3106040</v>
      </c>
      <c r="AN250" s="96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91">
        <f>TABL123[[#This Row],[( S/S+T/B) AJD]]-(TABL123[[#This Row],[(A/B + A/S) AJD]]+(TABL123[[#This Row],[(STORGE DIFF.) AJD]]*1000)+TABL123[[#This Row],[البخر  AJD]])</f>
        <v>-27434</v>
      </c>
      <c r="AE251" s="75">
        <v>50</v>
      </c>
      <c r="AF251" s="75">
        <v>58.701000000000001</v>
      </c>
      <c r="AG251" s="75">
        <v>1426635</v>
      </c>
      <c r="AH251" s="43">
        <v>2877</v>
      </c>
      <c r="AI251" s="43">
        <v>2877</v>
      </c>
      <c r="AJ251" s="86">
        <f>TABL123[[#This Row],[(A/B TOT) AJD]]-TABL123[[#This Row],[BER_ IN]]</f>
        <v>513</v>
      </c>
      <c r="AK251" s="75">
        <v>0</v>
      </c>
      <c r="AL251" s="96">
        <v>42.906399999999998</v>
      </c>
      <c r="AM251" s="96">
        <v>3057400</v>
      </c>
      <c r="AN251" s="96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91">
        <f>TABL123[[#This Row],[( S/S+T/B) AJD]]-(TABL123[[#This Row],[(A/B + A/S) AJD]]+(TABL123[[#This Row],[(STORGE DIFF.) AJD]]*1000)+TABL123[[#This Row],[البخر  AJD]])</f>
        <v>-852</v>
      </c>
      <c r="AE252" s="75">
        <v>50</v>
      </c>
      <c r="AF252" s="75">
        <v>58.651000000000003</v>
      </c>
      <c r="AG252" s="75">
        <v>1393764</v>
      </c>
      <c r="AH252" s="45">
        <v>3190</v>
      </c>
      <c r="AI252" s="45">
        <v>3190</v>
      </c>
      <c r="AJ252" s="86">
        <f>TABL123[[#This Row],[(A/B TOT) AJD]]-TABL123[[#This Row],[BER_ IN]]</f>
        <v>531</v>
      </c>
      <c r="AK252" s="75">
        <v>0</v>
      </c>
      <c r="AL252" s="96">
        <v>42.828499999999998</v>
      </c>
      <c r="AM252" s="96">
        <v>3015620</v>
      </c>
      <c r="AN252" s="96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91">
        <f>TABL123[[#This Row],[( S/S+T/B) AJD]]-(TABL123[[#This Row],[(A/B + A/S) AJD]]+(TABL123[[#This Row],[(STORGE DIFF.) AJD]]*1000)+TABL123[[#This Row],[البخر  AJD]])</f>
        <v>-45094</v>
      </c>
      <c r="AE253" s="75">
        <v>50</v>
      </c>
      <c r="AF253" s="75">
        <v>58.607999999999997</v>
      </c>
      <c r="AG253" s="75">
        <v>1365513</v>
      </c>
      <c r="AH253" s="43">
        <v>2721</v>
      </c>
      <c r="AI253" s="43">
        <v>2721</v>
      </c>
      <c r="AJ253" s="86">
        <f>TABL123[[#This Row],[(A/B TOT) AJD]]-TABL123[[#This Row],[BER_ IN]]</f>
        <v>508</v>
      </c>
      <c r="AK253" s="75">
        <v>0</v>
      </c>
      <c r="AL253" s="96">
        <v>42.805300000000003</v>
      </c>
      <c r="AM253" s="96">
        <v>3002832</v>
      </c>
      <c r="AN253" s="96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91">
        <f>TABL123[[#This Row],[( S/S+T/B) AJD]]-(TABL123[[#This Row],[(A/B + A/S) AJD]]+(TABL123[[#This Row],[(STORGE DIFF.) AJD]]*1000)+TABL123[[#This Row],[البخر  AJD]])</f>
        <v>-76704</v>
      </c>
      <c r="AE254" s="75">
        <v>50</v>
      </c>
      <c r="AF254" s="75">
        <v>58.573999999999998</v>
      </c>
      <c r="AG254" s="75">
        <v>1343186</v>
      </c>
      <c r="AH254" s="45">
        <v>2646</v>
      </c>
      <c r="AI254" s="45">
        <v>2646</v>
      </c>
      <c r="AJ254" s="86">
        <f>TABL123[[#This Row],[(A/B TOT) AJD]]-TABL123[[#This Row],[BER_ IN]]</f>
        <v>507</v>
      </c>
      <c r="AK254" s="75">
        <v>0</v>
      </c>
      <c r="AL254" s="96">
        <v>42.728099999999998</v>
      </c>
      <c r="AM254" s="96">
        <v>2961303</v>
      </c>
      <c r="AN254" s="96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91">
        <f>TABL123[[#This Row],[( S/S+T/B) AJD]]-(TABL123[[#This Row],[(A/B + A/S) AJD]]+(TABL123[[#This Row],[(STORGE DIFF.) AJD]]*1000)+TABL123[[#This Row],[البخر  AJD]])</f>
        <v>-29146</v>
      </c>
      <c r="AE255" s="75">
        <v>50</v>
      </c>
      <c r="AF255" s="75">
        <v>58.524000000000001</v>
      </c>
      <c r="AG255" s="75">
        <v>1310371</v>
      </c>
      <c r="AH255" s="43">
        <v>3135</v>
      </c>
      <c r="AI255" s="43">
        <v>3135</v>
      </c>
      <c r="AJ255" s="86">
        <f>TABL123[[#This Row],[(A/B TOT) AJD]]-TABL123[[#This Row],[BER_ IN]]</f>
        <v>523</v>
      </c>
      <c r="AK255" s="75">
        <v>0</v>
      </c>
      <c r="AL255" s="96">
        <v>42.695999999999998</v>
      </c>
      <c r="AM255" s="96">
        <v>2945137</v>
      </c>
      <c r="AN255" s="96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91">
        <f>TABL123[[#This Row],[( S/S+T/B) AJD]]-(TABL123[[#This Row],[(A/B + A/S) AJD]]+(TABL123[[#This Row],[(STORGE DIFF.) AJD]]*1000)+TABL123[[#This Row],[البخر  AJD]])</f>
        <v>7719</v>
      </c>
      <c r="AE256" s="75">
        <v>50</v>
      </c>
      <c r="AF256" s="75">
        <v>58.473999999999997</v>
      </c>
      <c r="AG256" s="75">
        <v>1277577</v>
      </c>
      <c r="AH256" s="45">
        <v>3114</v>
      </c>
      <c r="AI256" s="45">
        <v>3114</v>
      </c>
      <c r="AJ256" s="86">
        <f>TABL123[[#This Row],[(A/B TOT) AJD]]-TABL123[[#This Row],[BER_ IN]]</f>
        <v>514</v>
      </c>
      <c r="AK256" s="75">
        <v>0</v>
      </c>
      <c r="AL256" s="96">
        <v>42.651800000000001</v>
      </c>
      <c r="AM256" s="96">
        <v>2920698</v>
      </c>
      <c r="AN256" s="96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91">
        <f>TABL123[[#This Row],[( S/S+T/B) AJD]]-(TABL123[[#This Row],[(A/B + A/S) AJD]]+(TABL123[[#This Row],[(STORGE DIFF.) AJD]]*1000)+TABL123[[#This Row],[البخر  AJD]])</f>
        <v>-41814</v>
      </c>
      <c r="AE257" s="75">
        <v>50</v>
      </c>
      <c r="AF257" s="75">
        <v>58.454999999999998</v>
      </c>
      <c r="AG257" s="75">
        <v>1265121</v>
      </c>
      <c r="AH257" s="43">
        <v>2696</v>
      </c>
      <c r="AI257" s="43">
        <v>2696</v>
      </c>
      <c r="AJ257" s="86">
        <f>TABL123[[#This Row],[(A/B TOT) AJD]]-TABL123[[#This Row],[BER_ IN]]</f>
        <v>484</v>
      </c>
      <c r="AK257" s="75">
        <v>0</v>
      </c>
      <c r="AL257" s="96">
        <v>42.598100000000002</v>
      </c>
      <c r="AM257" s="96">
        <v>2891290</v>
      </c>
      <c r="AN257" s="96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91">
        <f>TABL123[[#This Row],[( S/S+T/B) AJD]]-(TABL123[[#This Row],[(A/B + A/S) AJD]]+(TABL123[[#This Row],[(STORGE DIFF.) AJD]]*1000)+TABL123[[#This Row],[البخر  AJD]])</f>
        <v>-10441</v>
      </c>
      <c r="AE258" s="75">
        <v>50</v>
      </c>
      <c r="AF258" s="75">
        <v>58.405999999999999</v>
      </c>
      <c r="AG258" s="75">
        <v>1233011</v>
      </c>
      <c r="AH258" s="45">
        <v>2429</v>
      </c>
      <c r="AI258" s="45">
        <v>2429</v>
      </c>
      <c r="AJ258" s="86">
        <f>TABL123[[#This Row],[(A/B TOT) AJD]]-TABL123[[#This Row],[BER_ IN]]</f>
        <v>520</v>
      </c>
      <c r="AK258" s="75">
        <v>0</v>
      </c>
      <c r="AL258" s="96">
        <v>42.539400000000001</v>
      </c>
      <c r="AM258" s="96">
        <v>2860540</v>
      </c>
      <c r="AN258" s="96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91">
        <f>TABL123[[#This Row],[( S/S+T/B) AJD]]-(TABL123[[#This Row],[(A/B + A/S) AJD]]+(TABL123[[#This Row],[(STORGE DIFF.) AJD]]*1000)+TABL123[[#This Row],[البخر  AJD]])</f>
        <v>-68818</v>
      </c>
      <c r="AE259" s="75">
        <v>50</v>
      </c>
      <c r="AF259" s="75">
        <v>58.433</v>
      </c>
      <c r="AG259" s="75">
        <v>1250702</v>
      </c>
      <c r="AH259" s="43">
        <v>2706</v>
      </c>
      <c r="AI259" s="43">
        <v>2706</v>
      </c>
      <c r="AJ259" s="86">
        <f>TABL123[[#This Row],[(A/B TOT) AJD]]-TABL123[[#This Row],[BER_ IN]]</f>
        <v>472</v>
      </c>
      <c r="AK259" s="75">
        <v>0</v>
      </c>
      <c r="AL259" s="96">
        <v>42.4998</v>
      </c>
      <c r="AM259" s="96">
        <v>2838760</v>
      </c>
      <c r="AN259" s="96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91">
        <f>TABL123[[#This Row],[( S/S+T/B) AJD]]-(TABL123[[#This Row],[(A/B + A/S) AJD]]+(TABL123[[#This Row],[(STORGE DIFF.) AJD]]*1000)+TABL123[[#This Row],[البخر  AJD]])</f>
        <v>64142</v>
      </c>
      <c r="AE260" s="75">
        <v>50</v>
      </c>
      <c r="AF260" s="75">
        <v>58.445999999999998</v>
      </c>
      <c r="AG260" s="75">
        <v>1259222</v>
      </c>
      <c r="AH260" s="45">
        <v>2470</v>
      </c>
      <c r="AI260" s="45">
        <v>2470</v>
      </c>
      <c r="AJ260" s="86">
        <f>TABL123[[#This Row],[(A/B TOT) AJD]]-TABL123[[#This Row],[BER_ IN]]</f>
        <v>486</v>
      </c>
      <c r="AK260" s="75">
        <v>0</v>
      </c>
      <c r="AL260" s="96">
        <v>42.476199999999999</v>
      </c>
      <c r="AM260" s="96">
        <v>2825714</v>
      </c>
      <c r="AN260" s="96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91">
        <f>TABL123[[#This Row],[( S/S+T/B) AJD]]-(TABL123[[#This Row],[(A/B + A/S) AJD]]+(TABL123[[#This Row],[(STORGE DIFF.) AJD]]*1000)+TABL123[[#This Row],[البخر  AJD]])</f>
        <v>35350</v>
      </c>
      <c r="AE261" s="75">
        <v>50</v>
      </c>
      <c r="AF261" s="75">
        <v>58.462000000000003</v>
      </c>
      <c r="AG261" s="75">
        <v>1259709</v>
      </c>
      <c r="AH261" s="43">
        <v>2992</v>
      </c>
      <c r="AI261" s="43">
        <v>2992</v>
      </c>
      <c r="AJ261" s="86">
        <f>TABL123[[#This Row],[(A/B TOT) AJD]]-TABL123[[#This Row],[BER_ IN]]</f>
        <v>520</v>
      </c>
      <c r="AK261" s="75">
        <v>8</v>
      </c>
      <c r="AL261" s="96">
        <v>42.4602</v>
      </c>
      <c r="AM261" s="96">
        <v>2817110</v>
      </c>
      <c r="AN261" s="96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91">
        <f>TABL123[[#This Row],[( S/S+T/B) AJD]]-(TABL123[[#This Row],[(A/B + A/S) AJD]]+(TABL123[[#This Row],[(STORGE DIFF.) AJD]]*1000)+TABL123[[#This Row],[البخر  AJD]])</f>
        <v>40420</v>
      </c>
      <c r="AE262" s="75">
        <v>50</v>
      </c>
      <c r="AF262" s="75">
        <v>58474</v>
      </c>
      <c r="AG262" s="75">
        <v>1277577</v>
      </c>
      <c r="AH262" s="45">
        <v>2292</v>
      </c>
      <c r="AI262" s="45">
        <v>2292</v>
      </c>
      <c r="AJ262" s="86">
        <f>TABL123[[#This Row],[(A/B TOT) AJD]]-TABL123[[#This Row],[BER_ IN]]</f>
        <v>516</v>
      </c>
      <c r="AK262" s="75">
        <v>48</v>
      </c>
      <c r="AL262" s="96">
        <v>42.494900000000001</v>
      </c>
      <c r="AM262" s="96">
        <v>2835450</v>
      </c>
      <c r="AN262" s="96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91">
        <f>TABL123[[#This Row],[( S/S+T/B) AJD]]-(TABL123[[#This Row],[(A/B + A/S) AJD]]+(TABL123[[#This Row],[(STORGE DIFF.) AJD]]*1000)+TABL123[[#This Row],[البخر  AJD]])</f>
        <v>1837</v>
      </c>
      <c r="AE263" s="75">
        <v>50</v>
      </c>
      <c r="AF263" s="75">
        <v>58.484999999999999</v>
      </c>
      <c r="AG263" s="75">
        <v>1284790</v>
      </c>
      <c r="AH263" s="43">
        <v>2947</v>
      </c>
      <c r="AI263" s="43">
        <v>2947</v>
      </c>
      <c r="AJ263" s="86">
        <f>TABL123[[#This Row],[(A/B TOT) AJD]]-TABL123[[#This Row],[BER_ IN]]</f>
        <v>521</v>
      </c>
      <c r="AK263" s="75">
        <v>27</v>
      </c>
      <c r="AL263" s="96">
        <v>42.5002</v>
      </c>
      <c r="AM263" s="96">
        <v>2839080</v>
      </c>
      <c r="AN263" s="96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91">
        <f>TABL123[[#This Row],[( S/S+T/B) AJD]]-(TABL123[[#This Row],[(A/B + A/S) AJD]]+(TABL123[[#This Row],[(STORGE DIFF.) AJD]]*1000)+TABL123[[#This Row],[البخر  AJD]])</f>
        <v>-11009</v>
      </c>
      <c r="AE264" s="75">
        <v>50</v>
      </c>
      <c r="AF264" s="75">
        <v>58.494999999999997</v>
      </c>
      <c r="AG264" s="75">
        <v>1291348</v>
      </c>
      <c r="AH264" s="45">
        <v>3601</v>
      </c>
      <c r="AI264" s="45">
        <v>3601</v>
      </c>
      <c r="AJ264" s="86">
        <f>TABL123[[#This Row],[(A/B TOT) AJD]]-TABL123[[#This Row],[BER_ IN]]</f>
        <v>518</v>
      </c>
      <c r="AK264" s="75">
        <v>0</v>
      </c>
      <c r="AL264" s="96">
        <v>42.4604</v>
      </c>
      <c r="AM264" s="96">
        <v>2817120</v>
      </c>
      <c r="AN264" s="96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91">
        <f>TABL123[[#This Row],[( S/S+T/B) AJD]]-(TABL123[[#This Row],[(A/B + A/S) AJD]]+(TABL123[[#This Row],[(STORGE DIFF.) AJD]]*1000)+TABL123[[#This Row],[البخر  AJD]])</f>
        <v>-32362</v>
      </c>
      <c r="AE265" s="75">
        <v>50</v>
      </c>
      <c r="AF265" s="75">
        <v>58.514000000000003</v>
      </c>
      <c r="AG265" s="75">
        <v>1303810</v>
      </c>
      <c r="AH265" s="43">
        <v>3092</v>
      </c>
      <c r="AI265" s="43">
        <v>3092</v>
      </c>
      <c r="AJ265" s="86">
        <f>TABL123[[#This Row],[(A/B TOT) AJD]]-TABL123[[#This Row],[BER_ IN]]</f>
        <v>518</v>
      </c>
      <c r="AK265" s="75">
        <v>0</v>
      </c>
      <c r="AL265" s="96">
        <v>42.416400000000003</v>
      </c>
      <c r="AM265" s="96">
        <v>2793280</v>
      </c>
      <c r="AN265" s="96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91">
        <f>TABL123[[#This Row],[( S/S+T/B) AJD]]-(TABL123[[#This Row],[(A/B + A/S) AJD]]+(TABL123[[#This Row],[(STORGE DIFF.) AJD]]*1000)+TABL123[[#This Row],[البخر  AJD]])</f>
        <v>-44279</v>
      </c>
      <c r="AE266" s="75">
        <v>52</v>
      </c>
      <c r="AF266" s="75">
        <v>58.526000000000003</v>
      </c>
      <c r="AG266" s="75">
        <v>1311683</v>
      </c>
      <c r="AH266" s="45">
        <v>3287</v>
      </c>
      <c r="AI266" s="45">
        <v>3287</v>
      </c>
      <c r="AJ266" s="86">
        <f>TABL123[[#This Row],[(A/B TOT) AJD]]-TABL123[[#This Row],[BER_ IN]]</f>
        <v>513</v>
      </c>
      <c r="AK266" s="75">
        <v>0</v>
      </c>
      <c r="AL266" s="96">
        <v>42.380800000000001</v>
      </c>
      <c r="AM266" s="96">
        <v>2774470</v>
      </c>
      <c r="AN266" s="96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91">
        <f>TABL123[[#This Row],[( S/S+T/B) AJD]]-(TABL123[[#This Row],[(A/B + A/S) AJD]]+(TABL123[[#This Row],[(STORGE DIFF.) AJD]]*1000)+TABL123[[#This Row],[البخر  AJD]])</f>
        <v>-46961</v>
      </c>
      <c r="AE267" s="75">
        <v>51</v>
      </c>
      <c r="AF267" s="75">
        <v>58.558999999999997</v>
      </c>
      <c r="AG267" s="75">
        <v>1333339</v>
      </c>
      <c r="AH267" s="43">
        <v>2389</v>
      </c>
      <c r="AI267" s="43">
        <v>2389</v>
      </c>
      <c r="AJ267" s="86">
        <f>TABL123[[#This Row],[(A/B TOT) AJD]]-TABL123[[#This Row],[BER_ IN]]</f>
        <v>514</v>
      </c>
      <c r="AK267" s="75">
        <v>0</v>
      </c>
      <c r="AL267" s="96">
        <v>42.315600000000003</v>
      </c>
      <c r="AM267" s="96">
        <v>2739880</v>
      </c>
      <c r="AN267" s="96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91">
        <f>TABL123[[#This Row],[( S/S+T/B) AJD]]-(TABL123[[#This Row],[(A/B + A/S) AJD]]+(TABL123[[#This Row],[(STORGE DIFF.) AJD]]*1000)+TABL123[[#This Row],[البخر  AJD]])</f>
        <v>14244</v>
      </c>
      <c r="AE268" s="75">
        <v>51</v>
      </c>
      <c r="AF268" s="75">
        <v>58.558999999999997</v>
      </c>
      <c r="AG268" s="75">
        <v>1333339</v>
      </c>
      <c r="AH268" s="45">
        <v>2389</v>
      </c>
      <c r="AI268" s="45">
        <v>2389</v>
      </c>
      <c r="AJ268" s="86">
        <f>TABL123[[#This Row],[(A/B TOT) AJD]]-TABL123[[#This Row],[BER_ IN]]</f>
        <v>521</v>
      </c>
      <c r="AK268" s="75">
        <v>0</v>
      </c>
      <c r="AL268" s="96">
        <v>42.254800000000003</v>
      </c>
      <c r="AM268" s="96">
        <v>2707210</v>
      </c>
      <c r="AN268" s="96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91">
        <f>TABL123[[#This Row],[( S/S+T/B) AJD]]-(TABL123[[#This Row],[(A/B + A/S) AJD]]+(TABL123[[#This Row],[(STORGE DIFF.) AJD]]*1000)+TABL123[[#This Row],[البخر  AJD]])</f>
        <v>25031</v>
      </c>
      <c r="AE269" s="75"/>
      <c r="AF269" s="75"/>
      <c r="AG269" s="75"/>
      <c r="AH269" s="43"/>
      <c r="AI269" s="86"/>
      <c r="AJ269" s="86">
        <f>TABL123[[#This Row],[(A/B TOT) AJD]]-TABL123[[#This Row],[BER_ IN]]</f>
        <v>570</v>
      </c>
      <c r="AK269" s="86"/>
      <c r="AL269" s="75"/>
      <c r="AM269" s="96"/>
      <c r="AN269" s="96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91">
        <f>TABL123[[#This Row],[( S/S+T/B) AJD]]-(TABL123[[#This Row],[(A/B + A/S) AJD]]+(TABL123[[#This Row],[(STORGE DIFF.) AJD]]*1000)+TABL123[[#This Row],[البخر  AJD]])</f>
        <v>8950</v>
      </c>
      <c r="AE270" s="75"/>
      <c r="AF270" s="75"/>
      <c r="AG270" s="75"/>
      <c r="AH270" s="45"/>
      <c r="AI270" s="86"/>
      <c r="AJ270" s="86">
        <f>TABL123[[#This Row],[(A/B TOT) AJD]]-TABL123[[#This Row],[BER_ IN]]</f>
        <v>549</v>
      </c>
      <c r="AK270" s="86"/>
      <c r="AL270" s="75"/>
      <c r="AM270" s="96"/>
      <c r="AN270" s="96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91">
        <f>TABL123[[#This Row],[( S/S+T/B) AJD]]-(TABL123[[#This Row],[(A/B + A/S) AJD]]+(TABL123[[#This Row],[(STORGE DIFF.) AJD]]*1000)+TABL123[[#This Row],[البخر  AJD]])</f>
        <v>16084</v>
      </c>
      <c r="AE271" s="75"/>
      <c r="AF271" s="75"/>
      <c r="AG271" s="75"/>
      <c r="AH271" s="43"/>
      <c r="AI271" s="86"/>
      <c r="AJ271" s="86">
        <f>TABL123[[#This Row],[(A/B TOT) AJD]]-TABL123[[#This Row],[BER_ IN]]</f>
        <v>543</v>
      </c>
      <c r="AK271" s="86"/>
      <c r="AL271" s="75"/>
      <c r="AM271" s="96"/>
      <c r="AN271" s="96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91">
        <f>TABL123[[#This Row],[( S/S+T/B) AJD]]-(TABL123[[#This Row],[(A/B + A/S) AJD]]+(TABL123[[#This Row],[(STORGE DIFF.) AJD]]*1000)+TABL123[[#This Row],[البخر  AJD]])</f>
        <v>-5920</v>
      </c>
      <c r="AE272" s="75"/>
      <c r="AF272" s="75"/>
      <c r="AG272" s="75"/>
      <c r="AH272" s="45"/>
      <c r="AI272" s="86"/>
      <c r="AJ272" s="86">
        <f>TABL123[[#This Row],[(A/B TOT) AJD]]-TABL123[[#This Row],[BER_ IN]]</f>
        <v>545</v>
      </c>
      <c r="AK272" s="86"/>
      <c r="AL272" s="75"/>
      <c r="AM272" s="96"/>
      <c r="AN272" s="96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91">
        <f>TABL123[[#This Row],[( S/S+T/B) AJD]]-(TABL123[[#This Row],[(A/B + A/S) AJD]]+(TABL123[[#This Row],[(STORGE DIFF.) AJD]]*1000)+TABL123[[#This Row],[البخر  AJD]])</f>
        <v>-42826</v>
      </c>
      <c r="AE273" s="75"/>
      <c r="AF273" s="75"/>
      <c r="AG273" s="75"/>
      <c r="AH273" s="43"/>
      <c r="AI273" s="86"/>
      <c r="AJ273" s="86">
        <f>TABL123[[#This Row],[(A/B TOT) AJD]]-TABL123[[#This Row],[BER_ IN]]</f>
        <v>538</v>
      </c>
      <c r="AK273" s="86"/>
      <c r="AL273" s="75"/>
      <c r="AM273" s="96"/>
      <c r="AN273" s="96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85">
        <v>395</v>
      </c>
      <c r="P274" s="9">
        <f>TABL123[[#This Row],[خط (S/S  TOT) SAR2]]-TABL123[[#This Row],[(S/S TOT) AJD]]</f>
        <v>-395</v>
      </c>
      <c r="Q274" s="85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85">
        <v>536</v>
      </c>
      <c r="V274" s="85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93">
        <v>92.617000000000004</v>
      </c>
      <c r="Z274" s="94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91">
        <f>TABL123[[#This Row],[( S/S+T/B) AJD]]-(TABL123[[#This Row],[(A/B + A/S) AJD]]+(TABL123[[#This Row],[(STORGE DIFF.) AJD]]*1000)+TABL123[[#This Row],[البخر  AJD]])</f>
        <v>-44648</v>
      </c>
      <c r="AE274" s="75"/>
      <c r="AF274" s="75"/>
      <c r="AG274" s="75"/>
      <c r="AH274" s="6"/>
      <c r="AI274" s="86"/>
      <c r="AJ274" s="86">
        <f>TABL123[[#This Row],[(A/B TOT) AJD]]-TABL123[[#This Row],[BER_ IN]]</f>
        <v>536</v>
      </c>
      <c r="AK274" s="86"/>
      <c r="AL274" s="75"/>
      <c r="AM274" s="96"/>
      <c r="AN274" s="96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91">
        <f>TABL123[[#This Row],[( S/S+T/B) AJD]]-(TABL123[[#This Row],[(A/B + A/S) AJD]]+(TABL123[[#This Row],[(STORGE DIFF.) AJD]]*1000)+TABL123[[#This Row],[البخر  AJD]])</f>
        <v>-33964</v>
      </c>
      <c r="AE275" s="75"/>
      <c r="AF275" s="75"/>
      <c r="AG275" s="75"/>
      <c r="AH275" s="6"/>
      <c r="AI275" s="86"/>
      <c r="AJ275" s="86">
        <f>TABL123[[#This Row],[(A/B TOT) AJD]]-TABL123[[#This Row],[BER_ IN]]</f>
        <v>538</v>
      </c>
      <c r="AK275" s="86"/>
      <c r="AL275" s="75"/>
      <c r="AM275" s="96"/>
      <c r="AN275" s="96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91">
        <f>TABL123[[#This Row],[( S/S+T/B) AJD]]-(TABL123[[#This Row],[(A/B + A/S) AJD]]+(TABL123[[#This Row],[(STORGE DIFF.) AJD]]*1000)+TABL123[[#This Row],[البخر  AJD]])</f>
        <v>-13698</v>
      </c>
      <c r="AE276" s="75"/>
      <c r="AF276" s="75"/>
      <c r="AG276" s="75"/>
      <c r="AH276" s="6"/>
      <c r="AI276" s="86"/>
      <c r="AJ276" s="86">
        <f>TABL123[[#This Row],[(A/B TOT) AJD]]-TABL123[[#This Row],[BER_ IN]]</f>
        <v>529</v>
      </c>
      <c r="AK276" s="86"/>
      <c r="AL276" s="75"/>
      <c r="AM276" s="96"/>
      <c r="AN276" s="96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91">
        <f>TABL123[[#This Row],[( S/S+T/B) AJD]]-(TABL123[[#This Row],[(A/B + A/S) AJD]]+(TABL123[[#This Row],[(STORGE DIFF.) AJD]]*1000)+TABL123[[#This Row],[البخر  AJD]])</f>
        <v>3023</v>
      </c>
      <c r="AE277" s="75"/>
      <c r="AF277" s="75"/>
      <c r="AG277" s="75"/>
      <c r="AH277" s="6"/>
      <c r="AI277" s="86"/>
      <c r="AJ277" s="86">
        <f>TABL123[[#This Row],[(A/B TOT) AJD]]-TABL123[[#This Row],[BER_ IN]]</f>
        <v>538</v>
      </c>
      <c r="AK277" s="86"/>
      <c r="AL277" s="75"/>
      <c r="AM277" s="96"/>
      <c r="AN277" s="96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91">
        <f>TABL123[[#This Row],[( S/S+T/B) AJD]]-(TABL123[[#This Row],[(A/B + A/S) AJD]]+(TABL123[[#This Row],[(STORGE DIFF.) AJD]]*1000)+TABL123[[#This Row],[البخر  AJD]])</f>
        <v>-2958</v>
      </c>
      <c r="AE278" s="75"/>
      <c r="AF278" s="75"/>
      <c r="AG278" s="75"/>
      <c r="AH278" s="6"/>
      <c r="AI278" s="86"/>
      <c r="AJ278" s="86">
        <f>TABL123[[#This Row],[(A/B TOT) AJD]]-TABL123[[#This Row],[BER_ IN]]</f>
        <v>539</v>
      </c>
      <c r="AK278" s="86"/>
      <c r="AL278" s="75"/>
      <c r="AM278" s="96"/>
      <c r="AN278" s="96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91">
        <f>TABL123[[#This Row],[( S/S+T/B) AJD]]-(TABL123[[#This Row],[(A/B + A/S) AJD]]+(TABL123[[#This Row],[(STORGE DIFF.) AJD]]*1000)+TABL123[[#This Row],[البخر  AJD]])</f>
        <v>-8918</v>
      </c>
      <c r="AE279" s="75"/>
      <c r="AF279" s="75"/>
      <c r="AG279" s="75"/>
      <c r="AH279" s="6"/>
      <c r="AI279" s="86"/>
      <c r="AJ279" s="86">
        <f>TABL123[[#This Row],[(A/B TOT) AJD]]-TABL123[[#This Row],[BER_ IN]]</f>
        <v>542</v>
      </c>
      <c r="AK279" s="86"/>
      <c r="AL279" s="75"/>
      <c r="AM279" s="96"/>
      <c r="AN279" s="96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91">
        <f>TABL123[[#This Row],[( S/S+T/B) AJD]]-(TABL123[[#This Row],[(A/B + A/S) AJD]]+(TABL123[[#This Row],[(STORGE DIFF.) AJD]]*1000)+TABL123[[#This Row],[البخر  AJD]])</f>
        <v>-4158</v>
      </c>
      <c r="AE280" s="75"/>
      <c r="AF280" s="75"/>
      <c r="AG280" s="75"/>
      <c r="AH280" s="6"/>
      <c r="AI280" s="86"/>
      <c r="AJ280" s="86">
        <f>TABL123[[#This Row],[(A/B TOT) AJD]]-TABL123[[#This Row],[BER_ IN]]</f>
        <v>551</v>
      </c>
      <c r="AK280" s="86"/>
      <c r="AL280" s="75"/>
      <c r="AM280" s="96"/>
      <c r="AN280" s="96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91">
        <f>TABL123[[#This Row],[( S/S+T/B) AJD]]-(TABL123[[#This Row],[(A/B + A/S) AJD]]+(TABL123[[#This Row],[(STORGE DIFF.) AJD]]*1000)+TABL123[[#This Row],[البخر  AJD]])</f>
        <v>35</v>
      </c>
      <c r="AE281" s="75"/>
      <c r="AF281" s="75"/>
      <c r="AG281" s="75"/>
      <c r="AH281" s="6"/>
      <c r="AI281" s="86"/>
      <c r="AJ281" s="86">
        <f>TABL123[[#This Row],[(A/B TOT) AJD]]-TABL123[[#This Row],[BER_ IN]]</f>
        <v>545</v>
      </c>
      <c r="AK281" s="86"/>
      <c r="AL281" s="75"/>
      <c r="AM281" s="96"/>
      <c r="AN281" s="96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91">
        <f>TABL123[[#This Row],[( S/S+T/B) AJD]]-(TABL123[[#This Row],[(A/B + A/S) AJD]]+(TABL123[[#This Row],[(STORGE DIFF.) AJD]]*1000)+TABL123[[#This Row],[البخر  AJD]])</f>
        <v>1232</v>
      </c>
      <c r="AE282" s="75"/>
      <c r="AF282" s="75"/>
      <c r="AG282" s="75"/>
      <c r="AH282" s="6"/>
      <c r="AI282" s="86"/>
      <c r="AJ282" s="86">
        <f>TABL123[[#This Row],[(A/B TOT) AJD]]-TABL123[[#This Row],[BER_ IN]]</f>
        <v>543</v>
      </c>
      <c r="AK282" s="86"/>
      <c r="AL282" s="75"/>
      <c r="AM282" s="96"/>
      <c r="AN282" s="96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91">
        <f>TABL123[[#This Row],[( S/S+T/B) AJD]]-(TABL123[[#This Row],[(A/B + A/S) AJD]]+(TABL123[[#This Row],[(STORGE DIFF.) AJD]]*1000)+TABL123[[#This Row],[البخر  AJD]])</f>
        <v>-8929</v>
      </c>
      <c r="AE283" s="75"/>
      <c r="AF283" s="75"/>
      <c r="AG283" s="75"/>
      <c r="AH283" s="6"/>
      <c r="AI283" s="86"/>
      <c r="AJ283" s="86">
        <f>TABL123[[#This Row],[(A/B TOT) AJD]]-TABL123[[#This Row],[BER_ IN]]</f>
        <v>552</v>
      </c>
      <c r="AK283" s="86"/>
      <c r="AL283" s="75"/>
      <c r="AM283" s="96"/>
      <c r="AN283" s="96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91">
        <f>TABL123[[#This Row],[( S/S+T/B) AJD]]-(TABL123[[#This Row],[(A/B + A/S) AJD]]+(TABL123[[#This Row],[(STORGE DIFF.) AJD]]*1000)+TABL123[[#This Row],[البخر  AJD]])</f>
        <v>-7131</v>
      </c>
      <c r="AE284" s="75"/>
      <c r="AF284" s="75"/>
      <c r="AG284" s="75"/>
      <c r="AH284" s="6"/>
      <c r="AI284" s="86"/>
      <c r="AJ284" s="86">
        <f>TABL123[[#This Row],[(A/B TOT) AJD]]-TABL123[[#This Row],[BER_ IN]]</f>
        <v>549</v>
      </c>
      <c r="AK284" s="86"/>
      <c r="AL284" s="75"/>
      <c r="AM284" s="96"/>
      <c r="AN284" s="96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91">
        <f>TABL123[[#This Row],[( S/S+T/B) AJD]]-(TABL123[[#This Row],[(A/B + A/S) AJD]]+(TABL123[[#This Row],[(STORGE DIFF.) AJD]]*1000)+TABL123[[#This Row],[البخر  AJD]])</f>
        <v>-13707</v>
      </c>
      <c r="AE285" s="75"/>
      <c r="AF285" s="75"/>
      <c r="AG285" s="75"/>
      <c r="AH285" s="6"/>
      <c r="AI285" s="86"/>
      <c r="AJ285" s="86">
        <f>TABL123[[#This Row],[(A/B TOT) AJD]]-TABL123[[#This Row],[BER_ IN]]</f>
        <v>548</v>
      </c>
      <c r="AK285" s="86"/>
      <c r="AL285" s="75"/>
      <c r="AM285" s="96"/>
      <c r="AN285" s="96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91">
        <f>TABL123[[#This Row],[( S/S+T/B) AJD]]-(TABL123[[#This Row],[(A/B + A/S) AJD]]+(TABL123[[#This Row],[(STORGE DIFF.) AJD]]*1000)+TABL123[[#This Row],[البخر  AJD]])</f>
        <v>-5950</v>
      </c>
      <c r="AE286" s="75"/>
      <c r="AF286" s="75"/>
      <c r="AG286" s="75"/>
      <c r="AH286" s="6"/>
      <c r="AI286" s="86"/>
      <c r="AJ286" s="86">
        <f>TABL123[[#This Row],[(A/B TOT) AJD]]-TABL123[[#This Row],[BER_ IN]]</f>
        <v>548</v>
      </c>
      <c r="AK286" s="86"/>
      <c r="AL286" s="75"/>
      <c r="AM286" s="96"/>
      <c r="AN286" s="96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91">
        <f>TABL123[[#This Row],[( S/S+T/B) AJD]]-(TABL123[[#This Row],[(A/B + A/S) AJD]]+(TABL123[[#This Row],[(STORGE DIFF.) AJD]]*1000)+TABL123[[#This Row],[البخر  AJD]])</f>
        <v>31694</v>
      </c>
      <c r="AE287" s="75"/>
      <c r="AF287" s="75"/>
      <c r="AG287" s="75"/>
      <c r="AH287" s="6"/>
      <c r="AI287" s="86"/>
      <c r="AJ287" s="86">
        <f>TABL123[[#This Row],[(A/B TOT) AJD]]-TABL123[[#This Row],[BER_ IN]]</f>
        <v>561</v>
      </c>
      <c r="AK287" s="86"/>
      <c r="AL287" s="75"/>
      <c r="AM287" s="96"/>
      <c r="AN287" s="96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91">
        <f>TABL123[[#This Row],[( S/S+T/B) AJD]]-(TABL123[[#This Row],[(A/B + A/S) AJD]]+(TABL123[[#This Row],[(STORGE DIFF.) AJD]]*1000)+TABL123[[#This Row],[البخر  AJD]])</f>
        <v>16128.999999999998</v>
      </c>
      <c r="AE288" s="75"/>
      <c r="AF288" s="75"/>
      <c r="AG288" s="75"/>
      <c r="AH288" s="6"/>
      <c r="AI288" s="86"/>
      <c r="AJ288" s="86">
        <f>TABL123[[#This Row],[(A/B TOT) AJD]]-TABL123[[#This Row],[BER_ IN]]</f>
        <v>561</v>
      </c>
      <c r="AK288" s="86"/>
      <c r="AL288" s="75"/>
      <c r="AM288" s="96"/>
      <c r="AN288" s="96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91">
        <f>TABL123[[#This Row],[( S/S+T/B) AJD]]-(TABL123[[#This Row],[(A/B + A/S) AJD]]+(TABL123[[#This Row],[(STORGE DIFF.) AJD]]*1000)+TABL123[[#This Row],[البخر  AJD]])</f>
        <v>47740</v>
      </c>
      <c r="AE289" s="75"/>
      <c r="AF289" s="75"/>
      <c r="AG289" s="75"/>
      <c r="AH289" s="6"/>
      <c r="AI289" s="86"/>
      <c r="AJ289" s="86">
        <f>TABL123[[#This Row],[(A/B TOT) AJD]]-TABL123[[#This Row],[BER_ IN]]</f>
        <v>563</v>
      </c>
      <c r="AK289" s="86"/>
      <c r="AL289" s="75"/>
      <c r="AM289" s="96"/>
      <c r="AN289" s="96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91">
        <f>TABL123[[#This Row],[( S/S+T/B) AJD]]-(TABL123[[#This Row],[(A/B + A/S) AJD]]+(TABL123[[#This Row],[(STORGE DIFF.) AJD]]*1000)+TABL123[[#This Row],[البخر  AJD]])</f>
        <v>5979</v>
      </c>
      <c r="AE290" s="75"/>
      <c r="AF290" s="75"/>
      <c r="AG290" s="75"/>
      <c r="AH290" s="6"/>
      <c r="AI290" s="86"/>
      <c r="AJ290" s="86">
        <f>TABL123[[#This Row],[(A/B TOT) AJD]]-TABL123[[#This Row],[BER_ IN]]</f>
        <v>558</v>
      </c>
      <c r="AK290" s="86"/>
      <c r="AL290" s="75"/>
      <c r="AM290" s="96"/>
      <c r="AN290" s="96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91">
        <f>TABL123[[#This Row],[( S/S+T/B) AJD]]-(TABL123[[#This Row],[(A/B + A/S) AJD]]+(TABL123[[#This Row],[(STORGE DIFF.) AJD]]*1000)+TABL123[[#This Row],[البخر  AJD]])</f>
        <v>-10099</v>
      </c>
      <c r="AE291" s="75"/>
      <c r="AF291" s="75"/>
      <c r="AG291" s="75"/>
      <c r="AH291" s="6"/>
      <c r="AI291" s="86"/>
      <c r="AJ291" s="86">
        <f>TABL123[[#This Row],[(A/B TOT) AJD]]-TABL123[[#This Row],[BER_ IN]]</f>
        <v>558</v>
      </c>
      <c r="AK291" s="86"/>
      <c r="AL291" s="75"/>
      <c r="AM291" s="96"/>
      <c r="AN291" s="96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91">
        <f>TABL123[[#This Row],[( S/S+T/B) AJD]]-(TABL123[[#This Row],[(A/B + A/S) AJD]]+(TABL123[[#This Row],[(STORGE DIFF.) AJD]]*1000)+TABL123[[#This Row],[البخر  AJD]])</f>
        <v>-16673</v>
      </c>
      <c r="AE292" s="75"/>
      <c r="AF292" s="75"/>
      <c r="AG292" s="75"/>
      <c r="AH292" s="6"/>
      <c r="AI292" s="86"/>
      <c r="AJ292" s="86">
        <f>TABL123[[#This Row],[(A/B TOT) AJD]]-TABL123[[#This Row],[BER_ IN]]</f>
        <v>565</v>
      </c>
      <c r="AK292" s="86"/>
      <c r="AL292" s="75"/>
      <c r="AM292" s="96"/>
      <c r="AN292" s="96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91">
        <f>TABL123[[#This Row],[( S/S+T/B) AJD]]-(TABL123[[#This Row],[(A/B + A/S) AJD]]+(TABL123[[#This Row],[(STORGE DIFF.) AJD]]*1000)+TABL123[[#This Row],[البخر  AJD]])</f>
        <v>10761</v>
      </c>
      <c r="AE293" s="75"/>
      <c r="AF293" s="75"/>
      <c r="AG293" s="75"/>
      <c r="AH293" s="6"/>
      <c r="AI293" s="86"/>
      <c r="AJ293" s="86">
        <f>TABL123[[#This Row],[(A/B TOT) AJD]]-TABL123[[#This Row],[BER_ IN]]</f>
        <v>568</v>
      </c>
      <c r="AK293" s="86"/>
      <c r="AL293" s="75"/>
      <c r="AM293" s="96"/>
      <c r="AN293" s="96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91">
        <f>TABL123[[#This Row],[( S/S+T/B) AJD]]-(TABL123[[#This Row],[(A/B + A/S) AJD]]+(TABL123[[#This Row],[(STORGE DIFF.) AJD]]*1000)+TABL123[[#This Row],[البخر  AJD]])</f>
        <v>32808</v>
      </c>
      <c r="AE294" s="75"/>
      <c r="AF294" s="75"/>
      <c r="AG294" s="75"/>
      <c r="AH294" s="6"/>
      <c r="AI294" s="86"/>
      <c r="AJ294" s="86">
        <f>TABL123[[#This Row],[(A/B TOT) AJD]]-TABL123[[#This Row],[BER_ IN]]</f>
        <v>564</v>
      </c>
      <c r="AK294" s="86"/>
      <c r="AL294" s="75"/>
      <c r="AM294" s="96"/>
      <c r="AN294" s="96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91">
        <f>TABL123[[#This Row],[( S/S+T/B) AJD]]-(TABL123[[#This Row],[(A/B + A/S) AJD]]+(TABL123[[#This Row],[(STORGE DIFF.) AJD]]*1000)+TABL123[[#This Row],[البخر  AJD]])</f>
        <v>31002</v>
      </c>
      <c r="AE295" s="75"/>
      <c r="AF295" s="75"/>
      <c r="AG295" s="75"/>
      <c r="AH295" s="6"/>
      <c r="AI295" s="86"/>
      <c r="AJ295" s="86">
        <f>TABL123[[#This Row],[(A/B TOT) AJD]]-TABL123[[#This Row],[BER_ IN]]</f>
        <v>565</v>
      </c>
      <c r="AK295" s="86"/>
      <c r="AL295" s="75"/>
      <c r="AM295" s="96"/>
      <c r="AN295" s="96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91">
        <f>TABL123[[#This Row],[( S/S+T/B) AJD]]-(TABL123[[#This Row],[(A/B + A/S) AJD]]+(TABL123[[#This Row],[(STORGE DIFF.) AJD]]*1000)+TABL123[[#This Row],[البخر  AJD]])</f>
        <v>47620</v>
      </c>
      <c r="AE296" s="75"/>
      <c r="AF296" s="75"/>
      <c r="AG296" s="75"/>
      <c r="AH296" s="6"/>
      <c r="AI296" s="86"/>
      <c r="AJ296" s="86">
        <f>TABL123[[#This Row],[(A/B TOT) AJD]]-TABL123[[#This Row],[BER_ IN]]</f>
        <v>558</v>
      </c>
      <c r="AK296" s="86"/>
      <c r="AL296" s="75"/>
      <c r="AM296" s="96"/>
      <c r="AN296" s="96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91">
        <f>TABL123[[#This Row],[( S/S+T/B) AJD]]-(TABL123[[#This Row],[(A/B + A/S) AJD]]+(TABL123[[#This Row],[(STORGE DIFF.) AJD]]*1000)+TABL123[[#This Row],[البخر  AJD]])</f>
        <v>464624.77100000001</v>
      </c>
      <c r="AE297" s="75"/>
      <c r="AF297" s="75"/>
      <c r="AG297" s="75"/>
      <c r="AH297" s="6"/>
      <c r="AI297" s="86"/>
      <c r="AJ297" s="86">
        <f>TABL123[[#This Row],[(A/B TOT) AJD]]-TABL123[[#This Row],[BER_ IN]]</f>
        <v>551</v>
      </c>
      <c r="AK297" s="86"/>
      <c r="AL297" s="75"/>
      <c r="AM297" s="96"/>
      <c r="AN297" s="96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91">
        <f>TABL123[[#This Row],[( S/S+T/B) AJD]]-(TABL123[[#This Row],[(A/B + A/S) AJD]]+(TABL123[[#This Row],[(STORGE DIFF.) AJD]]*1000)+TABL123[[#This Row],[البخر  AJD]])</f>
        <v>422.22899999999998</v>
      </c>
      <c r="AE298" s="75"/>
      <c r="AF298" s="75"/>
      <c r="AG298" s="75"/>
      <c r="AH298" s="6"/>
      <c r="AI298" s="86"/>
      <c r="AJ298" s="86">
        <f>TABL123[[#This Row],[(A/B TOT) AJD]]-TABL123[[#This Row],[BER_ IN]]</f>
        <v>0</v>
      </c>
      <c r="AK298" s="86"/>
      <c r="AL298" s="75"/>
      <c r="AM298" s="96"/>
      <c r="AN298" s="96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91">
        <f>TABL123[[#This Row],[( S/S+T/B) AJD]]-(TABL123[[#This Row],[(A/B + A/S) AJD]]+(TABL123[[#This Row],[(STORGE DIFF.) AJD]]*1000)+TABL123[[#This Row],[البخر  AJD]])</f>
        <v>0</v>
      </c>
      <c r="AE299" s="75"/>
      <c r="AF299" s="75"/>
      <c r="AG299" s="75"/>
      <c r="AH299" s="6"/>
      <c r="AI299" s="86"/>
      <c r="AJ299" s="86">
        <f>TABL123[[#This Row],[(A/B TOT) AJD]]-TABL123[[#This Row],[BER_ IN]]</f>
        <v>0</v>
      </c>
      <c r="AK299" s="86"/>
      <c r="AL299" s="75"/>
      <c r="AM299" s="96"/>
      <c r="AN299" s="96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91">
        <f>TABL123[[#This Row],[( S/S+T/B) AJD]]-(TABL123[[#This Row],[(A/B + A/S) AJD]]+(TABL123[[#This Row],[(STORGE DIFF.) AJD]]*1000)+TABL123[[#This Row],[البخر  AJD]])</f>
        <v>0</v>
      </c>
      <c r="AE300" s="75"/>
      <c r="AF300" s="75"/>
      <c r="AG300" s="75"/>
      <c r="AH300" s="6"/>
      <c r="AI300" s="86"/>
      <c r="AJ300" s="86">
        <f>TABL123[[#This Row],[(A/B TOT) AJD]]-TABL123[[#This Row],[BER_ IN]]</f>
        <v>0</v>
      </c>
      <c r="AK300" s="86"/>
      <c r="AL300" s="75"/>
      <c r="AM300" s="96"/>
      <c r="AN300" s="96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91">
        <f>TABL123[[#This Row],[( S/S+T/B) AJD]]-(TABL123[[#This Row],[(A/B + A/S) AJD]]+(TABL123[[#This Row],[(STORGE DIFF.) AJD]]*1000)+TABL123[[#This Row],[البخر  AJD]])</f>
        <v>0</v>
      </c>
      <c r="AE301" s="75"/>
      <c r="AF301" s="75"/>
      <c r="AG301" s="75"/>
      <c r="AH301" s="6"/>
      <c r="AI301" s="86"/>
      <c r="AJ301" s="86">
        <f>TABL123[[#This Row],[(A/B TOT) AJD]]-TABL123[[#This Row],[BER_ IN]]</f>
        <v>0</v>
      </c>
      <c r="AK301" s="86"/>
      <c r="AL301" s="75"/>
      <c r="AM301" s="96"/>
      <c r="AN301" s="96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91">
        <f>TABL123[[#This Row],[( S/S+T/B) AJD]]-(TABL123[[#This Row],[(A/B + A/S) AJD]]+(TABL123[[#This Row],[(STORGE DIFF.) AJD]]*1000)+TABL123[[#This Row],[البخر  AJD]])</f>
        <v>0</v>
      </c>
      <c r="AE302" s="75"/>
      <c r="AF302" s="75"/>
      <c r="AG302" s="75"/>
      <c r="AH302" s="6"/>
      <c r="AI302" s="86"/>
      <c r="AJ302" s="86">
        <f>TABL123[[#This Row],[(A/B TOT) AJD]]-TABL123[[#This Row],[BER_ IN]]</f>
        <v>0</v>
      </c>
      <c r="AK302" s="86"/>
      <c r="AL302" s="75"/>
      <c r="AM302" s="96"/>
      <c r="AN302" s="96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91">
        <f>TABL123[[#This Row],[( S/S+T/B) AJD]]-(TABL123[[#This Row],[(A/B + A/S) AJD]]+(TABL123[[#This Row],[(STORGE DIFF.) AJD]]*1000)+TABL123[[#This Row],[البخر  AJD]])</f>
        <v>0</v>
      </c>
      <c r="AE303" s="75"/>
      <c r="AF303" s="75"/>
      <c r="AG303" s="75"/>
      <c r="AH303" s="6"/>
      <c r="AI303" s="86"/>
      <c r="AJ303" s="86">
        <f>TABL123[[#This Row],[(A/B TOT) AJD]]-TABL123[[#This Row],[BER_ IN]]</f>
        <v>0</v>
      </c>
      <c r="AK303" s="86"/>
      <c r="AL303" s="75"/>
      <c r="AM303" s="96"/>
      <c r="AN303" s="96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91">
        <f>TABL123[[#This Row],[( S/S+T/B) AJD]]-(TABL123[[#This Row],[(A/B + A/S) AJD]]+(TABL123[[#This Row],[(STORGE DIFF.) AJD]]*1000)+TABL123[[#This Row],[البخر  AJD]])</f>
        <v>0</v>
      </c>
      <c r="AE304" s="75"/>
      <c r="AF304" s="75"/>
      <c r="AG304" s="75"/>
      <c r="AH304" s="6"/>
      <c r="AI304" s="86"/>
      <c r="AJ304" s="86">
        <f>TABL123[[#This Row],[(A/B TOT) AJD]]-TABL123[[#This Row],[BER_ IN]]</f>
        <v>0</v>
      </c>
      <c r="AK304" s="86"/>
      <c r="AL304" s="75"/>
      <c r="AM304" s="96"/>
      <c r="AN304" s="96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91">
        <f>TABL123[[#This Row],[( S/S+T/B) AJD]]-(TABL123[[#This Row],[(A/B + A/S) AJD]]+(TABL123[[#This Row],[(STORGE DIFF.) AJD]]*1000)+TABL123[[#This Row],[البخر  AJD]])</f>
        <v>0</v>
      </c>
      <c r="AE305" s="75"/>
      <c r="AF305" s="75"/>
      <c r="AG305" s="75"/>
      <c r="AH305" s="6"/>
      <c r="AI305" s="86"/>
      <c r="AJ305" s="86">
        <f>TABL123[[#This Row],[(A/B TOT) AJD]]-TABL123[[#This Row],[BER_ IN]]</f>
        <v>0</v>
      </c>
      <c r="AK305" s="86"/>
      <c r="AL305" s="75"/>
      <c r="AM305" s="96"/>
      <c r="AN305" s="96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91">
        <f>TABL123[[#This Row],[( S/S+T/B) AJD]]-(TABL123[[#This Row],[(A/B + A/S) AJD]]+(TABL123[[#This Row],[(STORGE DIFF.) AJD]]*1000)+TABL123[[#This Row],[البخر  AJD]])</f>
        <v>0</v>
      </c>
      <c r="AE306" s="75"/>
      <c r="AF306" s="75"/>
      <c r="AG306" s="75"/>
      <c r="AH306" s="6"/>
      <c r="AI306" s="86"/>
      <c r="AJ306" s="86">
        <f>TABL123[[#This Row],[(A/B TOT) AJD]]-TABL123[[#This Row],[BER_ IN]]</f>
        <v>0</v>
      </c>
      <c r="AK306" s="86"/>
      <c r="AL306" s="75"/>
      <c r="AM306" s="96"/>
      <c r="AN306" s="96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91">
        <f>TABL123[[#This Row],[( S/S+T/B) AJD]]-(TABL123[[#This Row],[(A/B + A/S) AJD]]+(TABL123[[#This Row],[(STORGE DIFF.) AJD]]*1000)+TABL123[[#This Row],[البخر  AJD]])</f>
        <v>0</v>
      </c>
      <c r="AE307" s="75"/>
      <c r="AF307" s="75"/>
      <c r="AG307" s="75"/>
      <c r="AH307" s="6"/>
      <c r="AI307" s="86"/>
      <c r="AJ307" s="86">
        <f>TABL123[[#This Row],[(A/B TOT) AJD]]-TABL123[[#This Row],[BER_ IN]]</f>
        <v>0</v>
      </c>
      <c r="AK307" s="86"/>
      <c r="AL307" s="75"/>
      <c r="AM307" s="96"/>
      <c r="AN307" s="96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91">
        <f>TABL123[[#This Row],[( S/S+T/B) AJD]]-(TABL123[[#This Row],[(A/B + A/S) AJD]]+(TABL123[[#This Row],[(STORGE DIFF.) AJD]]*1000)+TABL123[[#This Row],[البخر  AJD]])</f>
        <v>0</v>
      </c>
      <c r="AE308" s="75"/>
      <c r="AF308" s="75"/>
      <c r="AG308" s="75"/>
      <c r="AH308" s="6"/>
      <c r="AI308" s="86"/>
      <c r="AJ308" s="86">
        <f>TABL123[[#This Row],[(A/B TOT) AJD]]-TABL123[[#This Row],[BER_ IN]]</f>
        <v>0</v>
      </c>
      <c r="AK308" s="86"/>
      <c r="AL308" s="75"/>
      <c r="AM308" s="96"/>
      <c r="AN308" s="96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91">
        <f>TABL123[[#This Row],[( S/S+T/B) AJD]]-(TABL123[[#This Row],[(A/B + A/S) AJD]]+(TABL123[[#This Row],[(STORGE DIFF.) AJD]]*1000)+TABL123[[#This Row],[البخر  AJD]])</f>
        <v>0</v>
      </c>
      <c r="AE309" s="75"/>
      <c r="AF309" s="75"/>
      <c r="AG309" s="75"/>
      <c r="AH309" s="6"/>
      <c r="AI309" s="86"/>
      <c r="AJ309" s="86">
        <f>TABL123[[#This Row],[(A/B TOT) AJD]]-TABL123[[#This Row],[BER_ IN]]</f>
        <v>0</v>
      </c>
      <c r="AK309" s="86"/>
      <c r="AL309" s="75"/>
      <c r="AM309" s="96"/>
      <c r="AN309" s="96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91">
        <f>TABL123[[#This Row],[( S/S+T/B) AJD]]-(TABL123[[#This Row],[(A/B + A/S) AJD]]+(TABL123[[#This Row],[(STORGE DIFF.) AJD]]*1000)+TABL123[[#This Row],[البخر  AJD]])</f>
        <v>0</v>
      </c>
      <c r="AE310" s="75"/>
      <c r="AF310" s="75"/>
      <c r="AG310" s="75"/>
      <c r="AH310" s="6"/>
      <c r="AI310" s="86"/>
      <c r="AJ310" s="86">
        <f>TABL123[[#This Row],[(A/B TOT) AJD]]-TABL123[[#This Row],[BER_ IN]]</f>
        <v>0</v>
      </c>
      <c r="AK310" s="86"/>
      <c r="AL310" s="75"/>
      <c r="AM310" s="96"/>
      <c r="AN310" s="96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91">
        <f>TABL123[[#This Row],[( S/S+T/B) AJD]]-(TABL123[[#This Row],[(A/B + A/S) AJD]]+(TABL123[[#This Row],[(STORGE DIFF.) AJD]]*1000)+TABL123[[#This Row],[البخر  AJD]])</f>
        <v>0</v>
      </c>
      <c r="AE311" s="75"/>
      <c r="AF311" s="75"/>
      <c r="AG311" s="75"/>
      <c r="AH311" s="6"/>
      <c r="AI311" s="86"/>
      <c r="AJ311" s="86">
        <f>TABL123[[#This Row],[(A/B TOT) AJD]]-TABL123[[#This Row],[BER_ IN]]</f>
        <v>0</v>
      </c>
      <c r="AK311" s="86"/>
      <c r="AL311" s="75"/>
      <c r="AM311" s="96"/>
      <c r="AN311" s="96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91">
        <f>TABL123[[#This Row],[( S/S+T/B) AJD]]-(TABL123[[#This Row],[(A/B + A/S) AJD]]+(TABL123[[#This Row],[(STORGE DIFF.) AJD]]*1000)+TABL123[[#This Row],[البخر  AJD]])</f>
        <v>0</v>
      </c>
      <c r="AE312" s="75"/>
      <c r="AF312" s="75"/>
      <c r="AG312" s="75"/>
      <c r="AH312" s="6"/>
      <c r="AI312" s="86"/>
      <c r="AJ312" s="86">
        <f>TABL123[[#This Row],[(A/B TOT) AJD]]-TABL123[[#This Row],[BER_ IN]]</f>
        <v>0</v>
      </c>
      <c r="AK312" s="86"/>
      <c r="AL312" s="75"/>
      <c r="AM312" s="96"/>
      <c r="AN312" s="96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91">
        <f>TABL123[[#This Row],[( S/S+T/B) AJD]]-(TABL123[[#This Row],[(A/B + A/S) AJD]]+(TABL123[[#This Row],[(STORGE DIFF.) AJD]]*1000)+TABL123[[#This Row],[البخر  AJD]])</f>
        <v>0</v>
      </c>
      <c r="AE313" s="75"/>
      <c r="AF313" s="75"/>
      <c r="AG313" s="75"/>
      <c r="AH313" s="6"/>
      <c r="AI313" s="86"/>
      <c r="AJ313" s="86">
        <f>TABL123[[#This Row],[(A/B TOT) AJD]]-TABL123[[#This Row],[BER_ IN]]</f>
        <v>0</v>
      </c>
      <c r="AK313" s="86"/>
      <c r="AL313" s="75"/>
      <c r="AM313" s="96"/>
      <c r="AN313" s="96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91">
        <f>TABL123[[#This Row],[( S/S+T/B) AJD]]-(TABL123[[#This Row],[(A/B + A/S) AJD]]+(TABL123[[#This Row],[(STORGE DIFF.) AJD]]*1000)+TABL123[[#This Row],[البخر  AJD]])</f>
        <v>0</v>
      </c>
      <c r="AE314" s="75"/>
      <c r="AF314" s="75"/>
      <c r="AG314" s="75"/>
      <c r="AH314" s="6"/>
      <c r="AI314" s="86"/>
      <c r="AJ314" s="86">
        <f>TABL123[[#This Row],[(A/B TOT) AJD]]-TABL123[[#This Row],[BER_ IN]]</f>
        <v>0</v>
      </c>
      <c r="AK314" s="86"/>
      <c r="AL314" s="75"/>
      <c r="AM314" s="96"/>
      <c r="AN314" s="96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91">
        <f>TABL123[[#This Row],[( S/S+T/B) AJD]]-(TABL123[[#This Row],[(A/B + A/S) AJD]]+(TABL123[[#This Row],[(STORGE DIFF.) AJD]]*1000)+TABL123[[#This Row],[البخر  AJD]])</f>
        <v>0</v>
      </c>
      <c r="AE315" s="75"/>
      <c r="AF315" s="75"/>
      <c r="AG315" s="75"/>
      <c r="AH315" s="6"/>
      <c r="AI315" s="86"/>
      <c r="AJ315" s="86">
        <f>TABL123[[#This Row],[(A/B TOT) AJD]]-TABL123[[#This Row],[BER_ IN]]</f>
        <v>0</v>
      </c>
      <c r="AK315" s="86"/>
      <c r="AL315" s="75"/>
      <c r="AM315" s="96"/>
      <c r="AN315" s="96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91">
        <f>TABL123[[#This Row],[( S/S+T/B) AJD]]-(TABL123[[#This Row],[(A/B + A/S) AJD]]+(TABL123[[#This Row],[(STORGE DIFF.) AJD]]*1000)+TABL123[[#This Row],[البخر  AJD]])</f>
        <v>0</v>
      </c>
      <c r="AE316" s="75"/>
      <c r="AF316" s="75"/>
      <c r="AG316" s="75"/>
      <c r="AH316" s="6"/>
      <c r="AI316" s="86"/>
      <c r="AJ316" s="86">
        <f>TABL123[[#This Row],[(A/B TOT) AJD]]-TABL123[[#This Row],[BER_ IN]]</f>
        <v>0</v>
      </c>
      <c r="AK316" s="86"/>
      <c r="AL316" s="75"/>
      <c r="AM316" s="96"/>
      <c r="AN316" s="96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91">
        <f>TABL123[[#This Row],[( S/S+T/B) AJD]]-(TABL123[[#This Row],[(A/B + A/S) AJD]]+(TABL123[[#This Row],[(STORGE DIFF.) AJD]]*1000)+TABL123[[#This Row],[البخر  AJD]])</f>
        <v>0</v>
      </c>
      <c r="AE317" s="75"/>
      <c r="AF317" s="75"/>
      <c r="AG317" s="75"/>
      <c r="AH317" s="6"/>
      <c r="AI317" s="86"/>
      <c r="AJ317" s="86">
        <f>TABL123[[#This Row],[(A/B TOT) AJD]]-TABL123[[#This Row],[BER_ IN]]</f>
        <v>0</v>
      </c>
      <c r="AK317" s="86"/>
      <c r="AL317" s="75"/>
      <c r="AM317" s="96"/>
      <c r="AN317" s="96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91">
        <f>TABL123[[#This Row],[( S/S+T/B) AJD]]-(TABL123[[#This Row],[(A/B + A/S) AJD]]+(TABL123[[#This Row],[(STORGE DIFF.) AJD]]*1000)+TABL123[[#This Row],[البخر  AJD]])</f>
        <v>0</v>
      </c>
      <c r="AE318" s="75"/>
      <c r="AF318" s="75"/>
      <c r="AG318" s="75"/>
      <c r="AH318" s="6"/>
      <c r="AI318" s="86"/>
      <c r="AJ318" s="86">
        <f>TABL123[[#This Row],[(A/B TOT) AJD]]-TABL123[[#This Row],[BER_ IN]]</f>
        <v>0</v>
      </c>
      <c r="AK318" s="86"/>
      <c r="AL318" s="75"/>
      <c r="AM318" s="96"/>
      <c r="AN318" s="96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91">
        <f>TABL123[[#This Row],[( S/S+T/B) AJD]]-(TABL123[[#This Row],[(A/B + A/S) AJD]]+(TABL123[[#This Row],[(STORGE DIFF.) AJD]]*1000)+TABL123[[#This Row],[البخر  AJD]])</f>
        <v>0</v>
      </c>
      <c r="AE319" s="75"/>
      <c r="AF319" s="75"/>
      <c r="AG319" s="75"/>
      <c r="AH319" s="6"/>
      <c r="AI319" s="86"/>
      <c r="AJ319" s="86">
        <f>TABL123[[#This Row],[(A/B TOT) AJD]]-TABL123[[#This Row],[BER_ IN]]</f>
        <v>0</v>
      </c>
      <c r="AK319" s="86"/>
      <c r="AL319" s="75"/>
      <c r="AM319" s="96"/>
      <c r="AN319" s="96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91">
        <f>TABL123[[#This Row],[( S/S+T/B) AJD]]-(TABL123[[#This Row],[(A/B + A/S) AJD]]+(TABL123[[#This Row],[(STORGE DIFF.) AJD]]*1000)+TABL123[[#This Row],[البخر  AJD]])</f>
        <v>0</v>
      </c>
      <c r="AE320" s="75"/>
      <c r="AF320" s="75"/>
      <c r="AG320" s="75"/>
      <c r="AH320" s="6"/>
      <c r="AI320" s="86"/>
      <c r="AJ320" s="86">
        <f>TABL123[[#This Row],[(A/B TOT) AJD]]-TABL123[[#This Row],[BER_ IN]]</f>
        <v>0</v>
      </c>
      <c r="AK320" s="86"/>
      <c r="AL320" s="75"/>
      <c r="AM320" s="96"/>
      <c r="AN320" s="96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91">
        <f>TABL123[[#This Row],[( S/S+T/B) AJD]]-(TABL123[[#This Row],[(A/B + A/S) AJD]]+(TABL123[[#This Row],[(STORGE DIFF.) AJD]]*1000)+TABL123[[#This Row],[البخر  AJD]])</f>
        <v>0</v>
      </c>
      <c r="AE321" s="75"/>
      <c r="AF321" s="75"/>
      <c r="AG321" s="75"/>
      <c r="AH321" s="6"/>
      <c r="AI321" s="86"/>
      <c r="AJ321" s="86">
        <f>TABL123[[#This Row],[(A/B TOT) AJD]]-TABL123[[#This Row],[BER_ IN]]</f>
        <v>0</v>
      </c>
      <c r="AK321" s="86"/>
      <c r="AL321" s="75"/>
      <c r="AM321" s="96"/>
      <c r="AN321" s="96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91">
        <f>TABL123[[#This Row],[( S/S+T/B) AJD]]-(TABL123[[#This Row],[(A/B + A/S) AJD]]+(TABL123[[#This Row],[(STORGE DIFF.) AJD]]*1000)+TABL123[[#This Row],[البخر  AJD]])</f>
        <v>0</v>
      </c>
      <c r="AE322" s="75"/>
      <c r="AF322" s="75"/>
      <c r="AG322" s="75"/>
      <c r="AH322" s="6"/>
      <c r="AI322" s="86"/>
      <c r="AJ322" s="86">
        <f>TABL123[[#This Row],[(A/B TOT) AJD]]-TABL123[[#This Row],[BER_ IN]]</f>
        <v>0</v>
      </c>
      <c r="AK322" s="86"/>
      <c r="AL322" s="75"/>
      <c r="AM322" s="96"/>
      <c r="AN322" s="96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91">
        <f>TABL123[[#This Row],[( S/S+T/B) AJD]]-(TABL123[[#This Row],[(A/B + A/S) AJD]]+(TABL123[[#This Row],[(STORGE DIFF.) AJD]]*1000)+TABL123[[#This Row],[البخر  AJD]])</f>
        <v>0</v>
      </c>
      <c r="AE323" s="75"/>
      <c r="AF323" s="75"/>
      <c r="AG323" s="75"/>
      <c r="AH323" s="6"/>
      <c r="AI323" s="86"/>
      <c r="AJ323" s="86">
        <f>TABL123[[#This Row],[(A/B TOT) AJD]]-TABL123[[#This Row],[BER_ IN]]</f>
        <v>0</v>
      </c>
      <c r="AK323" s="86"/>
      <c r="AL323" s="75"/>
      <c r="AM323" s="96"/>
      <c r="AN323" s="96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91">
        <f>TABL123[[#This Row],[( S/S+T/B) AJD]]-(TABL123[[#This Row],[(A/B + A/S) AJD]]+(TABL123[[#This Row],[(STORGE DIFF.) AJD]]*1000)+TABL123[[#This Row],[البخر  AJD]])</f>
        <v>0</v>
      </c>
      <c r="AE324" s="75"/>
      <c r="AF324" s="75"/>
      <c r="AG324" s="75"/>
      <c r="AH324" s="6"/>
      <c r="AI324" s="86"/>
      <c r="AJ324" s="86">
        <f>TABL123[[#This Row],[(A/B TOT) AJD]]-TABL123[[#This Row],[BER_ IN]]</f>
        <v>0</v>
      </c>
      <c r="AK324" s="86"/>
      <c r="AL324" s="75"/>
      <c r="AM324" s="96"/>
      <c r="AN324" s="96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91">
        <f>TABL123[[#This Row],[( S/S+T/B) AJD]]-(TABL123[[#This Row],[(A/B + A/S) AJD]]+(TABL123[[#This Row],[(STORGE DIFF.) AJD]]*1000)+TABL123[[#This Row],[البخر  AJD]])</f>
        <v>0</v>
      </c>
      <c r="AE325" s="75"/>
      <c r="AF325" s="75"/>
      <c r="AG325" s="75"/>
      <c r="AH325" s="6"/>
      <c r="AI325" s="86"/>
      <c r="AJ325" s="86">
        <f>TABL123[[#This Row],[(A/B TOT) AJD]]-TABL123[[#This Row],[BER_ IN]]</f>
        <v>0</v>
      </c>
      <c r="AK325" s="86"/>
      <c r="AL325" s="75"/>
      <c r="AM325" s="96"/>
      <c r="AN325" s="96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91">
        <f>TABL123[[#This Row],[( S/S+T/B) AJD]]-(TABL123[[#This Row],[(A/B + A/S) AJD]]+(TABL123[[#This Row],[(STORGE DIFF.) AJD]]*1000)+TABL123[[#This Row],[البخر  AJD]])</f>
        <v>0</v>
      </c>
      <c r="AE326" s="75"/>
      <c r="AF326" s="75"/>
      <c r="AG326" s="75"/>
      <c r="AH326" s="6"/>
      <c r="AI326" s="86"/>
      <c r="AJ326" s="86">
        <f>TABL123[[#This Row],[(A/B TOT) AJD]]-TABL123[[#This Row],[BER_ IN]]</f>
        <v>0</v>
      </c>
      <c r="AK326" s="86"/>
      <c r="AL326" s="75"/>
      <c r="AM326" s="96"/>
      <c r="AN326" s="96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91">
        <f>TABL123[[#This Row],[( S/S+T/B) AJD]]-(TABL123[[#This Row],[(A/B + A/S) AJD]]+(TABL123[[#This Row],[(STORGE DIFF.) AJD]]*1000)+TABL123[[#This Row],[البخر  AJD]])</f>
        <v>0</v>
      </c>
      <c r="AE327" s="75"/>
      <c r="AF327" s="75"/>
      <c r="AG327" s="75"/>
      <c r="AH327" s="6"/>
      <c r="AI327" s="86"/>
      <c r="AJ327" s="86">
        <f>TABL123[[#This Row],[(A/B TOT) AJD]]-TABL123[[#This Row],[BER_ IN]]</f>
        <v>0</v>
      </c>
      <c r="AK327" s="86"/>
      <c r="AL327" s="75"/>
      <c r="AM327" s="96"/>
      <c r="AN327" s="96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91">
        <f>TABL123[[#This Row],[( S/S+T/B) AJD]]-(TABL123[[#This Row],[(A/B + A/S) AJD]]+(TABL123[[#This Row],[(STORGE DIFF.) AJD]]*1000)+TABL123[[#This Row],[البخر  AJD]])</f>
        <v>0</v>
      </c>
      <c r="AE328" s="75"/>
      <c r="AF328" s="75"/>
      <c r="AG328" s="75"/>
      <c r="AH328" s="6"/>
      <c r="AI328" s="86"/>
      <c r="AJ328" s="86">
        <f>TABL123[[#This Row],[(A/B TOT) AJD]]-TABL123[[#This Row],[BER_ IN]]</f>
        <v>0</v>
      </c>
      <c r="AK328" s="86"/>
      <c r="AL328" s="75"/>
      <c r="AM328" s="96"/>
      <c r="AN328" s="96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91">
        <f>TABL123[[#This Row],[( S/S+T/B) AJD]]-(TABL123[[#This Row],[(A/B + A/S) AJD]]+(TABL123[[#This Row],[(STORGE DIFF.) AJD]]*1000)+TABL123[[#This Row],[البخر  AJD]])</f>
        <v>0</v>
      </c>
      <c r="AE329" s="75"/>
      <c r="AF329" s="75"/>
      <c r="AG329" s="75"/>
      <c r="AH329" s="6"/>
      <c r="AI329" s="86"/>
      <c r="AJ329" s="86">
        <f>TABL123[[#This Row],[(A/B TOT) AJD]]-TABL123[[#This Row],[BER_ IN]]</f>
        <v>0</v>
      </c>
      <c r="AK329" s="86"/>
      <c r="AL329" s="75"/>
      <c r="AM329" s="96"/>
      <c r="AN329" s="96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91">
        <f>TABL123[[#This Row],[( S/S+T/B) AJD]]-(TABL123[[#This Row],[(A/B + A/S) AJD]]+(TABL123[[#This Row],[(STORGE DIFF.) AJD]]*1000)+TABL123[[#This Row],[البخر  AJD]])</f>
        <v>0</v>
      </c>
      <c r="AE330" s="75"/>
      <c r="AF330" s="75"/>
      <c r="AG330" s="75"/>
      <c r="AH330" s="6"/>
      <c r="AI330" s="86"/>
      <c r="AJ330" s="86">
        <f>TABL123[[#This Row],[(A/B TOT) AJD]]-TABL123[[#This Row],[BER_ IN]]</f>
        <v>0</v>
      </c>
      <c r="AK330" s="86"/>
      <c r="AL330" s="75"/>
      <c r="AM330" s="96"/>
      <c r="AN330" s="96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91">
        <f>TABL123[[#This Row],[( S/S+T/B) AJD]]-(TABL123[[#This Row],[(A/B + A/S) AJD]]+(TABL123[[#This Row],[(STORGE DIFF.) AJD]]*1000)+TABL123[[#This Row],[البخر  AJD]])</f>
        <v>0</v>
      </c>
      <c r="AE331" s="75"/>
      <c r="AF331" s="75"/>
      <c r="AG331" s="75"/>
      <c r="AH331" s="6"/>
      <c r="AI331" s="86"/>
      <c r="AJ331" s="86">
        <f>TABL123[[#This Row],[(A/B TOT) AJD]]-TABL123[[#This Row],[BER_ IN]]</f>
        <v>0</v>
      </c>
      <c r="AK331" s="86"/>
      <c r="AL331" s="75"/>
      <c r="AM331" s="96"/>
      <c r="AN331" s="96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91">
        <f>TABL123[[#This Row],[( S/S+T/B) AJD]]-(TABL123[[#This Row],[(A/B + A/S) AJD]]+(TABL123[[#This Row],[(STORGE DIFF.) AJD]]*1000)+TABL123[[#This Row],[البخر  AJD]])</f>
        <v>0</v>
      </c>
      <c r="AE332" s="75"/>
      <c r="AF332" s="75"/>
      <c r="AG332" s="75"/>
      <c r="AH332" s="6"/>
      <c r="AI332" s="86"/>
      <c r="AJ332" s="86">
        <f>TABL123[[#This Row],[(A/B TOT) AJD]]-TABL123[[#This Row],[BER_ IN]]</f>
        <v>0</v>
      </c>
      <c r="AK332" s="86"/>
      <c r="AL332" s="75"/>
      <c r="AM332" s="96"/>
      <c r="AN332" s="96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91">
        <f>TABL123[[#This Row],[( S/S+T/B) AJD]]-(TABL123[[#This Row],[(A/B + A/S) AJD]]+(TABL123[[#This Row],[(STORGE DIFF.) AJD]]*1000)+TABL123[[#This Row],[البخر  AJD]])</f>
        <v>0</v>
      </c>
      <c r="AE333" s="75"/>
      <c r="AF333" s="75"/>
      <c r="AG333" s="75"/>
      <c r="AH333" s="6"/>
      <c r="AI333" s="86"/>
      <c r="AJ333" s="86">
        <f>TABL123[[#This Row],[(A/B TOT) AJD]]-TABL123[[#This Row],[BER_ IN]]</f>
        <v>0</v>
      </c>
      <c r="AK333" s="86"/>
      <c r="AL333" s="75"/>
      <c r="AM333" s="96"/>
      <c r="AN333" s="96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91">
        <f>TABL123[[#This Row],[( S/S+T/B) AJD]]-(TABL123[[#This Row],[(A/B + A/S) AJD]]+(TABL123[[#This Row],[(STORGE DIFF.) AJD]]*1000)+TABL123[[#This Row],[البخر  AJD]])</f>
        <v>0</v>
      </c>
      <c r="AE334" s="75"/>
      <c r="AF334" s="75"/>
      <c r="AG334" s="75"/>
      <c r="AH334" s="6"/>
      <c r="AI334" s="86"/>
      <c r="AJ334" s="86">
        <f>TABL123[[#This Row],[(A/B TOT) AJD]]-TABL123[[#This Row],[BER_ IN]]</f>
        <v>0</v>
      </c>
      <c r="AK334" s="86"/>
      <c r="AL334" s="75"/>
      <c r="AM334" s="96"/>
      <c r="AN334" s="96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91">
        <f>TABL123[[#This Row],[( S/S+T/B) AJD]]-(TABL123[[#This Row],[(A/B + A/S) AJD]]+(TABL123[[#This Row],[(STORGE DIFF.) AJD]]*1000)+TABL123[[#This Row],[البخر  AJD]])</f>
        <v>0</v>
      </c>
      <c r="AE335" s="75"/>
      <c r="AF335" s="75"/>
      <c r="AG335" s="75"/>
      <c r="AH335" s="6"/>
      <c r="AI335" s="86"/>
      <c r="AJ335" s="86">
        <f>TABL123[[#This Row],[(A/B TOT) AJD]]-TABL123[[#This Row],[BER_ IN]]</f>
        <v>0</v>
      </c>
      <c r="AK335" s="86"/>
      <c r="AL335" s="75"/>
      <c r="AM335" s="96"/>
      <c r="AN335" s="96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91">
        <f>TABL123[[#This Row],[( S/S+T/B) AJD]]-(TABL123[[#This Row],[(A/B + A/S) AJD]]+(TABL123[[#This Row],[(STORGE DIFF.) AJD]]*1000)+TABL123[[#This Row],[البخر  AJD]])</f>
        <v>0</v>
      </c>
      <c r="AE336" s="75"/>
      <c r="AF336" s="75"/>
      <c r="AG336" s="75"/>
      <c r="AH336" s="43"/>
      <c r="AI336" s="86"/>
      <c r="AJ336" s="86">
        <f>TABL123[[#This Row],[(A/B TOT) AJD]]-TABL123[[#This Row],[BER_ IN]]</f>
        <v>0</v>
      </c>
      <c r="AK336" s="86"/>
      <c r="AL336" s="75"/>
      <c r="AM336" s="96"/>
      <c r="AN336" s="96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91">
        <f>TABL123[[#This Row],[( S/S+T/B) AJD]]-(TABL123[[#This Row],[(A/B + A/S) AJD]]+(TABL123[[#This Row],[(STORGE DIFF.) AJD]]*1000)+TABL123[[#This Row],[البخر  AJD]])</f>
        <v>0</v>
      </c>
      <c r="AE337" s="75"/>
      <c r="AF337" s="75"/>
      <c r="AG337" s="75"/>
      <c r="AH337" s="45"/>
      <c r="AI337" s="86"/>
      <c r="AJ337" s="86">
        <f>TABL123[[#This Row],[(A/B TOT) AJD]]-TABL123[[#This Row],[BER_ IN]]</f>
        <v>0</v>
      </c>
      <c r="AK337" s="86"/>
      <c r="AL337" s="75"/>
      <c r="AM337" s="96"/>
      <c r="AN337" s="96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91">
        <f>TABL123[[#This Row],[( S/S+T/B) AJD]]-(TABL123[[#This Row],[(A/B + A/S) AJD]]+(TABL123[[#This Row],[(STORGE DIFF.) AJD]]*1000)+TABL123[[#This Row],[البخر  AJD]])</f>
        <v>0</v>
      </c>
      <c r="AE338" s="75"/>
      <c r="AF338" s="75"/>
      <c r="AG338" s="75"/>
      <c r="AH338" s="43"/>
      <c r="AI338" s="86"/>
      <c r="AJ338" s="86">
        <f>TABL123[[#This Row],[(A/B TOT) AJD]]-TABL123[[#This Row],[BER_ IN]]</f>
        <v>0</v>
      </c>
      <c r="AK338" s="86"/>
      <c r="AL338" s="75"/>
      <c r="AM338" s="96"/>
      <c r="AN338" s="96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91">
        <f>TABL123[[#This Row],[( S/S+T/B) AJD]]-(TABL123[[#This Row],[(A/B + A/S) AJD]]+(TABL123[[#This Row],[(STORGE DIFF.) AJD]]*1000)+TABL123[[#This Row],[البخر  AJD]])</f>
        <v>0</v>
      </c>
      <c r="AE339" s="75"/>
      <c r="AF339" s="75"/>
      <c r="AG339" s="75"/>
      <c r="AH339" s="45"/>
      <c r="AI339" s="86"/>
      <c r="AJ339" s="86">
        <f>TABL123[[#This Row],[(A/B TOT) AJD]]-TABL123[[#This Row],[BER_ IN]]</f>
        <v>0</v>
      </c>
      <c r="AK339" s="86"/>
      <c r="AL339" s="75"/>
      <c r="AM339" s="96"/>
      <c r="AN339" s="96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91">
        <f>TABL123[[#This Row],[( S/S+T/B) AJD]]-(TABL123[[#This Row],[(A/B + A/S) AJD]]+(TABL123[[#This Row],[(STORGE DIFF.) AJD]]*1000)+TABL123[[#This Row],[البخر  AJD]])</f>
        <v>0</v>
      </c>
      <c r="AE340" s="75"/>
      <c r="AF340" s="75"/>
      <c r="AG340" s="75"/>
      <c r="AH340" s="43"/>
      <c r="AI340" s="86"/>
      <c r="AJ340" s="86">
        <f>TABL123[[#This Row],[(A/B TOT) AJD]]-TABL123[[#This Row],[BER_ IN]]</f>
        <v>0</v>
      </c>
      <c r="AK340" s="86"/>
      <c r="AL340" s="75"/>
      <c r="AM340" s="96"/>
      <c r="AN340" s="96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91">
        <f>TABL123[[#This Row],[( S/S+T/B) AJD]]-(TABL123[[#This Row],[(A/B + A/S) AJD]]+(TABL123[[#This Row],[(STORGE DIFF.) AJD]]*1000)+TABL123[[#This Row],[البخر  AJD]])</f>
        <v>0</v>
      </c>
      <c r="AE341" s="75"/>
      <c r="AF341" s="75"/>
      <c r="AG341" s="75"/>
      <c r="AH341" s="45"/>
      <c r="AI341" s="86"/>
      <c r="AJ341" s="86">
        <f>TABL123[[#This Row],[(A/B TOT) AJD]]-TABL123[[#This Row],[BER_ IN]]</f>
        <v>0</v>
      </c>
      <c r="AK341" s="86"/>
      <c r="AL341" s="75"/>
      <c r="AM341" s="96"/>
      <c r="AN341" s="96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91">
        <f>TABL123[[#This Row],[( S/S+T/B) AJD]]-(TABL123[[#This Row],[(A/B + A/S) AJD]]+(TABL123[[#This Row],[(STORGE DIFF.) AJD]]*1000)+TABL123[[#This Row],[البخر  AJD]])</f>
        <v>0</v>
      </c>
      <c r="AE342" s="75"/>
      <c r="AF342" s="75"/>
      <c r="AG342" s="75"/>
      <c r="AH342" s="43"/>
      <c r="AI342" s="86"/>
      <c r="AJ342" s="86">
        <f>TABL123[[#This Row],[(A/B TOT) AJD]]-TABL123[[#This Row],[BER_ IN]]</f>
        <v>0</v>
      </c>
      <c r="AK342" s="86"/>
      <c r="AL342" s="75"/>
      <c r="AM342" s="96"/>
      <c r="AN342" s="96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91">
        <f>TABL123[[#This Row],[( S/S+T/B) AJD]]-(TABL123[[#This Row],[(A/B + A/S) AJD]]+(TABL123[[#This Row],[(STORGE DIFF.) AJD]]*1000)+TABL123[[#This Row],[البخر  AJD]])</f>
        <v>0</v>
      </c>
      <c r="AE343" s="75"/>
      <c r="AF343" s="75"/>
      <c r="AG343" s="75"/>
      <c r="AH343" s="45"/>
      <c r="AI343" s="86"/>
      <c r="AJ343" s="86">
        <f>TABL123[[#This Row],[(A/B TOT) AJD]]-TABL123[[#This Row],[BER_ IN]]</f>
        <v>0</v>
      </c>
      <c r="AK343" s="86"/>
      <c r="AL343" s="75"/>
      <c r="AM343" s="96"/>
      <c r="AN343" s="96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91">
        <f>TABL123[[#This Row],[( S/S+T/B) AJD]]-(TABL123[[#This Row],[(A/B + A/S) AJD]]+(TABL123[[#This Row],[(STORGE DIFF.) AJD]]*1000)+TABL123[[#This Row],[البخر  AJD]])</f>
        <v>0</v>
      </c>
      <c r="AE344" s="75"/>
      <c r="AF344" s="75"/>
      <c r="AG344" s="75"/>
      <c r="AH344" s="43"/>
      <c r="AI344" s="86"/>
      <c r="AJ344" s="86">
        <f>TABL123[[#This Row],[(A/B TOT) AJD]]-TABL123[[#This Row],[BER_ IN]]</f>
        <v>0</v>
      </c>
      <c r="AK344" s="86"/>
      <c r="AL344" s="75"/>
      <c r="AM344" s="96"/>
      <c r="AN344" s="96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91">
        <f>TABL123[[#This Row],[( S/S+T/B) AJD]]-(TABL123[[#This Row],[(A/B + A/S) AJD]]+(TABL123[[#This Row],[(STORGE DIFF.) AJD]]*1000)+TABL123[[#This Row],[البخر  AJD]])</f>
        <v>0</v>
      </c>
      <c r="AE345" s="75"/>
      <c r="AF345" s="75"/>
      <c r="AG345" s="75"/>
      <c r="AH345" s="45"/>
      <c r="AI345" s="86"/>
      <c r="AJ345" s="86">
        <f>TABL123[[#This Row],[(A/B TOT) AJD]]-TABL123[[#This Row],[BER_ IN]]</f>
        <v>0</v>
      </c>
      <c r="AK345" s="86"/>
      <c r="AL345" s="75"/>
      <c r="AM345" s="96"/>
      <c r="AN345" s="96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91">
        <f>TABL123[[#This Row],[( S/S+T/B) AJD]]-(TABL123[[#This Row],[(A/B + A/S) AJD]]+(TABL123[[#This Row],[(STORGE DIFF.) AJD]]*1000)+TABL123[[#This Row],[البخر  AJD]])</f>
        <v>0</v>
      </c>
      <c r="AE346" s="75"/>
      <c r="AF346" s="75"/>
      <c r="AG346" s="75"/>
      <c r="AH346" s="48"/>
      <c r="AI346" s="86"/>
      <c r="AJ346" s="86">
        <f>TABL123[[#This Row],[(A/B TOT) AJD]]-TABL123[[#This Row],[BER_ IN]]</f>
        <v>0</v>
      </c>
      <c r="AK346" s="86"/>
      <c r="AL346" s="75"/>
      <c r="AM346" s="96"/>
      <c r="AN346" s="96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91">
        <f>TABL123[[#This Row],[( S/S+T/B) AJD]]-(TABL123[[#This Row],[(A/B + A/S) AJD]]+(TABL123[[#This Row],[(STORGE DIFF.) AJD]]*1000)+TABL123[[#This Row],[البخر  AJD]])</f>
        <v>0</v>
      </c>
      <c r="AE347" s="75"/>
      <c r="AF347" s="75"/>
      <c r="AG347" s="75"/>
      <c r="AH347" s="45"/>
      <c r="AI347" s="86"/>
      <c r="AJ347" s="86">
        <f>TABL123[[#This Row],[(A/B TOT) AJD]]-TABL123[[#This Row],[BER_ IN]]</f>
        <v>0</v>
      </c>
      <c r="AK347" s="86"/>
      <c r="AL347" s="75"/>
      <c r="AM347" s="96"/>
      <c r="AN347" s="96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91">
        <f>TABL123[[#This Row],[( S/S+T/B) AJD]]-(TABL123[[#This Row],[(A/B + A/S) AJD]]+(TABL123[[#This Row],[(STORGE DIFF.) AJD]]*1000)+TABL123[[#This Row],[البخر  AJD]])</f>
        <v>0</v>
      </c>
      <c r="AE348" s="75"/>
      <c r="AF348" s="75"/>
      <c r="AG348" s="75"/>
      <c r="AH348" s="43"/>
      <c r="AI348" s="86"/>
      <c r="AJ348" s="86">
        <f>TABL123[[#This Row],[(A/B TOT) AJD]]-TABL123[[#This Row],[BER_ IN]]</f>
        <v>0</v>
      </c>
      <c r="AK348" s="86"/>
      <c r="AL348" s="75"/>
      <c r="AM348" s="96"/>
      <c r="AN348" s="96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91">
        <f>TABL123[[#This Row],[( S/S+T/B) AJD]]-(TABL123[[#This Row],[(A/B + A/S) AJD]]+(TABL123[[#This Row],[(STORGE DIFF.) AJD]]*1000)+TABL123[[#This Row],[البخر  AJD]])</f>
        <v>0</v>
      </c>
      <c r="AE349" s="75"/>
      <c r="AF349" s="75"/>
      <c r="AG349" s="75"/>
      <c r="AH349" s="45"/>
      <c r="AI349" s="86"/>
      <c r="AJ349" s="86">
        <f>TABL123[[#This Row],[(A/B TOT) AJD]]-TABL123[[#This Row],[BER_ IN]]</f>
        <v>0</v>
      </c>
      <c r="AK349" s="86"/>
      <c r="AL349" s="75"/>
      <c r="AM349" s="96"/>
      <c r="AN349" s="96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91">
        <f>TABL123[[#This Row],[( S/S+T/B) AJD]]-(TABL123[[#This Row],[(A/B + A/S) AJD]]+(TABL123[[#This Row],[(STORGE DIFF.) AJD]]*1000)+TABL123[[#This Row],[البخر  AJD]])</f>
        <v>0</v>
      </c>
      <c r="AE350" s="75"/>
      <c r="AF350" s="75"/>
      <c r="AG350" s="75"/>
      <c r="AH350" s="43"/>
      <c r="AI350" s="86"/>
      <c r="AJ350" s="86">
        <f>TABL123[[#This Row],[(A/B TOT) AJD]]-TABL123[[#This Row],[BER_ IN]]</f>
        <v>0</v>
      </c>
      <c r="AK350" s="86"/>
      <c r="AL350" s="75"/>
      <c r="AM350" s="96"/>
      <c r="AN350" s="96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91">
        <f>TABL123[[#This Row],[( S/S+T/B) AJD]]-(TABL123[[#This Row],[(A/B + A/S) AJD]]+(TABL123[[#This Row],[(STORGE DIFF.) AJD]]*1000)+TABL123[[#This Row],[البخر  AJD]])</f>
        <v>0</v>
      </c>
      <c r="AE351" s="75"/>
      <c r="AF351" s="75"/>
      <c r="AG351" s="75"/>
      <c r="AH351" s="45"/>
      <c r="AI351" s="86"/>
      <c r="AJ351" s="86">
        <f>TABL123[[#This Row],[(A/B TOT) AJD]]-TABL123[[#This Row],[BER_ IN]]</f>
        <v>0</v>
      </c>
      <c r="AK351" s="86"/>
      <c r="AL351" s="75"/>
      <c r="AM351" s="96"/>
      <c r="AN351" s="96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91">
        <f>TABL123[[#This Row],[( S/S+T/B) AJD]]-(TABL123[[#This Row],[(A/B + A/S) AJD]]+(TABL123[[#This Row],[(STORGE DIFF.) AJD]]*1000)+TABL123[[#This Row],[البخر  AJD]])</f>
        <v>0</v>
      </c>
      <c r="AE352" s="75"/>
      <c r="AF352" s="75"/>
      <c r="AG352" s="75"/>
      <c r="AH352" s="43"/>
      <c r="AI352" s="86"/>
      <c r="AJ352" s="86">
        <f>TABL123[[#This Row],[(A/B TOT) AJD]]-TABL123[[#This Row],[BER_ IN]]</f>
        <v>0</v>
      </c>
      <c r="AK352" s="86"/>
      <c r="AL352" s="75"/>
      <c r="AM352" s="96"/>
      <c r="AN352" s="96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91">
        <f>TABL123[[#This Row],[( S/S+T/B) AJD]]-(TABL123[[#This Row],[(A/B + A/S) AJD]]+(TABL123[[#This Row],[(STORGE DIFF.) AJD]]*1000)+TABL123[[#This Row],[البخر  AJD]])</f>
        <v>0</v>
      </c>
      <c r="AE353" s="75"/>
      <c r="AF353" s="75"/>
      <c r="AG353" s="75"/>
      <c r="AH353" s="45"/>
      <c r="AI353" s="86"/>
      <c r="AJ353" s="86">
        <f>TABL123[[#This Row],[(A/B TOT) AJD]]-TABL123[[#This Row],[BER_ IN]]</f>
        <v>0</v>
      </c>
      <c r="AK353" s="86"/>
      <c r="AL353" s="75"/>
      <c r="AM353" s="96"/>
      <c r="AN353" s="96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91">
        <f>TABL123[[#This Row],[( S/S+T/B) AJD]]-(TABL123[[#This Row],[(A/B + A/S) AJD]]+(TABL123[[#This Row],[(STORGE DIFF.) AJD]]*1000)+TABL123[[#This Row],[البخر  AJD]])</f>
        <v>0</v>
      </c>
      <c r="AE354" s="75"/>
      <c r="AF354" s="75"/>
      <c r="AG354" s="75"/>
      <c r="AH354" s="43"/>
      <c r="AI354" s="86"/>
      <c r="AJ354" s="86">
        <f>TABL123[[#This Row],[(A/B TOT) AJD]]-TABL123[[#This Row],[BER_ IN]]</f>
        <v>0</v>
      </c>
      <c r="AK354" s="86"/>
      <c r="AL354" s="75"/>
      <c r="AM354" s="96"/>
      <c r="AN354" s="96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91">
        <f>TABL123[[#This Row],[( S/S+T/B) AJD]]-(TABL123[[#This Row],[(A/B + A/S) AJD]]+(TABL123[[#This Row],[(STORGE DIFF.) AJD]]*1000)+TABL123[[#This Row],[البخر  AJD]])</f>
        <v>0</v>
      </c>
      <c r="AE355" s="75"/>
      <c r="AF355" s="75"/>
      <c r="AG355" s="75"/>
      <c r="AH355" s="45"/>
      <c r="AI355" s="86"/>
      <c r="AJ355" s="86">
        <f>TABL123[[#This Row],[(A/B TOT) AJD]]-TABL123[[#This Row],[BER_ IN]]</f>
        <v>0</v>
      </c>
      <c r="AK355" s="86"/>
      <c r="AL355" s="75"/>
      <c r="AM355" s="96"/>
      <c r="AN355" s="96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91">
        <f>TABL123[[#This Row],[( S/S+T/B) AJD]]-(TABL123[[#This Row],[(A/B + A/S) AJD]]+(TABL123[[#This Row],[(STORGE DIFF.) AJD]]*1000)+TABL123[[#This Row],[البخر  AJD]])</f>
        <v>0</v>
      </c>
      <c r="AE356" s="75"/>
      <c r="AF356" s="75"/>
      <c r="AG356" s="75"/>
      <c r="AH356" s="43"/>
      <c r="AI356" s="86"/>
      <c r="AJ356" s="86">
        <f>TABL123[[#This Row],[(A/B TOT) AJD]]-TABL123[[#This Row],[BER_ IN]]</f>
        <v>0</v>
      </c>
      <c r="AK356" s="86"/>
      <c r="AL356" s="75"/>
      <c r="AM356" s="96"/>
      <c r="AN356" s="96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91">
        <f>TABL123[[#This Row],[( S/S+T/B) AJD]]-(TABL123[[#This Row],[(A/B + A/S) AJD]]+(TABL123[[#This Row],[(STORGE DIFF.) AJD]]*1000)+TABL123[[#This Row],[البخر  AJD]])</f>
        <v>0</v>
      </c>
      <c r="AE357" s="75"/>
      <c r="AF357" s="75"/>
      <c r="AG357" s="75"/>
      <c r="AH357" s="45"/>
      <c r="AI357" s="86"/>
      <c r="AJ357" s="86">
        <f>TABL123[[#This Row],[(A/B TOT) AJD]]-TABL123[[#This Row],[BER_ IN]]</f>
        <v>0</v>
      </c>
      <c r="AK357" s="86"/>
      <c r="AL357" s="75"/>
      <c r="AM357" s="96"/>
      <c r="AN357" s="96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91">
        <f>TABL123[[#This Row],[( S/S+T/B) AJD]]-(TABL123[[#This Row],[(A/B + A/S) AJD]]+(TABL123[[#This Row],[(STORGE DIFF.) AJD]]*1000)+TABL123[[#This Row],[البخر  AJD]])</f>
        <v>0</v>
      </c>
      <c r="AE358" s="75"/>
      <c r="AF358" s="75"/>
      <c r="AG358" s="75"/>
      <c r="AH358" s="43"/>
      <c r="AI358" s="86"/>
      <c r="AJ358" s="86">
        <f>TABL123[[#This Row],[(A/B TOT) AJD]]-TABL123[[#This Row],[BER_ IN]]</f>
        <v>0</v>
      </c>
      <c r="AK358" s="86"/>
      <c r="AL358" s="75"/>
      <c r="AM358" s="96"/>
      <c r="AN358" s="96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91">
        <f>TABL123[[#This Row],[( S/S+T/B) AJD]]-(TABL123[[#This Row],[(A/B + A/S) AJD]]+(TABL123[[#This Row],[(STORGE DIFF.) AJD]]*1000)+TABL123[[#This Row],[البخر  AJD]])</f>
        <v>0</v>
      </c>
      <c r="AE359" s="75"/>
      <c r="AF359" s="75"/>
      <c r="AG359" s="75"/>
      <c r="AH359" s="45"/>
      <c r="AI359" s="86"/>
      <c r="AJ359" s="86">
        <f>TABL123[[#This Row],[(A/B TOT) AJD]]-TABL123[[#This Row],[BER_ IN]]</f>
        <v>0</v>
      </c>
      <c r="AK359" s="86"/>
      <c r="AL359" s="75"/>
      <c r="AM359" s="96"/>
      <c r="AN359" s="96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91">
        <f>TABL123[[#This Row],[( S/S+T/B) AJD]]-(TABL123[[#This Row],[(A/B + A/S) AJD]]+(TABL123[[#This Row],[(STORGE DIFF.) AJD]]*1000)+TABL123[[#This Row],[البخر  AJD]])</f>
        <v>0</v>
      </c>
      <c r="AE360" s="75"/>
      <c r="AF360" s="75"/>
      <c r="AG360" s="75"/>
      <c r="AH360" s="43"/>
      <c r="AI360" s="86"/>
      <c r="AJ360" s="86">
        <f>TABL123[[#This Row],[(A/B TOT) AJD]]-TABL123[[#This Row],[BER_ IN]]</f>
        <v>0</v>
      </c>
      <c r="AK360" s="86"/>
      <c r="AL360" s="75"/>
      <c r="AM360" s="96"/>
      <c r="AN360" s="96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91">
        <f>TABL123[[#This Row],[( S/S+T/B) AJD]]-(TABL123[[#This Row],[(A/B + A/S) AJD]]+(TABL123[[#This Row],[(STORGE DIFF.) AJD]]*1000)+TABL123[[#This Row],[البخر  AJD]])</f>
        <v>0</v>
      </c>
      <c r="AE361" s="75"/>
      <c r="AF361" s="75"/>
      <c r="AG361" s="75"/>
      <c r="AH361" s="45"/>
      <c r="AI361" s="86"/>
      <c r="AJ361" s="86">
        <f>TABL123[[#This Row],[(A/B TOT) AJD]]-TABL123[[#This Row],[BER_ IN]]</f>
        <v>0</v>
      </c>
      <c r="AK361" s="86"/>
      <c r="AL361" s="75"/>
      <c r="AM361" s="96"/>
      <c r="AN361" s="96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91">
        <f>TABL123[[#This Row],[( S/S+T/B) AJD]]-(TABL123[[#This Row],[(A/B + A/S) AJD]]+(TABL123[[#This Row],[(STORGE DIFF.) AJD]]*1000)+TABL123[[#This Row],[البخر  AJD]])</f>
        <v>0</v>
      </c>
      <c r="AE362" s="75"/>
      <c r="AF362" s="75"/>
      <c r="AG362" s="75"/>
      <c r="AH362" s="43"/>
      <c r="AI362" s="86"/>
      <c r="AJ362" s="86">
        <f>TABL123[[#This Row],[(A/B TOT) AJD]]-TABL123[[#This Row],[BER_ IN]]</f>
        <v>0</v>
      </c>
      <c r="AK362" s="86"/>
      <c r="AL362" s="75"/>
      <c r="AM362" s="96"/>
      <c r="AN362" s="96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91">
        <f>TABL123[[#This Row],[( S/S+T/B) AJD]]-(TABL123[[#This Row],[(A/B + A/S) AJD]]+(TABL123[[#This Row],[(STORGE DIFF.) AJD]]*1000)+TABL123[[#This Row],[البخر  AJD]])</f>
        <v>0</v>
      </c>
      <c r="AE363" s="75"/>
      <c r="AF363" s="75"/>
      <c r="AG363" s="75"/>
      <c r="AH363" s="45"/>
      <c r="AI363" s="86"/>
      <c r="AJ363" s="86">
        <f>TABL123[[#This Row],[(A/B TOT) AJD]]-TABL123[[#This Row],[BER_ IN]]</f>
        <v>0</v>
      </c>
      <c r="AK363" s="86"/>
      <c r="AL363" s="75"/>
      <c r="AM363" s="96"/>
      <c r="AN363" s="96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91">
        <f>TABL123[[#This Row],[( S/S+T/B) AJD]]-(TABL123[[#This Row],[(A/B + A/S) AJD]]+(TABL123[[#This Row],[(STORGE DIFF.) AJD]]*1000)+TABL123[[#This Row],[البخر  AJD]])</f>
        <v>0</v>
      </c>
      <c r="AE364" s="75"/>
      <c r="AF364" s="75"/>
      <c r="AG364" s="75"/>
      <c r="AH364" s="43"/>
      <c r="AI364" s="86"/>
      <c r="AJ364" s="86">
        <f>TABL123[[#This Row],[(A/B TOT) AJD]]-TABL123[[#This Row],[BER_ IN]]</f>
        <v>0</v>
      </c>
      <c r="AK364" s="86"/>
      <c r="AL364" s="75"/>
      <c r="AM364" s="96"/>
      <c r="AN364" s="96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91">
        <f>TABL123[[#This Row],[( S/S+T/B) AJD]]-(TABL123[[#This Row],[(A/B + A/S) AJD]]+(TABL123[[#This Row],[(STORGE DIFF.) AJD]]*1000)+TABL123[[#This Row],[البخر  AJD]])</f>
        <v>0</v>
      </c>
      <c r="AE365" s="75"/>
      <c r="AF365" s="75"/>
      <c r="AG365" s="75"/>
      <c r="AH365" s="45"/>
      <c r="AI365" s="86"/>
      <c r="AJ365" s="86">
        <f>TABL123[[#This Row],[(A/B TOT) AJD]]-TABL123[[#This Row],[BER_ IN]]</f>
        <v>0</v>
      </c>
      <c r="AK365" s="86"/>
      <c r="AL365" s="75"/>
      <c r="AM365" s="96"/>
      <c r="AN365" s="96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60">
        <f>TABL123[[#This Row],[( S/S+T/B) AJD]]-(TABL123[[#This Row],[(A/B + A/S) AJD]]+(TABL123[[#This Row],[(STORGE DIFF.) AJD]]*1000)+TABL123[[#This Row],[البخر  AJD]])</f>
        <v>0</v>
      </c>
      <c r="AE366" s="90"/>
      <c r="AF366" s="90"/>
      <c r="AG366" s="90"/>
      <c r="AH366" s="43"/>
      <c r="AI366" s="88"/>
      <c r="AJ366" s="88">
        <f>TABL123[[#This Row],[(A/B TOT) AJD]]-TABL123[[#This Row],[BER_ IN]]</f>
        <v>0</v>
      </c>
      <c r="AK366" s="88"/>
      <c r="AL366" s="90"/>
      <c r="AM366" s="98"/>
      <c r="AN366" s="98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N367"/>
  <sheetViews>
    <sheetView rightToLeft="1" workbookViewId="0">
      <selection activeCell="G18" sqref="G18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x14ac:dyDescent="0.25">
      <c r="A2" s="2">
        <v>46388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9"/>
      <c r="N2" s="30"/>
      <c r="O2" s="3"/>
      <c r="P2" s="3"/>
      <c r="Q2" s="3"/>
      <c r="R2" s="3"/>
      <c r="S2" s="3"/>
      <c r="T2" s="3"/>
      <c r="U2" s="3"/>
      <c r="V2" s="3"/>
      <c r="W2" s="3"/>
      <c r="X2" s="3"/>
      <c r="Y2" s="4"/>
      <c r="Z2" s="3"/>
      <c r="AA2" s="3"/>
      <c r="AB2" s="3"/>
      <c r="AC2" s="5"/>
      <c r="AD2" s="5"/>
      <c r="AE2" s="5"/>
      <c r="AF2" s="31"/>
      <c r="AG2" s="5"/>
      <c r="AH2" s="5"/>
      <c r="AI2" s="5"/>
      <c r="AJ2" s="5"/>
      <c r="AK2" s="31"/>
      <c r="AL2" s="5"/>
      <c r="AM2" s="5"/>
      <c r="AN2" s="32"/>
    </row>
    <row r="3" spans="1:40" x14ac:dyDescent="0.25">
      <c r="A3" s="2">
        <v>46389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9"/>
      <c r="N3" s="30"/>
      <c r="O3" s="3"/>
      <c r="P3" s="3"/>
      <c r="Q3" s="3"/>
      <c r="R3" s="3"/>
      <c r="S3" s="3"/>
      <c r="T3" s="3"/>
      <c r="U3" s="3"/>
      <c r="V3" s="3"/>
      <c r="W3" s="3"/>
      <c r="X3" s="3"/>
      <c r="Y3" s="4"/>
      <c r="Z3" s="3"/>
      <c r="AA3" s="3"/>
      <c r="AB3" s="3"/>
      <c r="AC3" s="6"/>
      <c r="AD3" s="5"/>
      <c r="AE3" s="6"/>
      <c r="AF3" s="33"/>
      <c r="AG3" s="6"/>
      <c r="AH3" s="6"/>
      <c r="AI3" s="6"/>
      <c r="AJ3" s="6"/>
      <c r="AK3" s="33"/>
      <c r="AL3" s="6"/>
      <c r="AM3" s="6"/>
      <c r="AN3" s="32"/>
    </row>
    <row r="4" spans="1:40" x14ac:dyDescent="0.25">
      <c r="A4" s="2">
        <v>46390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9"/>
      <c r="N4" s="30"/>
      <c r="O4" s="3"/>
      <c r="P4" s="3"/>
      <c r="Q4" s="3"/>
      <c r="R4" s="3"/>
      <c r="S4" s="3"/>
      <c r="T4" s="3"/>
      <c r="U4" s="3"/>
      <c r="V4" s="3"/>
      <c r="W4" s="3"/>
      <c r="X4" s="3"/>
      <c r="Y4" s="4"/>
      <c r="Z4" s="3"/>
      <c r="AA4" s="3"/>
      <c r="AB4" s="3"/>
      <c r="AC4" s="6"/>
      <c r="AD4" s="5"/>
      <c r="AE4" s="6"/>
      <c r="AF4" s="33"/>
      <c r="AG4" s="6"/>
      <c r="AH4" s="6"/>
      <c r="AI4" s="6"/>
      <c r="AJ4" s="6"/>
      <c r="AK4" s="33"/>
      <c r="AL4" s="6"/>
      <c r="AM4" s="6"/>
      <c r="AN4" s="32"/>
    </row>
    <row r="5" spans="1:40" x14ac:dyDescent="0.25">
      <c r="A5" s="2">
        <v>46391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9"/>
      <c r="N5" s="30"/>
      <c r="O5" s="3"/>
      <c r="P5" s="3"/>
      <c r="Q5" s="3"/>
      <c r="R5" s="3"/>
      <c r="S5" s="3"/>
      <c r="T5" s="3"/>
      <c r="U5" s="3"/>
      <c r="V5" s="3"/>
      <c r="W5" s="3"/>
      <c r="X5" s="3"/>
      <c r="Y5" s="4"/>
      <c r="Z5" s="3"/>
      <c r="AA5" s="3"/>
      <c r="AB5" s="3"/>
      <c r="AC5" s="6"/>
      <c r="AD5" s="5"/>
      <c r="AE5" s="6"/>
      <c r="AF5" s="33"/>
      <c r="AG5" s="6"/>
      <c r="AH5" s="6"/>
      <c r="AI5" s="6"/>
      <c r="AJ5" s="6"/>
      <c r="AK5" s="33"/>
      <c r="AL5" s="6"/>
      <c r="AM5" s="6"/>
      <c r="AN5" s="32"/>
    </row>
    <row r="6" spans="1:40" x14ac:dyDescent="0.25">
      <c r="A6" s="2">
        <v>46392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9"/>
      <c r="N6" s="30"/>
      <c r="O6" s="3"/>
      <c r="P6" s="3"/>
      <c r="Q6" s="3"/>
      <c r="R6" s="3"/>
      <c r="S6" s="3"/>
      <c r="T6" s="3"/>
      <c r="U6" s="3"/>
      <c r="V6" s="3"/>
      <c r="W6" s="3"/>
      <c r="X6" s="3"/>
      <c r="Y6" s="4"/>
      <c r="Z6" s="3"/>
      <c r="AA6" s="3"/>
      <c r="AB6" s="3"/>
      <c r="AC6" s="6"/>
      <c r="AD6" s="5"/>
      <c r="AE6" s="6"/>
      <c r="AF6" s="33"/>
      <c r="AG6" s="6"/>
      <c r="AH6" s="6"/>
      <c r="AI6" s="6"/>
      <c r="AJ6" s="6"/>
      <c r="AK6" s="33"/>
      <c r="AL6" s="6"/>
      <c r="AM6" s="6"/>
      <c r="AN6" s="32"/>
    </row>
    <row r="7" spans="1:40" x14ac:dyDescent="0.25">
      <c r="A7" s="2">
        <v>46393</v>
      </c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9"/>
      <c r="N7" s="30"/>
      <c r="O7" s="3"/>
      <c r="P7" s="3"/>
      <c r="Q7" s="3"/>
      <c r="R7" s="3"/>
      <c r="S7" s="3"/>
      <c r="T7" s="3"/>
      <c r="U7" s="3"/>
      <c r="V7" s="3"/>
      <c r="W7" s="3"/>
      <c r="X7" s="3"/>
      <c r="Y7" s="4"/>
      <c r="Z7" s="3"/>
      <c r="AA7" s="3"/>
      <c r="AB7" s="3"/>
      <c r="AC7" s="6"/>
      <c r="AD7" s="5"/>
      <c r="AE7" s="6"/>
      <c r="AF7" s="33"/>
      <c r="AG7" s="6"/>
      <c r="AH7" s="6"/>
      <c r="AI7" s="6"/>
      <c r="AJ7" s="6"/>
      <c r="AK7" s="33"/>
      <c r="AL7" s="6"/>
      <c r="AM7" s="6"/>
      <c r="AN7" s="32"/>
    </row>
    <row r="8" spans="1:40" x14ac:dyDescent="0.25">
      <c r="A8" s="2">
        <v>46394</v>
      </c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9"/>
      <c r="N8" s="30"/>
      <c r="O8" s="3"/>
      <c r="P8" s="3"/>
      <c r="Q8" s="3"/>
      <c r="R8" s="3"/>
      <c r="S8" s="3"/>
      <c r="T8" s="3"/>
      <c r="U8" s="3"/>
      <c r="V8" s="3"/>
      <c r="W8" s="3"/>
      <c r="X8" s="3"/>
      <c r="Y8" s="4"/>
      <c r="Z8" s="3"/>
      <c r="AA8" s="3"/>
      <c r="AB8" s="3"/>
      <c r="AC8" s="6"/>
      <c r="AD8" s="5"/>
      <c r="AE8" s="6"/>
      <c r="AF8" s="33"/>
      <c r="AG8" s="6"/>
      <c r="AH8" s="6"/>
      <c r="AI8" s="6"/>
      <c r="AJ8" s="6"/>
      <c r="AK8" s="33"/>
      <c r="AL8" s="6"/>
      <c r="AM8" s="6"/>
      <c r="AN8" s="32"/>
    </row>
    <row r="9" spans="1:40" x14ac:dyDescent="0.25">
      <c r="A9" s="2">
        <v>46395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9"/>
      <c r="N9" s="30"/>
      <c r="O9" s="3"/>
      <c r="P9" s="3"/>
      <c r="Q9" s="3"/>
      <c r="R9" s="3"/>
      <c r="S9" s="3"/>
      <c r="T9" s="3"/>
      <c r="U9" s="3"/>
      <c r="V9" s="3"/>
      <c r="W9" s="3"/>
      <c r="X9" s="3"/>
      <c r="Y9" s="4"/>
      <c r="Z9" s="3"/>
      <c r="AA9" s="3"/>
      <c r="AB9" s="3"/>
      <c r="AC9" s="6"/>
      <c r="AD9" s="5"/>
      <c r="AE9" s="6"/>
      <c r="AF9" s="33"/>
      <c r="AG9" s="6"/>
      <c r="AH9" s="6"/>
      <c r="AI9" s="6"/>
      <c r="AJ9" s="6"/>
      <c r="AK9" s="33"/>
      <c r="AL9" s="6"/>
      <c r="AM9" s="6"/>
      <c r="AN9" s="32"/>
    </row>
    <row r="10" spans="1:40" x14ac:dyDescent="0.25">
      <c r="A10" s="2">
        <v>46396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9"/>
      <c r="N10" s="30"/>
      <c r="O10" s="3"/>
      <c r="P10" s="3"/>
      <c r="Q10" s="3"/>
      <c r="R10" s="3"/>
      <c r="S10" s="3"/>
      <c r="T10" s="3"/>
      <c r="U10" s="3"/>
      <c r="V10" s="3"/>
      <c r="W10" s="3"/>
      <c r="X10" s="3"/>
      <c r="Y10" s="4"/>
      <c r="Z10" s="3"/>
      <c r="AA10" s="3"/>
      <c r="AB10" s="3"/>
      <c r="AC10" s="6"/>
      <c r="AD10" s="5"/>
      <c r="AE10" s="6"/>
      <c r="AF10" s="33"/>
      <c r="AG10" s="6"/>
      <c r="AH10" s="6"/>
      <c r="AI10" s="6"/>
      <c r="AJ10" s="6"/>
      <c r="AK10" s="33"/>
      <c r="AL10" s="6"/>
      <c r="AM10" s="6"/>
      <c r="AN10" s="32"/>
    </row>
    <row r="11" spans="1:40" x14ac:dyDescent="0.25">
      <c r="A11" s="2">
        <v>46397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9"/>
      <c r="N11" s="30"/>
      <c r="O11" s="3"/>
      <c r="P11" s="3"/>
      <c r="Q11" s="3"/>
      <c r="R11" s="3"/>
      <c r="S11" s="3"/>
      <c r="T11" s="3"/>
      <c r="U11" s="3"/>
      <c r="V11" s="3"/>
      <c r="W11" s="3"/>
      <c r="X11" s="3"/>
      <c r="Y11" s="4"/>
      <c r="Z11" s="3"/>
      <c r="AA11" s="3"/>
      <c r="AB11" s="3"/>
      <c r="AC11" s="6"/>
      <c r="AD11" s="5"/>
      <c r="AE11" s="6"/>
      <c r="AF11" s="33"/>
      <c r="AG11" s="6"/>
      <c r="AH11" s="6"/>
      <c r="AI11" s="6"/>
      <c r="AJ11" s="6"/>
      <c r="AK11" s="33"/>
      <c r="AL11" s="6"/>
      <c r="AM11" s="6"/>
      <c r="AN11" s="32"/>
    </row>
    <row r="12" spans="1:40" x14ac:dyDescent="0.25">
      <c r="A12" s="2">
        <v>46398</v>
      </c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9"/>
      <c r="N12" s="30"/>
      <c r="O12" s="3"/>
      <c r="P12" s="3"/>
      <c r="Q12" s="3"/>
      <c r="R12" s="3"/>
      <c r="S12" s="3"/>
      <c r="T12" s="3"/>
      <c r="U12" s="3"/>
      <c r="V12" s="3"/>
      <c r="W12" s="3"/>
      <c r="X12" s="3"/>
      <c r="Y12" s="4"/>
      <c r="Z12" s="3"/>
      <c r="AA12" s="3"/>
      <c r="AB12" s="3"/>
      <c r="AC12" s="6"/>
      <c r="AD12" s="5"/>
      <c r="AE12" s="6"/>
      <c r="AF12" s="33"/>
      <c r="AG12" s="6"/>
      <c r="AH12" s="6"/>
      <c r="AI12" s="6"/>
      <c r="AJ12" s="6"/>
      <c r="AK12" s="33"/>
      <c r="AL12" s="6"/>
      <c r="AM12" s="6"/>
      <c r="AN12" s="32"/>
    </row>
    <row r="13" spans="1:40" x14ac:dyDescent="0.25">
      <c r="A13" s="2">
        <v>46399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9"/>
      <c r="N13" s="30"/>
      <c r="O13" s="3"/>
      <c r="P13" s="3"/>
      <c r="Q13" s="3"/>
      <c r="R13" s="3"/>
      <c r="S13" s="3"/>
      <c r="T13" s="3"/>
      <c r="U13" s="3"/>
      <c r="V13" s="3"/>
      <c r="W13" s="3"/>
      <c r="X13" s="3"/>
      <c r="Y13" s="4"/>
      <c r="Z13" s="3"/>
      <c r="AA13" s="3"/>
      <c r="AB13" s="3"/>
      <c r="AC13" s="6"/>
      <c r="AD13" s="5"/>
      <c r="AE13" s="6"/>
      <c r="AF13" s="33"/>
      <c r="AG13" s="6"/>
      <c r="AH13" s="6"/>
      <c r="AI13" s="6"/>
      <c r="AJ13" s="6"/>
      <c r="AK13" s="33"/>
      <c r="AL13" s="6"/>
      <c r="AM13" s="6"/>
      <c r="AN13" s="32"/>
    </row>
    <row r="14" spans="1:40" x14ac:dyDescent="0.25">
      <c r="A14" s="2">
        <v>46400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9"/>
      <c r="N14" s="30"/>
      <c r="O14" s="3"/>
      <c r="P14" s="3"/>
      <c r="Q14" s="3"/>
      <c r="R14" s="3"/>
      <c r="S14" s="3"/>
      <c r="T14" s="3"/>
      <c r="U14" s="3"/>
      <c r="V14" s="3"/>
      <c r="W14" s="3"/>
      <c r="X14" s="3"/>
      <c r="Y14" s="4"/>
      <c r="Z14" s="3"/>
      <c r="AA14" s="3"/>
      <c r="AB14" s="3"/>
      <c r="AC14" s="6"/>
      <c r="AD14" s="5"/>
      <c r="AE14" s="6"/>
      <c r="AF14" s="33"/>
      <c r="AG14" s="6"/>
      <c r="AH14" s="6"/>
      <c r="AI14" s="6"/>
      <c r="AJ14" s="6"/>
      <c r="AK14" s="33"/>
      <c r="AL14" s="6"/>
      <c r="AM14" s="6"/>
      <c r="AN14" s="32"/>
    </row>
    <row r="15" spans="1:40" x14ac:dyDescent="0.25">
      <c r="A15" s="2">
        <v>46401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9"/>
      <c r="N15" s="30"/>
      <c r="O15" s="3"/>
      <c r="P15" s="3"/>
      <c r="Q15" s="3"/>
      <c r="R15" s="3"/>
      <c r="S15" s="3"/>
      <c r="T15" s="3"/>
      <c r="U15" s="3"/>
      <c r="V15" s="3"/>
      <c r="W15" s="3"/>
      <c r="X15" s="3"/>
      <c r="Y15" s="4"/>
      <c r="Z15" s="3"/>
      <c r="AA15" s="3"/>
      <c r="AB15" s="3"/>
      <c r="AC15" s="6"/>
      <c r="AD15" s="5"/>
      <c r="AE15" s="6"/>
      <c r="AF15" s="33"/>
      <c r="AG15" s="6"/>
      <c r="AH15" s="6"/>
      <c r="AI15" s="6"/>
      <c r="AJ15" s="6"/>
      <c r="AK15" s="33"/>
      <c r="AL15" s="6"/>
      <c r="AM15" s="6"/>
      <c r="AN15" s="32"/>
    </row>
    <row r="16" spans="1:40" x14ac:dyDescent="0.25">
      <c r="A16" s="2">
        <v>46402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9"/>
      <c r="N16" s="30"/>
      <c r="O16" s="3"/>
      <c r="P16" s="3"/>
      <c r="Q16" s="3"/>
      <c r="R16" s="3"/>
      <c r="S16" s="3"/>
      <c r="T16" s="3"/>
      <c r="U16" s="3"/>
      <c r="V16" s="3"/>
      <c r="W16" s="3"/>
      <c r="X16" s="3"/>
      <c r="Y16" s="4"/>
      <c r="Z16" s="3"/>
      <c r="AA16" s="3"/>
      <c r="AB16" s="3"/>
      <c r="AC16" s="6"/>
      <c r="AD16" s="5"/>
      <c r="AE16" s="6"/>
      <c r="AF16" s="33"/>
      <c r="AG16" s="6"/>
      <c r="AH16" s="6"/>
      <c r="AI16" s="6"/>
      <c r="AJ16" s="6"/>
      <c r="AK16" s="33"/>
      <c r="AL16" s="6"/>
      <c r="AM16" s="6"/>
      <c r="AN16" s="32"/>
    </row>
    <row r="17" spans="1:40" x14ac:dyDescent="0.25">
      <c r="A17" s="2">
        <v>46403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9"/>
      <c r="N17" s="30"/>
      <c r="O17" s="3"/>
      <c r="P17" s="3"/>
      <c r="Q17" s="3"/>
      <c r="R17" s="3"/>
      <c r="S17" s="3"/>
      <c r="T17" s="3"/>
      <c r="U17" s="3"/>
      <c r="V17" s="3"/>
      <c r="W17" s="3"/>
      <c r="X17" s="3"/>
      <c r="Y17" s="4"/>
      <c r="Z17" s="3"/>
      <c r="AA17" s="3"/>
      <c r="AB17" s="3"/>
      <c r="AC17" s="6"/>
      <c r="AD17" s="5"/>
      <c r="AE17" s="6"/>
      <c r="AF17" s="33"/>
      <c r="AG17" s="6"/>
      <c r="AH17" s="6"/>
      <c r="AI17" s="6"/>
      <c r="AJ17" s="6"/>
      <c r="AK17" s="33"/>
      <c r="AL17" s="6"/>
      <c r="AM17" s="6"/>
      <c r="AN17" s="32"/>
    </row>
    <row r="18" spans="1:40" x14ac:dyDescent="0.25">
      <c r="A18" s="2">
        <v>46404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9"/>
      <c r="N18" s="30"/>
      <c r="O18" s="3"/>
      <c r="P18" s="3"/>
      <c r="Q18" s="3"/>
      <c r="R18" s="3"/>
      <c r="S18" s="3"/>
      <c r="T18" s="3"/>
      <c r="U18" s="3"/>
      <c r="V18" s="3"/>
      <c r="W18" s="3"/>
      <c r="X18" s="3"/>
      <c r="Y18" s="4"/>
      <c r="Z18" s="3"/>
      <c r="AA18" s="3"/>
      <c r="AB18" s="3"/>
      <c r="AC18" s="6"/>
      <c r="AD18" s="5"/>
      <c r="AE18" s="6"/>
      <c r="AF18" s="33"/>
      <c r="AG18" s="6"/>
      <c r="AH18" s="6"/>
      <c r="AI18" s="6"/>
      <c r="AJ18" s="6"/>
      <c r="AK18" s="33"/>
      <c r="AL18" s="6"/>
      <c r="AM18" s="6"/>
      <c r="AN18" s="32"/>
    </row>
    <row r="19" spans="1:40" x14ac:dyDescent="0.25">
      <c r="A19" s="2">
        <v>46405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9"/>
      <c r="N19" s="30"/>
      <c r="O19" s="3"/>
      <c r="P19" s="3"/>
      <c r="Q19" s="3"/>
      <c r="R19" s="3"/>
      <c r="S19" s="3"/>
      <c r="T19" s="3"/>
      <c r="U19" s="3"/>
      <c r="V19" s="3"/>
      <c r="W19" s="3"/>
      <c r="X19" s="3"/>
      <c r="Y19" s="4"/>
      <c r="Z19" s="3"/>
      <c r="AA19" s="3"/>
      <c r="AB19" s="3"/>
      <c r="AC19" s="6"/>
      <c r="AD19" s="5"/>
      <c r="AE19" s="6"/>
      <c r="AF19" s="33"/>
      <c r="AG19" s="6"/>
      <c r="AH19" s="6"/>
      <c r="AI19" s="6"/>
      <c r="AJ19" s="6"/>
      <c r="AK19" s="33"/>
      <c r="AL19" s="6"/>
      <c r="AM19" s="6"/>
      <c r="AN19" s="32"/>
    </row>
    <row r="20" spans="1:40" x14ac:dyDescent="0.25">
      <c r="A20" s="2">
        <v>46406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9"/>
      <c r="N20" s="30"/>
      <c r="O20" s="3"/>
      <c r="P20" s="3"/>
      <c r="Q20" s="3"/>
      <c r="R20" s="3"/>
      <c r="S20" s="3"/>
      <c r="T20" s="3"/>
      <c r="U20" s="3"/>
      <c r="V20" s="3"/>
      <c r="W20" s="3"/>
      <c r="X20" s="3"/>
      <c r="Y20" s="4"/>
      <c r="Z20" s="3"/>
      <c r="AA20" s="3"/>
      <c r="AB20" s="3"/>
      <c r="AC20" s="6"/>
      <c r="AD20" s="5"/>
      <c r="AE20" s="6"/>
      <c r="AF20" s="33"/>
      <c r="AG20" s="6"/>
      <c r="AH20" s="6"/>
      <c r="AI20" s="6"/>
      <c r="AJ20" s="6"/>
      <c r="AK20" s="33"/>
      <c r="AL20" s="6"/>
      <c r="AM20" s="6"/>
      <c r="AN20" s="32"/>
    </row>
    <row r="21" spans="1:40" x14ac:dyDescent="0.25">
      <c r="A21" s="2">
        <v>46407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9"/>
      <c r="N21" s="30"/>
      <c r="O21" s="3"/>
      <c r="P21" s="3"/>
      <c r="Q21" s="3"/>
      <c r="R21" s="3"/>
      <c r="S21" s="3"/>
      <c r="T21" s="3"/>
      <c r="U21" s="3"/>
      <c r="V21" s="3"/>
      <c r="W21" s="3"/>
      <c r="X21" s="3"/>
      <c r="Y21" s="4"/>
      <c r="Z21" s="3"/>
      <c r="AA21" s="3"/>
      <c r="AB21" s="3"/>
      <c r="AC21" s="6"/>
      <c r="AD21" s="5"/>
      <c r="AE21" s="6"/>
      <c r="AF21" s="33"/>
      <c r="AG21" s="6"/>
      <c r="AH21" s="6"/>
      <c r="AI21" s="6"/>
      <c r="AJ21" s="6"/>
      <c r="AK21" s="33"/>
      <c r="AL21" s="6"/>
      <c r="AM21" s="6"/>
      <c r="AN21" s="32"/>
    </row>
    <row r="22" spans="1:40" x14ac:dyDescent="0.25">
      <c r="A22" s="2">
        <v>46408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9"/>
      <c r="N22" s="30"/>
      <c r="O22" s="3"/>
      <c r="P22" s="3"/>
      <c r="Q22" s="3"/>
      <c r="R22" s="3"/>
      <c r="S22" s="3"/>
      <c r="T22" s="3"/>
      <c r="U22" s="3"/>
      <c r="V22" s="3"/>
      <c r="W22" s="3"/>
      <c r="X22" s="3"/>
      <c r="Y22" s="4"/>
      <c r="Z22" s="3"/>
      <c r="AA22" s="3"/>
      <c r="AB22" s="3"/>
      <c r="AC22" s="6"/>
      <c r="AD22" s="5"/>
      <c r="AE22" s="6"/>
      <c r="AF22" s="33"/>
      <c r="AG22" s="6"/>
      <c r="AH22" s="6"/>
      <c r="AI22" s="6"/>
      <c r="AJ22" s="6"/>
      <c r="AK22" s="33"/>
      <c r="AL22" s="6"/>
      <c r="AM22" s="6"/>
      <c r="AN22" s="32"/>
    </row>
    <row r="23" spans="1:40" x14ac:dyDescent="0.25">
      <c r="A23" s="2">
        <v>46409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9"/>
      <c r="N23" s="30"/>
      <c r="O23" s="3"/>
      <c r="P23" s="3"/>
      <c r="Q23" s="3"/>
      <c r="R23" s="3"/>
      <c r="S23" s="3"/>
      <c r="T23" s="3"/>
      <c r="U23" s="3"/>
      <c r="V23" s="3"/>
      <c r="W23" s="3"/>
      <c r="X23" s="3"/>
      <c r="Y23" s="4"/>
      <c r="Z23" s="3"/>
      <c r="AA23" s="3"/>
      <c r="AB23" s="3"/>
      <c r="AC23" s="6"/>
      <c r="AD23" s="5"/>
      <c r="AE23" s="6"/>
      <c r="AF23" s="33"/>
      <c r="AG23" s="6"/>
      <c r="AH23" s="6"/>
      <c r="AI23" s="6"/>
      <c r="AJ23" s="6"/>
      <c r="AK23" s="33"/>
      <c r="AL23" s="6"/>
      <c r="AM23" s="6"/>
      <c r="AN23" s="32"/>
    </row>
    <row r="24" spans="1:40" x14ac:dyDescent="0.25">
      <c r="A24" s="2">
        <v>46410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9"/>
      <c r="N24" s="30"/>
      <c r="O24" s="3"/>
      <c r="P24" s="3"/>
      <c r="Q24" s="3"/>
      <c r="R24" s="3"/>
      <c r="S24" s="3"/>
      <c r="T24" s="3"/>
      <c r="U24" s="3"/>
      <c r="V24" s="3"/>
      <c r="W24" s="3"/>
      <c r="X24" s="3"/>
      <c r="Y24" s="4"/>
      <c r="Z24" s="3"/>
      <c r="AA24" s="3"/>
      <c r="AB24" s="3"/>
      <c r="AC24" s="6"/>
      <c r="AD24" s="5"/>
      <c r="AE24" s="6"/>
      <c r="AF24" s="33"/>
      <c r="AG24" s="6"/>
      <c r="AH24" s="6"/>
      <c r="AI24" s="6"/>
      <c r="AJ24" s="6"/>
      <c r="AK24" s="33"/>
      <c r="AL24" s="6"/>
      <c r="AM24" s="6"/>
      <c r="AN24" s="32"/>
    </row>
    <row r="25" spans="1:40" x14ac:dyDescent="0.25">
      <c r="A25" s="2">
        <v>46411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9"/>
      <c r="N25" s="30"/>
      <c r="O25" s="3"/>
      <c r="P25" s="3"/>
      <c r="Q25" s="3"/>
      <c r="R25" s="3"/>
      <c r="S25" s="3"/>
      <c r="T25" s="3"/>
      <c r="U25" s="3"/>
      <c r="V25" s="3"/>
      <c r="W25" s="3"/>
      <c r="X25" s="3"/>
      <c r="Y25" s="4"/>
      <c r="Z25" s="3"/>
      <c r="AA25" s="3"/>
      <c r="AB25" s="3"/>
      <c r="AC25" s="6"/>
      <c r="AD25" s="5"/>
      <c r="AE25" s="6"/>
      <c r="AF25" s="33"/>
      <c r="AG25" s="6"/>
      <c r="AH25" s="6"/>
      <c r="AI25" s="6"/>
      <c r="AJ25" s="6"/>
      <c r="AK25" s="33"/>
      <c r="AL25" s="6"/>
      <c r="AM25" s="6"/>
      <c r="AN25" s="32"/>
    </row>
    <row r="26" spans="1:40" x14ac:dyDescent="0.25">
      <c r="A26" s="2">
        <v>46412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9"/>
      <c r="N26" s="30"/>
      <c r="O26" s="3"/>
      <c r="P26" s="3"/>
      <c r="Q26" s="3"/>
      <c r="R26" s="3"/>
      <c r="S26" s="3"/>
      <c r="T26" s="3"/>
      <c r="U26" s="3"/>
      <c r="V26" s="3"/>
      <c r="W26" s="3"/>
      <c r="X26" s="3"/>
      <c r="Y26" s="4"/>
      <c r="Z26" s="3"/>
      <c r="AA26" s="3"/>
      <c r="AB26" s="3"/>
      <c r="AC26" s="6"/>
      <c r="AD26" s="5"/>
      <c r="AE26" s="6"/>
      <c r="AF26" s="33"/>
      <c r="AG26" s="6"/>
      <c r="AH26" s="6"/>
      <c r="AI26" s="6"/>
      <c r="AJ26" s="6"/>
      <c r="AK26" s="33"/>
      <c r="AL26" s="6"/>
      <c r="AM26" s="6"/>
      <c r="AN26" s="32"/>
    </row>
    <row r="27" spans="1:40" x14ac:dyDescent="0.25">
      <c r="A27" s="2">
        <v>46413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9"/>
      <c r="N27" s="30"/>
      <c r="O27" s="3"/>
      <c r="P27" s="3"/>
      <c r="Q27" s="3"/>
      <c r="R27" s="3"/>
      <c r="S27" s="3"/>
      <c r="T27" s="3"/>
      <c r="U27" s="3"/>
      <c r="V27" s="3"/>
      <c r="W27" s="3"/>
      <c r="X27" s="3"/>
      <c r="Y27" s="4"/>
      <c r="Z27" s="3"/>
      <c r="AA27" s="3"/>
      <c r="AB27" s="3"/>
      <c r="AC27" s="6"/>
      <c r="AD27" s="5"/>
      <c r="AE27" s="6"/>
      <c r="AF27" s="33"/>
      <c r="AG27" s="6"/>
      <c r="AH27" s="6"/>
      <c r="AI27" s="6"/>
      <c r="AJ27" s="6"/>
      <c r="AK27" s="33"/>
      <c r="AL27" s="6"/>
      <c r="AM27" s="6"/>
      <c r="AN27" s="32"/>
    </row>
    <row r="28" spans="1:40" x14ac:dyDescent="0.25">
      <c r="A28" s="2">
        <v>46414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9"/>
      <c r="N28" s="30"/>
      <c r="O28" s="3"/>
      <c r="P28" s="3"/>
      <c r="Q28" s="3"/>
      <c r="R28" s="3"/>
      <c r="S28" s="3"/>
      <c r="T28" s="3"/>
      <c r="U28" s="3"/>
      <c r="V28" s="3"/>
      <c r="W28" s="3"/>
      <c r="X28" s="3"/>
      <c r="Y28" s="4"/>
      <c r="Z28" s="3"/>
      <c r="AA28" s="3"/>
      <c r="AB28" s="3"/>
      <c r="AC28" s="6"/>
      <c r="AD28" s="5"/>
      <c r="AE28" s="6"/>
      <c r="AF28" s="33"/>
      <c r="AG28" s="6"/>
      <c r="AH28" s="6"/>
      <c r="AI28" s="6"/>
      <c r="AJ28" s="6"/>
      <c r="AK28" s="33"/>
      <c r="AL28" s="6"/>
      <c r="AM28" s="6"/>
      <c r="AN28" s="32"/>
    </row>
    <row r="29" spans="1:40" x14ac:dyDescent="0.25">
      <c r="A29" s="2">
        <v>46415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9"/>
      <c r="N29" s="30"/>
      <c r="O29" s="3"/>
      <c r="P29" s="3"/>
      <c r="Q29" s="3"/>
      <c r="R29" s="3"/>
      <c r="S29" s="3"/>
      <c r="T29" s="3"/>
      <c r="U29" s="3"/>
      <c r="V29" s="3"/>
      <c r="W29" s="3"/>
      <c r="X29" s="3"/>
      <c r="Y29" s="4"/>
      <c r="Z29" s="3"/>
      <c r="AA29" s="3"/>
      <c r="AB29" s="3"/>
      <c r="AC29" s="6"/>
      <c r="AD29" s="5"/>
      <c r="AE29" s="6"/>
      <c r="AF29" s="33"/>
      <c r="AG29" s="6"/>
      <c r="AH29" s="6"/>
      <c r="AI29" s="6"/>
      <c r="AJ29" s="6"/>
      <c r="AK29" s="33"/>
      <c r="AL29" s="6"/>
      <c r="AM29" s="6"/>
      <c r="AN29" s="32"/>
    </row>
    <row r="30" spans="1:40" x14ac:dyDescent="0.25">
      <c r="A30" s="2">
        <v>46416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9"/>
      <c r="N30" s="30"/>
      <c r="O30" s="3"/>
      <c r="P30" s="3"/>
      <c r="Q30" s="3"/>
      <c r="R30" s="3"/>
      <c r="S30" s="3"/>
      <c r="T30" s="3"/>
      <c r="U30" s="3"/>
      <c r="V30" s="3"/>
      <c r="W30" s="3"/>
      <c r="X30" s="3"/>
      <c r="Y30" s="4"/>
      <c r="Z30" s="3"/>
      <c r="AA30" s="3"/>
      <c r="AB30" s="3"/>
      <c r="AC30" s="6"/>
      <c r="AD30" s="5"/>
      <c r="AE30" s="6"/>
      <c r="AF30" s="33"/>
      <c r="AG30" s="6"/>
      <c r="AH30" s="6"/>
      <c r="AI30" s="6"/>
      <c r="AJ30" s="6"/>
      <c r="AK30" s="33"/>
      <c r="AL30" s="6"/>
      <c r="AM30" s="6"/>
      <c r="AN30" s="32"/>
    </row>
    <row r="31" spans="1:40" x14ac:dyDescent="0.25">
      <c r="A31" s="2">
        <v>46417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9"/>
      <c r="N31" s="30"/>
      <c r="O31" s="3"/>
      <c r="P31" s="3"/>
      <c r="Q31" s="3"/>
      <c r="R31" s="3"/>
      <c r="S31" s="3"/>
      <c r="T31" s="3"/>
      <c r="U31" s="3"/>
      <c r="V31" s="3"/>
      <c r="W31" s="3"/>
      <c r="X31" s="3"/>
      <c r="Y31" s="4"/>
      <c r="Z31" s="3"/>
      <c r="AA31" s="3"/>
      <c r="AB31" s="3"/>
      <c r="AC31" s="6"/>
      <c r="AD31" s="5"/>
      <c r="AE31" s="6"/>
      <c r="AF31" s="33"/>
      <c r="AG31" s="6"/>
      <c r="AH31" s="6"/>
      <c r="AI31" s="6"/>
      <c r="AJ31" s="6"/>
      <c r="AK31" s="33"/>
      <c r="AL31" s="6"/>
      <c r="AM31" s="6"/>
      <c r="AN31" s="32"/>
    </row>
    <row r="32" spans="1:40" x14ac:dyDescent="0.25">
      <c r="A32" s="2">
        <v>46418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9"/>
      <c r="N32" s="30"/>
      <c r="O32" s="3"/>
      <c r="P32" s="3"/>
      <c r="Q32" s="3"/>
      <c r="R32" s="3"/>
      <c r="S32" s="3"/>
      <c r="T32" s="3"/>
      <c r="U32" s="3"/>
      <c r="V32" s="3"/>
      <c r="W32" s="3"/>
      <c r="X32" s="3"/>
      <c r="Y32" s="4"/>
      <c r="Z32" s="3"/>
      <c r="AA32" s="3"/>
      <c r="AB32" s="3"/>
      <c r="AC32" s="6"/>
      <c r="AD32" s="5"/>
      <c r="AE32" s="6"/>
      <c r="AF32" s="33"/>
      <c r="AG32" s="6"/>
      <c r="AH32" s="6"/>
      <c r="AI32" s="6"/>
      <c r="AJ32" s="6"/>
      <c r="AK32" s="33"/>
      <c r="AL32" s="6"/>
      <c r="AM32" s="6"/>
      <c r="AN32" s="32"/>
    </row>
    <row r="33" spans="1:40" ht="18.75" x14ac:dyDescent="0.25">
      <c r="A33" s="2">
        <v>46419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3"/>
      <c r="AJ33" s="41"/>
      <c r="AK33" s="43"/>
      <c r="AL33" s="43"/>
      <c r="AM33" s="32"/>
      <c r="AN33" s="32"/>
    </row>
    <row r="34" spans="1:40" ht="18.75" x14ac:dyDescent="0.25">
      <c r="A34" s="2">
        <v>46420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5"/>
      <c r="AJ34" s="44"/>
      <c r="AK34" s="45"/>
      <c r="AL34" s="45"/>
      <c r="AM34" s="32"/>
      <c r="AN34" s="32"/>
    </row>
    <row r="35" spans="1:40" ht="18.75" x14ac:dyDescent="0.25">
      <c r="A35" s="2">
        <v>46421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3"/>
      <c r="AJ35" s="41"/>
      <c r="AK35" s="43"/>
      <c r="AL35" s="43"/>
      <c r="AM35" s="32"/>
      <c r="AN35" s="32"/>
    </row>
    <row r="36" spans="1:40" ht="18.75" x14ac:dyDescent="0.25">
      <c r="A36" s="2">
        <v>46422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5"/>
      <c r="AJ36" s="44"/>
      <c r="AK36" s="45"/>
      <c r="AL36" s="45"/>
      <c r="AM36" s="32"/>
      <c r="AN36" s="32"/>
    </row>
    <row r="37" spans="1:40" ht="18.75" x14ac:dyDescent="0.25">
      <c r="A37" s="2">
        <v>46423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3"/>
      <c r="AJ37" s="41"/>
      <c r="AK37" s="43"/>
      <c r="AL37" s="43"/>
      <c r="AM37" s="32"/>
      <c r="AN37" s="32"/>
    </row>
    <row r="38" spans="1:40" ht="18.75" x14ac:dyDescent="0.25">
      <c r="A38" s="2">
        <v>46424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5"/>
      <c r="AJ38" s="44"/>
      <c r="AK38" s="45"/>
      <c r="AL38" s="45"/>
      <c r="AM38" s="32"/>
      <c r="AN38" s="32"/>
    </row>
    <row r="39" spans="1:40" ht="18.75" x14ac:dyDescent="0.25">
      <c r="A39" s="2">
        <v>46425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3"/>
      <c r="AJ39" s="41"/>
      <c r="AK39" s="43"/>
      <c r="AL39" s="43"/>
      <c r="AM39" s="32"/>
      <c r="AN39" s="32"/>
    </row>
    <row r="40" spans="1:40" ht="18.75" x14ac:dyDescent="0.25">
      <c r="A40" s="2">
        <v>46426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5"/>
      <c r="AJ40" s="44"/>
      <c r="AK40" s="45"/>
      <c r="AL40" s="45"/>
      <c r="AM40" s="32"/>
      <c r="AN40" s="32"/>
    </row>
    <row r="41" spans="1:40" ht="18.75" x14ac:dyDescent="0.25">
      <c r="A41" s="2">
        <v>46427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3"/>
      <c r="AJ41" s="41"/>
      <c r="AK41" s="43"/>
      <c r="AL41" s="43"/>
      <c r="AM41" s="32"/>
      <c r="AN41" s="32"/>
    </row>
    <row r="42" spans="1:40" ht="18.75" x14ac:dyDescent="0.25">
      <c r="A42" s="2">
        <v>46428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5"/>
      <c r="AJ42" s="44"/>
      <c r="AK42" s="45"/>
      <c r="AL42" s="45"/>
      <c r="AM42" s="32"/>
      <c r="AN42" s="32"/>
    </row>
    <row r="43" spans="1:40" ht="18.75" x14ac:dyDescent="0.25">
      <c r="A43" s="2">
        <v>46429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3"/>
      <c r="AJ43" s="41"/>
      <c r="AK43" s="43"/>
      <c r="AL43" s="43"/>
      <c r="AM43" s="32"/>
      <c r="AN43" s="32"/>
    </row>
    <row r="44" spans="1:40" ht="18.75" x14ac:dyDescent="0.25">
      <c r="A44" s="2">
        <v>46430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5"/>
      <c r="AJ44" s="44"/>
      <c r="AK44" s="45"/>
      <c r="AL44" s="45"/>
      <c r="AM44" s="32"/>
      <c r="AN44" s="32"/>
    </row>
    <row r="45" spans="1:40" ht="18.75" x14ac:dyDescent="0.25">
      <c r="A45" s="2">
        <v>46431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3"/>
      <c r="AJ45" s="41"/>
      <c r="AK45" s="43"/>
      <c r="AL45" s="43"/>
      <c r="AM45" s="32"/>
      <c r="AN45" s="32"/>
    </row>
    <row r="46" spans="1:40" ht="18.75" x14ac:dyDescent="0.25">
      <c r="A46" s="2">
        <v>46432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5"/>
      <c r="AJ46" s="44"/>
      <c r="AK46" s="45"/>
      <c r="AL46" s="45"/>
      <c r="AM46" s="32"/>
      <c r="AN46" s="32"/>
    </row>
    <row r="47" spans="1:40" ht="18.75" x14ac:dyDescent="0.25">
      <c r="A47" s="2">
        <v>46433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3"/>
      <c r="AJ47" s="41"/>
      <c r="AK47" s="43"/>
      <c r="AL47" s="43"/>
      <c r="AM47" s="32"/>
      <c r="AN47" s="32"/>
    </row>
    <row r="48" spans="1:40" ht="18.75" x14ac:dyDescent="0.25">
      <c r="A48" s="2">
        <v>46434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5"/>
      <c r="AJ48" s="44"/>
      <c r="AK48" s="45"/>
      <c r="AL48" s="45"/>
      <c r="AM48" s="32"/>
      <c r="AN48" s="32"/>
    </row>
    <row r="49" spans="1:40" ht="18.75" x14ac:dyDescent="0.25">
      <c r="A49" s="2">
        <v>46435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3"/>
      <c r="AJ49" s="41"/>
      <c r="AK49" s="43"/>
      <c r="AL49" s="43"/>
      <c r="AM49" s="32"/>
      <c r="AN49" s="32"/>
    </row>
    <row r="50" spans="1:40" ht="18.75" x14ac:dyDescent="0.25">
      <c r="A50" s="2">
        <v>46436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5"/>
      <c r="AJ50" s="44"/>
      <c r="AK50" s="45"/>
      <c r="AL50" s="45"/>
      <c r="AM50" s="32"/>
      <c r="AN50" s="32"/>
    </row>
    <row r="51" spans="1:40" ht="18.75" x14ac:dyDescent="0.25">
      <c r="A51" s="2">
        <v>46437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3"/>
      <c r="AJ51" s="41"/>
      <c r="AK51" s="43"/>
      <c r="AL51" s="43"/>
      <c r="AM51" s="32"/>
      <c r="AN51" s="32"/>
    </row>
    <row r="52" spans="1:40" ht="18.75" x14ac:dyDescent="0.25">
      <c r="A52" s="2">
        <v>46438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5"/>
      <c r="AJ52" s="44"/>
      <c r="AK52" s="45"/>
      <c r="AL52" s="45"/>
      <c r="AM52" s="32"/>
      <c r="AN52" s="32"/>
    </row>
    <row r="53" spans="1:40" ht="18.75" x14ac:dyDescent="0.25">
      <c r="A53" s="2">
        <v>46439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3"/>
      <c r="AJ53" s="41"/>
      <c r="AK53" s="43"/>
      <c r="AL53" s="43"/>
      <c r="AM53" s="32"/>
      <c r="AN53" s="32"/>
    </row>
    <row r="54" spans="1:40" ht="18.75" x14ac:dyDescent="0.25">
      <c r="A54" s="2">
        <v>46440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5"/>
      <c r="AJ54" s="44"/>
      <c r="AK54" s="45"/>
      <c r="AL54" s="45"/>
      <c r="AM54" s="32"/>
      <c r="AN54" s="32"/>
    </row>
    <row r="55" spans="1:40" ht="18.75" x14ac:dyDescent="0.25">
      <c r="A55" s="2">
        <v>46441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3"/>
      <c r="AJ55" s="41"/>
      <c r="AK55" s="43"/>
      <c r="AL55" s="43"/>
      <c r="AM55" s="32"/>
      <c r="AN55" s="32"/>
    </row>
    <row r="56" spans="1:40" ht="18.75" x14ac:dyDescent="0.25">
      <c r="A56" s="2">
        <v>46442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5"/>
      <c r="AJ56" s="44"/>
      <c r="AK56" s="45"/>
      <c r="AL56" s="45"/>
      <c r="AM56" s="32"/>
      <c r="AN56" s="32"/>
    </row>
    <row r="57" spans="1:40" ht="18.75" x14ac:dyDescent="0.25">
      <c r="A57" s="2">
        <v>46443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3"/>
      <c r="AJ57" s="41"/>
      <c r="AK57" s="43"/>
      <c r="AL57" s="43"/>
      <c r="AM57" s="32"/>
      <c r="AN57" s="32"/>
    </row>
    <row r="58" spans="1:40" ht="18.75" x14ac:dyDescent="0.25">
      <c r="A58" s="2">
        <v>46444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5"/>
      <c r="AJ58" s="44"/>
      <c r="AK58" s="45"/>
      <c r="AL58" s="45"/>
      <c r="AM58" s="32"/>
      <c r="AN58" s="32"/>
    </row>
    <row r="59" spans="1:40" ht="18.75" x14ac:dyDescent="0.25">
      <c r="A59" s="2">
        <v>46445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3"/>
      <c r="AJ59" s="41"/>
      <c r="AK59" s="43"/>
      <c r="AL59" s="43"/>
      <c r="AM59" s="32"/>
      <c r="AN59" s="32"/>
    </row>
    <row r="60" spans="1:40" ht="18.75" x14ac:dyDescent="0.25">
      <c r="A60" s="2">
        <v>46446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5"/>
      <c r="AJ60" s="44"/>
      <c r="AK60" s="45"/>
      <c r="AL60" s="45"/>
      <c r="AM60" s="32"/>
      <c r="AN60" s="32"/>
    </row>
    <row r="61" spans="1:40" ht="18.75" x14ac:dyDescent="0.25">
      <c r="A61" s="2">
        <v>46447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3"/>
      <c r="AJ61" s="41"/>
      <c r="AK61" s="43"/>
      <c r="AL61" s="43"/>
      <c r="AM61" s="32"/>
      <c r="AN61" s="32"/>
    </row>
    <row r="62" spans="1:40" ht="18.75" x14ac:dyDescent="0.25">
      <c r="A62" s="2">
        <v>46448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5"/>
      <c r="AJ62" s="44"/>
      <c r="AK62" s="45"/>
      <c r="AL62" s="45"/>
      <c r="AM62" s="32"/>
      <c r="AN62" s="32"/>
    </row>
    <row r="63" spans="1:40" ht="18.75" x14ac:dyDescent="0.25">
      <c r="A63" s="2">
        <v>46449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3"/>
      <c r="AJ63" s="41"/>
      <c r="AK63" s="43"/>
      <c r="AL63" s="43"/>
      <c r="AM63" s="32"/>
      <c r="AN63" s="32"/>
    </row>
    <row r="64" spans="1:40" ht="18.75" x14ac:dyDescent="0.25">
      <c r="A64" s="2">
        <v>46450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5"/>
      <c r="AJ64" s="44"/>
      <c r="AK64" s="45"/>
      <c r="AL64" s="45"/>
      <c r="AM64" s="32"/>
      <c r="AN64" s="32"/>
    </row>
    <row r="65" spans="1:40" ht="18.75" x14ac:dyDescent="0.25">
      <c r="A65" s="2">
        <v>46451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3"/>
      <c r="AJ65" s="41"/>
      <c r="AK65" s="43"/>
      <c r="AL65" s="43"/>
      <c r="AM65" s="32"/>
      <c r="AN65" s="32"/>
    </row>
    <row r="66" spans="1:40" ht="18.75" x14ac:dyDescent="0.25">
      <c r="A66" s="2">
        <v>46452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5"/>
      <c r="AJ66" s="44"/>
      <c r="AK66" s="45"/>
      <c r="AL66" s="45"/>
      <c r="AM66" s="32"/>
      <c r="AN66" s="32"/>
    </row>
    <row r="67" spans="1:40" ht="18.75" x14ac:dyDescent="0.25">
      <c r="A67" s="2">
        <v>46453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3"/>
      <c r="AJ67" s="41"/>
      <c r="AK67" s="43"/>
      <c r="AL67" s="43"/>
      <c r="AM67" s="32"/>
      <c r="AN67" s="32"/>
    </row>
    <row r="68" spans="1:40" ht="18.75" x14ac:dyDescent="0.25">
      <c r="A68" s="2">
        <v>46454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5"/>
      <c r="AJ68" s="44"/>
      <c r="AK68" s="45"/>
      <c r="AL68" s="45"/>
      <c r="AM68" s="32"/>
      <c r="AN68" s="32"/>
    </row>
    <row r="69" spans="1:40" ht="18.75" x14ac:dyDescent="0.25">
      <c r="A69" s="2">
        <v>46455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3"/>
      <c r="AJ69" s="41"/>
      <c r="AK69" s="43"/>
      <c r="AL69" s="43"/>
      <c r="AM69" s="32"/>
      <c r="AN69" s="32"/>
    </row>
    <row r="70" spans="1:40" ht="18.75" x14ac:dyDescent="0.25">
      <c r="A70" s="2">
        <v>46456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5"/>
      <c r="AJ70" s="44"/>
      <c r="AK70" s="45"/>
      <c r="AL70" s="45"/>
      <c r="AM70" s="32"/>
      <c r="AN70" s="32"/>
    </row>
    <row r="71" spans="1:40" ht="18.75" x14ac:dyDescent="0.25">
      <c r="A71" s="2">
        <v>46457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3"/>
      <c r="AJ71" s="76"/>
      <c r="AK71" s="43"/>
      <c r="AL71" s="43"/>
      <c r="AM71" s="32"/>
      <c r="AN71" s="32"/>
    </row>
    <row r="72" spans="1:40" ht="18.75" x14ac:dyDescent="0.25">
      <c r="A72" s="2">
        <v>46458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5"/>
      <c r="AJ72" s="44"/>
      <c r="AK72" s="45"/>
      <c r="AL72" s="45"/>
      <c r="AM72" s="32"/>
      <c r="AN72" s="32"/>
    </row>
    <row r="73" spans="1:40" ht="18.75" x14ac:dyDescent="0.25">
      <c r="A73" s="2">
        <v>46459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3"/>
      <c r="AJ73" s="41"/>
      <c r="AK73" s="43"/>
      <c r="AL73" s="43"/>
      <c r="AM73" s="32"/>
      <c r="AN73" s="32"/>
    </row>
    <row r="74" spans="1:40" ht="18.75" x14ac:dyDescent="0.25">
      <c r="A74" s="2">
        <v>46460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5"/>
      <c r="AJ74" s="44"/>
      <c r="AK74" s="45"/>
      <c r="AL74" s="45"/>
      <c r="AM74" s="32"/>
      <c r="AN74" s="32"/>
    </row>
    <row r="75" spans="1:40" ht="18.75" x14ac:dyDescent="0.25">
      <c r="A75" s="2">
        <v>46461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3"/>
      <c r="AJ75" s="41"/>
      <c r="AK75" s="43"/>
      <c r="AL75" s="43"/>
      <c r="AM75" s="32"/>
      <c r="AN75" s="32"/>
    </row>
    <row r="76" spans="1:40" ht="18.75" x14ac:dyDescent="0.25">
      <c r="A76" s="2">
        <v>46462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5"/>
      <c r="AJ76" s="44"/>
      <c r="AK76" s="45"/>
      <c r="AL76" s="45"/>
      <c r="AM76" s="32"/>
      <c r="AN76" s="32"/>
    </row>
    <row r="77" spans="1:40" ht="18.75" x14ac:dyDescent="0.25">
      <c r="A77" s="2">
        <v>46463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3"/>
      <c r="AJ77" s="41"/>
      <c r="AK77" s="43"/>
      <c r="AL77" s="43"/>
      <c r="AM77" s="32"/>
      <c r="AN77" s="32"/>
    </row>
    <row r="78" spans="1:40" ht="18.75" x14ac:dyDescent="0.25">
      <c r="A78" s="2">
        <v>46464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5"/>
      <c r="AJ78" s="44"/>
      <c r="AK78" s="45"/>
      <c r="AL78" s="45"/>
      <c r="AM78" s="32"/>
      <c r="AN78" s="32"/>
    </row>
    <row r="79" spans="1:40" ht="18.75" x14ac:dyDescent="0.25">
      <c r="A79" s="2">
        <v>46465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3"/>
      <c r="AJ79" s="41"/>
      <c r="AK79" s="43"/>
      <c r="AL79" s="43"/>
      <c r="AM79" s="32"/>
      <c r="AN79" s="32"/>
    </row>
    <row r="80" spans="1:40" ht="18.75" x14ac:dyDescent="0.25">
      <c r="A80" s="2">
        <v>46466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5"/>
      <c r="AJ80" s="44"/>
      <c r="AK80" s="45"/>
      <c r="AL80" s="45"/>
      <c r="AM80" s="32"/>
      <c r="AN80" s="32"/>
    </row>
    <row r="81" spans="1:40" ht="18.75" x14ac:dyDescent="0.25">
      <c r="A81" s="2">
        <v>46467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3"/>
      <c r="AJ81" s="41"/>
      <c r="AK81" s="43"/>
      <c r="AL81" s="43"/>
      <c r="AM81" s="32"/>
      <c r="AN81" s="32"/>
    </row>
    <row r="82" spans="1:40" ht="18.75" x14ac:dyDescent="0.25">
      <c r="A82" s="2">
        <v>46468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5"/>
      <c r="AJ82" s="44"/>
      <c r="AK82" s="45"/>
      <c r="AL82" s="45"/>
      <c r="AM82" s="32"/>
      <c r="AN82" s="32"/>
    </row>
    <row r="83" spans="1:40" ht="18.75" x14ac:dyDescent="0.25">
      <c r="A83" s="2">
        <v>46469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3"/>
      <c r="AJ83" s="41"/>
      <c r="AK83" s="43"/>
      <c r="AL83" s="43"/>
      <c r="AM83" s="32"/>
      <c r="AN83" s="32"/>
    </row>
    <row r="84" spans="1:40" ht="18.75" x14ac:dyDescent="0.25">
      <c r="A84" s="2">
        <v>46470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5"/>
      <c r="AJ84" s="44"/>
      <c r="AK84" s="45"/>
      <c r="AL84" s="45"/>
      <c r="AM84" s="32"/>
      <c r="AN84" s="32"/>
    </row>
    <row r="85" spans="1:40" ht="18.75" x14ac:dyDescent="0.25">
      <c r="A85" s="2">
        <v>46471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3"/>
      <c r="AJ85" s="41"/>
      <c r="AK85" s="43"/>
      <c r="AL85" s="43"/>
      <c r="AM85" s="32"/>
      <c r="AN85" s="32"/>
    </row>
    <row r="86" spans="1:40" ht="18.75" x14ac:dyDescent="0.25">
      <c r="A86" s="2">
        <v>46472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5"/>
      <c r="AJ86" s="44"/>
      <c r="AK86" s="45"/>
      <c r="AL86" s="45"/>
      <c r="AM86" s="32"/>
      <c r="AN86" s="32"/>
    </row>
    <row r="87" spans="1:40" ht="18.75" x14ac:dyDescent="0.25">
      <c r="A87" s="2">
        <v>46473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3"/>
      <c r="AJ87" s="41"/>
      <c r="AK87" s="43"/>
      <c r="AL87" s="43"/>
      <c r="AM87" s="32"/>
      <c r="AN87" s="32"/>
    </row>
    <row r="88" spans="1:40" ht="18.75" x14ac:dyDescent="0.25">
      <c r="A88" s="2">
        <v>46474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5"/>
      <c r="AJ88" s="44"/>
      <c r="AK88" s="45"/>
      <c r="AL88" s="45"/>
      <c r="AM88" s="32"/>
      <c r="AN88" s="32"/>
    </row>
    <row r="89" spans="1:40" ht="18.75" x14ac:dyDescent="0.25">
      <c r="A89" s="2">
        <v>46475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3"/>
      <c r="AJ89" s="41"/>
      <c r="AK89" s="43"/>
      <c r="AL89" s="43"/>
      <c r="AM89" s="32"/>
      <c r="AN89" s="32"/>
    </row>
    <row r="90" spans="1:40" ht="18.75" x14ac:dyDescent="0.25">
      <c r="A90" s="2">
        <v>46476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5"/>
      <c r="AJ90" s="74"/>
      <c r="AK90" s="45"/>
      <c r="AL90" s="45"/>
      <c r="AM90" s="32"/>
      <c r="AN90" s="32"/>
    </row>
    <row r="91" spans="1:40" ht="18.75" x14ac:dyDescent="0.25">
      <c r="A91" s="2">
        <v>46477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3"/>
      <c r="AJ91" s="41"/>
      <c r="AK91" s="43"/>
      <c r="AL91" s="43"/>
      <c r="AM91" s="32"/>
      <c r="AN91" s="32"/>
    </row>
    <row r="92" spans="1:40" ht="18.75" x14ac:dyDescent="0.25">
      <c r="A92" s="2">
        <v>46478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3"/>
      <c r="AJ92" s="41"/>
      <c r="AK92" s="43"/>
      <c r="AL92" s="43"/>
      <c r="AM92" s="32"/>
      <c r="AN92" s="32"/>
    </row>
    <row r="93" spans="1:40" ht="18.75" x14ac:dyDescent="0.25">
      <c r="A93" s="2">
        <v>46479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5"/>
      <c r="AJ93" s="44"/>
      <c r="AK93" s="45"/>
      <c r="AL93" s="45"/>
      <c r="AM93" s="32"/>
      <c r="AN93" s="32"/>
    </row>
    <row r="94" spans="1:40" ht="18.75" x14ac:dyDescent="0.25">
      <c r="A94" s="2">
        <v>46480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3"/>
      <c r="AJ94" s="41"/>
      <c r="AK94" s="43"/>
      <c r="AL94" s="43"/>
      <c r="AM94" s="32"/>
      <c r="AN94" s="32"/>
    </row>
    <row r="95" spans="1:40" ht="18.75" x14ac:dyDescent="0.25">
      <c r="A95" s="2">
        <v>46481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5"/>
      <c r="AJ95" s="44"/>
      <c r="AK95" s="45"/>
      <c r="AL95" s="45"/>
      <c r="AM95" s="32"/>
      <c r="AN95" s="32"/>
    </row>
    <row r="96" spans="1:40" ht="18.75" x14ac:dyDescent="0.25">
      <c r="A96" s="2">
        <v>46482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3"/>
      <c r="AJ96" s="41"/>
      <c r="AK96" s="43"/>
      <c r="AL96" s="43"/>
      <c r="AM96" s="32"/>
      <c r="AN96" s="32"/>
    </row>
    <row r="97" spans="1:40" ht="18.75" x14ac:dyDescent="0.25">
      <c r="A97" s="2">
        <v>46483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5"/>
      <c r="AJ97" s="44"/>
      <c r="AK97" s="45"/>
      <c r="AL97" s="45"/>
      <c r="AM97" s="32"/>
      <c r="AN97" s="32"/>
    </row>
    <row r="98" spans="1:40" ht="18.75" x14ac:dyDescent="0.25">
      <c r="A98" s="2">
        <v>46484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3"/>
      <c r="AJ98" s="41"/>
      <c r="AK98" s="43"/>
      <c r="AL98" s="43"/>
      <c r="AM98" s="32"/>
      <c r="AN98" s="32"/>
    </row>
    <row r="99" spans="1:40" ht="18.75" x14ac:dyDescent="0.25">
      <c r="A99" s="2">
        <v>46485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5"/>
      <c r="AJ99" s="44"/>
      <c r="AK99" s="45"/>
      <c r="AL99" s="45"/>
      <c r="AM99" s="32"/>
      <c r="AN99" s="32"/>
    </row>
    <row r="100" spans="1:40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3"/>
      <c r="AJ100" s="41"/>
      <c r="AK100" s="43"/>
      <c r="AL100" s="43"/>
      <c r="AM100" s="32"/>
      <c r="AN100" s="32"/>
    </row>
    <row r="101" spans="1:40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5"/>
      <c r="AJ101" s="44"/>
      <c r="AK101" s="45"/>
      <c r="AL101" s="45"/>
      <c r="AM101" s="32"/>
      <c r="AN101" s="32"/>
    </row>
    <row r="102" spans="1:40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3"/>
      <c r="AJ102" s="41"/>
      <c r="AK102" s="43"/>
      <c r="AL102" s="43"/>
      <c r="AM102" s="32"/>
      <c r="AN102" s="32"/>
    </row>
    <row r="103" spans="1:40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5"/>
      <c r="AJ103" s="44"/>
      <c r="AK103" s="45"/>
      <c r="AL103" s="45"/>
      <c r="AM103" s="32"/>
      <c r="AN103" s="32"/>
    </row>
    <row r="104" spans="1:40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3"/>
      <c r="AJ104" s="41"/>
      <c r="AK104" s="43"/>
      <c r="AL104" s="43"/>
      <c r="AM104" s="32"/>
      <c r="AN104" s="32"/>
    </row>
    <row r="105" spans="1:40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5"/>
      <c r="AJ105" s="44"/>
      <c r="AK105" s="45"/>
      <c r="AL105" s="45"/>
      <c r="AM105" s="32"/>
      <c r="AN105" s="32"/>
    </row>
    <row r="106" spans="1:40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3"/>
      <c r="AJ106" s="41"/>
      <c r="AK106" s="43"/>
      <c r="AL106" s="43"/>
      <c r="AM106" s="32"/>
      <c r="AN106" s="32"/>
    </row>
    <row r="107" spans="1:40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5"/>
      <c r="AJ107" s="44"/>
      <c r="AK107" s="45"/>
      <c r="AL107" s="45"/>
      <c r="AM107" s="32"/>
      <c r="AN107" s="32"/>
    </row>
    <row r="108" spans="1:40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3"/>
      <c r="AJ108" s="41"/>
      <c r="AK108" s="43"/>
      <c r="AL108" s="43"/>
      <c r="AM108" s="32"/>
      <c r="AN108" s="32"/>
    </row>
    <row r="109" spans="1:40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5"/>
      <c r="AJ109" s="44"/>
      <c r="AK109" s="45"/>
      <c r="AL109" s="45"/>
      <c r="AM109" s="32"/>
      <c r="AN109" s="32"/>
    </row>
    <row r="110" spans="1:40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3"/>
      <c r="AJ110" s="41"/>
      <c r="AK110" s="43"/>
      <c r="AL110" s="43"/>
      <c r="AM110" s="32"/>
      <c r="AN110" s="32"/>
    </row>
    <row r="111" spans="1:40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5"/>
      <c r="AJ111" s="44"/>
      <c r="AK111" s="45"/>
      <c r="AL111" s="45"/>
      <c r="AM111" s="32"/>
      <c r="AN111" s="32"/>
    </row>
    <row r="112" spans="1:40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3"/>
      <c r="AJ112" s="41"/>
      <c r="AK112" s="43"/>
      <c r="AL112" s="43"/>
      <c r="AM112" s="32"/>
      <c r="AN112" s="32"/>
    </row>
    <row r="113" spans="1:40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5"/>
      <c r="AJ113" s="44"/>
      <c r="AK113" s="45"/>
      <c r="AL113" s="45"/>
      <c r="AM113" s="32"/>
      <c r="AN113" s="32"/>
    </row>
    <row r="114" spans="1:40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3"/>
      <c r="AJ114" s="41"/>
      <c r="AK114" s="43"/>
      <c r="AL114" s="43"/>
      <c r="AM114" s="32"/>
      <c r="AN114" s="32"/>
    </row>
    <row r="115" spans="1:40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5"/>
      <c r="AJ115" s="44"/>
      <c r="AK115" s="45"/>
      <c r="AL115" s="45"/>
      <c r="AM115" s="32"/>
      <c r="AN115" s="32"/>
    </row>
    <row r="116" spans="1:40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3"/>
      <c r="AJ116" s="41"/>
      <c r="AK116" s="43"/>
      <c r="AL116" s="43"/>
      <c r="AM116" s="32"/>
      <c r="AN116" s="32"/>
    </row>
    <row r="117" spans="1:40" ht="18.75" x14ac:dyDescent="0.25">
      <c r="A117" s="2">
        <v>46503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5"/>
      <c r="AJ117" s="44"/>
      <c r="AK117" s="45"/>
      <c r="AL117" s="45"/>
      <c r="AM117" s="32"/>
      <c r="AN117" s="32"/>
    </row>
    <row r="118" spans="1:40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3"/>
      <c r="AJ118" s="41"/>
      <c r="AK118" s="43"/>
      <c r="AL118" s="43"/>
      <c r="AM118" s="32"/>
      <c r="AN118" s="32"/>
    </row>
    <row r="119" spans="1:40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5"/>
      <c r="AJ119" s="44"/>
      <c r="AK119" s="45"/>
      <c r="AL119" s="45"/>
      <c r="AM119" s="32"/>
      <c r="AN119" s="32"/>
    </row>
    <row r="120" spans="1:40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3"/>
      <c r="AJ120" s="41"/>
      <c r="AK120" s="43"/>
      <c r="AL120" s="43"/>
      <c r="AM120" s="32"/>
      <c r="AN120" s="32"/>
    </row>
    <row r="121" spans="1:40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5"/>
      <c r="AJ121" s="44"/>
      <c r="AK121" s="45"/>
      <c r="AL121" s="45"/>
      <c r="AM121" s="32"/>
      <c r="AN121" s="32"/>
    </row>
    <row r="122" spans="1:40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3"/>
      <c r="AJ122" s="41"/>
      <c r="AK122" s="43"/>
      <c r="AL122" s="43"/>
      <c r="AM122" s="32"/>
      <c r="AN122" s="32"/>
    </row>
    <row r="123" spans="1:40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5"/>
      <c r="AJ123" s="44"/>
      <c r="AK123" s="45"/>
      <c r="AL123" s="45"/>
      <c r="AM123" s="32"/>
      <c r="AN123" s="32"/>
    </row>
    <row r="124" spans="1:40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3"/>
      <c r="AJ124" s="41"/>
      <c r="AK124" s="43"/>
      <c r="AL124" s="43"/>
      <c r="AM124" s="32"/>
      <c r="AN124" s="32"/>
    </row>
    <row r="125" spans="1:40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5"/>
      <c r="AJ125" s="44"/>
      <c r="AK125" s="45"/>
      <c r="AL125" s="45"/>
      <c r="AM125" s="32"/>
      <c r="AN125" s="32"/>
    </row>
    <row r="126" spans="1:40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3"/>
      <c r="AJ126" s="41"/>
      <c r="AK126" s="43"/>
      <c r="AL126" s="43"/>
      <c r="AM126" s="32"/>
      <c r="AN126" s="32"/>
    </row>
    <row r="127" spans="1:40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5"/>
      <c r="AJ127" s="44"/>
      <c r="AK127" s="45"/>
      <c r="AL127" s="45"/>
      <c r="AM127" s="32"/>
      <c r="AN127" s="32"/>
    </row>
    <row r="128" spans="1:40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3"/>
      <c r="AJ128" s="41"/>
      <c r="AK128" s="43"/>
      <c r="AL128" s="43"/>
      <c r="AM128" s="32"/>
      <c r="AN128" s="32"/>
    </row>
    <row r="129" spans="1:40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5"/>
      <c r="AJ129" s="44"/>
      <c r="AK129" s="45"/>
      <c r="AL129" s="45"/>
      <c r="AM129" s="32"/>
      <c r="AN129" s="32"/>
    </row>
    <row r="130" spans="1:40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3"/>
      <c r="AJ130" s="41"/>
      <c r="AK130" s="43"/>
      <c r="AL130" s="43"/>
      <c r="AM130" s="32"/>
      <c r="AN130" s="32"/>
    </row>
    <row r="131" spans="1:40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5"/>
      <c r="AJ131" s="44"/>
      <c r="AK131" s="45"/>
      <c r="AL131" s="45"/>
      <c r="AM131" s="32"/>
      <c r="AN131" s="32"/>
    </row>
    <row r="132" spans="1:40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3"/>
      <c r="AJ132" s="76"/>
      <c r="AK132" s="43"/>
      <c r="AL132" s="43"/>
      <c r="AM132" s="32"/>
      <c r="AN132" s="32"/>
    </row>
    <row r="133" spans="1:40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5"/>
      <c r="AJ133" s="44"/>
      <c r="AK133" s="45"/>
      <c r="AL133" s="45"/>
      <c r="AM133" s="32"/>
      <c r="AN133" s="32"/>
    </row>
    <row r="134" spans="1:40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3"/>
      <c r="AJ134" s="41"/>
      <c r="AK134" s="43"/>
      <c r="AL134" s="43"/>
      <c r="AM134" s="32"/>
      <c r="AN134" s="32"/>
    </row>
    <row r="135" spans="1:40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5"/>
      <c r="AJ135" s="44"/>
      <c r="AK135" s="45"/>
      <c r="AL135" s="45"/>
      <c r="AM135" s="32"/>
      <c r="AN135" s="32"/>
    </row>
    <row r="136" spans="1:40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3"/>
      <c r="AJ136" s="41"/>
      <c r="AK136" s="43"/>
      <c r="AL136" s="43"/>
      <c r="AM136" s="32"/>
      <c r="AN136" s="32"/>
    </row>
    <row r="137" spans="1:40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5"/>
      <c r="AJ137" s="44"/>
      <c r="AK137" s="45"/>
      <c r="AL137" s="45"/>
      <c r="AM137" s="32"/>
      <c r="AN137" s="32"/>
    </row>
    <row r="138" spans="1:40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3"/>
      <c r="AJ138" s="41"/>
      <c r="AK138" s="43"/>
      <c r="AL138" s="43"/>
      <c r="AM138" s="32"/>
      <c r="AN138" s="32"/>
    </row>
    <row r="139" spans="1:40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5"/>
      <c r="AJ139" s="44"/>
      <c r="AK139" s="45"/>
      <c r="AL139" s="45"/>
      <c r="AM139" s="32"/>
      <c r="AN139" s="32"/>
    </row>
    <row r="140" spans="1:40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3"/>
      <c r="AJ140" s="41"/>
      <c r="AK140" s="43"/>
      <c r="AL140" s="43"/>
      <c r="AM140" s="32"/>
      <c r="AN140" s="32"/>
    </row>
    <row r="141" spans="1:40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5"/>
      <c r="AJ141" s="44"/>
      <c r="AK141" s="45"/>
      <c r="AL141" s="45"/>
      <c r="AM141" s="32"/>
      <c r="AN141" s="32"/>
    </row>
    <row r="142" spans="1:40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3"/>
      <c r="AJ142" s="41"/>
      <c r="AK142" s="43"/>
      <c r="AL142" s="43"/>
      <c r="AM142" s="32"/>
      <c r="AN142" s="32"/>
    </row>
    <row r="143" spans="1:40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5"/>
      <c r="AJ143" s="44"/>
      <c r="AK143" s="45"/>
      <c r="AL143" s="45"/>
      <c r="AM143" s="32"/>
      <c r="AN143" s="32"/>
    </row>
    <row r="144" spans="1:40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3"/>
      <c r="AJ144" s="41"/>
      <c r="AK144" s="43"/>
      <c r="AL144" s="43"/>
      <c r="AM144" s="32"/>
      <c r="AN144" s="32"/>
    </row>
    <row r="145" spans="1:40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5"/>
      <c r="AJ145" s="44"/>
      <c r="AK145" s="45"/>
      <c r="AL145" s="45"/>
      <c r="AM145" s="32"/>
      <c r="AN145" s="32"/>
    </row>
    <row r="146" spans="1:40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3"/>
      <c r="AJ146" s="41"/>
      <c r="AK146" s="43"/>
      <c r="AL146" s="43"/>
      <c r="AM146" s="32"/>
      <c r="AN146" s="32"/>
    </row>
    <row r="147" spans="1:40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5"/>
      <c r="AJ147" s="44"/>
      <c r="AK147" s="45"/>
      <c r="AL147" s="45"/>
      <c r="AM147" s="32"/>
      <c r="AN147" s="32"/>
    </row>
    <row r="148" spans="1:40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3"/>
      <c r="AJ148" s="41"/>
      <c r="AK148" s="43"/>
      <c r="AL148" s="43"/>
      <c r="AM148" s="32"/>
      <c r="AN148" s="32"/>
    </row>
    <row r="149" spans="1:40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5"/>
      <c r="AJ149" s="44"/>
      <c r="AK149" s="45"/>
      <c r="AL149" s="45"/>
      <c r="AM149" s="32"/>
      <c r="AN149" s="32"/>
    </row>
    <row r="150" spans="1:40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3"/>
      <c r="AJ150" s="41"/>
      <c r="AK150" s="43"/>
      <c r="AL150" s="43"/>
      <c r="AM150" s="32"/>
      <c r="AN150" s="32"/>
    </row>
    <row r="151" spans="1:40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5"/>
      <c r="AJ151" s="74"/>
      <c r="AK151" s="45"/>
      <c r="AL151" s="45"/>
      <c r="AM151" s="32"/>
      <c r="AN151" s="32"/>
    </row>
    <row r="152" spans="1:40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3"/>
      <c r="AJ152" s="41"/>
      <c r="AK152" s="43"/>
      <c r="AL152" s="43"/>
      <c r="AM152" s="32"/>
      <c r="AN152" s="32"/>
    </row>
    <row r="153" spans="1:40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3"/>
      <c r="AJ153" s="41"/>
      <c r="AK153" s="43"/>
      <c r="AL153" s="43"/>
      <c r="AM153" s="32"/>
      <c r="AN153" s="32"/>
    </row>
    <row r="154" spans="1:40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5"/>
      <c r="AJ154" s="44"/>
      <c r="AK154" s="45"/>
      <c r="AL154" s="45"/>
      <c r="AM154" s="32"/>
      <c r="AN154" s="32"/>
    </row>
    <row r="155" spans="1:40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3"/>
      <c r="AJ155" s="41"/>
      <c r="AK155" s="43"/>
      <c r="AL155" s="43"/>
      <c r="AM155" s="32"/>
      <c r="AN155" s="32"/>
    </row>
    <row r="156" spans="1:40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5"/>
      <c r="AJ156" s="44"/>
      <c r="AK156" s="45"/>
      <c r="AL156" s="45"/>
      <c r="AM156" s="32"/>
      <c r="AN156" s="32"/>
    </row>
    <row r="157" spans="1:40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3"/>
      <c r="AJ157" s="41"/>
      <c r="AK157" s="43"/>
      <c r="AL157" s="43"/>
      <c r="AM157" s="32"/>
      <c r="AN157" s="32"/>
    </row>
    <row r="158" spans="1:40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5"/>
      <c r="AJ158" s="44"/>
      <c r="AK158" s="45"/>
      <c r="AL158" s="45"/>
      <c r="AM158" s="32"/>
      <c r="AN158" s="32"/>
    </row>
    <row r="159" spans="1:40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3"/>
      <c r="AJ159" s="41"/>
      <c r="AK159" s="43"/>
      <c r="AL159" s="43"/>
      <c r="AM159" s="32"/>
      <c r="AN159" s="32"/>
    </row>
    <row r="160" spans="1:40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5"/>
      <c r="AJ160" s="44"/>
      <c r="AK160" s="45"/>
      <c r="AL160" s="45"/>
      <c r="AM160" s="32"/>
      <c r="AN160" s="32"/>
    </row>
    <row r="161" spans="1:40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3"/>
      <c r="AJ161" s="41"/>
      <c r="AK161" s="43"/>
      <c r="AL161" s="43"/>
      <c r="AM161" s="32"/>
      <c r="AN161" s="32"/>
    </row>
    <row r="162" spans="1:40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5"/>
      <c r="AJ162" s="44"/>
      <c r="AK162" s="45"/>
      <c r="AL162" s="45"/>
      <c r="AM162" s="32"/>
      <c r="AN162" s="32"/>
    </row>
    <row r="163" spans="1:40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3"/>
      <c r="AJ163" s="41"/>
      <c r="AK163" s="43"/>
      <c r="AL163" s="43"/>
      <c r="AM163" s="32"/>
      <c r="AN163" s="32"/>
    </row>
    <row r="164" spans="1:40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5"/>
      <c r="AJ164" s="44"/>
      <c r="AK164" s="45"/>
      <c r="AL164" s="45"/>
      <c r="AM164" s="32"/>
      <c r="AN164" s="32"/>
    </row>
    <row r="165" spans="1:40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3"/>
      <c r="AJ165" s="41"/>
      <c r="AK165" s="43"/>
      <c r="AL165" s="43"/>
      <c r="AM165" s="32"/>
      <c r="AN165" s="32"/>
    </row>
    <row r="166" spans="1:40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5"/>
      <c r="AJ166" s="44"/>
      <c r="AK166" s="45"/>
      <c r="AL166" s="45"/>
      <c r="AM166" s="32"/>
      <c r="AN166" s="32"/>
    </row>
    <row r="167" spans="1:40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3"/>
      <c r="AJ167" s="41"/>
      <c r="AK167" s="43"/>
      <c r="AL167" s="43"/>
      <c r="AM167" s="32"/>
      <c r="AN167" s="32"/>
    </row>
    <row r="168" spans="1:40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5"/>
      <c r="AJ168" s="44"/>
      <c r="AK168" s="45"/>
      <c r="AL168" s="45"/>
      <c r="AM168" s="32"/>
      <c r="AN168" s="32"/>
    </row>
    <row r="169" spans="1:40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3"/>
      <c r="AJ169" s="41"/>
      <c r="AK169" s="43"/>
      <c r="AL169" s="43"/>
      <c r="AM169" s="32"/>
      <c r="AN169" s="32"/>
    </row>
    <row r="170" spans="1:40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5"/>
      <c r="AJ170" s="44"/>
      <c r="AK170" s="45"/>
      <c r="AL170" s="45"/>
      <c r="AM170" s="32"/>
      <c r="AN170" s="32"/>
    </row>
    <row r="171" spans="1:40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3"/>
      <c r="AJ171" s="41"/>
      <c r="AK171" s="43"/>
      <c r="AL171" s="43"/>
      <c r="AM171" s="32"/>
      <c r="AN171" s="32"/>
    </row>
    <row r="172" spans="1:40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5"/>
      <c r="AJ172" s="44"/>
      <c r="AK172" s="45"/>
      <c r="AL172" s="45"/>
      <c r="AM172" s="32"/>
      <c r="AN172" s="32"/>
    </row>
    <row r="173" spans="1:40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3"/>
      <c r="AJ173" s="41"/>
      <c r="AK173" s="43"/>
      <c r="AL173" s="43"/>
      <c r="AM173" s="32"/>
      <c r="AN173" s="32"/>
    </row>
    <row r="174" spans="1:40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5"/>
      <c r="AJ174" s="44"/>
      <c r="AK174" s="45"/>
      <c r="AL174" s="45"/>
      <c r="AM174" s="32"/>
      <c r="AN174" s="32"/>
    </row>
    <row r="175" spans="1:40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3"/>
      <c r="AJ175" s="41"/>
      <c r="AK175" s="43"/>
      <c r="AL175" s="43"/>
      <c r="AM175" s="32"/>
      <c r="AN175" s="32"/>
    </row>
    <row r="176" spans="1:40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5"/>
      <c r="AJ176" s="44"/>
      <c r="AK176" s="45"/>
      <c r="AL176" s="45"/>
      <c r="AM176" s="32"/>
      <c r="AN176" s="32"/>
    </row>
    <row r="177" spans="1:40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3"/>
      <c r="AJ177" s="41"/>
      <c r="AK177" s="43"/>
      <c r="AL177" s="43"/>
      <c r="AM177" s="32"/>
      <c r="AN177" s="32"/>
    </row>
    <row r="178" spans="1:40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5"/>
      <c r="AJ178" s="44"/>
      <c r="AK178" s="45"/>
      <c r="AL178" s="45"/>
      <c r="AM178" s="32"/>
      <c r="AN178" s="32"/>
    </row>
    <row r="179" spans="1:40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3"/>
      <c r="AJ179" s="41"/>
      <c r="AK179" s="43"/>
      <c r="AL179" s="43"/>
      <c r="AM179" s="32"/>
      <c r="AN179" s="32"/>
    </row>
    <row r="180" spans="1:40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5"/>
      <c r="AJ180" s="44"/>
      <c r="AK180" s="45"/>
      <c r="AL180" s="45"/>
      <c r="AM180" s="32"/>
      <c r="AN180" s="32"/>
    </row>
    <row r="181" spans="1:40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3"/>
      <c r="AJ181" s="41"/>
      <c r="AK181" s="43"/>
      <c r="AL181" s="43"/>
      <c r="AM181" s="32"/>
      <c r="AN181" s="32"/>
    </row>
    <row r="182" spans="1:40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5"/>
      <c r="AJ182" s="44"/>
      <c r="AK182" s="45"/>
      <c r="AL182" s="45"/>
      <c r="AM182" s="32"/>
      <c r="AN182" s="32"/>
    </row>
    <row r="183" spans="1:40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3"/>
      <c r="AJ183" s="41"/>
      <c r="AK183" s="43"/>
      <c r="AL183" s="43"/>
      <c r="AM183" s="32"/>
      <c r="AN183" s="32"/>
    </row>
    <row r="184" spans="1:40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5"/>
      <c r="AJ184" s="44"/>
      <c r="AK184" s="45"/>
      <c r="AL184" s="45"/>
      <c r="AM184" s="32"/>
      <c r="AN184" s="32"/>
    </row>
    <row r="185" spans="1:40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3"/>
      <c r="AJ185" s="41"/>
      <c r="AK185" s="43"/>
      <c r="AL185" s="43"/>
      <c r="AM185" s="32"/>
      <c r="AN185" s="32"/>
    </row>
    <row r="186" spans="1:40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5"/>
      <c r="AJ186" s="44"/>
      <c r="AK186" s="45"/>
      <c r="AL186" s="45"/>
      <c r="AM186" s="32"/>
      <c r="AN186" s="32"/>
    </row>
    <row r="187" spans="1:40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3"/>
      <c r="AJ187" s="41"/>
      <c r="AK187" s="43"/>
      <c r="AL187" s="43"/>
      <c r="AM187" s="32"/>
      <c r="AN187" s="32"/>
    </row>
    <row r="188" spans="1:40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5"/>
      <c r="AJ188" s="44"/>
      <c r="AK188" s="45"/>
      <c r="AL188" s="45"/>
      <c r="AM188" s="32"/>
      <c r="AN188" s="32"/>
    </row>
    <row r="189" spans="1:40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3"/>
      <c r="AJ189" s="41"/>
      <c r="AK189" s="43"/>
      <c r="AL189" s="43"/>
      <c r="AM189" s="32"/>
      <c r="AN189" s="32"/>
    </row>
    <row r="190" spans="1:40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5"/>
      <c r="AJ190" s="44"/>
      <c r="AK190" s="45"/>
      <c r="AL190" s="45"/>
      <c r="AM190" s="32"/>
      <c r="AN190" s="32"/>
    </row>
    <row r="191" spans="1:40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3"/>
      <c r="AJ191" s="41"/>
      <c r="AK191" s="43"/>
      <c r="AL191" s="43"/>
      <c r="AM191" s="32"/>
      <c r="AN191" s="32"/>
    </row>
    <row r="192" spans="1:40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5"/>
      <c r="AJ192" s="44"/>
      <c r="AK192" s="45"/>
      <c r="AL192" s="45"/>
      <c r="AM192" s="32"/>
      <c r="AN192" s="32"/>
    </row>
    <row r="193" spans="1:40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3"/>
      <c r="AJ193" s="76"/>
      <c r="AK193" s="43"/>
      <c r="AL193" s="43"/>
      <c r="AM193" s="32"/>
      <c r="AN193" s="32"/>
    </row>
    <row r="194" spans="1:40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5"/>
      <c r="AJ194" s="44"/>
      <c r="AK194" s="45"/>
      <c r="AL194" s="45"/>
      <c r="AM194" s="32"/>
      <c r="AN194" s="32"/>
    </row>
    <row r="195" spans="1:40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3"/>
      <c r="AJ195" s="41"/>
      <c r="AK195" s="43"/>
      <c r="AL195" s="43"/>
      <c r="AM195" s="32"/>
      <c r="AN195" s="32"/>
    </row>
    <row r="196" spans="1:40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5"/>
      <c r="AJ196" s="44"/>
      <c r="AK196" s="45"/>
      <c r="AL196" s="45"/>
      <c r="AM196" s="32"/>
      <c r="AN196" s="32"/>
    </row>
    <row r="197" spans="1:40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3"/>
      <c r="AJ197" s="41"/>
      <c r="AK197" s="43"/>
      <c r="AL197" s="43"/>
      <c r="AM197" s="32"/>
      <c r="AN197" s="32"/>
    </row>
    <row r="198" spans="1:40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5"/>
      <c r="AJ198" s="44"/>
      <c r="AK198" s="45"/>
      <c r="AL198" s="45"/>
      <c r="AM198" s="32"/>
      <c r="AN198" s="32"/>
    </row>
    <row r="199" spans="1:40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3"/>
      <c r="AJ199" s="41"/>
      <c r="AK199" s="43"/>
      <c r="AL199" s="43"/>
      <c r="AM199" s="32"/>
      <c r="AN199" s="32"/>
    </row>
    <row r="200" spans="1:40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5"/>
      <c r="AJ200" s="44"/>
      <c r="AK200" s="45"/>
      <c r="AL200" s="45"/>
      <c r="AM200" s="32"/>
      <c r="AN200" s="32"/>
    </row>
    <row r="201" spans="1:40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3"/>
      <c r="AJ201" s="41"/>
      <c r="AK201" s="43"/>
      <c r="AL201" s="43"/>
      <c r="AM201" s="32"/>
      <c r="AN201" s="32"/>
    </row>
    <row r="202" spans="1:40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5"/>
      <c r="AJ202" s="44"/>
      <c r="AK202" s="45"/>
      <c r="AL202" s="45"/>
      <c r="AM202" s="32"/>
      <c r="AN202" s="32"/>
    </row>
    <row r="203" spans="1:40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3"/>
      <c r="AJ203" s="41"/>
      <c r="AK203" s="43"/>
      <c r="AL203" s="43"/>
      <c r="AM203" s="32"/>
      <c r="AN203" s="32"/>
    </row>
    <row r="204" spans="1:40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5"/>
      <c r="AJ204" s="44"/>
      <c r="AK204" s="45"/>
      <c r="AL204" s="45"/>
      <c r="AM204" s="32"/>
      <c r="AN204" s="32"/>
    </row>
    <row r="205" spans="1:40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3"/>
      <c r="AJ205" s="41"/>
      <c r="AK205" s="43"/>
      <c r="AL205" s="43"/>
      <c r="AM205" s="32"/>
      <c r="AN205" s="32"/>
    </row>
    <row r="206" spans="1:40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5"/>
      <c r="AJ206" s="44"/>
      <c r="AK206" s="45"/>
      <c r="AL206" s="45"/>
      <c r="AM206" s="32"/>
      <c r="AN206" s="32"/>
    </row>
    <row r="207" spans="1:40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3"/>
      <c r="AJ207" s="41"/>
      <c r="AK207" s="43"/>
      <c r="AL207" s="43"/>
      <c r="AM207" s="32"/>
      <c r="AN207" s="32"/>
    </row>
    <row r="208" spans="1:40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5"/>
      <c r="AJ208" s="44"/>
      <c r="AK208" s="45"/>
      <c r="AL208" s="45"/>
      <c r="AM208" s="32"/>
      <c r="AN208" s="32"/>
    </row>
    <row r="209" spans="1:40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3"/>
      <c r="AJ209" s="41"/>
      <c r="AK209" s="43"/>
      <c r="AL209" s="43"/>
      <c r="AM209" s="32"/>
      <c r="AN209" s="32"/>
    </row>
    <row r="210" spans="1:40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5"/>
      <c r="AJ210" s="44"/>
      <c r="AK210" s="45"/>
      <c r="AL210" s="45"/>
      <c r="AM210" s="32"/>
      <c r="AN210" s="32"/>
    </row>
    <row r="211" spans="1:40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3"/>
      <c r="AJ211" s="41"/>
      <c r="AK211" s="43"/>
      <c r="AL211" s="43"/>
      <c r="AM211" s="32"/>
      <c r="AN211" s="32"/>
    </row>
    <row r="212" spans="1:40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5"/>
      <c r="AJ212" s="74"/>
      <c r="AK212" s="45"/>
      <c r="AL212" s="45"/>
      <c r="AM212" s="32"/>
      <c r="AN212" s="32"/>
    </row>
    <row r="213" spans="1:40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3"/>
      <c r="AJ213" s="41"/>
      <c r="AK213" s="43"/>
      <c r="AL213" s="43"/>
      <c r="AM213" s="32"/>
      <c r="AN213" s="32"/>
    </row>
    <row r="214" spans="1:40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3"/>
      <c r="AJ214" s="41"/>
      <c r="AK214" s="43"/>
      <c r="AL214" s="43"/>
      <c r="AM214" s="32"/>
      <c r="AN214" s="32"/>
    </row>
    <row r="215" spans="1:40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5"/>
      <c r="AJ215" s="44"/>
      <c r="AK215" s="45"/>
      <c r="AL215" s="45"/>
      <c r="AM215" s="32"/>
      <c r="AN215" s="32"/>
    </row>
    <row r="216" spans="1:40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3"/>
      <c r="AJ216" s="41"/>
      <c r="AK216" s="43"/>
      <c r="AL216" s="43"/>
      <c r="AM216" s="32"/>
      <c r="AN216" s="32"/>
    </row>
    <row r="217" spans="1:40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5"/>
      <c r="AJ217" s="44"/>
      <c r="AK217" s="45"/>
      <c r="AL217" s="45"/>
      <c r="AM217" s="32"/>
      <c r="AN217" s="32"/>
    </row>
    <row r="218" spans="1:40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3"/>
      <c r="AJ218" s="41"/>
      <c r="AK218" s="43"/>
      <c r="AL218" s="43"/>
      <c r="AM218" s="32"/>
      <c r="AN218" s="32"/>
    </row>
    <row r="219" spans="1:40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5"/>
      <c r="AJ219" s="44"/>
      <c r="AK219" s="45"/>
      <c r="AL219" s="45"/>
      <c r="AM219" s="32"/>
      <c r="AN219" s="32"/>
    </row>
    <row r="220" spans="1:40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3"/>
      <c r="AJ220" s="41"/>
      <c r="AK220" s="43"/>
      <c r="AL220" s="43"/>
      <c r="AM220" s="32"/>
      <c r="AN220" s="32"/>
    </row>
    <row r="221" spans="1:40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5"/>
      <c r="AJ221" s="44"/>
      <c r="AK221" s="45"/>
      <c r="AL221" s="45"/>
      <c r="AM221" s="32"/>
      <c r="AN221" s="32"/>
    </row>
    <row r="222" spans="1:40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3"/>
      <c r="AJ222" s="41"/>
      <c r="AK222" s="43"/>
      <c r="AL222" s="43"/>
      <c r="AM222" s="32"/>
      <c r="AN222" s="32"/>
    </row>
    <row r="223" spans="1:40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5"/>
      <c r="AJ223" s="44"/>
      <c r="AK223" s="45"/>
      <c r="AL223" s="45"/>
      <c r="AM223" s="32"/>
      <c r="AN223" s="32"/>
    </row>
    <row r="224" spans="1:40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3"/>
      <c r="AJ224" s="76"/>
      <c r="AK224" s="43"/>
      <c r="AL224" s="43"/>
      <c r="AM224" s="32"/>
      <c r="AN224" s="32"/>
    </row>
    <row r="225" spans="1:40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5"/>
      <c r="AJ225" s="44"/>
      <c r="AK225" s="45"/>
      <c r="AL225" s="45"/>
      <c r="AM225" s="32"/>
      <c r="AN225" s="32"/>
    </row>
    <row r="226" spans="1:40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3"/>
      <c r="AJ226" s="41"/>
      <c r="AK226" s="43"/>
      <c r="AL226" s="43"/>
      <c r="AM226" s="32"/>
      <c r="AN226" s="32"/>
    </row>
    <row r="227" spans="1:40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5"/>
      <c r="AJ227" s="44"/>
      <c r="AK227" s="45"/>
      <c r="AL227" s="45"/>
      <c r="AM227" s="32"/>
      <c r="AN227" s="32"/>
    </row>
    <row r="228" spans="1:40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3"/>
      <c r="AJ228" s="41"/>
      <c r="AK228" s="43"/>
      <c r="AL228" s="43"/>
      <c r="AM228" s="32"/>
      <c r="AN228" s="32"/>
    </row>
    <row r="229" spans="1:40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5"/>
      <c r="AJ229" s="44"/>
      <c r="AK229" s="45"/>
      <c r="AL229" s="45"/>
      <c r="AM229" s="32"/>
      <c r="AN229" s="32"/>
    </row>
    <row r="230" spans="1:40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3"/>
      <c r="AJ230" s="41"/>
      <c r="AK230" s="43"/>
      <c r="AL230" s="43"/>
      <c r="AM230" s="32"/>
      <c r="AN230" s="32"/>
    </row>
    <row r="231" spans="1:40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5"/>
      <c r="AJ231" s="44"/>
      <c r="AK231" s="45"/>
      <c r="AL231" s="45"/>
      <c r="AM231" s="32"/>
      <c r="AN231" s="32"/>
    </row>
    <row r="232" spans="1:40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3"/>
      <c r="AJ232" s="41"/>
      <c r="AK232" s="43"/>
      <c r="AL232" s="43"/>
      <c r="AM232" s="32"/>
      <c r="AN232" s="32"/>
    </row>
    <row r="233" spans="1:40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5"/>
      <c r="AJ233" s="44"/>
      <c r="AK233" s="45"/>
      <c r="AL233" s="45"/>
      <c r="AM233" s="32"/>
      <c r="AN233" s="32"/>
    </row>
    <row r="234" spans="1:40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3"/>
      <c r="AJ234" s="41"/>
      <c r="AK234" s="43"/>
      <c r="AL234" s="43"/>
      <c r="AM234" s="32"/>
      <c r="AN234" s="32"/>
    </row>
    <row r="235" spans="1:40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5"/>
      <c r="AJ235" s="44"/>
      <c r="AK235" s="45"/>
      <c r="AL235" s="45"/>
      <c r="AM235" s="32"/>
      <c r="AN235" s="32"/>
    </row>
    <row r="236" spans="1:40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3"/>
      <c r="AJ236" s="41"/>
      <c r="AK236" s="43"/>
      <c r="AL236" s="43"/>
      <c r="AM236" s="32"/>
      <c r="AN236" s="32"/>
    </row>
    <row r="237" spans="1:40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5"/>
      <c r="AJ237" s="44"/>
      <c r="AK237" s="45"/>
      <c r="AL237" s="45"/>
      <c r="AM237" s="32"/>
      <c r="AN237" s="32"/>
    </row>
    <row r="238" spans="1:40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3"/>
      <c r="AJ238" s="41"/>
      <c r="AK238" s="43"/>
      <c r="AL238" s="43"/>
      <c r="AM238" s="32"/>
      <c r="AN238" s="32"/>
    </row>
    <row r="239" spans="1:40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5"/>
      <c r="AJ239" s="44"/>
      <c r="AK239" s="45"/>
      <c r="AL239" s="45"/>
      <c r="AM239" s="32"/>
      <c r="AN239" s="32"/>
    </row>
    <row r="240" spans="1:40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3"/>
      <c r="AJ240" s="41"/>
      <c r="AK240" s="43"/>
      <c r="AL240" s="43"/>
      <c r="AM240" s="32"/>
      <c r="AN240" s="32"/>
    </row>
    <row r="241" spans="1:40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5"/>
      <c r="AJ241" s="44"/>
      <c r="AK241" s="45"/>
      <c r="AL241" s="45"/>
      <c r="AM241" s="32"/>
      <c r="AN241" s="32"/>
    </row>
    <row r="242" spans="1:40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3"/>
      <c r="AJ242" s="41"/>
      <c r="AK242" s="43"/>
      <c r="AL242" s="43"/>
      <c r="AM242" s="32"/>
      <c r="AN242" s="32"/>
    </row>
    <row r="243" spans="1:40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5"/>
      <c r="AJ243" s="74"/>
      <c r="AK243" s="45"/>
      <c r="AL243" s="45"/>
      <c r="AM243" s="32"/>
      <c r="AN243" s="32"/>
    </row>
    <row r="244" spans="1:40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3"/>
      <c r="AJ244" s="41"/>
      <c r="AK244" s="43"/>
      <c r="AL244" s="43"/>
      <c r="AM244" s="32"/>
      <c r="AN244" s="32"/>
    </row>
    <row r="245" spans="1:40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3"/>
      <c r="AJ245" s="41"/>
      <c r="AK245" s="43"/>
      <c r="AL245" s="43"/>
      <c r="AM245" s="32"/>
      <c r="AN245" s="32"/>
    </row>
    <row r="246" spans="1:40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5"/>
      <c r="AJ246" s="44"/>
      <c r="AK246" s="45"/>
      <c r="AL246" s="45"/>
      <c r="AM246" s="32"/>
      <c r="AN246" s="32"/>
    </row>
    <row r="247" spans="1:40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3"/>
      <c r="AJ247" s="41"/>
      <c r="AK247" s="43"/>
      <c r="AL247" s="43"/>
      <c r="AM247" s="32"/>
      <c r="AN247" s="32"/>
    </row>
    <row r="248" spans="1:40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5"/>
      <c r="AJ248" s="44"/>
      <c r="AK248" s="45"/>
      <c r="AL248" s="45"/>
      <c r="AM248" s="32"/>
      <c r="AN248" s="32"/>
    </row>
    <row r="249" spans="1:40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3"/>
      <c r="AJ249" s="41"/>
      <c r="AK249" s="43"/>
      <c r="AL249" s="43"/>
      <c r="AM249" s="32"/>
      <c r="AN249" s="32"/>
    </row>
    <row r="250" spans="1:40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5"/>
      <c r="AJ250" s="44"/>
      <c r="AK250" s="45"/>
      <c r="AL250" s="45"/>
      <c r="AM250" s="32"/>
      <c r="AN250" s="32"/>
    </row>
    <row r="251" spans="1:40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3"/>
      <c r="AJ251" s="41"/>
      <c r="AK251" s="43"/>
      <c r="AL251" s="43"/>
      <c r="AM251" s="32"/>
      <c r="AN251" s="32"/>
    </row>
    <row r="252" spans="1:40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5"/>
      <c r="AJ252" s="44"/>
      <c r="AK252" s="45"/>
      <c r="AL252" s="45"/>
      <c r="AM252" s="32"/>
      <c r="AN252" s="32"/>
    </row>
    <row r="253" spans="1:40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3"/>
      <c r="AJ253" s="41"/>
      <c r="AK253" s="43"/>
      <c r="AL253" s="43"/>
      <c r="AM253" s="32"/>
      <c r="AN253" s="32"/>
    </row>
    <row r="254" spans="1:40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5"/>
      <c r="AJ254" s="44"/>
      <c r="AK254" s="45"/>
      <c r="AL254" s="45"/>
      <c r="AM254" s="32"/>
      <c r="AN254" s="32"/>
    </row>
    <row r="255" spans="1:40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3"/>
      <c r="AJ255" s="41"/>
      <c r="AK255" s="43"/>
      <c r="AL255" s="43"/>
      <c r="AM255" s="32"/>
      <c r="AN255" s="32"/>
    </row>
    <row r="256" spans="1:40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5"/>
      <c r="AJ256" s="44"/>
      <c r="AK256" s="45"/>
      <c r="AL256" s="45"/>
      <c r="AM256" s="32"/>
      <c r="AN256" s="32"/>
    </row>
    <row r="257" spans="1:40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3"/>
      <c r="AJ257" s="41"/>
      <c r="AK257" s="43"/>
      <c r="AL257" s="43"/>
      <c r="AM257" s="32"/>
      <c r="AN257" s="32"/>
    </row>
    <row r="258" spans="1:40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5"/>
      <c r="AJ258" s="44"/>
      <c r="AK258" s="45"/>
      <c r="AL258" s="45"/>
      <c r="AM258" s="32"/>
      <c r="AN258" s="32"/>
    </row>
    <row r="259" spans="1:40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3"/>
      <c r="AJ259" s="41"/>
      <c r="AK259" s="43"/>
      <c r="AL259" s="43"/>
      <c r="AM259" s="32"/>
      <c r="AN259" s="32"/>
    </row>
    <row r="260" spans="1:40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5"/>
      <c r="AJ260" s="44"/>
      <c r="AK260" s="45"/>
      <c r="AL260" s="45"/>
      <c r="AM260" s="32"/>
      <c r="AN260" s="32"/>
    </row>
    <row r="261" spans="1:40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3"/>
      <c r="AJ261" s="41"/>
      <c r="AK261" s="43"/>
      <c r="AL261" s="43"/>
      <c r="AM261" s="32"/>
      <c r="AN261" s="32"/>
    </row>
    <row r="262" spans="1:40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5"/>
      <c r="AJ262" s="44"/>
      <c r="AK262" s="45"/>
      <c r="AL262" s="45"/>
      <c r="AM262" s="32"/>
      <c r="AN262" s="32"/>
    </row>
    <row r="263" spans="1:40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3"/>
      <c r="AJ263" s="41"/>
      <c r="AK263" s="43"/>
      <c r="AL263" s="43"/>
      <c r="AM263" s="32"/>
      <c r="AN263" s="32"/>
    </row>
    <row r="264" spans="1:40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5"/>
      <c r="AJ264" s="44"/>
      <c r="AK264" s="45"/>
      <c r="AL264" s="45"/>
      <c r="AM264" s="32"/>
      <c r="AN264" s="32"/>
    </row>
    <row r="265" spans="1:40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3"/>
      <c r="AJ265" s="41"/>
      <c r="AK265" s="43"/>
      <c r="AL265" s="43"/>
      <c r="AM265" s="32"/>
      <c r="AN265" s="32"/>
    </row>
    <row r="266" spans="1:40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5"/>
      <c r="AJ266" s="44"/>
      <c r="AK266" s="45"/>
      <c r="AL266" s="45"/>
      <c r="AM266" s="32"/>
      <c r="AN266" s="32"/>
    </row>
    <row r="267" spans="1:40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3"/>
      <c r="AJ267" s="41"/>
      <c r="AK267" s="43"/>
      <c r="AL267" s="43"/>
      <c r="AM267" s="32"/>
      <c r="AN267" s="32"/>
    </row>
    <row r="268" spans="1:40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5"/>
      <c r="AJ268" s="44"/>
      <c r="AK268" s="45"/>
      <c r="AL268" s="45"/>
      <c r="AM268" s="32"/>
      <c r="AN268" s="32"/>
    </row>
    <row r="269" spans="1:40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3"/>
      <c r="AJ269" s="41"/>
      <c r="AK269" s="43"/>
      <c r="AL269" s="43"/>
      <c r="AM269" s="32"/>
      <c r="AN269" s="32"/>
    </row>
    <row r="270" spans="1:40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5"/>
      <c r="AJ270" s="44"/>
      <c r="AK270" s="45"/>
      <c r="AL270" s="45"/>
      <c r="AM270" s="32"/>
      <c r="AN270" s="32"/>
    </row>
    <row r="271" spans="1:40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3"/>
      <c r="AJ271" s="41"/>
      <c r="AK271" s="43"/>
      <c r="AL271" s="43"/>
      <c r="AM271" s="32"/>
      <c r="AN271" s="32"/>
    </row>
    <row r="272" spans="1:40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</row>
    <row r="273" spans="1:40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</row>
    <row r="274" spans="1:40" x14ac:dyDescent="0.25">
      <c r="A274" s="2">
        <v>46660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</row>
    <row r="275" spans="1:40" x14ac:dyDescent="0.25">
      <c r="A275" s="2">
        <v>46661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</row>
    <row r="276" spans="1:40" x14ac:dyDescent="0.25">
      <c r="A276" s="2">
        <v>46662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</row>
    <row r="277" spans="1:40" x14ac:dyDescent="0.25">
      <c r="A277" s="2">
        <v>46663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</row>
    <row r="278" spans="1:40" x14ac:dyDescent="0.25">
      <c r="A278" s="2">
        <v>46664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</row>
    <row r="279" spans="1:40" x14ac:dyDescent="0.25">
      <c r="A279" s="2">
        <v>46665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</row>
    <row r="280" spans="1:40" x14ac:dyDescent="0.25">
      <c r="A280" s="2">
        <v>46666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</row>
    <row r="281" spans="1:40" x14ac:dyDescent="0.25">
      <c r="A281" s="2">
        <v>46667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</row>
    <row r="282" spans="1:40" x14ac:dyDescent="0.25">
      <c r="A282" s="2">
        <v>46668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</row>
    <row r="283" spans="1:40" x14ac:dyDescent="0.25">
      <c r="A283" s="2">
        <v>46669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</row>
    <row r="284" spans="1:40" x14ac:dyDescent="0.25">
      <c r="A284" s="2">
        <v>46670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</row>
    <row r="285" spans="1:40" x14ac:dyDescent="0.25">
      <c r="A285" s="2">
        <v>46671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</row>
    <row r="286" spans="1:40" x14ac:dyDescent="0.25">
      <c r="A286" s="2">
        <v>46672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</row>
    <row r="287" spans="1:40" x14ac:dyDescent="0.25">
      <c r="A287" s="2">
        <v>46673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</row>
    <row r="288" spans="1:40" x14ac:dyDescent="0.25">
      <c r="A288" s="2">
        <v>46674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</row>
    <row r="289" spans="1:40" x14ac:dyDescent="0.25">
      <c r="A289" s="2">
        <v>46675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</row>
    <row r="290" spans="1:40" x14ac:dyDescent="0.25">
      <c r="A290" s="2">
        <v>46676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</row>
    <row r="291" spans="1:40" x14ac:dyDescent="0.25">
      <c r="A291" s="2">
        <v>46677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</row>
    <row r="292" spans="1:40" x14ac:dyDescent="0.25">
      <c r="A292" s="2">
        <v>46678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</row>
    <row r="293" spans="1:40" x14ac:dyDescent="0.25">
      <c r="A293" s="2">
        <v>46679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</row>
    <row r="294" spans="1:40" x14ac:dyDescent="0.25">
      <c r="A294" s="2">
        <v>46680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</row>
    <row r="295" spans="1:40" x14ac:dyDescent="0.25">
      <c r="A295" s="2">
        <v>46681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</row>
    <row r="296" spans="1:40" x14ac:dyDescent="0.25">
      <c r="A296" s="2">
        <v>46682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</row>
    <row r="297" spans="1:40" x14ac:dyDescent="0.25">
      <c r="A297" s="2">
        <v>46683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</row>
    <row r="298" spans="1:40" x14ac:dyDescent="0.25">
      <c r="A298" s="2">
        <v>46684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</row>
    <row r="299" spans="1:40" x14ac:dyDescent="0.25">
      <c r="A299" s="2">
        <v>46685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</row>
    <row r="300" spans="1:40" x14ac:dyDescent="0.25">
      <c r="A300" s="2">
        <v>46686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</row>
    <row r="301" spans="1:40" x14ac:dyDescent="0.25">
      <c r="A301" s="2">
        <v>46687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</row>
    <row r="302" spans="1:40" x14ac:dyDescent="0.25">
      <c r="A302" s="2">
        <v>46688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</row>
    <row r="303" spans="1:40" x14ac:dyDescent="0.25">
      <c r="A303" s="2">
        <v>46689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</row>
    <row r="304" spans="1:40" x14ac:dyDescent="0.25">
      <c r="A304" s="2">
        <v>46690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</row>
    <row r="305" spans="1:40" x14ac:dyDescent="0.25">
      <c r="A305" s="2">
        <v>46691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</row>
    <row r="306" spans="1:40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</row>
    <row r="307" spans="1:40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</row>
    <row r="308" spans="1:40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</row>
    <row r="309" spans="1:40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</row>
    <row r="310" spans="1:40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</row>
    <row r="311" spans="1:40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</row>
    <row r="312" spans="1:40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</row>
    <row r="313" spans="1:40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</row>
    <row r="314" spans="1:40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</row>
    <row r="315" spans="1:40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</row>
    <row r="316" spans="1:40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</row>
    <row r="317" spans="1:40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</row>
    <row r="318" spans="1:40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</row>
    <row r="319" spans="1:40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</row>
    <row r="320" spans="1:40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</row>
    <row r="321" spans="1:40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</row>
    <row r="322" spans="1:40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</row>
    <row r="323" spans="1:40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</row>
    <row r="324" spans="1:40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</row>
    <row r="325" spans="1:40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</row>
    <row r="326" spans="1:40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</row>
    <row r="327" spans="1:40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</row>
    <row r="328" spans="1:40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</row>
    <row r="329" spans="1:40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</row>
    <row r="330" spans="1:40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</row>
    <row r="331" spans="1:40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</row>
    <row r="332" spans="1:40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</row>
    <row r="333" spans="1:40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</row>
    <row r="334" spans="1:40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</row>
    <row r="335" spans="1:40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</row>
    <row r="336" spans="1:40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3"/>
      <c r="AJ336" s="41"/>
      <c r="AK336" s="43"/>
      <c r="AL336" s="43"/>
      <c r="AM336" s="32"/>
      <c r="AN336" s="32"/>
    </row>
    <row r="337" spans="1:40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5"/>
      <c r="AJ337" s="44"/>
      <c r="AK337" s="45"/>
      <c r="AL337" s="45"/>
      <c r="AM337" s="32"/>
      <c r="AN337" s="32"/>
    </row>
    <row r="338" spans="1:40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3"/>
      <c r="AJ338" s="41"/>
      <c r="AK338" s="43"/>
      <c r="AL338" s="43"/>
      <c r="AM338" s="32"/>
      <c r="AN338" s="32"/>
    </row>
    <row r="339" spans="1:40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5"/>
      <c r="AJ339" s="44"/>
      <c r="AK339" s="45"/>
      <c r="AL339" s="45"/>
      <c r="AM339" s="32"/>
      <c r="AN339" s="32"/>
    </row>
    <row r="340" spans="1:40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3"/>
      <c r="AJ340" s="41"/>
      <c r="AK340" s="43"/>
      <c r="AL340" s="43"/>
      <c r="AM340" s="32"/>
      <c r="AN340" s="32"/>
    </row>
    <row r="341" spans="1:40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5"/>
      <c r="AJ341" s="44"/>
      <c r="AK341" s="45"/>
      <c r="AL341" s="45"/>
      <c r="AM341" s="32"/>
      <c r="AN341" s="32"/>
    </row>
    <row r="342" spans="1:40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3"/>
      <c r="AJ342" s="41"/>
      <c r="AK342" s="43"/>
      <c r="AL342" s="43"/>
      <c r="AM342" s="32"/>
      <c r="AN342" s="32"/>
    </row>
    <row r="343" spans="1:40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5"/>
      <c r="AJ343" s="44"/>
      <c r="AK343" s="45"/>
      <c r="AL343" s="45"/>
      <c r="AM343" s="32"/>
      <c r="AN343" s="32"/>
    </row>
    <row r="344" spans="1:40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3"/>
      <c r="AJ344" s="41"/>
      <c r="AK344" s="43"/>
      <c r="AL344" s="43"/>
      <c r="AM344" s="32"/>
      <c r="AN344" s="32"/>
    </row>
    <row r="345" spans="1:40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5"/>
      <c r="AJ345" s="44"/>
      <c r="AK345" s="45"/>
      <c r="AL345" s="45"/>
      <c r="AM345" s="32"/>
      <c r="AN345" s="32"/>
    </row>
    <row r="346" spans="1:40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3"/>
      <c r="AJ346" s="49"/>
      <c r="AK346" s="43"/>
      <c r="AL346" s="43"/>
      <c r="AM346" s="32"/>
      <c r="AN346" s="32"/>
    </row>
    <row r="347" spans="1:40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5"/>
      <c r="AJ347" s="44"/>
      <c r="AK347" s="45"/>
      <c r="AL347" s="45"/>
      <c r="AM347" s="32"/>
      <c r="AN347" s="32"/>
    </row>
    <row r="348" spans="1:40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3"/>
      <c r="AJ348" s="41"/>
      <c r="AK348" s="43"/>
      <c r="AL348" s="43"/>
      <c r="AM348" s="32"/>
      <c r="AN348" s="32"/>
    </row>
    <row r="349" spans="1:40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5"/>
      <c r="AJ349" s="44"/>
      <c r="AK349" s="45"/>
      <c r="AL349" s="45"/>
      <c r="AM349" s="32"/>
      <c r="AN349" s="32"/>
    </row>
    <row r="350" spans="1:40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3"/>
      <c r="AJ350" s="41"/>
      <c r="AK350" s="43"/>
      <c r="AL350" s="43"/>
      <c r="AM350" s="32"/>
      <c r="AN350" s="32"/>
    </row>
    <row r="351" spans="1:40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5"/>
      <c r="AJ351" s="44"/>
      <c r="AK351" s="45"/>
      <c r="AL351" s="45"/>
      <c r="AM351" s="32"/>
      <c r="AN351" s="32"/>
    </row>
    <row r="352" spans="1:40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3"/>
      <c r="AJ352" s="41"/>
      <c r="AK352" s="43"/>
      <c r="AL352" s="43"/>
      <c r="AM352" s="32"/>
      <c r="AN352" s="32"/>
    </row>
    <row r="353" spans="1:40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5"/>
      <c r="AJ353" s="44"/>
      <c r="AK353" s="45"/>
      <c r="AL353" s="45"/>
      <c r="AM353" s="32"/>
      <c r="AN353" s="32"/>
    </row>
    <row r="354" spans="1:40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3"/>
      <c r="AJ354" s="41"/>
      <c r="AK354" s="43"/>
      <c r="AL354" s="43"/>
      <c r="AM354" s="32"/>
      <c r="AN354" s="32"/>
    </row>
    <row r="355" spans="1:40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5"/>
      <c r="AJ355" s="44"/>
      <c r="AK355" s="45"/>
      <c r="AL355" s="45"/>
      <c r="AM355" s="32"/>
      <c r="AN355" s="32"/>
    </row>
    <row r="356" spans="1:40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3"/>
      <c r="AJ356" s="41"/>
      <c r="AK356" s="43"/>
      <c r="AL356" s="43"/>
      <c r="AM356" s="32"/>
      <c r="AN356" s="32"/>
    </row>
    <row r="357" spans="1:40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5"/>
      <c r="AJ357" s="44"/>
      <c r="AK357" s="45"/>
      <c r="AL357" s="45"/>
      <c r="AM357" s="32"/>
      <c r="AN357" s="32"/>
    </row>
    <row r="358" spans="1:40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3"/>
      <c r="AJ358" s="41"/>
      <c r="AK358" s="43"/>
      <c r="AL358" s="43"/>
      <c r="AM358" s="32"/>
      <c r="AN358" s="32"/>
    </row>
    <row r="359" spans="1:40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5"/>
      <c r="AJ359" s="44"/>
      <c r="AK359" s="45"/>
      <c r="AL359" s="45"/>
      <c r="AM359" s="32"/>
      <c r="AN359" s="32"/>
    </row>
    <row r="360" spans="1:40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3"/>
      <c r="AJ360" s="41"/>
      <c r="AK360" s="43"/>
      <c r="AL360" s="43"/>
      <c r="AM360" s="32"/>
      <c r="AN360" s="32"/>
    </row>
    <row r="361" spans="1:40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5"/>
      <c r="AJ361" s="44"/>
      <c r="AK361" s="45"/>
      <c r="AL361" s="45"/>
      <c r="AM361" s="32"/>
      <c r="AN361" s="32"/>
    </row>
    <row r="362" spans="1:40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3"/>
      <c r="AJ362" s="41"/>
      <c r="AK362" s="43"/>
      <c r="AL362" s="43"/>
      <c r="AM362" s="32"/>
      <c r="AN362" s="32"/>
    </row>
    <row r="363" spans="1:40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5"/>
      <c r="AJ363" s="44"/>
      <c r="AK363" s="45"/>
      <c r="AL363" s="45"/>
      <c r="AM363" s="32"/>
      <c r="AN363" s="32"/>
    </row>
    <row r="364" spans="1:40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3"/>
      <c r="AJ364" s="41"/>
      <c r="AK364" s="43"/>
      <c r="AL364" s="43"/>
      <c r="AM364" s="32"/>
      <c r="AN364" s="32"/>
    </row>
    <row r="365" spans="1:40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5"/>
      <c r="AJ365" s="47"/>
      <c r="AK365" s="45"/>
      <c r="AL365" s="45"/>
      <c r="AM365" s="32"/>
      <c r="AN365" s="32"/>
    </row>
    <row r="366" spans="1:40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3"/>
      <c r="AJ366" s="41"/>
      <c r="AK366" s="43"/>
      <c r="AL366" s="43"/>
      <c r="AM366" s="32"/>
      <c r="AN366" s="32"/>
    </row>
    <row r="367" spans="1:40" x14ac:dyDescent="0.25">
      <c r="A367" s="80"/>
      <c r="B367" s="81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82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21"/>
      <c r="AE367" s="57"/>
      <c r="AF367" s="20"/>
      <c r="AG367" s="19"/>
      <c r="AH367" s="19"/>
      <c r="AI367" s="19"/>
      <c r="AJ367" s="60"/>
      <c r="AK367" s="83"/>
      <c r="AL367" s="19"/>
      <c r="AM367" s="21"/>
      <c r="AN367" s="8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N367"/>
  <sheetViews>
    <sheetView rightToLeft="1" topLeftCell="A2" workbookViewId="0">
      <selection activeCell="N9" sqref="N9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ht="18.75" x14ac:dyDescent="0.25">
      <c r="A2" s="2">
        <v>46753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</row>
    <row r="3" spans="1:40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</row>
    <row r="4" spans="1:40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</row>
    <row r="5" spans="1:40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</row>
    <row r="6" spans="1:40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</row>
    <row r="7" spans="1:40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</row>
    <row r="8" spans="1:40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</row>
    <row r="9" spans="1:40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</row>
    <row r="10" spans="1:40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</row>
    <row r="11" spans="1:40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</row>
    <row r="12" spans="1:40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</row>
    <row r="13" spans="1:40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</row>
    <row r="14" spans="1:40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</row>
    <row r="15" spans="1:40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</row>
    <row r="16" spans="1:40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</row>
    <row r="17" spans="1:40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</row>
    <row r="18" spans="1:40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</row>
    <row r="19" spans="1:40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</row>
    <row r="20" spans="1:40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</row>
    <row r="21" spans="1:40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</row>
    <row r="22" spans="1:40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</row>
    <row r="23" spans="1:40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</row>
    <row r="24" spans="1:40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</row>
    <row r="25" spans="1:40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</row>
    <row r="26" spans="1:40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</row>
    <row r="27" spans="1:40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</row>
    <row r="28" spans="1:40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</row>
    <row r="29" spans="1:40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</row>
    <row r="30" spans="1:40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</row>
    <row r="31" spans="1:40" ht="19.5" thickBot="1" x14ac:dyDescent="0.3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</row>
    <row r="32" spans="1:40" ht="20.25" thickTop="1" thickBot="1" x14ac:dyDescent="0.3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</row>
    <row r="33" spans="1:40" ht="19.5" thickTop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</row>
    <row r="34" spans="1:40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</row>
    <row r="35" spans="1:40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</row>
    <row r="36" spans="1:40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</row>
    <row r="37" spans="1:40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</row>
    <row r="38" spans="1:40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</row>
    <row r="39" spans="1:40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</row>
    <row r="40" spans="1:40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</row>
    <row r="41" spans="1:40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</row>
    <row r="42" spans="1:40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</row>
    <row r="43" spans="1:40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</row>
    <row r="44" spans="1:40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</row>
    <row r="45" spans="1:40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</row>
    <row r="46" spans="1:40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</row>
    <row r="47" spans="1:40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</row>
    <row r="48" spans="1:40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</row>
    <row r="49" spans="1:40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</row>
    <row r="50" spans="1:40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</row>
    <row r="51" spans="1:40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</row>
    <row r="52" spans="1:40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</row>
    <row r="53" spans="1:40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</row>
    <row r="54" spans="1:40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</row>
    <row r="55" spans="1:40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</row>
    <row r="56" spans="1:40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</row>
    <row r="57" spans="1:40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</row>
    <row r="58" spans="1:40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</row>
    <row r="59" spans="1:40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</row>
    <row r="60" spans="1:40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</row>
    <row r="61" spans="1:40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</row>
    <row r="62" spans="1:40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</row>
    <row r="63" spans="1:40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</row>
    <row r="64" spans="1:40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</row>
    <row r="65" spans="1:40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</row>
    <row r="66" spans="1:40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</row>
    <row r="67" spans="1:40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</row>
    <row r="68" spans="1:40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</row>
    <row r="69" spans="1:40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</row>
    <row r="70" spans="1:40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</row>
    <row r="71" spans="1:40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</row>
    <row r="72" spans="1:40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</row>
    <row r="73" spans="1:40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</row>
    <row r="74" spans="1:40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</row>
    <row r="75" spans="1:40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</row>
    <row r="76" spans="1:40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</row>
    <row r="77" spans="1:40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</row>
    <row r="78" spans="1:40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</row>
    <row r="79" spans="1:40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</row>
    <row r="80" spans="1:40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</row>
    <row r="81" spans="1:40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</row>
    <row r="82" spans="1:40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</row>
    <row r="83" spans="1:40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</row>
    <row r="84" spans="1:40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</row>
    <row r="85" spans="1:40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</row>
    <row r="86" spans="1:40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</row>
    <row r="87" spans="1:40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</row>
    <row r="88" spans="1:40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</row>
    <row r="89" spans="1:40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</row>
    <row r="90" spans="1:40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</row>
    <row r="91" spans="1:40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</row>
    <row r="92" spans="1:40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</row>
    <row r="93" spans="1:40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</row>
    <row r="94" spans="1:40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</row>
    <row r="95" spans="1:40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</row>
    <row r="96" spans="1:40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</row>
    <row r="97" spans="1:40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</row>
    <row r="98" spans="1:40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</row>
    <row r="99" spans="1:40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</row>
    <row r="100" spans="1:40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</row>
    <row r="101" spans="1:40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</row>
    <row r="102" spans="1:40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</row>
    <row r="103" spans="1:40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</row>
    <row r="104" spans="1:40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</row>
    <row r="105" spans="1:40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</row>
    <row r="106" spans="1:40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</row>
    <row r="107" spans="1:40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</row>
    <row r="108" spans="1:40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</row>
    <row r="109" spans="1:40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</row>
    <row r="110" spans="1:40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</row>
    <row r="111" spans="1:40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</row>
    <row r="112" spans="1:40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</row>
    <row r="113" spans="1:40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</row>
    <row r="114" spans="1:40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</row>
    <row r="115" spans="1:40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</row>
    <row r="116" spans="1:40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</row>
    <row r="117" spans="1:40" ht="18.75" x14ac:dyDescent="0.25">
      <c r="A117" s="2">
        <v>46868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</row>
    <row r="118" spans="1:40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</row>
    <row r="119" spans="1:40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</row>
    <row r="120" spans="1:40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</row>
    <row r="121" spans="1:40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</row>
    <row r="122" spans="1:40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</row>
    <row r="123" spans="1:40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</row>
    <row r="124" spans="1:40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</row>
    <row r="125" spans="1:40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</row>
    <row r="126" spans="1:40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</row>
    <row r="127" spans="1:40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</row>
    <row r="128" spans="1:40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</row>
    <row r="129" spans="1:40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</row>
    <row r="130" spans="1:40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</row>
    <row r="131" spans="1:40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</row>
    <row r="132" spans="1:40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</row>
    <row r="133" spans="1:40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</row>
    <row r="134" spans="1:40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</row>
    <row r="135" spans="1:40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</row>
    <row r="136" spans="1:40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</row>
    <row r="137" spans="1:40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</row>
    <row r="138" spans="1:40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</row>
    <row r="139" spans="1:40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</row>
    <row r="140" spans="1:40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</row>
    <row r="141" spans="1:40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</row>
    <row r="142" spans="1:40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</row>
    <row r="143" spans="1:40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</row>
    <row r="144" spans="1:40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</row>
    <row r="145" spans="1:40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</row>
    <row r="146" spans="1:40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</row>
    <row r="147" spans="1:40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</row>
    <row r="148" spans="1:40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</row>
    <row r="149" spans="1:40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</row>
    <row r="150" spans="1:40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</row>
    <row r="151" spans="1:40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</row>
    <row r="152" spans="1:40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</row>
    <row r="153" spans="1:40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</row>
    <row r="154" spans="1:40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</row>
    <row r="155" spans="1:40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</row>
    <row r="156" spans="1:40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</row>
    <row r="157" spans="1:40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</row>
    <row r="158" spans="1:40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</row>
    <row r="159" spans="1:40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</row>
    <row r="160" spans="1:40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</row>
    <row r="161" spans="1:40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</row>
    <row r="162" spans="1:40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</row>
    <row r="163" spans="1:40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</row>
    <row r="164" spans="1:40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</row>
    <row r="165" spans="1:40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</row>
    <row r="166" spans="1:40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</row>
    <row r="167" spans="1:40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</row>
    <row r="168" spans="1:40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</row>
    <row r="169" spans="1:40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</row>
    <row r="170" spans="1:40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</row>
    <row r="171" spans="1:40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</row>
    <row r="172" spans="1:40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</row>
    <row r="173" spans="1:40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</row>
    <row r="174" spans="1:40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</row>
    <row r="175" spans="1:40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</row>
    <row r="176" spans="1:40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</row>
    <row r="177" spans="1:40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</row>
    <row r="178" spans="1:40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</row>
    <row r="179" spans="1:40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</row>
    <row r="180" spans="1:40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</row>
    <row r="181" spans="1:40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</row>
    <row r="182" spans="1:40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</row>
    <row r="183" spans="1:40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</row>
    <row r="184" spans="1:40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</row>
    <row r="185" spans="1:40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</row>
    <row r="186" spans="1:40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</row>
    <row r="187" spans="1:40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</row>
    <row r="188" spans="1:40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</row>
    <row r="189" spans="1:40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</row>
    <row r="190" spans="1:40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</row>
    <row r="191" spans="1:40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</row>
    <row r="192" spans="1:40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</row>
    <row r="193" spans="1:40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</row>
    <row r="194" spans="1:40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</row>
    <row r="195" spans="1:40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</row>
    <row r="196" spans="1:40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</row>
    <row r="197" spans="1:40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</row>
    <row r="198" spans="1:40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</row>
    <row r="199" spans="1:40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</row>
    <row r="200" spans="1:40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</row>
    <row r="201" spans="1:40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</row>
    <row r="202" spans="1:40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</row>
    <row r="203" spans="1:40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</row>
    <row r="204" spans="1:40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</row>
    <row r="205" spans="1:40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</row>
    <row r="206" spans="1:40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</row>
    <row r="207" spans="1:40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</row>
    <row r="208" spans="1:40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</row>
    <row r="209" spans="1:40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</row>
    <row r="210" spans="1:40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</row>
    <row r="211" spans="1:40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</row>
    <row r="212" spans="1:40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</row>
    <row r="213" spans="1:40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</row>
    <row r="214" spans="1:40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</row>
    <row r="215" spans="1:40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</row>
    <row r="216" spans="1:40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</row>
    <row r="217" spans="1:40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</row>
    <row r="218" spans="1:40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</row>
    <row r="219" spans="1:40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</row>
    <row r="220" spans="1:40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</row>
    <row r="221" spans="1:40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</row>
    <row r="222" spans="1:40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</row>
    <row r="223" spans="1:40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</row>
    <row r="224" spans="1:40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</row>
    <row r="225" spans="1:40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</row>
    <row r="226" spans="1:40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</row>
    <row r="227" spans="1:40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</row>
    <row r="228" spans="1:40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</row>
    <row r="229" spans="1:40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</row>
    <row r="230" spans="1:40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</row>
    <row r="231" spans="1:40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</row>
    <row r="232" spans="1:40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</row>
    <row r="233" spans="1:40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</row>
    <row r="234" spans="1:40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</row>
    <row r="235" spans="1:40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</row>
    <row r="236" spans="1:40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</row>
    <row r="237" spans="1:40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</row>
    <row r="238" spans="1:40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</row>
    <row r="239" spans="1:40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</row>
    <row r="240" spans="1:40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</row>
    <row r="241" spans="1:40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</row>
    <row r="242" spans="1:40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</row>
    <row r="243" spans="1:40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</row>
    <row r="244" spans="1:40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</row>
    <row r="245" spans="1:40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</row>
    <row r="246" spans="1:40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</row>
    <row r="247" spans="1:40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</row>
    <row r="248" spans="1:40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</row>
    <row r="249" spans="1:40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</row>
    <row r="250" spans="1:40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</row>
    <row r="251" spans="1:40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</row>
    <row r="252" spans="1:40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</row>
    <row r="253" spans="1:40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</row>
    <row r="254" spans="1:40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</row>
    <row r="255" spans="1:40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</row>
    <row r="256" spans="1:40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</row>
    <row r="257" spans="1:40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</row>
    <row r="258" spans="1:40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</row>
    <row r="259" spans="1:40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</row>
    <row r="260" spans="1:40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</row>
    <row r="261" spans="1:40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</row>
    <row r="262" spans="1:40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</row>
    <row r="263" spans="1:40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</row>
    <row r="264" spans="1:40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</row>
    <row r="265" spans="1:40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</row>
    <row r="266" spans="1:40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</row>
    <row r="267" spans="1:40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</row>
    <row r="268" spans="1:40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</row>
    <row r="269" spans="1:40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</row>
    <row r="270" spans="1:40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</row>
    <row r="271" spans="1:40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</row>
    <row r="272" spans="1:40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</row>
    <row r="273" spans="1:40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</row>
    <row r="274" spans="1:40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</row>
    <row r="275" spans="1:40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</row>
    <row r="276" spans="1:40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</row>
    <row r="277" spans="1:40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</row>
    <row r="278" spans="1:40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</row>
    <row r="279" spans="1:40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</row>
    <row r="280" spans="1:40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</row>
    <row r="281" spans="1:40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</row>
    <row r="282" spans="1:40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</row>
    <row r="283" spans="1:40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</row>
    <row r="284" spans="1:40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</row>
    <row r="285" spans="1:40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</row>
    <row r="286" spans="1:40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</row>
    <row r="287" spans="1:40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</row>
    <row r="288" spans="1:40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</row>
    <row r="289" spans="1:40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</row>
    <row r="290" spans="1:40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</row>
    <row r="291" spans="1:40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</row>
    <row r="292" spans="1:40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</row>
    <row r="293" spans="1:40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</row>
    <row r="294" spans="1:40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</row>
    <row r="295" spans="1:40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</row>
    <row r="296" spans="1:40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</row>
    <row r="297" spans="1:40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</row>
    <row r="298" spans="1:40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</row>
    <row r="299" spans="1:40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</row>
    <row r="300" spans="1:40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</row>
    <row r="301" spans="1:40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</row>
    <row r="302" spans="1:40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</row>
    <row r="303" spans="1:40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</row>
    <row r="304" spans="1:40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</row>
    <row r="305" spans="1:40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</row>
    <row r="306" spans="1:40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</row>
    <row r="307" spans="1:40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</row>
    <row r="308" spans="1:40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</row>
    <row r="309" spans="1:40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</row>
    <row r="310" spans="1:40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</row>
    <row r="311" spans="1:40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</row>
    <row r="312" spans="1:40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</row>
    <row r="313" spans="1:40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</row>
    <row r="314" spans="1:40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</row>
    <row r="315" spans="1:40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</row>
    <row r="316" spans="1:40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</row>
    <row r="317" spans="1:40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</row>
    <row r="318" spans="1:40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</row>
    <row r="319" spans="1:40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</row>
    <row r="320" spans="1:40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</row>
    <row r="321" spans="1:40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</row>
    <row r="322" spans="1:40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</row>
    <row r="323" spans="1:40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</row>
    <row r="324" spans="1:40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</row>
    <row r="325" spans="1:40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</row>
    <row r="326" spans="1:40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</row>
    <row r="327" spans="1:40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</row>
    <row r="328" spans="1:40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</row>
    <row r="329" spans="1:40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</row>
    <row r="330" spans="1:40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</row>
    <row r="331" spans="1:40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</row>
    <row r="332" spans="1:40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</row>
    <row r="333" spans="1:40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</row>
    <row r="334" spans="1:40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</row>
    <row r="335" spans="1:40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</row>
    <row r="336" spans="1:40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</row>
    <row r="337" spans="1:40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</row>
    <row r="338" spans="1:40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</row>
    <row r="339" spans="1:40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</row>
    <row r="340" spans="1:40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</row>
    <row r="341" spans="1:40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</row>
    <row r="342" spans="1:40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</row>
    <row r="343" spans="1:40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</row>
    <row r="344" spans="1:40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</row>
    <row r="345" spans="1:40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</row>
    <row r="346" spans="1:40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</row>
    <row r="347" spans="1:40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</row>
    <row r="348" spans="1:40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</row>
    <row r="349" spans="1:40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</row>
    <row r="350" spans="1:40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</row>
    <row r="351" spans="1:40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</row>
    <row r="352" spans="1:40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</row>
    <row r="353" spans="1:40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</row>
    <row r="354" spans="1:40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</row>
    <row r="355" spans="1:40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</row>
    <row r="356" spans="1:40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</row>
    <row r="357" spans="1:40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</row>
    <row r="358" spans="1:40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</row>
    <row r="359" spans="1:40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</row>
    <row r="360" spans="1:40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</row>
    <row r="361" spans="1:40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</row>
    <row r="362" spans="1:40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</row>
    <row r="363" spans="1:40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</row>
    <row r="364" spans="1:40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</row>
    <row r="365" spans="1:40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</row>
    <row r="366" spans="1:40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</row>
    <row r="367" spans="1:40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N367"/>
  <sheetViews>
    <sheetView rightToLeft="1" topLeftCell="A2" workbookViewId="0">
      <selection activeCell="N11" sqref="N11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</row>
    <row r="3" spans="1:40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</row>
    <row r="4" spans="1:40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</row>
    <row r="5" spans="1:40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</row>
    <row r="6" spans="1:40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</row>
    <row r="7" spans="1:40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</row>
    <row r="8" spans="1:40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</row>
    <row r="9" spans="1:40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</row>
    <row r="10" spans="1:40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</row>
    <row r="11" spans="1:40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</row>
    <row r="12" spans="1:40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</row>
    <row r="13" spans="1:40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</row>
    <row r="14" spans="1:40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</row>
    <row r="15" spans="1:40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</row>
    <row r="16" spans="1:40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</row>
    <row r="17" spans="1:40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</row>
    <row r="18" spans="1:40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</row>
    <row r="19" spans="1:40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</row>
    <row r="20" spans="1:40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</row>
    <row r="21" spans="1:40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</row>
    <row r="22" spans="1:40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</row>
    <row r="23" spans="1:40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</row>
    <row r="24" spans="1:40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</row>
    <row r="25" spans="1:40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</row>
    <row r="26" spans="1:40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</row>
    <row r="27" spans="1:40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</row>
    <row r="28" spans="1:40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</row>
    <row r="29" spans="1:40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</row>
    <row r="30" spans="1:40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</row>
    <row r="31" spans="1:40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</row>
    <row r="32" spans="1:40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</row>
    <row r="33" spans="1:40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</row>
    <row r="34" spans="1:40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</row>
    <row r="35" spans="1:40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</row>
    <row r="36" spans="1:40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</row>
    <row r="37" spans="1:40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</row>
    <row r="38" spans="1:40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</row>
    <row r="39" spans="1:40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</row>
    <row r="40" spans="1:40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</row>
    <row r="41" spans="1:40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</row>
    <row r="42" spans="1:40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</row>
    <row r="43" spans="1:40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</row>
    <row r="44" spans="1:40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</row>
    <row r="45" spans="1:40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</row>
    <row r="46" spans="1:40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</row>
    <row r="47" spans="1:40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</row>
    <row r="48" spans="1:40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</row>
    <row r="49" spans="1:40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</row>
    <row r="50" spans="1:40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</row>
    <row r="51" spans="1:40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</row>
    <row r="52" spans="1:40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</row>
    <row r="53" spans="1:40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</row>
    <row r="54" spans="1:40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</row>
    <row r="55" spans="1:40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</row>
    <row r="56" spans="1:40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</row>
    <row r="57" spans="1:40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</row>
    <row r="58" spans="1:40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</row>
    <row r="59" spans="1:40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</row>
    <row r="60" spans="1:40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</row>
    <row r="61" spans="1:40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</row>
    <row r="62" spans="1:40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</row>
    <row r="63" spans="1:40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</row>
    <row r="64" spans="1:40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</row>
    <row r="65" spans="1:40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</row>
    <row r="66" spans="1:40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</row>
    <row r="67" spans="1:40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</row>
    <row r="68" spans="1:40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</row>
    <row r="69" spans="1:40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</row>
    <row r="70" spans="1:40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</row>
    <row r="71" spans="1:40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</row>
    <row r="72" spans="1:40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</row>
    <row r="73" spans="1:40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</row>
    <row r="74" spans="1:40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</row>
    <row r="75" spans="1:40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</row>
    <row r="76" spans="1:40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</row>
    <row r="77" spans="1:40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</row>
    <row r="78" spans="1:40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</row>
    <row r="79" spans="1:40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</row>
    <row r="80" spans="1:40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</row>
    <row r="81" spans="1:40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</row>
    <row r="82" spans="1:40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</row>
    <row r="83" spans="1:40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</row>
    <row r="84" spans="1:40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</row>
    <row r="85" spans="1:40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</row>
    <row r="86" spans="1:40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</row>
    <row r="87" spans="1:40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</row>
    <row r="88" spans="1:40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</row>
    <row r="89" spans="1:40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</row>
    <row r="90" spans="1:40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</row>
    <row r="91" spans="1:40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</row>
    <row r="92" spans="1:40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</row>
    <row r="93" spans="1:40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</row>
    <row r="94" spans="1:40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</row>
    <row r="95" spans="1:40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</row>
    <row r="96" spans="1:40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</row>
    <row r="97" spans="1:40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</row>
    <row r="98" spans="1:40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</row>
    <row r="99" spans="1:40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</row>
    <row r="100" spans="1:40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</row>
    <row r="101" spans="1:40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</row>
    <row r="102" spans="1:40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</row>
    <row r="103" spans="1:40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</row>
    <row r="104" spans="1:40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</row>
    <row r="105" spans="1:40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</row>
    <row r="106" spans="1:40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</row>
    <row r="107" spans="1:40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</row>
    <row r="108" spans="1:40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</row>
    <row r="109" spans="1:40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</row>
    <row r="110" spans="1:40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</row>
    <row r="111" spans="1:40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</row>
    <row r="112" spans="1:40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</row>
    <row r="113" spans="1:40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</row>
    <row r="114" spans="1:40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</row>
    <row r="115" spans="1:40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</row>
    <row r="116" spans="1:40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</row>
    <row r="117" spans="1:40" ht="18.75" x14ac:dyDescent="0.25">
      <c r="A117" s="2">
        <v>47234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</row>
    <row r="118" spans="1:40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</row>
    <row r="119" spans="1:40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</row>
    <row r="120" spans="1:40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</row>
    <row r="121" spans="1:40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</row>
    <row r="122" spans="1:40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</row>
    <row r="123" spans="1:40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</row>
    <row r="124" spans="1:40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</row>
    <row r="125" spans="1:40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</row>
    <row r="126" spans="1:40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</row>
    <row r="127" spans="1:40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</row>
    <row r="128" spans="1:40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</row>
    <row r="129" spans="1:40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</row>
    <row r="130" spans="1:40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</row>
    <row r="131" spans="1:40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</row>
    <row r="132" spans="1:40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</row>
    <row r="133" spans="1:40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</row>
    <row r="134" spans="1:40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</row>
    <row r="135" spans="1:40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</row>
    <row r="136" spans="1:40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</row>
    <row r="137" spans="1:40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</row>
    <row r="138" spans="1:40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</row>
    <row r="139" spans="1:40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</row>
    <row r="140" spans="1:40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</row>
    <row r="141" spans="1:40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</row>
    <row r="142" spans="1:40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</row>
    <row r="143" spans="1:40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</row>
    <row r="144" spans="1:40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</row>
    <row r="145" spans="1:40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</row>
    <row r="146" spans="1:40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</row>
    <row r="147" spans="1:40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</row>
    <row r="148" spans="1:40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</row>
    <row r="149" spans="1:40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</row>
    <row r="150" spans="1:40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</row>
    <row r="151" spans="1:40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</row>
    <row r="152" spans="1:40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</row>
    <row r="153" spans="1:40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</row>
    <row r="154" spans="1:40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</row>
    <row r="155" spans="1:40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</row>
    <row r="156" spans="1:40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</row>
    <row r="157" spans="1:40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</row>
    <row r="158" spans="1:40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</row>
    <row r="159" spans="1:40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</row>
    <row r="160" spans="1:40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</row>
    <row r="161" spans="1:40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</row>
    <row r="162" spans="1:40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</row>
    <row r="163" spans="1:40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</row>
    <row r="164" spans="1:40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</row>
    <row r="165" spans="1:40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</row>
    <row r="166" spans="1:40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</row>
    <row r="167" spans="1:40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</row>
    <row r="168" spans="1:40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</row>
    <row r="169" spans="1:40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</row>
    <row r="170" spans="1:40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</row>
    <row r="171" spans="1:40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</row>
    <row r="172" spans="1:40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</row>
    <row r="173" spans="1:40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</row>
    <row r="174" spans="1:40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</row>
    <row r="175" spans="1:40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</row>
    <row r="176" spans="1:40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</row>
    <row r="177" spans="1:40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</row>
    <row r="178" spans="1:40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</row>
    <row r="179" spans="1:40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</row>
    <row r="180" spans="1:40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</row>
    <row r="181" spans="1:40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</row>
    <row r="182" spans="1:40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</row>
    <row r="183" spans="1:40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</row>
    <row r="184" spans="1:40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</row>
    <row r="185" spans="1:40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</row>
    <row r="186" spans="1:40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</row>
    <row r="187" spans="1:40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</row>
    <row r="188" spans="1:40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</row>
    <row r="189" spans="1:40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</row>
    <row r="190" spans="1:40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</row>
    <row r="191" spans="1:40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</row>
    <row r="192" spans="1:40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</row>
    <row r="193" spans="1:40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</row>
    <row r="194" spans="1:40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</row>
    <row r="195" spans="1:40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</row>
    <row r="196" spans="1:40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</row>
    <row r="197" spans="1:40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</row>
    <row r="198" spans="1:40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</row>
    <row r="199" spans="1:40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</row>
    <row r="200" spans="1:40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</row>
    <row r="201" spans="1:40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</row>
    <row r="202" spans="1:40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</row>
    <row r="203" spans="1:40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</row>
    <row r="204" spans="1:40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</row>
    <row r="205" spans="1:40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</row>
    <row r="206" spans="1:40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</row>
    <row r="207" spans="1:40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</row>
    <row r="208" spans="1:40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</row>
    <row r="209" spans="1:40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</row>
    <row r="210" spans="1:40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</row>
    <row r="211" spans="1:40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</row>
    <row r="212" spans="1:40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</row>
    <row r="213" spans="1:40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</row>
    <row r="214" spans="1:40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</row>
    <row r="215" spans="1:40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</row>
    <row r="216" spans="1:40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</row>
    <row r="217" spans="1:40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</row>
    <row r="218" spans="1:40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</row>
    <row r="219" spans="1:40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</row>
    <row r="220" spans="1:40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</row>
    <row r="221" spans="1:40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</row>
    <row r="222" spans="1:40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</row>
    <row r="223" spans="1:40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</row>
    <row r="224" spans="1:40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</row>
    <row r="225" spans="1:40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</row>
    <row r="226" spans="1:40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</row>
    <row r="227" spans="1:40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</row>
    <row r="228" spans="1:40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</row>
    <row r="229" spans="1:40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</row>
    <row r="230" spans="1:40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</row>
    <row r="231" spans="1:40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</row>
    <row r="232" spans="1:40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</row>
    <row r="233" spans="1:40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</row>
    <row r="234" spans="1:40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</row>
    <row r="235" spans="1:40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</row>
    <row r="236" spans="1:40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</row>
    <row r="237" spans="1:40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</row>
    <row r="238" spans="1:40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</row>
    <row r="239" spans="1:40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</row>
    <row r="240" spans="1:40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</row>
    <row r="241" spans="1:40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</row>
    <row r="242" spans="1:40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</row>
    <row r="243" spans="1:40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</row>
    <row r="244" spans="1:40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</row>
    <row r="245" spans="1:40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</row>
    <row r="246" spans="1:40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</row>
    <row r="247" spans="1:40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</row>
    <row r="248" spans="1:40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</row>
    <row r="249" spans="1:40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</row>
    <row r="250" spans="1:40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</row>
    <row r="251" spans="1:40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</row>
    <row r="252" spans="1:40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</row>
    <row r="253" spans="1:40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</row>
    <row r="254" spans="1:40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</row>
    <row r="255" spans="1:40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</row>
    <row r="256" spans="1:40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</row>
    <row r="257" spans="1:40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</row>
    <row r="258" spans="1:40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</row>
    <row r="259" spans="1:40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</row>
    <row r="260" spans="1:40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</row>
    <row r="261" spans="1:40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</row>
    <row r="262" spans="1:40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</row>
    <row r="263" spans="1:40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</row>
    <row r="264" spans="1:40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</row>
    <row r="265" spans="1:40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</row>
    <row r="266" spans="1:40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</row>
    <row r="267" spans="1:40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</row>
    <row r="268" spans="1:40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</row>
    <row r="269" spans="1:40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</row>
    <row r="270" spans="1:40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</row>
    <row r="271" spans="1:40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</row>
    <row r="272" spans="1:40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</row>
    <row r="273" spans="1:40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</row>
    <row r="274" spans="1:40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</row>
    <row r="275" spans="1:40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</row>
    <row r="276" spans="1:40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</row>
    <row r="277" spans="1:40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</row>
    <row r="278" spans="1:40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</row>
    <row r="279" spans="1:40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</row>
    <row r="280" spans="1:40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</row>
    <row r="281" spans="1:40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</row>
    <row r="282" spans="1:40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</row>
    <row r="283" spans="1:40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</row>
    <row r="284" spans="1:40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</row>
    <row r="285" spans="1:40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</row>
    <row r="286" spans="1:40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</row>
    <row r="287" spans="1:40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</row>
    <row r="288" spans="1:40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</row>
    <row r="289" spans="1:40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</row>
    <row r="290" spans="1:40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</row>
    <row r="291" spans="1:40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</row>
    <row r="292" spans="1:40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</row>
    <row r="293" spans="1:40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</row>
    <row r="294" spans="1:40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</row>
    <row r="295" spans="1:40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</row>
    <row r="296" spans="1:40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</row>
    <row r="297" spans="1:40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</row>
    <row r="298" spans="1:40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</row>
    <row r="299" spans="1:40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</row>
    <row r="300" spans="1:40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</row>
    <row r="301" spans="1:40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</row>
    <row r="302" spans="1:40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</row>
    <row r="303" spans="1:40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</row>
    <row r="304" spans="1:40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</row>
    <row r="305" spans="1:40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</row>
    <row r="306" spans="1:40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</row>
    <row r="307" spans="1:40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</row>
    <row r="308" spans="1:40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</row>
    <row r="309" spans="1:40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</row>
    <row r="310" spans="1:40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</row>
    <row r="311" spans="1:40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</row>
    <row r="312" spans="1:40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</row>
    <row r="313" spans="1:40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</row>
    <row r="314" spans="1:40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</row>
    <row r="315" spans="1:40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</row>
    <row r="316" spans="1:40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</row>
    <row r="317" spans="1:40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</row>
    <row r="318" spans="1:40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</row>
    <row r="319" spans="1:40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</row>
    <row r="320" spans="1:40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</row>
    <row r="321" spans="1:40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</row>
    <row r="322" spans="1:40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</row>
    <row r="323" spans="1:40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</row>
    <row r="324" spans="1:40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</row>
    <row r="325" spans="1:40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</row>
    <row r="326" spans="1:40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</row>
    <row r="327" spans="1:40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</row>
    <row r="328" spans="1:40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</row>
    <row r="329" spans="1:40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</row>
    <row r="330" spans="1:40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</row>
    <row r="331" spans="1:40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</row>
    <row r="332" spans="1:40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</row>
    <row r="333" spans="1:40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</row>
    <row r="334" spans="1:40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</row>
    <row r="335" spans="1:40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</row>
    <row r="336" spans="1:40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</row>
    <row r="337" spans="1:40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</row>
    <row r="338" spans="1:40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</row>
    <row r="339" spans="1:40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</row>
    <row r="340" spans="1:40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</row>
    <row r="341" spans="1:40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</row>
    <row r="342" spans="1:40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</row>
    <row r="343" spans="1:40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</row>
    <row r="344" spans="1:40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</row>
    <row r="345" spans="1:40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</row>
    <row r="346" spans="1:40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</row>
    <row r="347" spans="1:40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</row>
    <row r="348" spans="1:40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</row>
    <row r="349" spans="1:40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</row>
    <row r="350" spans="1:40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</row>
    <row r="351" spans="1:40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</row>
    <row r="352" spans="1:40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</row>
    <row r="353" spans="1:40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</row>
    <row r="354" spans="1:40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</row>
    <row r="355" spans="1:40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</row>
    <row r="356" spans="1:40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</row>
    <row r="357" spans="1:40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</row>
    <row r="358" spans="1:40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</row>
    <row r="359" spans="1:40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</row>
    <row r="360" spans="1:40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</row>
    <row r="361" spans="1:40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</row>
    <row r="362" spans="1:40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</row>
    <row r="363" spans="1:40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</row>
    <row r="364" spans="1:40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</row>
    <row r="365" spans="1:40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</row>
    <row r="366" spans="1:40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</row>
    <row r="367" spans="1:40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N367"/>
  <sheetViews>
    <sheetView rightToLeft="1" topLeftCell="A2" workbookViewId="0">
      <selection activeCell="A2" sqref="A2:AN36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</row>
    <row r="3" spans="1:40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</row>
    <row r="4" spans="1:40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</row>
    <row r="5" spans="1:40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</row>
    <row r="6" spans="1:40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</row>
    <row r="7" spans="1:40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</row>
    <row r="8" spans="1:40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</row>
    <row r="9" spans="1:40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</row>
    <row r="10" spans="1:40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</row>
    <row r="11" spans="1:40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</row>
    <row r="12" spans="1:40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</row>
    <row r="13" spans="1:40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</row>
    <row r="14" spans="1:40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</row>
    <row r="15" spans="1:40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</row>
    <row r="16" spans="1:40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</row>
    <row r="17" spans="1:40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</row>
    <row r="18" spans="1:40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</row>
    <row r="19" spans="1:40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</row>
    <row r="20" spans="1:40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</row>
    <row r="21" spans="1:40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</row>
    <row r="22" spans="1:40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</row>
    <row r="23" spans="1:40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</row>
    <row r="24" spans="1:40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</row>
    <row r="25" spans="1:40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</row>
    <row r="26" spans="1:40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</row>
    <row r="27" spans="1:40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</row>
    <row r="28" spans="1:40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</row>
    <row r="29" spans="1:40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</row>
    <row r="30" spans="1:40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</row>
    <row r="31" spans="1:40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</row>
    <row r="32" spans="1:40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</row>
    <row r="33" spans="1:40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</row>
    <row r="34" spans="1:40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</row>
    <row r="35" spans="1:40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</row>
    <row r="36" spans="1:40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</row>
    <row r="37" spans="1:40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</row>
    <row r="38" spans="1:40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</row>
    <row r="39" spans="1:40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</row>
    <row r="40" spans="1:40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</row>
    <row r="41" spans="1:40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</row>
    <row r="42" spans="1:40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</row>
    <row r="43" spans="1:40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</row>
    <row r="44" spans="1:40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</row>
    <row r="45" spans="1:40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</row>
    <row r="46" spans="1:40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</row>
    <row r="47" spans="1:40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</row>
    <row r="48" spans="1:40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</row>
    <row r="49" spans="1:40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</row>
    <row r="50" spans="1:40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</row>
    <row r="51" spans="1:40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</row>
    <row r="52" spans="1:40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</row>
    <row r="53" spans="1:40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</row>
    <row r="54" spans="1:40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</row>
    <row r="55" spans="1:40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</row>
    <row r="56" spans="1:40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</row>
    <row r="57" spans="1:40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</row>
    <row r="58" spans="1:40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</row>
    <row r="59" spans="1:40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</row>
    <row r="60" spans="1:40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</row>
    <row r="61" spans="1:40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</row>
    <row r="62" spans="1:40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</row>
    <row r="63" spans="1:40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</row>
    <row r="64" spans="1:40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</row>
    <row r="65" spans="1:40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</row>
    <row r="66" spans="1:40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</row>
    <row r="67" spans="1:40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</row>
    <row r="68" spans="1:40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</row>
    <row r="69" spans="1:40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</row>
    <row r="70" spans="1:40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</row>
    <row r="71" spans="1:40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</row>
    <row r="72" spans="1:40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</row>
    <row r="73" spans="1:40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</row>
    <row r="74" spans="1:40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</row>
    <row r="75" spans="1:40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</row>
    <row r="76" spans="1:40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</row>
    <row r="77" spans="1:40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</row>
    <row r="78" spans="1:40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</row>
    <row r="79" spans="1:40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</row>
    <row r="80" spans="1:40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</row>
    <row r="81" spans="1:40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</row>
    <row r="82" spans="1:40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</row>
    <row r="83" spans="1:40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</row>
    <row r="84" spans="1:40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</row>
    <row r="85" spans="1:40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</row>
    <row r="86" spans="1:40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</row>
    <row r="87" spans="1:40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</row>
    <row r="88" spans="1:40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</row>
    <row r="89" spans="1:40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</row>
    <row r="90" spans="1:40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</row>
    <row r="91" spans="1:40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</row>
    <row r="92" spans="1:40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</row>
    <row r="93" spans="1:40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</row>
    <row r="94" spans="1:40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</row>
    <row r="95" spans="1:40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</row>
    <row r="96" spans="1:40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</row>
    <row r="97" spans="1:40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</row>
    <row r="98" spans="1:40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</row>
    <row r="99" spans="1:40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</row>
    <row r="100" spans="1:40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</row>
    <row r="101" spans="1:40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</row>
    <row r="102" spans="1:40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</row>
    <row r="103" spans="1:40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</row>
    <row r="104" spans="1:40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</row>
    <row r="105" spans="1:40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</row>
    <row r="106" spans="1:40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</row>
    <row r="107" spans="1:40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</row>
    <row r="108" spans="1:40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</row>
    <row r="109" spans="1:40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</row>
    <row r="110" spans="1:40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</row>
    <row r="111" spans="1:40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</row>
    <row r="112" spans="1:40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</row>
    <row r="113" spans="1:40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</row>
    <row r="114" spans="1:40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</row>
    <row r="115" spans="1:40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</row>
    <row r="116" spans="1:40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</row>
    <row r="117" spans="1:40" ht="18.75" x14ac:dyDescent="0.25">
      <c r="A117" s="2">
        <v>47599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</row>
    <row r="118" spans="1:40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</row>
    <row r="119" spans="1:40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</row>
    <row r="120" spans="1:40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</row>
    <row r="121" spans="1:40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</row>
    <row r="122" spans="1:40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</row>
    <row r="123" spans="1:40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</row>
    <row r="124" spans="1:40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</row>
    <row r="125" spans="1:40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</row>
    <row r="126" spans="1:40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</row>
    <row r="127" spans="1:40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</row>
    <row r="128" spans="1:40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</row>
    <row r="129" spans="1:40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</row>
    <row r="130" spans="1:40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</row>
    <row r="131" spans="1:40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</row>
    <row r="132" spans="1:40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</row>
    <row r="133" spans="1:40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</row>
    <row r="134" spans="1:40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</row>
    <row r="135" spans="1:40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</row>
    <row r="136" spans="1:40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</row>
    <row r="137" spans="1:40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</row>
    <row r="138" spans="1:40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</row>
    <row r="139" spans="1:40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</row>
    <row r="140" spans="1:40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</row>
    <row r="141" spans="1:40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</row>
    <row r="142" spans="1:40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</row>
    <row r="143" spans="1:40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</row>
    <row r="144" spans="1:40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</row>
    <row r="145" spans="1:40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</row>
    <row r="146" spans="1:40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</row>
    <row r="147" spans="1:40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</row>
    <row r="148" spans="1:40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</row>
    <row r="149" spans="1:40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</row>
    <row r="150" spans="1:40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</row>
    <row r="151" spans="1:40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</row>
    <row r="152" spans="1:40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</row>
    <row r="153" spans="1:40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</row>
    <row r="154" spans="1:40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</row>
    <row r="155" spans="1:40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</row>
    <row r="156" spans="1:40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</row>
    <row r="157" spans="1:40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</row>
    <row r="158" spans="1:40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</row>
    <row r="159" spans="1:40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</row>
    <row r="160" spans="1:40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</row>
    <row r="161" spans="1:40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</row>
    <row r="162" spans="1:40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</row>
    <row r="163" spans="1:40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</row>
    <row r="164" spans="1:40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</row>
    <row r="165" spans="1:40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</row>
    <row r="166" spans="1:40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</row>
    <row r="167" spans="1:40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</row>
    <row r="168" spans="1:40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</row>
    <row r="169" spans="1:40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</row>
    <row r="170" spans="1:40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</row>
    <row r="171" spans="1:40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</row>
    <row r="172" spans="1:40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</row>
    <row r="173" spans="1:40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</row>
    <row r="174" spans="1:40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</row>
    <row r="175" spans="1:40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</row>
    <row r="176" spans="1:40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</row>
    <row r="177" spans="1:40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</row>
    <row r="178" spans="1:40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</row>
    <row r="179" spans="1:40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</row>
    <row r="180" spans="1:40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</row>
    <row r="181" spans="1:40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</row>
    <row r="182" spans="1:40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</row>
    <row r="183" spans="1:40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</row>
    <row r="184" spans="1:40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</row>
    <row r="185" spans="1:40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</row>
    <row r="186" spans="1:40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</row>
    <row r="187" spans="1:40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</row>
    <row r="188" spans="1:40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</row>
    <row r="189" spans="1:40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</row>
    <row r="190" spans="1:40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</row>
    <row r="191" spans="1:40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</row>
    <row r="192" spans="1:40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</row>
    <row r="193" spans="1:40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</row>
    <row r="194" spans="1:40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</row>
    <row r="195" spans="1:40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</row>
    <row r="196" spans="1:40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</row>
    <row r="197" spans="1:40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</row>
    <row r="198" spans="1:40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</row>
    <row r="199" spans="1:40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</row>
    <row r="200" spans="1:40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</row>
    <row r="201" spans="1:40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</row>
    <row r="202" spans="1:40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</row>
    <row r="203" spans="1:40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</row>
    <row r="204" spans="1:40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</row>
    <row r="205" spans="1:40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</row>
    <row r="206" spans="1:40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</row>
    <row r="207" spans="1:40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</row>
    <row r="208" spans="1:40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</row>
    <row r="209" spans="1:40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</row>
    <row r="210" spans="1:40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</row>
    <row r="211" spans="1:40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</row>
    <row r="212" spans="1:40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</row>
    <row r="213" spans="1:40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</row>
    <row r="214" spans="1:40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</row>
    <row r="215" spans="1:40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</row>
    <row r="216" spans="1:40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</row>
    <row r="217" spans="1:40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</row>
    <row r="218" spans="1:40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</row>
    <row r="219" spans="1:40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</row>
    <row r="220" spans="1:40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</row>
    <row r="221" spans="1:40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</row>
    <row r="222" spans="1:40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</row>
    <row r="223" spans="1:40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</row>
    <row r="224" spans="1:40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</row>
    <row r="225" spans="1:40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</row>
    <row r="226" spans="1:40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</row>
    <row r="227" spans="1:40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</row>
    <row r="228" spans="1:40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</row>
    <row r="229" spans="1:40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</row>
    <row r="230" spans="1:40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</row>
    <row r="231" spans="1:40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</row>
    <row r="232" spans="1:40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</row>
    <row r="233" spans="1:40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</row>
    <row r="234" spans="1:40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</row>
    <row r="235" spans="1:40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</row>
    <row r="236" spans="1:40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</row>
    <row r="237" spans="1:40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</row>
    <row r="238" spans="1:40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</row>
    <row r="239" spans="1:40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</row>
    <row r="240" spans="1:40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</row>
    <row r="241" spans="1:40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</row>
    <row r="242" spans="1:40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</row>
    <row r="243" spans="1:40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</row>
    <row r="244" spans="1:40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</row>
    <row r="245" spans="1:40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</row>
    <row r="246" spans="1:40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</row>
    <row r="247" spans="1:40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</row>
    <row r="248" spans="1:40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</row>
    <row r="249" spans="1:40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</row>
    <row r="250" spans="1:40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</row>
    <row r="251" spans="1:40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</row>
    <row r="252" spans="1:40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</row>
    <row r="253" spans="1:40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</row>
    <row r="254" spans="1:40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</row>
    <row r="255" spans="1:40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</row>
    <row r="256" spans="1:40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</row>
    <row r="257" spans="1:40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</row>
    <row r="258" spans="1:40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</row>
    <row r="259" spans="1:40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</row>
    <row r="260" spans="1:40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</row>
    <row r="261" spans="1:40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</row>
    <row r="262" spans="1:40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</row>
    <row r="263" spans="1:40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</row>
    <row r="264" spans="1:40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</row>
    <row r="265" spans="1:40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</row>
    <row r="266" spans="1:40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</row>
    <row r="267" spans="1:40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</row>
    <row r="268" spans="1:40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</row>
    <row r="269" spans="1:40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</row>
    <row r="270" spans="1:40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</row>
    <row r="271" spans="1:40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</row>
    <row r="272" spans="1:40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</row>
    <row r="273" spans="1:40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</row>
    <row r="274" spans="1:40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</row>
    <row r="275" spans="1:40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</row>
    <row r="276" spans="1:40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</row>
    <row r="277" spans="1:40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</row>
    <row r="278" spans="1:40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</row>
    <row r="279" spans="1:40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</row>
    <row r="280" spans="1:40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</row>
    <row r="281" spans="1:40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</row>
    <row r="282" spans="1:40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</row>
    <row r="283" spans="1:40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</row>
    <row r="284" spans="1:40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</row>
    <row r="285" spans="1:40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</row>
    <row r="286" spans="1:40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</row>
    <row r="287" spans="1:40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</row>
    <row r="288" spans="1:40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</row>
    <row r="289" spans="1:40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</row>
    <row r="290" spans="1:40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</row>
    <row r="291" spans="1:40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</row>
    <row r="292" spans="1:40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</row>
    <row r="293" spans="1:40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</row>
    <row r="294" spans="1:40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</row>
    <row r="295" spans="1:40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</row>
    <row r="296" spans="1:40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</row>
    <row r="297" spans="1:40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</row>
    <row r="298" spans="1:40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</row>
    <row r="299" spans="1:40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</row>
    <row r="300" spans="1:40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</row>
    <row r="301" spans="1:40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</row>
    <row r="302" spans="1:40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</row>
    <row r="303" spans="1:40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</row>
    <row r="304" spans="1:40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</row>
    <row r="305" spans="1:40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</row>
    <row r="306" spans="1:40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</row>
    <row r="307" spans="1:40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</row>
    <row r="308" spans="1:40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</row>
    <row r="309" spans="1:40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</row>
    <row r="310" spans="1:40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</row>
    <row r="311" spans="1:40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</row>
    <row r="312" spans="1:40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</row>
    <row r="313" spans="1:40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</row>
    <row r="314" spans="1:40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</row>
    <row r="315" spans="1:40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</row>
    <row r="316" spans="1:40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</row>
    <row r="317" spans="1:40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</row>
    <row r="318" spans="1:40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</row>
    <row r="319" spans="1:40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</row>
    <row r="320" spans="1:40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</row>
    <row r="321" spans="1:40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</row>
    <row r="322" spans="1:40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</row>
    <row r="323" spans="1:40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</row>
    <row r="324" spans="1:40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</row>
    <row r="325" spans="1:40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</row>
    <row r="326" spans="1:40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</row>
    <row r="327" spans="1:40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</row>
    <row r="328" spans="1:40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</row>
    <row r="329" spans="1:40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</row>
    <row r="330" spans="1:40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</row>
    <row r="331" spans="1:40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</row>
    <row r="332" spans="1:40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</row>
    <row r="333" spans="1:40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</row>
    <row r="334" spans="1:40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</row>
    <row r="335" spans="1:40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</row>
    <row r="336" spans="1:40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</row>
    <row r="337" spans="1:40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</row>
    <row r="338" spans="1:40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</row>
    <row r="339" spans="1:40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</row>
    <row r="340" spans="1:40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</row>
    <row r="341" spans="1:40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</row>
    <row r="342" spans="1:40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</row>
    <row r="343" spans="1:40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</row>
    <row r="344" spans="1:40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</row>
    <row r="345" spans="1:40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</row>
    <row r="346" spans="1:40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</row>
    <row r="347" spans="1:40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</row>
    <row r="348" spans="1:40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</row>
    <row r="349" spans="1:40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</row>
    <row r="350" spans="1:40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</row>
    <row r="351" spans="1:40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</row>
    <row r="352" spans="1:40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</row>
    <row r="353" spans="1:40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</row>
    <row r="354" spans="1:40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</row>
    <row r="355" spans="1:40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</row>
    <row r="356" spans="1:40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</row>
    <row r="357" spans="1:40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</row>
    <row r="358" spans="1:40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</row>
    <row r="359" spans="1:40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</row>
    <row r="360" spans="1:40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</row>
    <row r="361" spans="1:40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</row>
    <row r="362" spans="1:40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</row>
    <row r="363" spans="1:40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</row>
    <row r="364" spans="1:40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</row>
    <row r="365" spans="1:40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</row>
    <row r="366" spans="1:40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</row>
    <row r="367" spans="1:40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2026-10-23T21:28:37Z</dcterms:modified>
</cp:coreProperties>
</file>