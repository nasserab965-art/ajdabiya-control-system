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BFD9AD66-4343-4016-88C4-099077BA8B73}" xr6:coauthVersionLast="47" xr6:coauthVersionMax="47" xr10:uidLastSave="{00000000-0000-0000-0000-000000000000}"/>
  <bookViews>
    <workbookView xWindow="-120" yWindow="-120" windowWidth="19440" windowHeight="15000" tabRatio="707" activeTab="1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" i="1" l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P366" i="8"/>
  <c r="AN366" i="8"/>
  <c r="AJ366" i="8"/>
  <c r="AH366" i="8"/>
  <c r="AD366" i="8"/>
  <c r="AB366" i="8"/>
  <c r="AA366" i="8"/>
  <c r="X366" i="8"/>
  <c r="W366" i="8"/>
  <c r="T366" i="8"/>
  <c r="S366" i="8"/>
  <c r="R366" i="8"/>
  <c r="P366" i="8"/>
  <c r="K366" i="8"/>
  <c r="AP365" i="8"/>
  <c r="AN365" i="8"/>
  <c r="AJ365" i="8"/>
  <c r="AH365" i="8"/>
  <c r="AD365" i="8"/>
  <c r="AB365" i="8"/>
  <c r="AA365" i="8"/>
  <c r="W365" i="8"/>
  <c r="T365" i="8"/>
  <c r="X365" i="8" s="1"/>
  <c r="S365" i="8"/>
  <c r="R365" i="8"/>
  <c r="P365" i="8"/>
  <c r="K365" i="8"/>
  <c r="AP364" i="8"/>
  <c r="AN364" i="8"/>
  <c r="AJ364" i="8"/>
  <c r="AH364" i="8"/>
  <c r="AD364" i="8"/>
  <c r="AB364" i="8"/>
  <c r="AA364" i="8"/>
  <c r="X364" i="8"/>
  <c r="W364" i="8"/>
  <c r="T364" i="8"/>
  <c r="S364" i="8"/>
  <c r="R364" i="8"/>
  <c r="P364" i="8"/>
  <c r="K364" i="8"/>
  <c r="AP363" i="8"/>
  <c r="AN363" i="8"/>
  <c r="AJ363" i="8"/>
  <c r="AH363" i="8"/>
  <c r="AD363" i="8"/>
  <c r="AB363" i="8"/>
  <c r="AA363" i="8"/>
  <c r="W363" i="8"/>
  <c r="T363" i="8"/>
  <c r="X363" i="8" s="1"/>
  <c r="S363" i="8"/>
  <c r="R363" i="8"/>
  <c r="P363" i="8"/>
  <c r="K363" i="8"/>
  <c r="AP362" i="8"/>
  <c r="AN362" i="8"/>
  <c r="AJ362" i="8"/>
  <c r="AH362" i="8"/>
  <c r="AD362" i="8"/>
  <c r="AB362" i="8"/>
  <c r="AA362" i="8"/>
  <c r="X362" i="8"/>
  <c r="W362" i="8"/>
  <c r="T362" i="8"/>
  <c r="S362" i="8"/>
  <c r="R362" i="8"/>
  <c r="P362" i="8"/>
  <c r="K362" i="8"/>
  <c r="AP361" i="8"/>
  <c r="AN361" i="8"/>
  <c r="AJ361" i="8"/>
  <c r="AH361" i="8"/>
  <c r="AD361" i="8"/>
  <c r="AB361" i="8"/>
  <c r="AA361" i="8"/>
  <c r="W361" i="8"/>
  <c r="T361" i="8"/>
  <c r="X361" i="8" s="1"/>
  <c r="S361" i="8"/>
  <c r="R361" i="8"/>
  <c r="P361" i="8"/>
  <c r="K361" i="8"/>
  <c r="AP360" i="8"/>
  <c r="AN360" i="8"/>
  <c r="AJ360" i="8"/>
  <c r="AH360" i="8"/>
  <c r="AD360" i="8"/>
  <c r="AB360" i="8"/>
  <c r="AA360" i="8"/>
  <c r="X360" i="8"/>
  <c r="W360" i="8"/>
  <c r="T360" i="8"/>
  <c r="S360" i="8"/>
  <c r="R360" i="8"/>
  <c r="P360" i="8"/>
  <c r="K360" i="8"/>
  <c r="AP359" i="8"/>
  <c r="AN359" i="8"/>
  <c r="AJ359" i="8"/>
  <c r="AH359" i="8"/>
  <c r="AD359" i="8"/>
  <c r="AB359" i="8"/>
  <c r="AA359" i="8"/>
  <c r="W359" i="8"/>
  <c r="T359" i="8"/>
  <c r="X359" i="8" s="1"/>
  <c r="S359" i="8"/>
  <c r="R359" i="8"/>
  <c r="P359" i="8"/>
  <c r="K359" i="8"/>
  <c r="AP358" i="8"/>
  <c r="AN358" i="8"/>
  <c r="AJ358" i="8"/>
  <c r="AH358" i="8"/>
  <c r="AD358" i="8"/>
  <c r="AB358" i="8"/>
  <c r="AA358" i="8"/>
  <c r="X358" i="8"/>
  <c r="W358" i="8"/>
  <c r="T358" i="8"/>
  <c r="S358" i="8"/>
  <c r="R358" i="8"/>
  <c r="P358" i="8"/>
  <c r="K358" i="8"/>
  <c r="AP357" i="8"/>
  <c r="AN357" i="8"/>
  <c r="AJ357" i="8"/>
  <c r="AH357" i="8"/>
  <c r="AD357" i="8"/>
  <c r="AB357" i="8"/>
  <c r="AA357" i="8"/>
  <c r="W357" i="8"/>
  <c r="T357" i="8"/>
  <c r="X357" i="8" s="1"/>
  <c r="S357" i="8"/>
  <c r="R357" i="8"/>
  <c r="P357" i="8"/>
  <c r="K357" i="8"/>
  <c r="AP356" i="8"/>
  <c r="AN356" i="8"/>
  <c r="AJ356" i="8"/>
  <c r="AH356" i="8"/>
  <c r="AD356" i="8"/>
  <c r="AB356" i="8"/>
  <c r="AA356" i="8"/>
  <c r="X356" i="8"/>
  <c r="W356" i="8"/>
  <c r="T356" i="8"/>
  <c r="S356" i="8"/>
  <c r="R356" i="8"/>
  <c r="P356" i="8"/>
  <c r="K356" i="8"/>
  <c r="AP355" i="8"/>
  <c r="AN355" i="8"/>
  <c r="AJ355" i="8"/>
  <c r="AH355" i="8"/>
  <c r="AD355" i="8"/>
  <c r="AB355" i="8"/>
  <c r="AA355" i="8"/>
  <c r="W355" i="8"/>
  <c r="T355" i="8"/>
  <c r="X355" i="8" s="1"/>
  <c r="S355" i="8"/>
  <c r="R355" i="8"/>
  <c r="P355" i="8"/>
  <c r="K355" i="8"/>
  <c r="AP354" i="8"/>
  <c r="AN354" i="8"/>
  <c r="AJ354" i="8"/>
  <c r="AH354" i="8"/>
  <c r="AD354" i="8"/>
  <c r="AB354" i="8"/>
  <c r="AA354" i="8"/>
  <c r="X354" i="8"/>
  <c r="W354" i="8"/>
  <c r="T354" i="8"/>
  <c r="S354" i="8"/>
  <c r="R354" i="8"/>
  <c r="P354" i="8"/>
  <c r="K354" i="8"/>
  <c r="AP353" i="8"/>
  <c r="AN353" i="8"/>
  <c r="AJ353" i="8"/>
  <c r="AH353" i="8"/>
  <c r="AD353" i="8"/>
  <c r="AB353" i="8"/>
  <c r="AA353" i="8"/>
  <c r="W353" i="8"/>
  <c r="T353" i="8"/>
  <c r="X353" i="8" s="1"/>
  <c r="S353" i="8"/>
  <c r="R353" i="8"/>
  <c r="P353" i="8"/>
  <c r="K353" i="8"/>
  <c r="AP352" i="8"/>
  <c r="AN352" i="8"/>
  <c r="AJ352" i="8"/>
  <c r="AH352" i="8"/>
  <c r="AD352" i="8"/>
  <c r="AB352" i="8"/>
  <c r="AA352" i="8"/>
  <c r="X352" i="8"/>
  <c r="W352" i="8"/>
  <c r="T352" i="8"/>
  <c r="S352" i="8"/>
  <c r="R352" i="8"/>
  <c r="P352" i="8"/>
  <c r="K352" i="8"/>
  <c r="AP351" i="8"/>
  <c r="AN351" i="8"/>
  <c r="AJ351" i="8"/>
  <c r="AH351" i="8"/>
  <c r="AD351" i="8"/>
  <c r="AB351" i="8"/>
  <c r="AA351" i="8"/>
  <c r="W351" i="8"/>
  <c r="T351" i="8"/>
  <c r="X351" i="8" s="1"/>
  <c r="S351" i="8"/>
  <c r="R351" i="8"/>
  <c r="P351" i="8"/>
  <c r="K351" i="8"/>
  <c r="AP350" i="8"/>
  <c r="AN350" i="8"/>
  <c r="AJ350" i="8"/>
  <c r="AH350" i="8"/>
  <c r="AD350" i="8"/>
  <c r="AB350" i="8"/>
  <c r="AA350" i="8"/>
  <c r="X350" i="8"/>
  <c r="W350" i="8"/>
  <c r="T350" i="8"/>
  <c r="S350" i="8"/>
  <c r="R350" i="8"/>
  <c r="P350" i="8"/>
  <c r="K350" i="8"/>
  <c r="AP349" i="8"/>
  <c r="AN349" i="8"/>
  <c r="AJ349" i="8"/>
  <c r="AH349" i="8"/>
  <c r="AD349" i="8"/>
  <c r="AB349" i="8"/>
  <c r="AA349" i="8"/>
  <c r="W349" i="8"/>
  <c r="T349" i="8"/>
  <c r="X349" i="8" s="1"/>
  <c r="S349" i="8"/>
  <c r="R349" i="8"/>
  <c r="P349" i="8"/>
  <c r="K349" i="8"/>
  <c r="AP348" i="8"/>
  <c r="AN348" i="8"/>
  <c r="AJ348" i="8"/>
  <c r="AH348" i="8"/>
  <c r="AD348" i="8"/>
  <c r="AB348" i="8"/>
  <c r="AA348" i="8"/>
  <c r="X348" i="8"/>
  <c r="W348" i="8"/>
  <c r="T348" i="8"/>
  <c r="S348" i="8"/>
  <c r="R348" i="8"/>
  <c r="P348" i="8"/>
  <c r="K348" i="8"/>
  <c r="AP347" i="8"/>
  <c r="AN347" i="8"/>
  <c r="AJ347" i="8"/>
  <c r="AH347" i="8"/>
  <c r="AD347" i="8"/>
  <c r="AB347" i="8"/>
  <c r="AA347" i="8"/>
  <c r="W347" i="8"/>
  <c r="T347" i="8"/>
  <c r="X347" i="8" s="1"/>
  <c r="S347" i="8"/>
  <c r="R347" i="8"/>
  <c r="P347" i="8"/>
  <c r="K347" i="8"/>
  <c r="AP346" i="8"/>
  <c r="AN346" i="8"/>
  <c r="AJ346" i="8"/>
  <c r="AH346" i="8"/>
  <c r="AD346" i="8"/>
  <c r="AB346" i="8"/>
  <c r="AA346" i="8"/>
  <c r="X346" i="8"/>
  <c r="W346" i="8"/>
  <c r="T346" i="8"/>
  <c r="S346" i="8"/>
  <c r="R346" i="8"/>
  <c r="P346" i="8"/>
  <c r="K346" i="8"/>
  <c r="AP345" i="8"/>
  <c r="AN345" i="8"/>
  <c r="AJ345" i="8"/>
  <c r="AH345" i="8"/>
  <c r="AD345" i="8"/>
  <c r="AB345" i="8"/>
  <c r="AA345" i="8"/>
  <c r="W345" i="8"/>
  <c r="T345" i="8"/>
  <c r="X345" i="8" s="1"/>
  <c r="S345" i="8"/>
  <c r="R345" i="8"/>
  <c r="P345" i="8"/>
  <c r="K345" i="8"/>
  <c r="AP344" i="8"/>
  <c r="AN344" i="8"/>
  <c r="AJ344" i="8"/>
  <c r="AH344" i="8"/>
  <c r="AD344" i="8"/>
  <c r="AB344" i="8"/>
  <c r="AA344" i="8"/>
  <c r="X344" i="8"/>
  <c r="W344" i="8"/>
  <c r="T344" i="8"/>
  <c r="S344" i="8"/>
  <c r="R344" i="8"/>
  <c r="P344" i="8"/>
  <c r="K344" i="8"/>
  <c r="AP343" i="8"/>
  <c r="AN343" i="8"/>
  <c r="AJ343" i="8"/>
  <c r="AH343" i="8"/>
  <c r="AD343" i="8"/>
  <c r="AB343" i="8"/>
  <c r="AA343" i="8"/>
  <c r="W343" i="8"/>
  <c r="T343" i="8"/>
  <c r="X343" i="8" s="1"/>
  <c r="S343" i="8"/>
  <c r="R343" i="8"/>
  <c r="P343" i="8"/>
  <c r="K343" i="8"/>
  <c r="AP342" i="8"/>
  <c r="AN342" i="8"/>
  <c r="AJ342" i="8"/>
  <c r="AH342" i="8"/>
  <c r="AD342" i="8"/>
  <c r="AB342" i="8"/>
  <c r="AA342" i="8"/>
  <c r="X342" i="8"/>
  <c r="W342" i="8"/>
  <c r="T342" i="8"/>
  <c r="S342" i="8"/>
  <c r="R342" i="8"/>
  <c r="P342" i="8"/>
  <c r="K342" i="8"/>
  <c r="AP341" i="8"/>
  <c r="AN341" i="8"/>
  <c r="AJ341" i="8"/>
  <c r="AH341" i="8"/>
  <c r="AD341" i="8"/>
  <c r="AB341" i="8"/>
  <c r="AA341" i="8"/>
  <c r="W341" i="8"/>
  <c r="T341" i="8"/>
  <c r="X341" i="8" s="1"/>
  <c r="S341" i="8"/>
  <c r="R341" i="8"/>
  <c r="P341" i="8"/>
  <c r="K341" i="8"/>
  <c r="AP340" i="8"/>
  <c r="AN340" i="8"/>
  <c r="AJ340" i="8"/>
  <c r="AH340" i="8"/>
  <c r="AD340" i="8"/>
  <c r="AB340" i="8"/>
  <c r="AA340" i="8"/>
  <c r="X340" i="8"/>
  <c r="W340" i="8"/>
  <c r="T340" i="8"/>
  <c r="S340" i="8"/>
  <c r="R340" i="8"/>
  <c r="P340" i="8"/>
  <c r="K340" i="8"/>
  <c r="AP339" i="8"/>
  <c r="AN339" i="8"/>
  <c r="AJ339" i="8"/>
  <c r="AH339" i="8"/>
  <c r="AD339" i="8"/>
  <c r="AB339" i="8"/>
  <c r="AA339" i="8"/>
  <c r="W339" i="8"/>
  <c r="T339" i="8"/>
  <c r="X339" i="8" s="1"/>
  <c r="S339" i="8"/>
  <c r="R339" i="8"/>
  <c r="P339" i="8"/>
  <c r="K339" i="8"/>
  <c r="AP338" i="8"/>
  <c r="AN338" i="8"/>
  <c r="AJ338" i="8"/>
  <c r="AH338" i="8"/>
  <c r="AD338" i="8"/>
  <c r="AB338" i="8"/>
  <c r="AA338" i="8"/>
  <c r="X338" i="8"/>
  <c r="W338" i="8"/>
  <c r="T338" i="8"/>
  <c r="S338" i="8"/>
  <c r="R338" i="8"/>
  <c r="P338" i="8"/>
  <c r="K338" i="8"/>
  <c r="AP337" i="8"/>
  <c r="AN337" i="8"/>
  <c r="AJ337" i="8"/>
  <c r="AH337" i="8"/>
  <c r="AD337" i="8"/>
  <c r="AB337" i="8"/>
  <c r="AA337" i="8"/>
  <c r="W337" i="8"/>
  <c r="T337" i="8"/>
  <c r="X337" i="8" s="1"/>
  <c r="S337" i="8"/>
  <c r="R337" i="8"/>
  <c r="P337" i="8"/>
  <c r="K337" i="8"/>
  <c r="AP336" i="8"/>
  <c r="AN336" i="8"/>
  <c r="AJ336" i="8"/>
  <c r="AH336" i="8"/>
  <c r="AD336" i="8"/>
  <c r="AB336" i="8"/>
  <c r="AA336" i="8"/>
  <c r="X336" i="8"/>
  <c r="W336" i="8"/>
  <c r="T336" i="8"/>
  <c r="S336" i="8"/>
  <c r="R336" i="8"/>
  <c r="P336" i="8"/>
  <c r="K336" i="8"/>
  <c r="AP335" i="8"/>
  <c r="AN335" i="8"/>
  <c r="AJ335" i="8"/>
  <c r="AH335" i="8"/>
  <c r="AD335" i="8"/>
  <c r="AB335" i="8"/>
  <c r="AA335" i="8"/>
  <c r="W335" i="8"/>
  <c r="T335" i="8"/>
  <c r="X335" i="8" s="1"/>
  <c r="S335" i="8"/>
  <c r="R335" i="8"/>
  <c r="P335" i="8"/>
  <c r="K335" i="8"/>
  <c r="AP334" i="8"/>
  <c r="AN334" i="8"/>
  <c r="AJ334" i="8"/>
  <c r="AH334" i="8"/>
  <c r="AD334" i="8"/>
  <c r="AB334" i="8"/>
  <c r="AA334" i="8"/>
  <c r="X334" i="8"/>
  <c r="W334" i="8"/>
  <c r="T334" i="8"/>
  <c r="S334" i="8"/>
  <c r="R334" i="8"/>
  <c r="P334" i="8"/>
  <c r="K334" i="8"/>
  <c r="AP333" i="8"/>
  <c r="AN333" i="8"/>
  <c r="AJ333" i="8"/>
  <c r="AH333" i="8"/>
  <c r="AD333" i="8"/>
  <c r="AB333" i="8"/>
  <c r="AA333" i="8"/>
  <c r="W333" i="8"/>
  <c r="T333" i="8"/>
  <c r="X333" i="8" s="1"/>
  <c r="S333" i="8"/>
  <c r="R333" i="8"/>
  <c r="P333" i="8"/>
  <c r="K333" i="8"/>
  <c r="AP332" i="8"/>
  <c r="AN332" i="8"/>
  <c r="AJ332" i="8"/>
  <c r="AH332" i="8"/>
  <c r="AD332" i="8"/>
  <c r="AB332" i="8"/>
  <c r="AA332" i="8"/>
  <c r="X332" i="8"/>
  <c r="W332" i="8"/>
  <c r="T332" i="8"/>
  <c r="S332" i="8"/>
  <c r="R332" i="8"/>
  <c r="P332" i="8"/>
  <c r="K332" i="8"/>
  <c r="AP331" i="8"/>
  <c r="AN331" i="8"/>
  <c r="AJ331" i="8"/>
  <c r="AH331" i="8"/>
  <c r="AD331" i="8"/>
  <c r="AB331" i="8"/>
  <c r="AA331" i="8"/>
  <c r="W331" i="8"/>
  <c r="T331" i="8"/>
  <c r="X331" i="8" s="1"/>
  <c r="S331" i="8"/>
  <c r="R331" i="8"/>
  <c r="P331" i="8"/>
  <c r="K331" i="8"/>
  <c r="AP330" i="8"/>
  <c r="AN330" i="8"/>
  <c r="AJ330" i="8"/>
  <c r="AH330" i="8"/>
  <c r="AD330" i="8"/>
  <c r="AB330" i="8"/>
  <c r="AA330" i="8"/>
  <c r="X330" i="8"/>
  <c r="W330" i="8"/>
  <c r="T330" i="8"/>
  <c r="S330" i="8"/>
  <c r="R330" i="8"/>
  <c r="P330" i="8"/>
  <c r="K330" i="8"/>
  <c r="AP329" i="8"/>
  <c r="AN329" i="8"/>
  <c r="AJ329" i="8"/>
  <c r="AH329" i="8"/>
  <c r="AD329" i="8"/>
  <c r="AB329" i="8"/>
  <c r="AA329" i="8"/>
  <c r="W329" i="8"/>
  <c r="T329" i="8"/>
  <c r="X329" i="8" s="1"/>
  <c r="S329" i="8"/>
  <c r="R329" i="8"/>
  <c r="P329" i="8"/>
  <c r="K329" i="8"/>
  <c r="AP328" i="8"/>
  <c r="AN328" i="8"/>
  <c r="AJ328" i="8"/>
  <c r="AH328" i="8"/>
  <c r="AD328" i="8"/>
  <c r="AB328" i="8"/>
  <c r="AA328" i="8"/>
  <c r="X328" i="8"/>
  <c r="W328" i="8"/>
  <c r="T328" i="8"/>
  <c r="S328" i="8"/>
  <c r="R328" i="8"/>
  <c r="P328" i="8"/>
  <c r="K328" i="8"/>
  <c r="AP327" i="8"/>
  <c r="AN327" i="8"/>
  <c r="AJ327" i="8"/>
  <c r="AH327" i="8"/>
  <c r="AD327" i="8"/>
  <c r="AB327" i="8"/>
  <c r="AA327" i="8"/>
  <c r="W327" i="8"/>
  <c r="T327" i="8"/>
  <c r="X327" i="8" s="1"/>
  <c r="S327" i="8"/>
  <c r="R327" i="8"/>
  <c r="P327" i="8"/>
  <c r="K327" i="8"/>
  <c r="AP326" i="8"/>
  <c r="AN326" i="8"/>
  <c r="AJ326" i="8"/>
  <c r="AH326" i="8"/>
  <c r="AD326" i="8"/>
  <c r="AB326" i="8"/>
  <c r="AA326" i="8"/>
  <c r="X326" i="8"/>
  <c r="W326" i="8"/>
  <c r="T326" i="8"/>
  <c r="S326" i="8"/>
  <c r="R326" i="8"/>
  <c r="P326" i="8"/>
  <c r="K326" i="8"/>
  <c r="AP325" i="8"/>
  <c r="AN325" i="8"/>
  <c r="AJ325" i="8"/>
  <c r="AH325" i="8"/>
  <c r="AD325" i="8"/>
  <c r="AB325" i="8"/>
  <c r="AA325" i="8"/>
  <c r="W325" i="8"/>
  <c r="T325" i="8"/>
  <c r="X325" i="8" s="1"/>
  <c r="S325" i="8"/>
  <c r="R325" i="8"/>
  <c r="P325" i="8"/>
  <c r="K325" i="8"/>
  <c r="AP324" i="8"/>
  <c r="AN324" i="8"/>
  <c r="AJ324" i="8"/>
  <c r="AH324" i="8"/>
  <c r="AD324" i="8"/>
  <c r="AB324" i="8"/>
  <c r="AA324" i="8"/>
  <c r="X324" i="8"/>
  <c r="W324" i="8"/>
  <c r="T324" i="8"/>
  <c r="S324" i="8"/>
  <c r="R324" i="8"/>
  <c r="P324" i="8"/>
  <c r="K324" i="8"/>
  <c r="AP323" i="8"/>
  <c r="AN323" i="8"/>
  <c r="AJ323" i="8"/>
  <c r="AH323" i="8"/>
  <c r="AD323" i="8"/>
  <c r="AB323" i="8"/>
  <c r="AA323" i="8"/>
  <c r="W323" i="8"/>
  <c r="T323" i="8"/>
  <c r="X323" i="8" s="1"/>
  <c r="S323" i="8"/>
  <c r="R323" i="8"/>
  <c r="P323" i="8"/>
  <c r="K323" i="8"/>
  <c r="AP322" i="8"/>
  <c r="AN322" i="8"/>
  <c r="AJ322" i="8"/>
  <c r="AH322" i="8"/>
  <c r="AD322" i="8"/>
  <c r="AB322" i="8"/>
  <c r="AA322" i="8"/>
  <c r="X322" i="8"/>
  <c r="W322" i="8"/>
  <c r="T322" i="8"/>
  <c r="S322" i="8"/>
  <c r="R322" i="8"/>
  <c r="P322" i="8"/>
  <c r="K322" i="8"/>
  <c r="AP321" i="8"/>
  <c r="AN321" i="8"/>
  <c r="AJ321" i="8"/>
  <c r="AH321" i="8"/>
  <c r="AD321" i="8"/>
  <c r="AB321" i="8"/>
  <c r="AA321" i="8"/>
  <c r="W321" i="8"/>
  <c r="T321" i="8"/>
  <c r="X321" i="8" s="1"/>
  <c r="S321" i="8"/>
  <c r="R321" i="8"/>
  <c r="P321" i="8"/>
  <c r="K321" i="8"/>
  <c r="AP320" i="8"/>
  <c r="AN320" i="8"/>
  <c r="AJ320" i="8"/>
  <c r="AH320" i="8"/>
  <c r="AD320" i="8"/>
  <c r="AB320" i="8"/>
  <c r="AA320" i="8"/>
  <c r="X320" i="8"/>
  <c r="W320" i="8"/>
  <c r="T320" i="8"/>
  <c r="S320" i="8"/>
  <c r="R320" i="8"/>
  <c r="P320" i="8"/>
  <c r="K320" i="8"/>
  <c r="AP319" i="8"/>
  <c r="AN319" i="8"/>
  <c r="AJ319" i="8"/>
  <c r="AH319" i="8"/>
  <c r="AD319" i="8"/>
  <c r="AB319" i="8"/>
  <c r="AA319" i="8"/>
  <c r="W319" i="8"/>
  <c r="T319" i="8"/>
  <c r="X319" i="8" s="1"/>
  <c r="S319" i="8"/>
  <c r="R319" i="8"/>
  <c r="P319" i="8"/>
  <c r="K319" i="8"/>
  <c r="AP318" i="8"/>
  <c r="AN318" i="8"/>
  <c r="AJ318" i="8"/>
  <c r="AH318" i="8"/>
  <c r="AD318" i="8"/>
  <c r="AB318" i="8"/>
  <c r="AA318" i="8"/>
  <c r="X318" i="8"/>
  <c r="W318" i="8"/>
  <c r="T318" i="8"/>
  <c r="S318" i="8"/>
  <c r="R318" i="8"/>
  <c r="P318" i="8"/>
  <c r="K318" i="8"/>
  <c r="AP317" i="8"/>
  <c r="AN317" i="8"/>
  <c r="AJ317" i="8"/>
  <c r="AH317" i="8"/>
  <c r="AD317" i="8"/>
  <c r="AB317" i="8"/>
  <c r="AA317" i="8"/>
  <c r="W317" i="8"/>
  <c r="T317" i="8"/>
  <c r="X317" i="8" s="1"/>
  <c r="S317" i="8"/>
  <c r="R317" i="8"/>
  <c r="P317" i="8"/>
  <c r="K317" i="8"/>
  <c r="AP316" i="8"/>
  <c r="AN316" i="8"/>
  <c r="AJ316" i="8"/>
  <c r="AH316" i="8"/>
  <c r="AD316" i="8"/>
  <c r="AB316" i="8"/>
  <c r="AA316" i="8"/>
  <c r="X316" i="8"/>
  <c r="W316" i="8"/>
  <c r="T316" i="8"/>
  <c r="S316" i="8"/>
  <c r="R316" i="8"/>
  <c r="P316" i="8"/>
  <c r="K316" i="8"/>
  <c r="AP315" i="8"/>
  <c r="AN315" i="8"/>
  <c r="AJ315" i="8"/>
  <c r="AH315" i="8"/>
  <c r="AD315" i="8"/>
  <c r="AB315" i="8"/>
  <c r="AA315" i="8"/>
  <c r="W315" i="8"/>
  <c r="T315" i="8"/>
  <c r="X315" i="8" s="1"/>
  <c r="S315" i="8"/>
  <c r="R315" i="8"/>
  <c r="P315" i="8"/>
  <c r="K315" i="8"/>
  <c r="AP314" i="8"/>
  <c r="AN314" i="8"/>
  <c r="AJ314" i="8"/>
  <c r="AH314" i="8"/>
  <c r="AD314" i="8"/>
  <c r="AB314" i="8"/>
  <c r="AA314" i="8"/>
  <c r="X314" i="8"/>
  <c r="W314" i="8"/>
  <c r="T314" i="8"/>
  <c r="S314" i="8"/>
  <c r="R314" i="8"/>
  <c r="P314" i="8"/>
  <c r="K314" i="8"/>
  <c r="AP313" i="8"/>
  <c r="AN313" i="8"/>
  <c r="AJ313" i="8"/>
  <c r="AH313" i="8"/>
  <c r="AD313" i="8"/>
  <c r="AB313" i="8"/>
  <c r="AA313" i="8"/>
  <c r="W313" i="8"/>
  <c r="T313" i="8"/>
  <c r="X313" i="8" s="1"/>
  <c r="S313" i="8"/>
  <c r="R313" i="8"/>
  <c r="P313" i="8"/>
  <c r="K313" i="8"/>
  <c r="AP312" i="8"/>
  <c r="AN312" i="8"/>
  <c r="AJ312" i="8"/>
  <c r="AH312" i="8"/>
  <c r="AD312" i="8"/>
  <c r="AB312" i="8"/>
  <c r="AA312" i="8"/>
  <c r="X312" i="8"/>
  <c r="W312" i="8"/>
  <c r="T312" i="8"/>
  <c r="S312" i="8"/>
  <c r="R312" i="8"/>
  <c r="P312" i="8"/>
  <c r="K312" i="8"/>
  <c r="AP311" i="8"/>
  <c r="AN311" i="8"/>
  <c r="AJ311" i="8"/>
  <c r="AH311" i="8"/>
  <c r="AD311" i="8"/>
  <c r="AB311" i="8"/>
  <c r="AA311" i="8"/>
  <c r="W311" i="8"/>
  <c r="T311" i="8"/>
  <c r="X311" i="8" s="1"/>
  <c r="S311" i="8"/>
  <c r="R311" i="8"/>
  <c r="P311" i="8"/>
  <c r="K311" i="8"/>
  <c r="AP310" i="8"/>
  <c r="AN310" i="8"/>
  <c r="AJ310" i="8"/>
  <c r="AH310" i="8"/>
  <c r="AD310" i="8"/>
  <c r="AB310" i="8"/>
  <c r="AA310" i="8"/>
  <c r="X310" i="8"/>
  <c r="W310" i="8"/>
  <c r="T310" i="8"/>
  <c r="S310" i="8"/>
  <c r="R310" i="8"/>
  <c r="P310" i="8"/>
  <c r="K310" i="8"/>
  <c r="AP309" i="8"/>
  <c r="AN309" i="8"/>
  <c r="AJ309" i="8"/>
  <c r="AH309" i="8"/>
  <c r="AD309" i="8"/>
  <c r="AB309" i="8"/>
  <c r="AA309" i="8"/>
  <c r="W309" i="8"/>
  <c r="T309" i="8"/>
  <c r="X309" i="8" s="1"/>
  <c r="S309" i="8"/>
  <c r="R309" i="8"/>
  <c r="P309" i="8"/>
  <c r="K309" i="8"/>
  <c r="AP308" i="8"/>
  <c r="AN308" i="8"/>
  <c r="AJ308" i="8"/>
  <c r="AH308" i="8"/>
  <c r="AD308" i="8"/>
  <c r="AB308" i="8"/>
  <c r="AA308" i="8"/>
  <c r="X308" i="8"/>
  <c r="W308" i="8"/>
  <c r="T308" i="8"/>
  <c r="S308" i="8"/>
  <c r="R308" i="8"/>
  <c r="P308" i="8"/>
  <c r="K308" i="8"/>
  <c r="AP307" i="8"/>
  <c r="AN307" i="8"/>
  <c r="AJ307" i="8"/>
  <c r="AH307" i="8"/>
  <c r="AD307" i="8"/>
  <c r="AB307" i="8"/>
  <c r="AA307" i="8"/>
  <c r="W307" i="8"/>
  <c r="T307" i="8"/>
  <c r="X307" i="8" s="1"/>
  <c r="S307" i="8"/>
  <c r="R307" i="8"/>
  <c r="P307" i="8"/>
  <c r="K307" i="8"/>
  <c r="AP306" i="8"/>
  <c r="AN306" i="8"/>
  <c r="AJ306" i="8"/>
  <c r="AH306" i="8"/>
  <c r="AD306" i="8"/>
  <c r="AB306" i="8"/>
  <c r="AA306" i="8"/>
  <c r="X306" i="8"/>
  <c r="W306" i="8"/>
  <c r="T306" i="8"/>
  <c r="S306" i="8"/>
  <c r="R306" i="8"/>
  <c r="P306" i="8"/>
  <c r="K306" i="8"/>
  <c r="AP305" i="8"/>
  <c r="AN305" i="8"/>
  <c r="AJ305" i="8"/>
  <c r="AH305" i="8"/>
  <c r="AD305" i="8"/>
  <c r="AB305" i="8"/>
  <c r="AA305" i="8"/>
  <c r="W305" i="8"/>
  <c r="T305" i="8"/>
  <c r="X305" i="8" s="1"/>
  <c r="S305" i="8"/>
  <c r="R305" i="8"/>
  <c r="P305" i="8"/>
  <c r="K305" i="8"/>
  <c r="AP304" i="8"/>
  <c r="AN304" i="8"/>
  <c r="AJ304" i="8"/>
  <c r="AH304" i="8"/>
  <c r="AD304" i="8"/>
  <c r="AB304" i="8"/>
  <c r="AA304" i="8"/>
  <c r="X304" i="8"/>
  <c r="W304" i="8"/>
  <c r="T304" i="8"/>
  <c r="S304" i="8"/>
  <c r="R304" i="8"/>
  <c r="P304" i="8"/>
  <c r="K304" i="8"/>
  <c r="AP303" i="8"/>
  <c r="AN303" i="8"/>
  <c r="AJ303" i="8"/>
  <c r="AH303" i="8"/>
  <c r="AD303" i="8"/>
  <c r="AB303" i="8"/>
  <c r="AA303" i="8"/>
  <c r="W303" i="8"/>
  <c r="T303" i="8"/>
  <c r="X303" i="8" s="1"/>
  <c r="S303" i="8"/>
  <c r="R303" i="8"/>
  <c r="P303" i="8"/>
  <c r="K303" i="8"/>
  <c r="AP302" i="8"/>
  <c r="AN302" i="8"/>
  <c r="AJ302" i="8"/>
  <c r="AH302" i="8"/>
  <c r="AD302" i="8"/>
  <c r="AB302" i="8"/>
  <c r="AA302" i="8"/>
  <c r="X302" i="8"/>
  <c r="W302" i="8"/>
  <c r="T302" i="8"/>
  <c r="S302" i="8"/>
  <c r="R302" i="8"/>
  <c r="P302" i="8"/>
  <c r="K302" i="8"/>
  <c r="AP301" i="8"/>
  <c r="AN301" i="8"/>
  <c r="AJ301" i="8"/>
  <c r="AH301" i="8"/>
  <c r="AD301" i="8"/>
  <c r="AB301" i="8"/>
  <c r="AA301" i="8"/>
  <c r="W301" i="8"/>
  <c r="T301" i="8"/>
  <c r="X301" i="8" s="1"/>
  <c r="S301" i="8"/>
  <c r="R301" i="8"/>
  <c r="P301" i="8"/>
  <c r="K301" i="8"/>
  <c r="AP300" i="8"/>
  <c r="AN300" i="8"/>
  <c r="AJ300" i="8"/>
  <c r="AH300" i="8"/>
  <c r="AD300" i="8"/>
  <c r="AB300" i="8"/>
  <c r="AA300" i="8"/>
  <c r="X300" i="8"/>
  <c r="W300" i="8"/>
  <c r="T300" i="8"/>
  <c r="S300" i="8"/>
  <c r="R300" i="8"/>
  <c r="P300" i="8"/>
  <c r="K300" i="8"/>
  <c r="AP299" i="8"/>
  <c r="AN299" i="8"/>
  <c r="AJ299" i="8"/>
  <c r="AH299" i="8"/>
  <c r="AD299" i="8"/>
  <c r="AB299" i="8"/>
  <c r="AA299" i="8"/>
  <c r="W299" i="8"/>
  <c r="T299" i="8"/>
  <c r="X299" i="8" s="1"/>
  <c r="S299" i="8"/>
  <c r="R299" i="8"/>
  <c r="P299" i="8"/>
  <c r="K299" i="8"/>
  <c r="AP298" i="8"/>
  <c r="AN298" i="8"/>
  <c r="AJ298" i="8"/>
  <c r="AH298" i="8"/>
  <c r="AD298" i="8"/>
  <c r="AB298" i="8"/>
  <c r="AA298" i="8"/>
  <c r="X298" i="8"/>
  <c r="W298" i="8"/>
  <c r="T298" i="8"/>
  <c r="S298" i="8"/>
  <c r="R298" i="8"/>
  <c r="P298" i="8"/>
  <c r="K298" i="8"/>
  <c r="AP297" i="8"/>
  <c r="AN297" i="8"/>
  <c r="AJ297" i="8"/>
  <c r="AH297" i="8"/>
  <c r="AD297" i="8"/>
  <c r="AB297" i="8"/>
  <c r="AA297" i="8"/>
  <c r="W297" i="8"/>
  <c r="T297" i="8"/>
  <c r="X297" i="8" s="1"/>
  <c r="S297" i="8"/>
  <c r="R297" i="8"/>
  <c r="P297" i="8"/>
  <c r="K297" i="8"/>
  <c r="AP296" i="8"/>
  <c r="AN296" i="8"/>
  <c r="AJ296" i="8"/>
  <c r="AH296" i="8"/>
  <c r="AD296" i="8"/>
  <c r="AB296" i="8"/>
  <c r="AA296" i="8"/>
  <c r="X296" i="8"/>
  <c r="W296" i="8"/>
  <c r="T296" i="8"/>
  <c r="S296" i="8"/>
  <c r="R296" i="8"/>
  <c r="P296" i="8"/>
  <c r="K296" i="8"/>
  <c r="AP295" i="8"/>
  <c r="AN295" i="8"/>
  <c r="AJ295" i="8"/>
  <c r="AH295" i="8"/>
  <c r="AD295" i="8"/>
  <c r="AB295" i="8"/>
  <c r="AA295" i="8"/>
  <c r="W295" i="8"/>
  <c r="T295" i="8"/>
  <c r="X295" i="8" s="1"/>
  <c r="S295" i="8"/>
  <c r="R295" i="8"/>
  <c r="P295" i="8"/>
  <c r="K295" i="8"/>
  <c r="AP294" i="8"/>
  <c r="AN294" i="8"/>
  <c r="AJ294" i="8"/>
  <c r="AH294" i="8"/>
  <c r="AD294" i="8"/>
  <c r="AB294" i="8"/>
  <c r="AA294" i="8"/>
  <c r="X294" i="8"/>
  <c r="W294" i="8"/>
  <c r="T294" i="8"/>
  <c r="S294" i="8"/>
  <c r="R294" i="8"/>
  <c r="P294" i="8"/>
  <c r="K294" i="8"/>
  <c r="AP293" i="8"/>
  <c r="AN293" i="8"/>
  <c r="AJ293" i="8"/>
  <c r="AH293" i="8"/>
  <c r="AD293" i="8"/>
  <c r="AB293" i="8"/>
  <c r="AA293" i="8"/>
  <c r="W293" i="8"/>
  <c r="T293" i="8"/>
  <c r="X293" i="8" s="1"/>
  <c r="S293" i="8"/>
  <c r="R293" i="8"/>
  <c r="P293" i="8"/>
  <c r="K293" i="8"/>
  <c r="AP292" i="8"/>
  <c r="AN292" i="8"/>
  <c r="AJ292" i="8"/>
  <c r="AH292" i="8"/>
  <c r="AD292" i="8"/>
  <c r="AB292" i="8"/>
  <c r="AA292" i="8"/>
  <c r="X292" i="8"/>
  <c r="W292" i="8"/>
  <c r="T292" i="8"/>
  <c r="S292" i="8"/>
  <c r="R292" i="8"/>
  <c r="P292" i="8"/>
  <c r="K292" i="8"/>
  <c r="AP291" i="8"/>
  <c r="AN291" i="8"/>
  <c r="AJ291" i="8"/>
  <c r="AH291" i="8"/>
  <c r="AD291" i="8"/>
  <c r="AB291" i="8"/>
  <c r="AA291" i="8"/>
  <c r="W291" i="8"/>
  <c r="T291" i="8"/>
  <c r="X291" i="8" s="1"/>
  <c r="S291" i="8"/>
  <c r="R291" i="8"/>
  <c r="P291" i="8"/>
  <c r="K291" i="8"/>
  <c r="AP290" i="8"/>
  <c r="AN290" i="8"/>
  <c r="AJ290" i="8"/>
  <c r="AH290" i="8"/>
  <c r="AD290" i="8"/>
  <c r="AB290" i="8"/>
  <c r="AA290" i="8"/>
  <c r="X290" i="8"/>
  <c r="W290" i="8"/>
  <c r="T290" i="8"/>
  <c r="S290" i="8"/>
  <c r="R290" i="8"/>
  <c r="P290" i="8"/>
  <c r="K290" i="8"/>
  <c r="AP289" i="8"/>
  <c r="AN289" i="8"/>
  <c r="AJ289" i="8"/>
  <c r="AH289" i="8"/>
  <c r="AD289" i="8"/>
  <c r="AB289" i="8"/>
  <c r="AA289" i="8"/>
  <c r="W289" i="8"/>
  <c r="T289" i="8"/>
  <c r="X289" i="8" s="1"/>
  <c r="S289" i="8"/>
  <c r="R289" i="8"/>
  <c r="P289" i="8"/>
  <c r="K289" i="8"/>
  <c r="AP288" i="8"/>
  <c r="AN288" i="8"/>
  <c r="AJ288" i="8"/>
  <c r="AH288" i="8"/>
  <c r="AD288" i="8"/>
  <c r="AB288" i="8"/>
  <c r="AA288" i="8"/>
  <c r="X288" i="8"/>
  <c r="W288" i="8"/>
  <c r="T288" i="8"/>
  <c r="S288" i="8"/>
  <c r="R288" i="8"/>
  <c r="P288" i="8"/>
  <c r="K288" i="8"/>
  <c r="AP287" i="8"/>
  <c r="AN287" i="8"/>
  <c r="AJ287" i="8"/>
  <c r="AH287" i="8"/>
  <c r="AD287" i="8"/>
  <c r="AB287" i="8"/>
  <c r="AA287" i="8"/>
  <c r="W287" i="8"/>
  <c r="T287" i="8"/>
  <c r="X287" i="8" s="1"/>
  <c r="S287" i="8"/>
  <c r="R287" i="8"/>
  <c r="P287" i="8"/>
  <c r="K287" i="8"/>
  <c r="AP286" i="8"/>
  <c r="AN286" i="8"/>
  <c r="AJ286" i="8"/>
  <c r="AH286" i="8"/>
  <c r="AD286" i="8"/>
  <c r="AB286" i="8"/>
  <c r="AA286" i="8"/>
  <c r="X286" i="8"/>
  <c r="W286" i="8"/>
  <c r="T286" i="8"/>
  <c r="S286" i="8"/>
  <c r="R286" i="8"/>
  <c r="P286" i="8"/>
  <c r="K286" i="8"/>
  <c r="AP285" i="8"/>
  <c r="AN285" i="8"/>
  <c r="AJ285" i="8"/>
  <c r="AH285" i="8"/>
  <c r="AD285" i="8"/>
  <c r="AB285" i="8"/>
  <c r="AA285" i="8"/>
  <c r="W285" i="8"/>
  <c r="T285" i="8"/>
  <c r="X285" i="8" s="1"/>
  <c r="S285" i="8"/>
  <c r="R285" i="8"/>
  <c r="P285" i="8"/>
  <c r="K285" i="8"/>
  <c r="AP284" i="8"/>
  <c r="AN284" i="8"/>
  <c r="AJ284" i="8"/>
  <c r="AH284" i="8"/>
  <c r="AD284" i="8"/>
  <c r="AB284" i="8"/>
  <c r="AA284" i="8"/>
  <c r="X284" i="8"/>
  <c r="W284" i="8"/>
  <c r="T284" i="8"/>
  <c r="S284" i="8"/>
  <c r="R284" i="8"/>
  <c r="P284" i="8"/>
  <c r="K284" i="8"/>
  <c r="AP283" i="8"/>
  <c r="AN283" i="8"/>
  <c r="AJ283" i="8"/>
  <c r="AH283" i="8"/>
  <c r="AD283" i="8"/>
  <c r="AB283" i="8"/>
  <c r="AA283" i="8"/>
  <c r="W283" i="8"/>
  <c r="T283" i="8"/>
  <c r="X283" i="8" s="1"/>
  <c r="S283" i="8"/>
  <c r="R283" i="8"/>
  <c r="P283" i="8"/>
  <c r="K283" i="8"/>
  <c r="AP282" i="8"/>
  <c r="AN282" i="8"/>
  <c r="AJ282" i="8"/>
  <c r="AH282" i="8"/>
  <c r="AD282" i="8"/>
  <c r="AB282" i="8"/>
  <c r="AA282" i="8"/>
  <c r="X282" i="8"/>
  <c r="W282" i="8"/>
  <c r="T282" i="8"/>
  <c r="S282" i="8"/>
  <c r="R282" i="8"/>
  <c r="P282" i="8"/>
  <c r="K282" i="8"/>
  <c r="AP281" i="8"/>
  <c r="AN281" i="8"/>
  <c r="AJ281" i="8"/>
  <c r="AH281" i="8"/>
  <c r="AD281" i="8"/>
  <c r="AB281" i="8"/>
  <c r="AA281" i="8"/>
  <c r="W281" i="8"/>
  <c r="T281" i="8"/>
  <c r="X281" i="8" s="1"/>
  <c r="S281" i="8"/>
  <c r="R281" i="8"/>
  <c r="P281" i="8"/>
  <c r="K281" i="8"/>
  <c r="AP280" i="8"/>
  <c r="AN280" i="8"/>
  <c r="AJ280" i="8"/>
  <c r="AH280" i="8"/>
  <c r="AD280" i="8"/>
  <c r="AB280" i="8"/>
  <c r="AA280" i="8"/>
  <c r="X280" i="8"/>
  <c r="W280" i="8"/>
  <c r="T280" i="8"/>
  <c r="S280" i="8"/>
  <c r="R280" i="8"/>
  <c r="P280" i="8"/>
  <c r="K280" i="8"/>
  <c r="AP279" i="8"/>
  <c r="AN279" i="8"/>
  <c r="AJ279" i="8"/>
  <c r="AH279" i="8"/>
  <c r="AD279" i="8"/>
  <c r="AB279" i="8"/>
  <c r="AA279" i="8"/>
  <c r="W279" i="8"/>
  <c r="T279" i="8"/>
  <c r="X279" i="8" s="1"/>
  <c r="S279" i="8"/>
  <c r="R279" i="8"/>
  <c r="P279" i="8"/>
  <c r="K279" i="8"/>
  <c r="AP278" i="8"/>
  <c r="AN278" i="8"/>
  <c r="AJ278" i="8"/>
  <c r="AH278" i="8"/>
  <c r="AD278" i="8"/>
  <c r="AB278" i="8"/>
  <c r="AA278" i="8"/>
  <c r="X278" i="8"/>
  <c r="W278" i="8"/>
  <c r="T278" i="8"/>
  <c r="S278" i="8"/>
  <c r="R278" i="8"/>
  <c r="P278" i="8"/>
  <c r="K278" i="8"/>
  <c r="AP277" i="8"/>
  <c r="AN277" i="8"/>
  <c r="AJ277" i="8"/>
  <c r="AH277" i="8"/>
  <c r="AD277" i="8"/>
  <c r="AB277" i="8"/>
  <c r="AA277" i="8"/>
  <c r="W277" i="8"/>
  <c r="T277" i="8"/>
  <c r="X277" i="8" s="1"/>
  <c r="S277" i="8"/>
  <c r="R277" i="8"/>
  <c r="P277" i="8"/>
  <c r="K277" i="8"/>
  <c r="AP276" i="8"/>
  <c r="AN276" i="8"/>
  <c r="AJ276" i="8"/>
  <c r="AH276" i="8"/>
  <c r="AD276" i="8"/>
  <c r="AB276" i="8"/>
  <c r="AA276" i="8"/>
  <c r="X276" i="8"/>
  <c r="W276" i="8"/>
  <c r="T276" i="8"/>
  <c r="S276" i="8"/>
  <c r="R276" i="8"/>
  <c r="P276" i="8"/>
  <c r="K276" i="8"/>
  <c r="AP275" i="8"/>
  <c r="AN275" i="8"/>
  <c r="AJ275" i="8"/>
  <c r="AH275" i="8"/>
  <c r="AD275" i="8"/>
  <c r="AB275" i="8"/>
  <c r="AA275" i="8"/>
  <c r="W275" i="8"/>
  <c r="T275" i="8"/>
  <c r="X275" i="8" s="1"/>
  <c r="S275" i="8"/>
  <c r="R275" i="8"/>
  <c r="P275" i="8"/>
  <c r="K275" i="8"/>
  <c r="AP274" i="8"/>
  <c r="AN274" i="8"/>
  <c r="AJ274" i="8"/>
  <c r="AH274" i="8"/>
  <c r="AD274" i="8"/>
  <c r="AB274" i="8"/>
  <c r="AA274" i="8"/>
  <c r="X274" i="8"/>
  <c r="W274" i="8"/>
  <c r="T274" i="8"/>
  <c r="S274" i="8"/>
  <c r="R274" i="8"/>
  <c r="P274" i="8"/>
  <c r="K274" i="8"/>
  <c r="AP273" i="8"/>
  <c r="AN273" i="8"/>
  <c r="AJ273" i="8"/>
  <c r="AH273" i="8"/>
  <c r="AD273" i="8"/>
  <c r="AB273" i="8"/>
  <c r="AA273" i="8"/>
  <c r="W273" i="8"/>
  <c r="T273" i="8"/>
  <c r="X273" i="8" s="1"/>
  <c r="S273" i="8"/>
  <c r="R273" i="8"/>
  <c r="P273" i="8"/>
  <c r="K273" i="8"/>
  <c r="AP272" i="8"/>
  <c r="AN272" i="8"/>
  <c r="AJ272" i="8"/>
  <c r="AH272" i="8"/>
  <c r="AD272" i="8"/>
  <c r="AB272" i="8"/>
  <c r="AA272" i="8"/>
  <c r="X272" i="8"/>
  <c r="W272" i="8"/>
  <c r="T272" i="8"/>
  <c r="S272" i="8"/>
  <c r="R272" i="8"/>
  <c r="P272" i="8"/>
  <c r="K272" i="8"/>
  <c r="AP271" i="8"/>
  <c r="AN271" i="8"/>
  <c r="AJ271" i="8"/>
  <c r="AH271" i="8"/>
  <c r="AD271" i="8"/>
  <c r="AB271" i="8"/>
  <c r="AA271" i="8"/>
  <c r="W271" i="8"/>
  <c r="T271" i="8"/>
  <c r="X271" i="8" s="1"/>
  <c r="S271" i="8"/>
  <c r="R271" i="8"/>
  <c r="P271" i="8"/>
  <c r="K271" i="8"/>
  <c r="AP270" i="8"/>
  <c r="AN270" i="8"/>
  <c r="AJ270" i="8"/>
  <c r="AH270" i="8"/>
  <c r="AD270" i="8"/>
  <c r="AB270" i="8"/>
  <c r="AA270" i="8"/>
  <c r="X270" i="8"/>
  <c r="W270" i="8"/>
  <c r="T270" i="8"/>
  <c r="S270" i="8"/>
  <c r="R270" i="8"/>
  <c r="P270" i="8"/>
  <c r="K270" i="8"/>
  <c r="AP269" i="8"/>
  <c r="AN269" i="8"/>
  <c r="AJ269" i="8"/>
  <c r="AH269" i="8"/>
  <c r="AD269" i="8"/>
  <c r="AB269" i="8"/>
  <c r="AA269" i="8"/>
  <c r="W269" i="8"/>
  <c r="T269" i="8"/>
  <c r="X269" i="8" s="1"/>
  <c r="S269" i="8"/>
  <c r="R269" i="8"/>
  <c r="P269" i="8"/>
  <c r="K269" i="8"/>
  <c r="AP268" i="8"/>
  <c r="AN268" i="8"/>
  <c r="AJ268" i="8"/>
  <c r="AH268" i="8"/>
  <c r="AD268" i="8"/>
  <c r="AB268" i="8"/>
  <c r="AA268" i="8"/>
  <c r="X268" i="8"/>
  <c r="W268" i="8"/>
  <c r="T268" i="8"/>
  <c r="S268" i="8"/>
  <c r="R268" i="8"/>
  <c r="P268" i="8"/>
  <c r="K268" i="8"/>
  <c r="AP267" i="8"/>
  <c r="AN267" i="8"/>
  <c r="AJ267" i="8"/>
  <c r="AH267" i="8"/>
  <c r="AD267" i="8"/>
  <c r="AB267" i="8"/>
  <c r="AA267" i="8"/>
  <c r="W267" i="8"/>
  <c r="T267" i="8"/>
  <c r="X267" i="8" s="1"/>
  <c r="S267" i="8"/>
  <c r="R267" i="8"/>
  <c r="P267" i="8"/>
  <c r="K267" i="8"/>
  <c r="AP266" i="8"/>
  <c r="AN266" i="8"/>
  <c r="AJ266" i="8"/>
  <c r="AH266" i="8"/>
  <c r="AD266" i="8"/>
  <c r="AB266" i="8"/>
  <c r="AA266" i="8"/>
  <c r="X266" i="8"/>
  <c r="W266" i="8"/>
  <c r="T266" i="8"/>
  <c r="S266" i="8"/>
  <c r="R266" i="8"/>
  <c r="P266" i="8"/>
  <c r="K266" i="8"/>
  <c r="AP265" i="8"/>
  <c r="AN265" i="8"/>
  <c r="AJ265" i="8"/>
  <c r="AH265" i="8"/>
  <c r="AD265" i="8"/>
  <c r="AB265" i="8"/>
  <c r="AA265" i="8"/>
  <c r="W265" i="8"/>
  <c r="T265" i="8"/>
  <c r="X265" i="8" s="1"/>
  <c r="S265" i="8"/>
  <c r="R265" i="8"/>
  <c r="P265" i="8"/>
  <c r="K265" i="8"/>
  <c r="AP264" i="8"/>
  <c r="AN264" i="8"/>
  <c r="AJ264" i="8"/>
  <c r="AH264" i="8"/>
  <c r="AD264" i="8"/>
  <c r="AB264" i="8"/>
  <c r="AA264" i="8"/>
  <c r="X264" i="8"/>
  <c r="W264" i="8"/>
  <c r="T264" i="8"/>
  <c r="S264" i="8"/>
  <c r="R264" i="8"/>
  <c r="P264" i="8"/>
  <c r="K264" i="8"/>
  <c r="AP263" i="8"/>
  <c r="AN263" i="8"/>
  <c r="AJ263" i="8"/>
  <c r="AH263" i="8"/>
  <c r="AD263" i="8"/>
  <c r="AB263" i="8"/>
  <c r="AA263" i="8"/>
  <c r="W263" i="8"/>
  <c r="T263" i="8"/>
  <c r="X263" i="8" s="1"/>
  <c r="S263" i="8"/>
  <c r="R263" i="8"/>
  <c r="P263" i="8"/>
  <c r="K263" i="8"/>
  <c r="AP262" i="8"/>
  <c r="AN262" i="8"/>
  <c r="AJ262" i="8"/>
  <c r="AH262" i="8"/>
  <c r="AD262" i="8"/>
  <c r="AB262" i="8"/>
  <c r="AA262" i="8"/>
  <c r="X262" i="8"/>
  <c r="W262" i="8"/>
  <c r="T262" i="8"/>
  <c r="S262" i="8"/>
  <c r="R262" i="8"/>
  <c r="P262" i="8"/>
  <c r="K262" i="8"/>
  <c r="AP261" i="8"/>
  <c r="AN261" i="8"/>
  <c r="AJ261" i="8"/>
  <c r="AH261" i="8"/>
  <c r="AD261" i="8"/>
  <c r="AB261" i="8"/>
  <c r="AA261" i="8"/>
  <c r="W261" i="8"/>
  <c r="T261" i="8"/>
  <c r="X261" i="8" s="1"/>
  <c r="S261" i="8"/>
  <c r="R261" i="8"/>
  <c r="P261" i="8"/>
  <c r="K261" i="8"/>
  <c r="AP260" i="8"/>
  <c r="AN260" i="8"/>
  <c r="AJ260" i="8"/>
  <c r="AH260" i="8"/>
  <c r="AD260" i="8"/>
  <c r="AB260" i="8"/>
  <c r="AA260" i="8"/>
  <c r="X260" i="8"/>
  <c r="W260" i="8"/>
  <c r="T260" i="8"/>
  <c r="S260" i="8"/>
  <c r="R260" i="8"/>
  <c r="P260" i="8"/>
  <c r="K260" i="8"/>
  <c r="AP259" i="8"/>
  <c r="AN259" i="8"/>
  <c r="AJ259" i="8"/>
  <c r="AH259" i="8"/>
  <c r="AD259" i="8"/>
  <c r="AB259" i="8"/>
  <c r="AA259" i="8"/>
  <c r="W259" i="8"/>
  <c r="T259" i="8"/>
  <c r="X259" i="8" s="1"/>
  <c r="S259" i="8"/>
  <c r="R259" i="8"/>
  <c r="P259" i="8"/>
  <c r="K259" i="8"/>
  <c r="AP258" i="8"/>
  <c r="AN258" i="8"/>
  <c r="AJ258" i="8"/>
  <c r="AH258" i="8"/>
  <c r="AD258" i="8"/>
  <c r="AB258" i="8"/>
  <c r="AA258" i="8"/>
  <c r="X258" i="8"/>
  <c r="W258" i="8"/>
  <c r="T258" i="8"/>
  <c r="S258" i="8"/>
  <c r="R258" i="8"/>
  <c r="P258" i="8"/>
  <c r="K258" i="8"/>
  <c r="AP257" i="8"/>
  <c r="AN257" i="8"/>
  <c r="AJ257" i="8"/>
  <c r="AH257" i="8"/>
  <c r="AD257" i="8"/>
  <c r="AB257" i="8"/>
  <c r="AA257" i="8"/>
  <c r="W257" i="8"/>
  <c r="T257" i="8"/>
  <c r="X257" i="8" s="1"/>
  <c r="S257" i="8"/>
  <c r="R257" i="8"/>
  <c r="P257" i="8"/>
  <c r="K257" i="8"/>
  <c r="AP256" i="8"/>
  <c r="AN256" i="8"/>
  <c r="AJ256" i="8"/>
  <c r="AH256" i="8"/>
  <c r="AD256" i="8"/>
  <c r="AB256" i="8"/>
  <c r="AA256" i="8"/>
  <c r="X256" i="8"/>
  <c r="W256" i="8"/>
  <c r="T256" i="8"/>
  <c r="S256" i="8"/>
  <c r="R256" i="8"/>
  <c r="P256" i="8"/>
  <c r="K256" i="8"/>
  <c r="AP255" i="8"/>
  <c r="AN255" i="8"/>
  <c r="AJ255" i="8"/>
  <c r="AH255" i="8"/>
  <c r="AD255" i="8"/>
  <c r="AB255" i="8"/>
  <c r="AA255" i="8"/>
  <c r="W255" i="8"/>
  <c r="T255" i="8"/>
  <c r="X255" i="8" s="1"/>
  <c r="S255" i="8"/>
  <c r="R255" i="8"/>
  <c r="P255" i="8"/>
  <c r="K255" i="8"/>
  <c r="AP254" i="8"/>
  <c r="AN254" i="8"/>
  <c r="AJ254" i="8"/>
  <c r="AH254" i="8"/>
  <c r="AD254" i="8"/>
  <c r="AB254" i="8"/>
  <c r="AA254" i="8"/>
  <c r="X254" i="8"/>
  <c r="W254" i="8"/>
  <c r="T254" i="8"/>
  <c r="S254" i="8"/>
  <c r="R254" i="8"/>
  <c r="P254" i="8"/>
  <c r="K254" i="8"/>
  <c r="AP253" i="8"/>
  <c r="AN253" i="8"/>
  <c r="AJ253" i="8"/>
  <c r="AH253" i="8"/>
  <c r="AD253" i="8"/>
  <c r="AB253" i="8"/>
  <c r="AA253" i="8"/>
  <c r="W253" i="8"/>
  <c r="T253" i="8"/>
  <c r="X253" i="8" s="1"/>
  <c r="S253" i="8"/>
  <c r="R253" i="8"/>
  <c r="P253" i="8"/>
  <c r="K253" i="8"/>
  <c r="AP252" i="8"/>
  <c r="AN252" i="8"/>
  <c r="AJ252" i="8"/>
  <c r="AH252" i="8"/>
  <c r="AD252" i="8"/>
  <c r="AB252" i="8"/>
  <c r="AA252" i="8"/>
  <c r="X252" i="8"/>
  <c r="W252" i="8"/>
  <c r="T252" i="8"/>
  <c r="S252" i="8"/>
  <c r="R252" i="8"/>
  <c r="P252" i="8"/>
  <c r="K252" i="8"/>
  <c r="AP251" i="8"/>
  <c r="AN251" i="8"/>
  <c r="AJ251" i="8"/>
  <c r="AH251" i="8"/>
  <c r="AD251" i="8"/>
  <c r="AB251" i="8"/>
  <c r="AA251" i="8"/>
  <c r="W251" i="8"/>
  <c r="T251" i="8"/>
  <c r="X251" i="8" s="1"/>
  <c r="S251" i="8"/>
  <c r="R251" i="8"/>
  <c r="P251" i="8"/>
  <c r="K251" i="8"/>
  <c r="AP250" i="8"/>
  <c r="AN250" i="8"/>
  <c r="AJ250" i="8"/>
  <c r="AH250" i="8"/>
  <c r="AD250" i="8"/>
  <c r="AB250" i="8"/>
  <c r="AA250" i="8"/>
  <c r="X250" i="8"/>
  <c r="W250" i="8"/>
  <c r="T250" i="8"/>
  <c r="S250" i="8"/>
  <c r="R250" i="8"/>
  <c r="P250" i="8"/>
  <c r="K250" i="8"/>
  <c r="AP249" i="8"/>
  <c r="AN249" i="8"/>
  <c r="AJ249" i="8"/>
  <c r="AH249" i="8"/>
  <c r="AD249" i="8"/>
  <c r="AB249" i="8"/>
  <c r="AA249" i="8"/>
  <c r="W249" i="8"/>
  <c r="T249" i="8"/>
  <c r="X249" i="8" s="1"/>
  <c r="S249" i="8"/>
  <c r="R249" i="8"/>
  <c r="P249" i="8"/>
  <c r="K249" i="8"/>
  <c r="AP248" i="8"/>
  <c r="AN248" i="8"/>
  <c r="AJ248" i="8"/>
  <c r="AH248" i="8"/>
  <c r="AD248" i="8"/>
  <c r="AB248" i="8"/>
  <c r="AA248" i="8"/>
  <c r="X248" i="8"/>
  <c r="W248" i="8"/>
  <c r="T248" i="8"/>
  <c r="S248" i="8"/>
  <c r="R248" i="8"/>
  <c r="P248" i="8"/>
  <c r="K248" i="8"/>
  <c r="AP247" i="8"/>
  <c r="AN247" i="8"/>
  <c r="AJ247" i="8"/>
  <c r="AH247" i="8"/>
  <c r="AD247" i="8"/>
  <c r="AB247" i="8"/>
  <c r="AA247" i="8"/>
  <c r="W247" i="8"/>
  <c r="T247" i="8"/>
  <c r="X247" i="8" s="1"/>
  <c r="S247" i="8"/>
  <c r="R247" i="8"/>
  <c r="P247" i="8"/>
  <c r="K247" i="8"/>
  <c r="AP246" i="8"/>
  <c r="AN246" i="8"/>
  <c r="AJ246" i="8"/>
  <c r="AH246" i="8"/>
  <c r="AD246" i="8"/>
  <c r="AB246" i="8"/>
  <c r="AA246" i="8"/>
  <c r="X246" i="8"/>
  <c r="W246" i="8"/>
  <c r="T246" i="8"/>
  <c r="S246" i="8"/>
  <c r="R246" i="8"/>
  <c r="P246" i="8"/>
  <c r="K246" i="8"/>
  <c r="AP245" i="8"/>
  <c r="AN245" i="8"/>
  <c r="AJ245" i="8"/>
  <c r="AH245" i="8"/>
  <c r="AD245" i="8"/>
  <c r="AB245" i="8"/>
  <c r="AA245" i="8"/>
  <c r="W245" i="8"/>
  <c r="T245" i="8"/>
  <c r="X245" i="8" s="1"/>
  <c r="S245" i="8"/>
  <c r="R245" i="8"/>
  <c r="P245" i="8"/>
  <c r="K245" i="8"/>
  <c r="AP244" i="8"/>
  <c r="AN244" i="8"/>
  <c r="AJ244" i="8"/>
  <c r="AH244" i="8"/>
  <c r="AD244" i="8"/>
  <c r="AB244" i="8"/>
  <c r="AA244" i="8"/>
  <c r="X244" i="8"/>
  <c r="W244" i="8"/>
  <c r="T244" i="8"/>
  <c r="S244" i="8"/>
  <c r="R244" i="8"/>
  <c r="P244" i="8"/>
  <c r="K244" i="8"/>
  <c r="AP243" i="8"/>
  <c r="AN243" i="8"/>
  <c r="AJ243" i="8"/>
  <c r="AH243" i="8"/>
  <c r="AD243" i="8"/>
  <c r="AB243" i="8"/>
  <c r="AA243" i="8"/>
  <c r="W243" i="8"/>
  <c r="T243" i="8"/>
  <c r="X243" i="8" s="1"/>
  <c r="S243" i="8"/>
  <c r="R243" i="8"/>
  <c r="P243" i="8"/>
  <c r="K243" i="8"/>
  <c r="AP242" i="8"/>
  <c r="AN242" i="8"/>
  <c r="AJ242" i="8"/>
  <c r="AH242" i="8"/>
  <c r="AD242" i="8"/>
  <c r="AB242" i="8"/>
  <c r="AA242" i="8"/>
  <c r="X242" i="8"/>
  <c r="W242" i="8"/>
  <c r="T242" i="8"/>
  <c r="S242" i="8"/>
  <c r="R242" i="8"/>
  <c r="P242" i="8"/>
  <c r="K242" i="8"/>
  <c r="AP241" i="8"/>
  <c r="AN241" i="8"/>
  <c r="AJ241" i="8"/>
  <c r="AH241" i="8"/>
  <c r="AD241" i="8"/>
  <c r="AB241" i="8"/>
  <c r="AA241" i="8"/>
  <c r="W241" i="8"/>
  <c r="T241" i="8"/>
  <c r="X241" i="8" s="1"/>
  <c r="S241" i="8"/>
  <c r="R241" i="8"/>
  <c r="P241" i="8"/>
  <c r="K241" i="8"/>
  <c r="AP240" i="8"/>
  <c r="AN240" i="8"/>
  <c r="AJ240" i="8"/>
  <c r="AH240" i="8"/>
  <c r="AD240" i="8"/>
  <c r="AB240" i="8"/>
  <c r="AA240" i="8"/>
  <c r="X240" i="8"/>
  <c r="W240" i="8"/>
  <c r="T240" i="8"/>
  <c r="S240" i="8"/>
  <c r="R240" i="8"/>
  <c r="P240" i="8"/>
  <c r="K240" i="8"/>
  <c r="AP239" i="8"/>
  <c r="AN239" i="8"/>
  <c r="AJ239" i="8"/>
  <c r="AH239" i="8"/>
  <c r="AD239" i="8"/>
  <c r="AB239" i="8"/>
  <c r="AA239" i="8"/>
  <c r="W239" i="8"/>
  <c r="T239" i="8"/>
  <c r="X239" i="8" s="1"/>
  <c r="S239" i="8"/>
  <c r="R239" i="8"/>
  <c r="P239" i="8"/>
  <c r="K239" i="8"/>
  <c r="AP238" i="8"/>
  <c r="AN238" i="8"/>
  <c r="AJ238" i="8"/>
  <c r="AH238" i="8"/>
  <c r="AD238" i="8"/>
  <c r="AB238" i="8"/>
  <c r="AA238" i="8"/>
  <c r="X238" i="8"/>
  <c r="W238" i="8"/>
  <c r="T238" i="8"/>
  <c r="S238" i="8"/>
  <c r="R238" i="8"/>
  <c r="P238" i="8"/>
  <c r="K238" i="8"/>
  <c r="AP237" i="8"/>
  <c r="AN237" i="8"/>
  <c r="AJ237" i="8"/>
  <c r="AH237" i="8"/>
  <c r="AD237" i="8"/>
  <c r="AB237" i="8"/>
  <c r="AA237" i="8"/>
  <c r="W237" i="8"/>
  <c r="T237" i="8"/>
  <c r="X237" i="8" s="1"/>
  <c r="S237" i="8"/>
  <c r="R237" i="8"/>
  <c r="P237" i="8"/>
  <c r="K237" i="8"/>
  <c r="AP236" i="8"/>
  <c r="AN236" i="8"/>
  <c r="AJ236" i="8"/>
  <c r="AH236" i="8"/>
  <c r="AD236" i="8"/>
  <c r="AB236" i="8"/>
  <c r="AA236" i="8"/>
  <c r="X236" i="8"/>
  <c r="W236" i="8"/>
  <c r="T236" i="8"/>
  <c r="S236" i="8"/>
  <c r="R236" i="8"/>
  <c r="P236" i="8"/>
  <c r="K236" i="8"/>
  <c r="AP235" i="8"/>
  <c r="AN235" i="8"/>
  <c r="AJ235" i="8"/>
  <c r="AH235" i="8"/>
  <c r="AD235" i="8"/>
  <c r="AB235" i="8"/>
  <c r="AA235" i="8"/>
  <c r="W235" i="8"/>
  <c r="T235" i="8"/>
  <c r="X235" i="8" s="1"/>
  <c r="S235" i="8"/>
  <c r="R235" i="8"/>
  <c r="P235" i="8"/>
  <c r="K235" i="8"/>
  <c r="AP234" i="8"/>
  <c r="AN234" i="8"/>
  <c r="AJ234" i="8"/>
  <c r="AH234" i="8"/>
  <c r="AD234" i="8"/>
  <c r="AB234" i="8"/>
  <c r="AA234" i="8"/>
  <c r="X234" i="8"/>
  <c r="W234" i="8"/>
  <c r="T234" i="8"/>
  <c r="S234" i="8"/>
  <c r="R234" i="8"/>
  <c r="P234" i="8"/>
  <c r="K234" i="8"/>
  <c r="AP233" i="8"/>
  <c r="AN233" i="8"/>
  <c r="AJ233" i="8"/>
  <c r="AH233" i="8"/>
  <c r="AD233" i="8"/>
  <c r="AB233" i="8"/>
  <c r="AA233" i="8"/>
  <c r="W233" i="8"/>
  <c r="T233" i="8"/>
  <c r="S233" i="8"/>
  <c r="R233" i="8"/>
  <c r="P233" i="8"/>
  <c r="K233" i="8"/>
  <c r="AP232" i="8"/>
  <c r="AN232" i="8"/>
  <c r="AJ232" i="8"/>
  <c r="AH232" i="8"/>
  <c r="AD232" i="8"/>
  <c r="AB232" i="8"/>
  <c r="AA232" i="8"/>
  <c r="X232" i="8"/>
  <c r="W232" i="8"/>
  <c r="T232" i="8"/>
  <c r="S232" i="8"/>
  <c r="R232" i="8"/>
  <c r="P232" i="8"/>
  <c r="K232" i="8"/>
  <c r="AP231" i="8"/>
  <c r="AN231" i="8"/>
  <c r="AJ231" i="8"/>
  <c r="AH231" i="8"/>
  <c r="AD231" i="8"/>
  <c r="AB231" i="8"/>
  <c r="AA231" i="8"/>
  <c r="W231" i="8"/>
  <c r="T231" i="8"/>
  <c r="X231" i="8" s="1"/>
  <c r="S231" i="8"/>
  <c r="R231" i="8"/>
  <c r="P231" i="8"/>
  <c r="K231" i="8"/>
  <c r="AP230" i="8"/>
  <c r="AN230" i="8"/>
  <c r="AJ230" i="8"/>
  <c r="AH230" i="8"/>
  <c r="AD230" i="8"/>
  <c r="AB230" i="8"/>
  <c r="AA230" i="8"/>
  <c r="X230" i="8"/>
  <c r="W230" i="8"/>
  <c r="T230" i="8"/>
  <c r="S230" i="8"/>
  <c r="R230" i="8"/>
  <c r="P230" i="8"/>
  <c r="K230" i="8"/>
  <c r="AP229" i="8"/>
  <c r="AN229" i="8"/>
  <c r="AJ229" i="8"/>
  <c r="AH229" i="8"/>
  <c r="AD229" i="8"/>
  <c r="AB229" i="8"/>
  <c r="AA229" i="8"/>
  <c r="W229" i="8"/>
  <c r="T229" i="8"/>
  <c r="S229" i="8"/>
  <c r="R229" i="8"/>
  <c r="P229" i="8"/>
  <c r="K229" i="8"/>
  <c r="AP228" i="8"/>
  <c r="AN228" i="8"/>
  <c r="AJ228" i="8"/>
  <c r="AH228" i="8"/>
  <c r="AD228" i="8"/>
  <c r="AB228" i="8"/>
  <c r="AA228" i="8"/>
  <c r="W228" i="8"/>
  <c r="X228" i="8" s="1"/>
  <c r="T228" i="8"/>
  <c r="S228" i="8"/>
  <c r="R228" i="8"/>
  <c r="P228" i="8"/>
  <c r="K228" i="8"/>
  <c r="AP227" i="8"/>
  <c r="AN227" i="8"/>
  <c r="AJ227" i="8"/>
  <c r="AH227" i="8"/>
  <c r="AD227" i="8"/>
  <c r="AB227" i="8"/>
  <c r="AA227" i="8"/>
  <c r="W227" i="8"/>
  <c r="T227" i="8"/>
  <c r="S227" i="8"/>
  <c r="R227" i="8"/>
  <c r="P227" i="8"/>
  <c r="K227" i="8"/>
  <c r="AP226" i="8"/>
  <c r="AN226" i="8"/>
  <c r="AJ226" i="8"/>
  <c r="AH226" i="8"/>
  <c r="AD226" i="8"/>
  <c r="AB226" i="8"/>
  <c r="AA226" i="8"/>
  <c r="X226" i="8"/>
  <c r="W226" i="8"/>
  <c r="T226" i="8"/>
  <c r="S226" i="8"/>
  <c r="R226" i="8"/>
  <c r="P226" i="8"/>
  <c r="K226" i="8"/>
  <c r="AP225" i="8"/>
  <c r="AN225" i="8"/>
  <c r="AJ225" i="8"/>
  <c r="AH225" i="8"/>
  <c r="AD225" i="8"/>
  <c r="AB225" i="8"/>
  <c r="AA225" i="8"/>
  <c r="W225" i="8"/>
  <c r="T225" i="8"/>
  <c r="S225" i="8"/>
  <c r="R225" i="8"/>
  <c r="P225" i="8"/>
  <c r="K225" i="8"/>
  <c r="AP224" i="8"/>
  <c r="AN224" i="8"/>
  <c r="AJ224" i="8"/>
  <c r="AH224" i="8"/>
  <c r="AD224" i="8"/>
  <c r="AB224" i="8"/>
  <c r="AA224" i="8"/>
  <c r="W224" i="8"/>
  <c r="X224" i="8" s="1"/>
  <c r="T224" i="8"/>
  <c r="S224" i="8"/>
  <c r="R224" i="8"/>
  <c r="P224" i="8"/>
  <c r="K224" i="8"/>
  <c r="AP223" i="8"/>
  <c r="AN223" i="8"/>
  <c r="AJ223" i="8"/>
  <c r="AH223" i="8"/>
  <c r="AD223" i="8"/>
  <c r="AB223" i="8"/>
  <c r="AA223" i="8"/>
  <c r="W223" i="8"/>
  <c r="T223" i="8"/>
  <c r="X223" i="8" s="1"/>
  <c r="S223" i="8"/>
  <c r="R223" i="8"/>
  <c r="P223" i="8"/>
  <c r="K223" i="8"/>
  <c r="AP222" i="8"/>
  <c r="AN222" i="8"/>
  <c r="AJ222" i="8"/>
  <c r="AH222" i="8"/>
  <c r="AD222" i="8"/>
  <c r="AB222" i="8"/>
  <c r="AA222" i="8"/>
  <c r="X222" i="8"/>
  <c r="W222" i="8"/>
  <c r="T222" i="8"/>
  <c r="S222" i="8"/>
  <c r="R222" i="8"/>
  <c r="P222" i="8"/>
  <c r="K222" i="8"/>
  <c r="AP221" i="8"/>
  <c r="AN221" i="8"/>
  <c r="AJ221" i="8"/>
  <c r="AH221" i="8"/>
  <c r="AD221" i="8"/>
  <c r="AB221" i="8"/>
  <c r="AA221" i="8"/>
  <c r="W221" i="8"/>
  <c r="T221" i="8"/>
  <c r="S221" i="8"/>
  <c r="R221" i="8"/>
  <c r="P221" i="8"/>
  <c r="K221" i="8"/>
  <c r="AP220" i="8"/>
  <c r="AN220" i="8"/>
  <c r="AJ220" i="8"/>
  <c r="AH220" i="8"/>
  <c r="AD220" i="8"/>
  <c r="AB220" i="8"/>
  <c r="AA220" i="8"/>
  <c r="W220" i="8"/>
  <c r="X220" i="8" s="1"/>
  <c r="T220" i="8"/>
  <c r="S220" i="8"/>
  <c r="R220" i="8"/>
  <c r="P220" i="8"/>
  <c r="K220" i="8"/>
  <c r="AP219" i="8"/>
  <c r="AN219" i="8"/>
  <c r="AJ219" i="8"/>
  <c r="AH219" i="8"/>
  <c r="AD219" i="8"/>
  <c r="AB219" i="8"/>
  <c r="AA219" i="8"/>
  <c r="W219" i="8"/>
  <c r="T219" i="8"/>
  <c r="X219" i="8" s="1"/>
  <c r="S219" i="8"/>
  <c r="R219" i="8"/>
  <c r="P219" i="8"/>
  <c r="K219" i="8"/>
  <c r="AP218" i="8"/>
  <c r="AN218" i="8"/>
  <c r="AJ218" i="8"/>
  <c r="AH218" i="8"/>
  <c r="AD218" i="8"/>
  <c r="AB218" i="8"/>
  <c r="AA218" i="8"/>
  <c r="X218" i="8"/>
  <c r="W218" i="8"/>
  <c r="T218" i="8"/>
  <c r="S218" i="8"/>
  <c r="R218" i="8"/>
  <c r="P218" i="8"/>
  <c r="K218" i="8"/>
  <c r="AP217" i="8"/>
  <c r="AN217" i="8"/>
  <c r="AJ217" i="8"/>
  <c r="AH217" i="8"/>
  <c r="AD217" i="8"/>
  <c r="AB217" i="8"/>
  <c r="AA217" i="8"/>
  <c r="W217" i="8"/>
  <c r="T217" i="8"/>
  <c r="S217" i="8"/>
  <c r="R217" i="8"/>
  <c r="P217" i="8"/>
  <c r="K217" i="8"/>
  <c r="AP216" i="8"/>
  <c r="AN216" i="8"/>
  <c r="AJ216" i="8"/>
  <c r="AH216" i="8"/>
  <c r="AD216" i="8"/>
  <c r="AB216" i="8"/>
  <c r="AA216" i="8"/>
  <c r="W216" i="8"/>
  <c r="X216" i="8" s="1"/>
  <c r="T216" i="8"/>
  <c r="S216" i="8"/>
  <c r="R216" i="8"/>
  <c r="P216" i="8"/>
  <c r="K216" i="8"/>
  <c r="AP215" i="8"/>
  <c r="AN215" i="8"/>
  <c r="AJ215" i="8"/>
  <c r="AH215" i="8"/>
  <c r="AD215" i="8"/>
  <c r="AB215" i="8"/>
  <c r="AA215" i="8"/>
  <c r="W215" i="8"/>
  <c r="T215" i="8"/>
  <c r="X215" i="8" s="1"/>
  <c r="S215" i="8"/>
  <c r="R215" i="8"/>
  <c r="P215" i="8"/>
  <c r="K215" i="8"/>
  <c r="AP214" i="8"/>
  <c r="AN214" i="8"/>
  <c r="AJ214" i="8"/>
  <c r="AH214" i="8"/>
  <c r="AD214" i="8"/>
  <c r="AB214" i="8"/>
  <c r="AA214" i="8"/>
  <c r="X214" i="8"/>
  <c r="W214" i="8"/>
  <c r="T214" i="8"/>
  <c r="S214" i="8"/>
  <c r="R214" i="8"/>
  <c r="P214" i="8"/>
  <c r="K214" i="8"/>
  <c r="AP213" i="8"/>
  <c r="AN213" i="8"/>
  <c r="AJ213" i="8"/>
  <c r="AH213" i="8"/>
  <c r="AD213" i="8"/>
  <c r="AB213" i="8"/>
  <c r="AA213" i="8"/>
  <c r="W213" i="8"/>
  <c r="T213" i="8"/>
  <c r="S213" i="8"/>
  <c r="R213" i="8"/>
  <c r="P213" i="8"/>
  <c r="K213" i="8"/>
  <c r="AP212" i="8"/>
  <c r="AN212" i="8"/>
  <c r="AJ212" i="8"/>
  <c r="AH212" i="8"/>
  <c r="AD212" i="8"/>
  <c r="AB212" i="8"/>
  <c r="AA212" i="8"/>
  <c r="W212" i="8"/>
  <c r="X212" i="8" s="1"/>
  <c r="T212" i="8"/>
  <c r="S212" i="8"/>
  <c r="R212" i="8"/>
  <c r="P212" i="8"/>
  <c r="K212" i="8"/>
  <c r="AP211" i="8"/>
  <c r="AN211" i="8"/>
  <c r="AJ211" i="8"/>
  <c r="AH211" i="8"/>
  <c r="AD211" i="8"/>
  <c r="AB211" i="8"/>
  <c r="AA211" i="8"/>
  <c r="W211" i="8"/>
  <c r="T211" i="8"/>
  <c r="X211" i="8" s="1"/>
  <c r="S211" i="8"/>
  <c r="R211" i="8"/>
  <c r="P211" i="8"/>
  <c r="K211" i="8"/>
  <c r="AP210" i="8"/>
  <c r="AN210" i="8"/>
  <c r="AJ210" i="8"/>
  <c r="AH210" i="8"/>
  <c r="AD210" i="8"/>
  <c r="AB210" i="8"/>
  <c r="AA210" i="8"/>
  <c r="X210" i="8"/>
  <c r="W210" i="8"/>
  <c r="T210" i="8"/>
  <c r="S210" i="8"/>
  <c r="R210" i="8"/>
  <c r="P210" i="8"/>
  <c r="K210" i="8"/>
  <c r="AP209" i="8"/>
  <c r="AN209" i="8"/>
  <c r="AJ209" i="8"/>
  <c r="AH209" i="8"/>
  <c r="AD209" i="8"/>
  <c r="AB209" i="8"/>
  <c r="AA209" i="8"/>
  <c r="W209" i="8"/>
  <c r="T209" i="8"/>
  <c r="S209" i="8"/>
  <c r="R209" i="8"/>
  <c r="P209" i="8"/>
  <c r="K209" i="8"/>
  <c r="AP208" i="8"/>
  <c r="AN208" i="8"/>
  <c r="AJ208" i="8"/>
  <c r="AH208" i="8"/>
  <c r="AD208" i="8"/>
  <c r="AB208" i="8"/>
  <c r="AA208" i="8"/>
  <c r="W208" i="8"/>
  <c r="X208" i="8" s="1"/>
  <c r="T208" i="8"/>
  <c r="S208" i="8"/>
  <c r="R208" i="8"/>
  <c r="P208" i="8"/>
  <c r="K208" i="8"/>
  <c r="AP207" i="8"/>
  <c r="AN207" i="8"/>
  <c r="AJ207" i="8"/>
  <c r="AH207" i="8"/>
  <c r="AD207" i="8"/>
  <c r="AB207" i="8"/>
  <c r="AA207" i="8"/>
  <c r="W207" i="8"/>
  <c r="T207" i="8"/>
  <c r="X207" i="8" s="1"/>
  <c r="S207" i="8"/>
  <c r="R207" i="8"/>
  <c r="P207" i="8"/>
  <c r="K207" i="8"/>
  <c r="AP206" i="8"/>
  <c r="AN206" i="8"/>
  <c r="AJ206" i="8"/>
  <c r="AH206" i="8"/>
  <c r="AD206" i="8"/>
  <c r="AB206" i="8"/>
  <c r="AA206" i="8"/>
  <c r="X206" i="8"/>
  <c r="W206" i="8"/>
  <c r="T206" i="8"/>
  <c r="S206" i="8"/>
  <c r="R206" i="8"/>
  <c r="P206" i="8"/>
  <c r="K206" i="8"/>
  <c r="AP205" i="8"/>
  <c r="AN205" i="8"/>
  <c r="AJ205" i="8"/>
  <c r="AH205" i="8"/>
  <c r="AD205" i="8"/>
  <c r="AB205" i="8"/>
  <c r="AA205" i="8"/>
  <c r="W205" i="8"/>
  <c r="T205" i="8"/>
  <c r="S205" i="8"/>
  <c r="R205" i="8"/>
  <c r="P205" i="8"/>
  <c r="K205" i="8"/>
  <c r="AP204" i="8"/>
  <c r="AN204" i="8"/>
  <c r="AJ204" i="8"/>
  <c r="AH204" i="8"/>
  <c r="AD204" i="8"/>
  <c r="AB204" i="8"/>
  <c r="AA204" i="8"/>
  <c r="W204" i="8"/>
  <c r="X204" i="8" s="1"/>
  <c r="T204" i="8"/>
  <c r="S204" i="8"/>
  <c r="R204" i="8"/>
  <c r="P204" i="8"/>
  <c r="K204" i="8"/>
  <c r="AP203" i="8"/>
  <c r="AN203" i="8"/>
  <c r="AJ203" i="8"/>
  <c r="AH203" i="8"/>
  <c r="AD203" i="8"/>
  <c r="AB203" i="8"/>
  <c r="AA203" i="8"/>
  <c r="W203" i="8"/>
  <c r="T203" i="8"/>
  <c r="X203" i="8" s="1"/>
  <c r="S203" i="8"/>
  <c r="R203" i="8"/>
  <c r="P203" i="8"/>
  <c r="K203" i="8"/>
  <c r="AP202" i="8"/>
  <c r="AN202" i="8"/>
  <c r="AJ202" i="8"/>
  <c r="AH202" i="8"/>
  <c r="AD202" i="8"/>
  <c r="AB202" i="8"/>
  <c r="AA202" i="8"/>
  <c r="X202" i="8"/>
  <c r="W202" i="8"/>
  <c r="T202" i="8"/>
  <c r="S202" i="8"/>
  <c r="R202" i="8"/>
  <c r="P202" i="8"/>
  <c r="K202" i="8"/>
  <c r="AP201" i="8"/>
  <c r="AN201" i="8"/>
  <c r="AJ201" i="8"/>
  <c r="AH201" i="8"/>
  <c r="AD201" i="8"/>
  <c r="AB201" i="8"/>
  <c r="AA201" i="8"/>
  <c r="W201" i="8"/>
  <c r="T201" i="8"/>
  <c r="S201" i="8"/>
  <c r="R201" i="8"/>
  <c r="P201" i="8"/>
  <c r="K201" i="8"/>
  <c r="AP200" i="8"/>
  <c r="AN200" i="8"/>
  <c r="AJ200" i="8"/>
  <c r="AH200" i="8"/>
  <c r="AD200" i="8"/>
  <c r="AB200" i="8"/>
  <c r="AA200" i="8"/>
  <c r="W200" i="8"/>
  <c r="X200" i="8" s="1"/>
  <c r="T200" i="8"/>
  <c r="S200" i="8"/>
  <c r="R200" i="8"/>
  <c r="P200" i="8"/>
  <c r="K200" i="8"/>
  <c r="AP199" i="8"/>
  <c r="AN199" i="8"/>
  <c r="AJ199" i="8"/>
  <c r="AH199" i="8"/>
  <c r="AD199" i="8"/>
  <c r="AB199" i="8"/>
  <c r="AA199" i="8"/>
  <c r="W199" i="8"/>
  <c r="T199" i="8"/>
  <c r="X199" i="8" s="1"/>
  <c r="S199" i="8"/>
  <c r="R199" i="8"/>
  <c r="P199" i="8"/>
  <c r="K199" i="8"/>
  <c r="AP198" i="8"/>
  <c r="AN198" i="8"/>
  <c r="AJ198" i="8"/>
  <c r="AH198" i="8"/>
  <c r="AD198" i="8"/>
  <c r="AB198" i="8"/>
  <c r="AA198" i="8"/>
  <c r="X198" i="8"/>
  <c r="W198" i="8"/>
  <c r="T198" i="8"/>
  <c r="S198" i="8"/>
  <c r="R198" i="8"/>
  <c r="P198" i="8"/>
  <c r="K198" i="8"/>
  <c r="AP197" i="8"/>
  <c r="AN197" i="8"/>
  <c r="AJ197" i="8"/>
  <c r="AH197" i="8"/>
  <c r="AD197" i="8"/>
  <c r="AB197" i="8"/>
  <c r="AA197" i="8"/>
  <c r="W197" i="8"/>
  <c r="T197" i="8"/>
  <c r="S197" i="8"/>
  <c r="R197" i="8"/>
  <c r="P197" i="8"/>
  <c r="K197" i="8"/>
  <c r="AP196" i="8"/>
  <c r="AN196" i="8"/>
  <c r="AJ196" i="8"/>
  <c r="AH196" i="8"/>
  <c r="AD196" i="8"/>
  <c r="AB196" i="8"/>
  <c r="AA196" i="8"/>
  <c r="W196" i="8"/>
  <c r="T196" i="8"/>
  <c r="X196" i="8" s="1"/>
  <c r="S196" i="8"/>
  <c r="R196" i="8"/>
  <c r="P196" i="8"/>
  <c r="K196" i="8"/>
  <c r="AP195" i="8"/>
  <c r="AN195" i="8"/>
  <c r="AJ195" i="8"/>
  <c r="AH195" i="8"/>
  <c r="AD195" i="8"/>
  <c r="AB195" i="8"/>
  <c r="AA195" i="8"/>
  <c r="X195" i="8"/>
  <c r="W195" i="8"/>
  <c r="T195" i="8"/>
  <c r="S195" i="8"/>
  <c r="R195" i="8"/>
  <c r="P195" i="8"/>
  <c r="K195" i="8"/>
  <c r="AP194" i="8"/>
  <c r="AN194" i="8"/>
  <c r="AJ194" i="8"/>
  <c r="AH194" i="8"/>
  <c r="AD194" i="8"/>
  <c r="AB194" i="8"/>
  <c r="AA194" i="8"/>
  <c r="W194" i="8"/>
  <c r="T194" i="8"/>
  <c r="S194" i="8"/>
  <c r="R194" i="8"/>
  <c r="P194" i="8"/>
  <c r="K194" i="8"/>
  <c r="AP193" i="8"/>
  <c r="AN193" i="8"/>
  <c r="AJ193" i="8"/>
  <c r="AH193" i="8"/>
  <c r="AD193" i="8"/>
  <c r="AB193" i="8"/>
  <c r="AA193" i="8"/>
  <c r="W193" i="8"/>
  <c r="X193" i="8" s="1"/>
  <c r="T193" i="8"/>
  <c r="S193" i="8"/>
  <c r="R193" i="8"/>
  <c r="P193" i="8"/>
  <c r="K193" i="8"/>
  <c r="AP192" i="8"/>
  <c r="AN192" i="8"/>
  <c r="AJ192" i="8"/>
  <c r="AH192" i="8"/>
  <c r="AD192" i="8"/>
  <c r="AB192" i="8"/>
  <c r="AA192" i="8"/>
  <c r="W192" i="8"/>
  <c r="T192" i="8"/>
  <c r="S192" i="8"/>
  <c r="R192" i="8"/>
  <c r="P192" i="8"/>
  <c r="K192" i="8"/>
  <c r="AP191" i="8"/>
  <c r="AN191" i="8"/>
  <c r="AJ191" i="8"/>
  <c r="AH191" i="8"/>
  <c r="AD191" i="8"/>
  <c r="AB191" i="8"/>
  <c r="AA191" i="8"/>
  <c r="W191" i="8"/>
  <c r="X191" i="8" s="1"/>
  <c r="T191" i="8"/>
  <c r="S191" i="8"/>
  <c r="R191" i="8"/>
  <c r="P191" i="8"/>
  <c r="K191" i="8"/>
  <c r="AP190" i="8"/>
  <c r="AN190" i="8"/>
  <c r="AJ190" i="8"/>
  <c r="AH190" i="8"/>
  <c r="AD190" i="8"/>
  <c r="AB190" i="8"/>
  <c r="AA190" i="8"/>
  <c r="W190" i="8"/>
  <c r="T190" i="8"/>
  <c r="S190" i="8"/>
  <c r="R190" i="8"/>
  <c r="P190" i="8"/>
  <c r="K190" i="8"/>
  <c r="AP189" i="8"/>
  <c r="AN189" i="8"/>
  <c r="AJ189" i="8"/>
  <c r="AH189" i="8"/>
  <c r="AD189" i="8"/>
  <c r="AB189" i="8"/>
  <c r="AA189" i="8"/>
  <c r="W189" i="8"/>
  <c r="X189" i="8" s="1"/>
  <c r="T189" i="8"/>
  <c r="S189" i="8"/>
  <c r="R189" i="8"/>
  <c r="P189" i="8"/>
  <c r="K189" i="8"/>
  <c r="AP188" i="8"/>
  <c r="AN188" i="8"/>
  <c r="AJ188" i="8"/>
  <c r="AH188" i="8"/>
  <c r="AD188" i="8"/>
  <c r="AB188" i="8"/>
  <c r="AA188" i="8"/>
  <c r="W188" i="8"/>
  <c r="T188" i="8"/>
  <c r="S188" i="8"/>
  <c r="R188" i="8"/>
  <c r="P188" i="8"/>
  <c r="K188" i="8"/>
  <c r="AP187" i="8"/>
  <c r="AN187" i="8"/>
  <c r="AJ187" i="8"/>
  <c r="AH187" i="8"/>
  <c r="AD187" i="8"/>
  <c r="AB187" i="8"/>
  <c r="AA187" i="8"/>
  <c r="W187" i="8"/>
  <c r="X187" i="8" s="1"/>
  <c r="T187" i="8"/>
  <c r="S187" i="8"/>
  <c r="R187" i="8"/>
  <c r="P187" i="8"/>
  <c r="K187" i="8"/>
  <c r="AP186" i="8"/>
  <c r="AN186" i="8"/>
  <c r="AJ186" i="8"/>
  <c r="AH186" i="8"/>
  <c r="AD186" i="8"/>
  <c r="AB186" i="8"/>
  <c r="AA186" i="8"/>
  <c r="W186" i="8"/>
  <c r="T186" i="8"/>
  <c r="S186" i="8"/>
  <c r="R186" i="8"/>
  <c r="P186" i="8"/>
  <c r="K186" i="8"/>
  <c r="AP185" i="8"/>
  <c r="AN185" i="8"/>
  <c r="AJ185" i="8"/>
  <c r="AH185" i="8"/>
  <c r="AD185" i="8"/>
  <c r="AB185" i="8"/>
  <c r="AA185" i="8"/>
  <c r="W185" i="8"/>
  <c r="X185" i="8" s="1"/>
  <c r="T185" i="8"/>
  <c r="S185" i="8"/>
  <c r="R185" i="8"/>
  <c r="P185" i="8"/>
  <c r="K185" i="8"/>
  <c r="AP184" i="8"/>
  <c r="AN184" i="8"/>
  <c r="AJ184" i="8"/>
  <c r="AH184" i="8"/>
  <c r="AD184" i="8"/>
  <c r="AB184" i="8"/>
  <c r="AA184" i="8"/>
  <c r="W184" i="8"/>
  <c r="T184" i="8"/>
  <c r="S184" i="8"/>
  <c r="R184" i="8"/>
  <c r="P184" i="8"/>
  <c r="K184" i="8"/>
  <c r="AP183" i="8"/>
  <c r="AN183" i="8"/>
  <c r="AJ183" i="8"/>
  <c r="AH183" i="8"/>
  <c r="AD183" i="8"/>
  <c r="AB183" i="8"/>
  <c r="AA183" i="8"/>
  <c r="W183" i="8"/>
  <c r="X183" i="8" s="1"/>
  <c r="T183" i="8"/>
  <c r="S183" i="8"/>
  <c r="R183" i="8"/>
  <c r="P183" i="8"/>
  <c r="K183" i="8"/>
  <c r="AP182" i="8"/>
  <c r="AN182" i="8"/>
  <c r="AJ182" i="8"/>
  <c r="AH182" i="8"/>
  <c r="AD182" i="8"/>
  <c r="AB182" i="8"/>
  <c r="AA182" i="8"/>
  <c r="W182" i="8"/>
  <c r="T182" i="8"/>
  <c r="S182" i="8"/>
  <c r="R182" i="8"/>
  <c r="P182" i="8"/>
  <c r="K182" i="8"/>
  <c r="AP181" i="8"/>
  <c r="AN181" i="8"/>
  <c r="AJ181" i="8"/>
  <c r="AH181" i="8"/>
  <c r="AD181" i="8"/>
  <c r="AB181" i="8"/>
  <c r="AA181" i="8"/>
  <c r="W181" i="8"/>
  <c r="X181" i="8" s="1"/>
  <c r="T181" i="8"/>
  <c r="S181" i="8"/>
  <c r="R181" i="8"/>
  <c r="P181" i="8"/>
  <c r="K181" i="8"/>
  <c r="AP180" i="8"/>
  <c r="AN180" i="8"/>
  <c r="AJ180" i="8"/>
  <c r="AH180" i="8"/>
  <c r="AD180" i="8"/>
  <c r="AB180" i="8"/>
  <c r="AA180" i="8"/>
  <c r="W180" i="8"/>
  <c r="T180" i="8"/>
  <c r="S180" i="8"/>
  <c r="R180" i="8"/>
  <c r="P180" i="8"/>
  <c r="K180" i="8"/>
  <c r="AP179" i="8"/>
  <c r="AN179" i="8"/>
  <c r="AJ179" i="8"/>
  <c r="AH179" i="8"/>
  <c r="AD179" i="8"/>
  <c r="AB179" i="8"/>
  <c r="AA179" i="8"/>
  <c r="W179" i="8"/>
  <c r="X179" i="8" s="1"/>
  <c r="T179" i="8"/>
  <c r="S179" i="8"/>
  <c r="R179" i="8"/>
  <c r="P179" i="8"/>
  <c r="K179" i="8"/>
  <c r="AP178" i="8"/>
  <c r="AN178" i="8"/>
  <c r="AJ178" i="8"/>
  <c r="AH178" i="8"/>
  <c r="AD178" i="8"/>
  <c r="AB178" i="8"/>
  <c r="AA178" i="8"/>
  <c r="W178" i="8"/>
  <c r="T178" i="8"/>
  <c r="S178" i="8"/>
  <c r="R178" i="8"/>
  <c r="P178" i="8"/>
  <c r="K178" i="8"/>
  <c r="AP177" i="8"/>
  <c r="AN177" i="8"/>
  <c r="AJ177" i="8"/>
  <c r="AH177" i="8"/>
  <c r="AD177" i="8"/>
  <c r="AB177" i="8"/>
  <c r="AA177" i="8"/>
  <c r="W177" i="8"/>
  <c r="X177" i="8" s="1"/>
  <c r="T177" i="8"/>
  <c r="S177" i="8"/>
  <c r="R177" i="8"/>
  <c r="P177" i="8"/>
  <c r="K177" i="8"/>
  <c r="AP176" i="8"/>
  <c r="AN176" i="8"/>
  <c r="AJ176" i="8"/>
  <c r="AH176" i="8"/>
  <c r="AD176" i="8"/>
  <c r="AB176" i="8"/>
  <c r="AA176" i="8"/>
  <c r="W176" i="8"/>
  <c r="T176" i="8"/>
  <c r="S176" i="8"/>
  <c r="R176" i="8"/>
  <c r="P176" i="8"/>
  <c r="K176" i="8"/>
  <c r="AP175" i="8"/>
  <c r="AN175" i="8"/>
  <c r="AJ175" i="8"/>
  <c r="AH175" i="8"/>
  <c r="AD175" i="8"/>
  <c r="AB175" i="8"/>
  <c r="AA175" i="8"/>
  <c r="W175" i="8"/>
  <c r="X175" i="8" s="1"/>
  <c r="T175" i="8"/>
  <c r="S175" i="8"/>
  <c r="R175" i="8"/>
  <c r="P175" i="8"/>
  <c r="K175" i="8"/>
  <c r="AP174" i="8"/>
  <c r="AN174" i="8"/>
  <c r="AJ174" i="8"/>
  <c r="AH174" i="8"/>
  <c r="AD174" i="8"/>
  <c r="AB174" i="8"/>
  <c r="AA174" i="8"/>
  <c r="W174" i="8"/>
  <c r="T174" i="8"/>
  <c r="S174" i="8"/>
  <c r="R174" i="8"/>
  <c r="P174" i="8"/>
  <c r="K174" i="8"/>
  <c r="AP173" i="8"/>
  <c r="AN173" i="8"/>
  <c r="AJ173" i="8"/>
  <c r="AH173" i="8"/>
  <c r="AD173" i="8"/>
  <c r="AB173" i="8"/>
  <c r="AA173" i="8"/>
  <c r="W173" i="8"/>
  <c r="X173" i="8" s="1"/>
  <c r="T173" i="8"/>
  <c r="S173" i="8"/>
  <c r="R173" i="8"/>
  <c r="P173" i="8"/>
  <c r="K173" i="8"/>
  <c r="AP172" i="8"/>
  <c r="AN172" i="8"/>
  <c r="AJ172" i="8"/>
  <c r="AH172" i="8"/>
  <c r="AD172" i="8"/>
  <c r="AB172" i="8"/>
  <c r="AA172" i="8"/>
  <c r="W172" i="8"/>
  <c r="T172" i="8"/>
  <c r="S172" i="8"/>
  <c r="R172" i="8"/>
  <c r="P172" i="8"/>
  <c r="K172" i="8"/>
  <c r="AP171" i="8"/>
  <c r="AN171" i="8"/>
  <c r="AJ171" i="8"/>
  <c r="AH171" i="8"/>
  <c r="AD171" i="8"/>
  <c r="AB171" i="8"/>
  <c r="AA171" i="8"/>
  <c r="W171" i="8"/>
  <c r="X171" i="8" s="1"/>
  <c r="T171" i="8"/>
  <c r="S171" i="8"/>
  <c r="R171" i="8"/>
  <c r="P171" i="8"/>
  <c r="K171" i="8"/>
  <c r="AP170" i="8"/>
  <c r="AN170" i="8"/>
  <c r="AJ170" i="8"/>
  <c r="AH170" i="8"/>
  <c r="AD170" i="8"/>
  <c r="AB170" i="8"/>
  <c r="AA170" i="8"/>
  <c r="W170" i="8"/>
  <c r="T170" i="8"/>
  <c r="S170" i="8"/>
  <c r="R170" i="8"/>
  <c r="P170" i="8"/>
  <c r="K170" i="8"/>
  <c r="AP169" i="8"/>
  <c r="AN169" i="8"/>
  <c r="AJ169" i="8"/>
  <c r="AH169" i="8"/>
  <c r="AD169" i="8"/>
  <c r="AB169" i="8"/>
  <c r="AA169" i="8"/>
  <c r="W169" i="8"/>
  <c r="X169" i="8" s="1"/>
  <c r="T169" i="8"/>
  <c r="S169" i="8"/>
  <c r="R169" i="8"/>
  <c r="P169" i="8"/>
  <c r="K169" i="8"/>
  <c r="AP168" i="8"/>
  <c r="AN168" i="8"/>
  <c r="AJ168" i="8"/>
  <c r="AH168" i="8"/>
  <c r="AD168" i="8"/>
  <c r="AB168" i="8"/>
  <c r="AA168" i="8"/>
  <c r="W168" i="8"/>
  <c r="T168" i="8"/>
  <c r="S168" i="8"/>
  <c r="R168" i="8"/>
  <c r="P168" i="8"/>
  <c r="K168" i="8"/>
  <c r="AP167" i="8"/>
  <c r="AN167" i="8"/>
  <c r="AJ167" i="8"/>
  <c r="AH167" i="8"/>
  <c r="AD167" i="8"/>
  <c r="AB167" i="8"/>
  <c r="AA167" i="8"/>
  <c r="W167" i="8"/>
  <c r="X167" i="8" s="1"/>
  <c r="T167" i="8"/>
  <c r="S167" i="8"/>
  <c r="R167" i="8"/>
  <c r="P167" i="8"/>
  <c r="K167" i="8"/>
  <c r="AP166" i="8"/>
  <c r="AN166" i="8"/>
  <c r="AJ166" i="8"/>
  <c r="AH166" i="8"/>
  <c r="AD166" i="8"/>
  <c r="AB166" i="8"/>
  <c r="AA166" i="8"/>
  <c r="W166" i="8"/>
  <c r="T166" i="8"/>
  <c r="S166" i="8"/>
  <c r="R166" i="8"/>
  <c r="P166" i="8"/>
  <c r="K166" i="8"/>
  <c r="AP165" i="8"/>
  <c r="AN165" i="8"/>
  <c r="AJ165" i="8"/>
  <c r="AH165" i="8"/>
  <c r="AD165" i="8"/>
  <c r="AB165" i="8"/>
  <c r="AA165" i="8"/>
  <c r="W165" i="8"/>
  <c r="X165" i="8" s="1"/>
  <c r="T165" i="8"/>
  <c r="S165" i="8"/>
  <c r="R165" i="8"/>
  <c r="P165" i="8"/>
  <c r="K165" i="8"/>
  <c r="AP164" i="8"/>
  <c r="AN164" i="8"/>
  <c r="AJ164" i="8"/>
  <c r="AH164" i="8"/>
  <c r="AD164" i="8"/>
  <c r="AB164" i="8"/>
  <c r="AA164" i="8"/>
  <c r="W164" i="8"/>
  <c r="T164" i="8"/>
  <c r="S164" i="8"/>
  <c r="R164" i="8"/>
  <c r="P164" i="8"/>
  <c r="K164" i="8"/>
  <c r="AP163" i="8"/>
  <c r="AN163" i="8"/>
  <c r="AJ163" i="8"/>
  <c r="AH163" i="8"/>
  <c r="AD163" i="8"/>
  <c r="AB163" i="8"/>
  <c r="AA163" i="8"/>
  <c r="W163" i="8"/>
  <c r="X163" i="8" s="1"/>
  <c r="T163" i="8"/>
  <c r="S163" i="8"/>
  <c r="R163" i="8"/>
  <c r="P163" i="8"/>
  <c r="K163" i="8"/>
  <c r="AP162" i="8"/>
  <c r="AN162" i="8"/>
  <c r="AJ162" i="8"/>
  <c r="AH162" i="8"/>
  <c r="AD162" i="8"/>
  <c r="AB162" i="8"/>
  <c r="AA162" i="8"/>
  <c r="W162" i="8"/>
  <c r="T162" i="8"/>
  <c r="S162" i="8"/>
  <c r="R162" i="8"/>
  <c r="P162" i="8"/>
  <c r="K162" i="8"/>
  <c r="AP161" i="8"/>
  <c r="AN161" i="8"/>
  <c r="AJ161" i="8"/>
  <c r="AH161" i="8"/>
  <c r="AD161" i="8"/>
  <c r="AB161" i="8"/>
  <c r="AA161" i="8"/>
  <c r="W161" i="8"/>
  <c r="X161" i="8" s="1"/>
  <c r="T161" i="8"/>
  <c r="S161" i="8"/>
  <c r="R161" i="8"/>
  <c r="P161" i="8"/>
  <c r="K161" i="8"/>
  <c r="AP160" i="8"/>
  <c r="AN160" i="8"/>
  <c r="AJ160" i="8"/>
  <c r="AH160" i="8"/>
  <c r="AD160" i="8"/>
  <c r="AB160" i="8"/>
  <c r="AA160" i="8"/>
  <c r="W160" i="8"/>
  <c r="T160" i="8"/>
  <c r="S160" i="8"/>
  <c r="R160" i="8"/>
  <c r="P160" i="8"/>
  <c r="K160" i="8"/>
  <c r="AP159" i="8"/>
  <c r="AN159" i="8"/>
  <c r="AJ159" i="8"/>
  <c r="AH159" i="8"/>
  <c r="AD159" i="8"/>
  <c r="AB159" i="8"/>
  <c r="AA159" i="8"/>
  <c r="W159" i="8"/>
  <c r="X159" i="8" s="1"/>
  <c r="T159" i="8"/>
  <c r="S159" i="8"/>
  <c r="R159" i="8"/>
  <c r="P159" i="8"/>
  <c r="K159" i="8"/>
  <c r="AP158" i="8"/>
  <c r="AN158" i="8"/>
  <c r="AJ158" i="8"/>
  <c r="AH158" i="8"/>
  <c r="AD158" i="8"/>
  <c r="AB158" i="8"/>
  <c r="AA158" i="8"/>
  <c r="W158" i="8"/>
  <c r="T158" i="8"/>
  <c r="S158" i="8"/>
  <c r="R158" i="8"/>
  <c r="P158" i="8"/>
  <c r="K158" i="8"/>
  <c r="AP157" i="8"/>
  <c r="AN157" i="8"/>
  <c r="AJ157" i="8"/>
  <c r="AH157" i="8"/>
  <c r="AD157" i="8"/>
  <c r="AB157" i="8"/>
  <c r="AA157" i="8"/>
  <c r="W157" i="8"/>
  <c r="X157" i="8" s="1"/>
  <c r="T157" i="8"/>
  <c r="S157" i="8"/>
  <c r="R157" i="8"/>
  <c r="P157" i="8"/>
  <c r="K157" i="8"/>
  <c r="AP156" i="8"/>
  <c r="AN156" i="8"/>
  <c r="AJ156" i="8"/>
  <c r="AH156" i="8"/>
  <c r="AD156" i="8"/>
  <c r="AB156" i="8"/>
  <c r="AA156" i="8"/>
  <c r="W156" i="8"/>
  <c r="T156" i="8"/>
  <c r="S156" i="8"/>
  <c r="R156" i="8"/>
  <c r="P156" i="8"/>
  <c r="K156" i="8"/>
  <c r="AP155" i="8"/>
  <c r="AN155" i="8"/>
  <c r="AJ155" i="8"/>
  <c r="AH155" i="8"/>
  <c r="AD155" i="8"/>
  <c r="AB155" i="8"/>
  <c r="AA155" i="8"/>
  <c r="W155" i="8"/>
  <c r="X155" i="8" s="1"/>
  <c r="T155" i="8"/>
  <c r="S155" i="8"/>
  <c r="R155" i="8"/>
  <c r="P155" i="8"/>
  <c r="K155" i="8"/>
  <c r="AP154" i="8"/>
  <c r="AN154" i="8"/>
  <c r="AJ154" i="8"/>
  <c r="AH154" i="8"/>
  <c r="AD154" i="8"/>
  <c r="AB154" i="8"/>
  <c r="AA154" i="8"/>
  <c r="W154" i="8"/>
  <c r="T154" i="8"/>
  <c r="S154" i="8"/>
  <c r="R154" i="8"/>
  <c r="P154" i="8"/>
  <c r="K154" i="8"/>
  <c r="AP153" i="8"/>
  <c r="AN153" i="8"/>
  <c r="AJ153" i="8"/>
  <c r="AH153" i="8"/>
  <c r="AD153" i="8"/>
  <c r="AB153" i="8"/>
  <c r="AA153" i="8"/>
  <c r="W153" i="8"/>
  <c r="X153" i="8" s="1"/>
  <c r="T153" i="8"/>
  <c r="S153" i="8"/>
  <c r="R153" i="8"/>
  <c r="P153" i="8"/>
  <c r="K153" i="8"/>
  <c r="AP152" i="8"/>
  <c r="AN152" i="8"/>
  <c r="AJ152" i="8"/>
  <c r="AH152" i="8"/>
  <c r="AD152" i="8"/>
  <c r="AB152" i="8"/>
  <c r="AA152" i="8"/>
  <c r="W152" i="8"/>
  <c r="T152" i="8"/>
  <c r="S152" i="8"/>
  <c r="R152" i="8"/>
  <c r="P152" i="8"/>
  <c r="K152" i="8"/>
  <c r="AP151" i="8"/>
  <c r="AN151" i="8"/>
  <c r="AJ151" i="8"/>
  <c r="AH151" i="8"/>
  <c r="AD151" i="8"/>
  <c r="AB151" i="8"/>
  <c r="AA151" i="8"/>
  <c r="W151" i="8"/>
  <c r="X151" i="8" s="1"/>
  <c r="T151" i="8"/>
  <c r="S151" i="8"/>
  <c r="R151" i="8"/>
  <c r="P151" i="8"/>
  <c r="K151" i="8"/>
  <c r="AP150" i="8"/>
  <c r="AN150" i="8"/>
  <c r="AJ150" i="8"/>
  <c r="AH150" i="8"/>
  <c r="AD150" i="8"/>
  <c r="AB150" i="8"/>
  <c r="AA150" i="8"/>
  <c r="W150" i="8"/>
  <c r="T150" i="8"/>
  <c r="S150" i="8"/>
  <c r="R150" i="8"/>
  <c r="P150" i="8"/>
  <c r="K150" i="8"/>
  <c r="AP149" i="8"/>
  <c r="AN149" i="8"/>
  <c r="AJ149" i="8"/>
  <c r="AH149" i="8"/>
  <c r="AD149" i="8"/>
  <c r="AB149" i="8"/>
  <c r="AA149" i="8"/>
  <c r="W149" i="8"/>
  <c r="X149" i="8" s="1"/>
  <c r="T149" i="8"/>
  <c r="S149" i="8"/>
  <c r="R149" i="8"/>
  <c r="P149" i="8"/>
  <c r="K149" i="8"/>
  <c r="AP148" i="8"/>
  <c r="AN148" i="8"/>
  <c r="AJ148" i="8"/>
  <c r="AH148" i="8"/>
  <c r="AD148" i="8"/>
  <c r="AB148" i="8"/>
  <c r="AA148" i="8"/>
  <c r="W148" i="8"/>
  <c r="T148" i="8"/>
  <c r="S148" i="8"/>
  <c r="R148" i="8"/>
  <c r="P148" i="8"/>
  <c r="K148" i="8"/>
  <c r="AP147" i="8"/>
  <c r="AN147" i="8"/>
  <c r="AJ147" i="8"/>
  <c r="AH147" i="8"/>
  <c r="AD147" i="8"/>
  <c r="AB147" i="8"/>
  <c r="AA147" i="8"/>
  <c r="W147" i="8"/>
  <c r="X147" i="8" s="1"/>
  <c r="T147" i="8"/>
  <c r="S147" i="8"/>
  <c r="R147" i="8"/>
  <c r="P147" i="8"/>
  <c r="K147" i="8"/>
  <c r="AP146" i="8"/>
  <c r="AN146" i="8"/>
  <c r="AJ146" i="8"/>
  <c r="AH146" i="8"/>
  <c r="AD146" i="8"/>
  <c r="AB146" i="8"/>
  <c r="AA146" i="8"/>
  <c r="W146" i="8"/>
  <c r="T146" i="8"/>
  <c r="S146" i="8"/>
  <c r="R146" i="8"/>
  <c r="P146" i="8"/>
  <c r="K146" i="8"/>
  <c r="AP145" i="8"/>
  <c r="AN145" i="8"/>
  <c r="AJ145" i="8"/>
  <c r="AH145" i="8"/>
  <c r="AD145" i="8"/>
  <c r="AB145" i="8"/>
  <c r="AA145" i="8"/>
  <c r="W145" i="8"/>
  <c r="X145" i="8" s="1"/>
  <c r="T145" i="8"/>
  <c r="S145" i="8"/>
  <c r="R145" i="8"/>
  <c r="P145" i="8"/>
  <c r="K145" i="8"/>
  <c r="AP144" i="8"/>
  <c r="AN144" i="8"/>
  <c r="AJ144" i="8"/>
  <c r="AH144" i="8"/>
  <c r="AD144" i="8"/>
  <c r="AB144" i="8"/>
  <c r="AA144" i="8"/>
  <c r="W144" i="8"/>
  <c r="T144" i="8"/>
  <c r="S144" i="8"/>
  <c r="R144" i="8"/>
  <c r="P144" i="8"/>
  <c r="K144" i="8"/>
  <c r="AP143" i="8"/>
  <c r="AN143" i="8"/>
  <c r="AJ143" i="8"/>
  <c r="AH143" i="8"/>
  <c r="AD143" i="8"/>
  <c r="AB143" i="8"/>
  <c r="AA143" i="8"/>
  <c r="W143" i="8"/>
  <c r="X143" i="8" s="1"/>
  <c r="T143" i="8"/>
  <c r="S143" i="8"/>
  <c r="R143" i="8"/>
  <c r="P143" i="8"/>
  <c r="K143" i="8"/>
  <c r="AP142" i="8"/>
  <c r="AN142" i="8"/>
  <c r="AJ142" i="8"/>
  <c r="AH142" i="8"/>
  <c r="AD142" i="8"/>
  <c r="AB142" i="8"/>
  <c r="AA142" i="8"/>
  <c r="W142" i="8"/>
  <c r="T142" i="8"/>
  <c r="S142" i="8"/>
  <c r="R142" i="8"/>
  <c r="P142" i="8"/>
  <c r="K142" i="8"/>
  <c r="AP141" i="8"/>
  <c r="AN141" i="8"/>
  <c r="AJ141" i="8"/>
  <c r="AH141" i="8"/>
  <c r="AD141" i="8"/>
  <c r="AB141" i="8"/>
  <c r="AA141" i="8"/>
  <c r="W141" i="8"/>
  <c r="X141" i="8" s="1"/>
  <c r="T141" i="8"/>
  <c r="S141" i="8"/>
  <c r="R141" i="8"/>
  <c r="P141" i="8"/>
  <c r="K141" i="8"/>
  <c r="AP140" i="8"/>
  <c r="AN140" i="8"/>
  <c r="AJ140" i="8"/>
  <c r="AH140" i="8"/>
  <c r="AD140" i="8"/>
  <c r="AB140" i="8"/>
  <c r="AA140" i="8"/>
  <c r="W140" i="8"/>
  <c r="T140" i="8"/>
  <c r="S140" i="8"/>
  <c r="R140" i="8"/>
  <c r="P140" i="8"/>
  <c r="K140" i="8"/>
  <c r="AP139" i="8"/>
  <c r="AN139" i="8"/>
  <c r="AJ139" i="8"/>
  <c r="AH139" i="8"/>
  <c r="AD139" i="8"/>
  <c r="AB139" i="8"/>
  <c r="AA139" i="8"/>
  <c r="W139" i="8"/>
  <c r="X139" i="8" s="1"/>
  <c r="T139" i="8"/>
  <c r="S139" i="8"/>
  <c r="R139" i="8"/>
  <c r="P139" i="8"/>
  <c r="K139" i="8"/>
  <c r="AP138" i="8"/>
  <c r="AN138" i="8"/>
  <c r="AJ138" i="8"/>
  <c r="AH138" i="8"/>
  <c r="AD138" i="8"/>
  <c r="AB138" i="8"/>
  <c r="AA138" i="8"/>
  <c r="W138" i="8"/>
  <c r="T138" i="8"/>
  <c r="S138" i="8"/>
  <c r="R138" i="8"/>
  <c r="P138" i="8"/>
  <c r="K138" i="8"/>
  <c r="AP137" i="8"/>
  <c r="AN137" i="8"/>
  <c r="AJ137" i="8"/>
  <c r="AH137" i="8"/>
  <c r="AD137" i="8"/>
  <c r="AB137" i="8"/>
  <c r="AA137" i="8"/>
  <c r="W137" i="8"/>
  <c r="T137" i="8"/>
  <c r="X137" i="8" s="1"/>
  <c r="S137" i="8"/>
  <c r="R137" i="8"/>
  <c r="P137" i="8"/>
  <c r="K137" i="8"/>
  <c r="AP136" i="8"/>
  <c r="AN136" i="8"/>
  <c r="AJ136" i="8"/>
  <c r="AH136" i="8"/>
  <c r="AD136" i="8"/>
  <c r="AB136" i="8"/>
  <c r="AA136" i="8"/>
  <c r="W136" i="8"/>
  <c r="T136" i="8"/>
  <c r="S136" i="8"/>
  <c r="R136" i="8"/>
  <c r="P136" i="8"/>
  <c r="K136" i="8"/>
  <c r="AP135" i="8"/>
  <c r="AN135" i="8"/>
  <c r="AJ135" i="8"/>
  <c r="AH135" i="8"/>
  <c r="AD135" i="8"/>
  <c r="AB135" i="8"/>
  <c r="AA135" i="8"/>
  <c r="W135" i="8"/>
  <c r="T135" i="8"/>
  <c r="X135" i="8" s="1"/>
  <c r="S135" i="8"/>
  <c r="R135" i="8"/>
  <c r="P135" i="8"/>
  <c r="K135" i="8"/>
  <c r="AP134" i="8"/>
  <c r="AN134" i="8"/>
  <c r="AJ134" i="8"/>
  <c r="AH134" i="8"/>
  <c r="AD134" i="8"/>
  <c r="AB134" i="8"/>
  <c r="AA134" i="8"/>
  <c r="W134" i="8"/>
  <c r="T134" i="8"/>
  <c r="S134" i="8"/>
  <c r="R134" i="8"/>
  <c r="P134" i="8"/>
  <c r="K134" i="8"/>
  <c r="AP133" i="8"/>
  <c r="AN133" i="8"/>
  <c r="AJ133" i="8"/>
  <c r="AH133" i="8"/>
  <c r="AD133" i="8"/>
  <c r="AB133" i="8"/>
  <c r="AA133" i="8"/>
  <c r="W133" i="8"/>
  <c r="T133" i="8"/>
  <c r="X133" i="8" s="1"/>
  <c r="S133" i="8"/>
  <c r="R133" i="8"/>
  <c r="P133" i="8"/>
  <c r="K133" i="8"/>
  <c r="AP132" i="8"/>
  <c r="AN132" i="8"/>
  <c r="AJ132" i="8"/>
  <c r="AH132" i="8"/>
  <c r="AD132" i="8"/>
  <c r="AB132" i="8"/>
  <c r="AA132" i="8"/>
  <c r="W132" i="8"/>
  <c r="T132" i="8"/>
  <c r="S132" i="8"/>
  <c r="R132" i="8"/>
  <c r="P132" i="8"/>
  <c r="K132" i="8"/>
  <c r="AP131" i="8"/>
  <c r="AN131" i="8"/>
  <c r="AJ131" i="8"/>
  <c r="AH131" i="8"/>
  <c r="AD131" i="8"/>
  <c r="AB131" i="8"/>
  <c r="AA131" i="8"/>
  <c r="W131" i="8"/>
  <c r="T131" i="8"/>
  <c r="X131" i="8" s="1"/>
  <c r="S131" i="8"/>
  <c r="R131" i="8"/>
  <c r="P131" i="8"/>
  <c r="K131" i="8"/>
  <c r="AP130" i="8"/>
  <c r="AN130" i="8"/>
  <c r="AJ130" i="8"/>
  <c r="AH130" i="8"/>
  <c r="AD130" i="8"/>
  <c r="AB130" i="8"/>
  <c r="AA130" i="8"/>
  <c r="W130" i="8"/>
  <c r="T130" i="8"/>
  <c r="S130" i="8"/>
  <c r="R130" i="8"/>
  <c r="P130" i="8"/>
  <c r="K130" i="8"/>
  <c r="AP129" i="8"/>
  <c r="AN129" i="8"/>
  <c r="AJ129" i="8"/>
  <c r="AH129" i="8"/>
  <c r="AD129" i="8"/>
  <c r="AB129" i="8"/>
  <c r="AA129" i="8"/>
  <c r="W129" i="8"/>
  <c r="T129" i="8"/>
  <c r="X129" i="8" s="1"/>
  <c r="S129" i="8"/>
  <c r="R129" i="8"/>
  <c r="P129" i="8"/>
  <c r="K129" i="8"/>
  <c r="AP128" i="8"/>
  <c r="AN128" i="8"/>
  <c r="AJ128" i="8"/>
  <c r="AH128" i="8"/>
  <c r="AD128" i="8"/>
  <c r="AB128" i="8"/>
  <c r="AA128" i="8"/>
  <c r="W128" i="8"/>
  <c r="T128" i="8"/>
  <c r="S128" i="8"/>
  <c r="R128" i="8"/>
  <c r="P128" i="8"/>
  <c r="K128" i="8"/>
  <c r="AP127" i="8"/>
  <c r="AN127" i="8"/>
  <c r="AJ127" i="8"/>
  <c r="AH127" i="8"/>
  <c r="AD127" i="8"/>
  <c r="AB127" i="8"/>
  <c r="AA127" i="8"/>
  <c r="W127" i="8"/>
  <c r="X127" i="8" s="1"/>
  <c r="T127" i="8"/>
  <c r="S127" i="8"/>
  <c r="R127" i="8"/>
  <c r="P127" i="8"/>
  <c r="K127" i="8"/>
  <c r="AP126" i="8"/>
  <c r="AN126" i="8"/>
  <c r="AJ126" i="8"/>
  <c r="AH126" i="8"/>
  <c r="AD126" i="8"/>
  <c r="AB126" i="8"/>
  <c r="AA126" i="8"/>
  <c r="W126" i="8"/>
  <c r="T126" i="8"/>
  <c r="S126" i="8"/>
  <c r="R126" i="8"/>
  <c r="P126" i="8"/>
  <c r="K126" i="8"/>
  <c r="AP125" i="8"/>
  <c r="AN125" i="8"/>
  <c r="AJ125" i="8"/>
  <c r="AH125" i="8"/>
  <c r="AD125" i="8"/>
  <c r="AB125" i="8"/>
  <c r="AA125" i="8"/>
  <c r="W125" i="8"/>
  <c r="T125" i="8"/>
  <c r="X125" i="8" s="1"/>
  <c r="S125" i="8"/>
  <c r="R125" i="8"/>
  <c r="P125" i="8"/>
  <c r="K125" i="8"/>
  <c r="AP124" i="8"/>
  <c r="AN124" i="8"/>
  <c r="AJ124" i="8"/>
  <c r="AH124" i="8"/>
  <c r="AD124" i="8"/>
  <c r="AB124" i="8"/>
  <c r="AA124" i="8"/>
  <c r="W124" i="8"/>
  <c r="T124" i="8"/>
  <c r="S124" i="8"/>
  <c r="R124" i="8"/>
  <c r="P124" i="8"/>
  <c r="K124" i="8"/>
  <c r="AP123" i="8"/>
  <c r="AN123" i="8"/>
  <c r="AJ123" i="8"/>
  <c r="AH123" i="8"/>
  <c r="AD123" i="8"/>
  <c r="AB123" i="8"/>
  <c r="AA123" i="8"/>
  <c r="W123" i="8"/>
  <c r="T123" i="8"/>
  <c r="X123" i="8" s="1"/>
  <c r="S123" i="8"/>
  <c r="R123" i="8"/>
  <c r="P123" i="8"/>
  <c r="K123" i="8"/>
  <c r="AP122" i="8"/>
  <c r="AN122" i="8"/>
  <c r="AJ122" i="8"/>
  <c r="AH122" i="8"/>
  <c r="AD122" i="8"/>
  <c r="AB122" i="8"/>
  <c r="AA122" i="8"/>
  <c r="W122" i="8"/>
  <c r="T122" i="8"/>
  <c r="S122" i="8"/>
  <c r="R122" i="8"/>
  <c r="P122" i="8"/>
  <c r="K122" i="8"/>
  <c r="AP121" i="8"/>
  <c r="AN121" i="8"/>
  <c r="AJ121" i="8"/>
  <c r="AH121" i="8"/>
  <c r="AD121" i="8"/>
  <c r="AB121" i="8"/>
  <c r="AA121" i="8"/>
  <c r="W121" i="8"/>
  <c r="T121" i="8"/>
  <c r="X121" i="8" s="1"/>
  <c r="S121" i="8"/>
  <c r="R121" i="8"/>
  <c r="P121" i="8"/>
  <c r="K121" i="8"/>
  <c r="AP120" i="8"/>
  <c r="AN120" i="8"/>
  <c r="AJ120" i="8"/>
  <c r="AH120" i="8"/>
  <c r="AD120" i="8"/>
  <c r="AB120" i="8"/>
  <c r="AA120" i="8"/>
  <c r="W120" i="8"/>
  <c r="T120" i="8"/>
  <c r="S120" i="8"/>
  <c r="R120" i="8"/>
  <c r="P120" i="8"/>
  <c r="K120" i="8"/>
  <c r="AP119" i="8"/>
  <c r="AN119" i="8"/>
  <c r="AJ119" i="8"/>
  <c r="AH119" i="8"/>
  <c r="AD119" i="8"/>
  <c r="AB119" i="8"/>
  <c r="AA119" i="8"/>
  <c r="W119" i="8"/>
  <c r="T119" i="8"/>
  <c r="X119" i="8" s="1"/>
  <c r="S119" i="8"/>
  <c r="R119" i="8"/>
  <c r="P119" i="8"/>
  <c r="K119" i="8"/>
  <c r="AP118" i="8"/>
  <c r="AN118" i="8"/>
  <c r="AJ118" i="8"/>
  <c r="AH118" i="8"/>
  <c r="AD118" i="8"/>
  <c r="AB118" i="8"/>
  <c r="AA118" i="8"/>
  <c r="W118" i="8"/>
  <c r="T118" i="8"/>
  <c r="S118" i="8"/>
  <c r="R118" i="8"/>
  <c r="P118" i="8"/>
  <c r="K118" i="8"/>
  <c r="AP117" i="8"/>
  <c r="AN117" i="8"/>
  <c r="AJ117" i="8"/>
  <c r="AH117" i="8"/>
  <c r="AD117" i="8"/>
  <c r="AB117" i="8"/>
  <c r="AA117" i="8"/>
  <c r="W117" i="8"/>
  <c r="T117" i="8"/>
  <c r="X117" i="8" s="1"/>
  <c r="S117" i="8"/>
  <c r="R117" i="8"/>
  <c r="P117" i="8"/>
  <c r="K117" i="8"/>
  <c r="AP116" i="8"/>
  <c r="AN116" i="8"/>
  <c r="AJ116" i="8"/>
  <c r="AH116" i="8"/>
  <c r="AD116" i="8"/>
  <c r="AB116" i="8"/>
  <c r="AA116" i="8"/>
  <c r="W116" i="8"/>
  <c r="T116" i="8"/>
  <c r="S116" i="8"/>
  <c r="R116" i="8"/>
  <c r="P116" i="8"/>
  <c r="K116" i="8"/>
  <c r="AP115" i="8"/>
  <c r="AN115" i="8"/>
  <c r="AJ115" i="8"/>
  <c r="AH115" i="8"/>
  <c r="AD115" i="8"/>
  <c r="AB115" i="8"/>
  <c r="AA115" i="8"/>
  <c r="W115" i="8"/>
  <c r="T115" i="8"/>
  <c r="X115" i="8" s="1"/>
  <c r="S115" i="8"/>
  <c r="R115" i="8"/>
  <c r="P115" i="8"/>
  <c r="K115" i="8"/>
  <c r="AP114" i="8"/>
  <c r="AN114" i="8"/>
  <c r="AJ114" i="8"/>
  <c r="AH114" i="8"/>
  <c r="AD114" i="8"/>
  <c r="AB114" i="8"/>
  <c r="AA114" i="8"/>
  <c r="W114" i="8"/>
  <c r="T114" i="8"/>
  <c r="S114" i="8"/>
  <c r="R114" i="8"/>
  <c r="P114" i="8"/>
  <c r="K114" i="8"/>
  <c r="AP113" i="8"/>
  <c r="AN113" i="8"/>
  <c r="AJ113" i="8"/>
  <c r="AH113" i="8"/>
  <c r="AD113" i="8"/>
  <c r="AB113" i="8"/>
  <c r="AA113" i="8"/>
  <c r="W113" i="8"/>
  <c r="T113" i="8"/>
  <c r="X113" i="8" s="1"/>
  <c r="S113" i="8"/>
  <c r="R113" i="8"/>
  <c r="P113" i="8"/>
  <c r="K113" i="8"/>
  <c r="AP112" i="8"/>
  <c r="AN112" i="8"/>
  <c r="AJ112" i="8"/>
  <c r="AH112" i="8"/>
  <c r="AD112" i="8"/>
  <c r="AB112" i="8"/>
  <c r="AA112" i="8"/>
  <c r="W112" i="8"/>
  <c r="T112" i="8"/>
  <c r="S112" i="8"/>
  <c r="R112" i="8"/>
  <c r="P112" i="8"/>
  <c r="K112" i="8"/>
  <c r="AP111" i="8"/>
  <c r="AN111" i="8"/>
  <c r="AJ111" i="8"/>
  <c r="AH111" i="8"/>
  <c r="AD111" i="8"/>
  <c r="AB111" i="8"/>
  <c r="AA111" i="8"/>
  <c r="W111" i="8"/>
  <c r="T111" i="8"/>
  <c r="X111" i="8" s="1"/>
  <c r="S111" i="8"/>
  <c r="R111" i="8"/>
  <c r="P111" i="8"/>
  <c r="K111" i="8"/>
  <c r="AP110" i="8"/>
  <c r="AN110" i="8"/>
  <c r="AJ110" i="8"/>
  <c r="AH110" i="8"/>
  <c r="AD110" i="8"/>
  <c r="AB110" i="8"/>
  <c r="AA110" i="8"/>
  <c r="W110" i="8"/>
  <c r="T110" i="8"/>
  <c r="S110" i="8"/>
  <c r="R110" i="8"/>
  <c r="P110" i="8"/>
  <c r="K110" i="8"/>
  <c r="AP109" i="8"/>
  <c r="AN109" i="8"/>
  <c r="AJ109" i="8"/>
  <c r="AH109" i="8"/>
  <c r="AD109" i="8"/>
  <c r="AB109" i="8"/>
  <c r="AA109" i="8"/>
  <c r="W109" i="8"/>
  <c r="T109" i="8"/>
  <c r="X109" i="8" s="1"/>
  <c r="S109" i="8"/>
  <c r="R109" i="8"/>
  <c r="P109" i="8"/>
  <c r="K109" i="8"/>
  <c r="AP108" i="8"/>
  <c r="AN108" i="8"/>
  <c r="AJ108" i="8"/>
  <c r="AH108" i="8"/>
  <c r="AD108" i="8"/>
  <c r="AB108" i="8"/>
  <c r="AA108" i="8"/>
  <c r="W108" i="8"/>
  <c r="T108" i="8"/>
  <c r="S108" i="8"/>
  <c r="R108" i="8"/>
  <c r="P108" i="8"/>
  <c r="K108" i="8"/>
  <c r="AP107" i="8"/>
  <c r="AN107" i="8"/>
  <c r="AJ107" i="8"/>
  <c r="AH107" i="8"/>
  <c r="AD107" i="8"/>
  <c r="AB107" i="8"/>
  <c r="AA107" i="8"/>
  <c r="W107" i="8"/>
  <c r="T107" i="8"/>
  <c r="X107" i="8" s="1"/>
  <c r="S107" i="8"/>
  <c r="R107" i="8"/>
  <c r="P107" i="8"/>
  <c r="K107" i="8"/>
  <c r="AP106" i="8"/>
  <c r="AN106" i="8"/>
  <c r="AJ106" i="8"/>
  <c r="AH106" i="8"/>
  <c r="AD106" i="8"/>
  <c r="AB106" i="8"/>
  <c r="AA106" i="8"/>
  <c r="W106" i="8"/>
  <c r="T106" i="8"/>
  <c r="S106" i="8"/>
  <c r="R106" i="8"/>
  <c r="P106" i="8"/>
  <c r="K106" i="8"/>
  <c r="AP105" i="8"/>
  <c r="AN105" i="8"/>
  <c r="AJ105" i="8"/>
  <c r="AH105" i="8"/>
  <c r="AD105" i="8"/>
  <c r="AB105" i="8"/>
  <c r="AA105" i="8"/>
  <c r="W105" i="8"/>
  <c r="T105" i="8"/>
  <c r="X105" i="8" s="1"/>
  <c r="S105" i="8"/>
  <c r="R105" i="8"/>
  <c r="P105" i="8"/>
  <c r="K105" i="8"/>
  <c r="AP104" i="8"/>
  <c r="AN104" i="8"/>
  <c r="AJ104" i="8"/>
  <c r="AH104" i="8"/>
  <c r="AD104" i="8"/>
  <c r="AB104" i="8"/>
  <c r="AA104" i="8"/>
  <c r="W104" i="8"/>
  <c r="T104" i="8"/>
  <c r="S104" i="8"/>
  <c r="R104" i="8"/>
  <c r="P104" i="8"/>
  <c r="K104" i="8"/>
  <c r="AP103" i="8"/>
  <c r="AN103" i="8"/>
  <c r="AJ103" i="8"/>
  <c r="AH103" i="8"/>
  <c r="AD103" i="8"/>
  <c r="AB103" i="8"/>
  <c r="AA103" i="8"/>
  <c r="W103" i="8"/>
  <c r="T103" i="8"/>
  <c r="X103" i="8" s="1"/>
  <c r="S103" i="8"/>
  <c r="R103" i="8"/>
  <c r="P103" i="8"/>
  <c r="K103" i="8"/>
  <c r="AP102" i="8"/>
  <c r="AN102" i="8"/>
  <c r="AJ102" i="8"/>
  <c r="AH102" i="8"/>
  <c r="AD102" i="8"/>
  <c r="AB102" i="8"/>
  <c r="AA102" i="8"/>
  <c r="W102" i="8"/>
  <c r="X102" i="8" s="1"/>
  <c r="T102" i="8"/>
  <c r="S102" i="8"/>
  <c r="R102" i="8"/>
  <c r="P102" i="8"/>
  <c r="K102" i="8"/>
  <c r="AP101" i="8"/>
  <c r="AN101" i="8"/>
  <c r="AJ101" i="8"/>
  <c r="AH101" i="8"/>
  <c r="AD101" i="8"/>
  <c r="AB101" i="8"/>
  <c r="AA101" i="8"/>
  <c r="W101" i="8"/>
  <c r="T101" i="8"/>
  <c r="X101" i="8" s="1"/>
  <c r="S101" i="8"/>
  <c r="R101" i="8"/>
  <c r="P101" i="8"/>
  <c r="K101" i="8"/>
  <c r="AP100" i="8"/>
  <c r="AN100" i="8"/>
  <c r="AJ100" i="8"/>
  <c r="AH100" i="8"/>
  <c r="AD100" i="8"/>
  <c r="AB100" i="8"/>
  <c r="AA100" i="8"/>
  <c r="W100" i="8"/>
  <c r="T100" i="8"/>
  <c r="S100" i="8"/>
  <c r="R100" i="8"/>
  <c r="P100" i="8"/>
  <c r="K100" i="8"/>
  <c r="AP99" i="8"/>
  <c r="AN99" i="8"/>
  <c r="AJ99" i="8"/>
  <c r="AH99" i="8"/>
  <c r="AD99" i="8"/>
  <c r="AB99" i="8"/>
  <c r="AA99" i="8"/>
  <c r="W99" i="8"/>
  <c r="T99" i="8"/>
  <c r="X99" i="8" s="1"/>
  <c r="S99" i="8"/>
  <c r="R99" i="8"/>
  <c r="P99" i="8"/>
  <c r="K99" i="8"/>
  <c r="AP98" i="8"/>
  <c r="AN98" i="8"/>
  <c r="AJ98" i="8"/>
  <c r="AH98" i="8"/>
  <c r="AD98" i="8"/>
  <c r="AB98" i="8"/>
  <c r="AA98" i="8"/>
  <c r="W98" i="8"/>
  <c r="T98" i="8"/>
  <c r="S98" i="8"/>
  <c r="R98" i="8"/>
  <c r="P98" i="8"/>
  <c r="K98" i="8"/>
  <c r="AP97" i="8"/>
  <c r="AN97" i="8"/>
  <c r="AJ97" i="8"/>
  <c r="AH97" i="8"/>
  <c r="AD97" i="8"/>
  <c r="AB97" i="8"/>
  <c r="AA97" i="8"/>
  <c r="W97" i="8"/>
  <c r="T97" i="8"/>
  <c r="X97" i="8" s="1"/>
  <c r="S97" i="8"/>
  <c r="R97" i="8"/>
  <c r="P97" i="8"/>
  <c r="K97" i="8"/>
  <c r="AP96" i="8"/>
  <c r="AN96" i="8"/>
  <c r="AJ96" i="8"/>
  <c r="AH96" i="8"/>
  <c r="AD96" i="8"/>
  <c r="AB96" i="8"/>
  <c r="AA96" i="8"/>
  <c r="W96" i="8"/>
  <c r="T96" i="8"/>
  <c r="S96" i="8"/>
  <c r="R96" i="8"/>
  <c r="P96" i="8"/>
  <c r="K96" i="8"/>
  <c r="AP95" i="8"/>
  <c r="AN95" i="8"/>
  <c r="AJ95" i="8"/>
  <c r="AH95" i="8"/>
  <c r="AD95" i="8"/>
  <c r="AB95" i="8"/>
  <c r="AA95" i="8"/>
  <c r="W95" i="8"/>
  <c r="T95" i="8"/>
  <c r="X95" i="8" s="1"/>
  <c r="S95" i="8"/>
  <c r="R95" i="8"/>
  <c r="P95" i="8"/>
  <c r="K95" i="8"/>
  <c r="AP94" i="8"/>
  <c r="AN94" i="8"/>
  <c r="AJ94" i="8"/>
  <c r="AH94" i="8"/>
  <c r="AD94" i="8"/>
  <c r="AB94" i="8"/>
  <c r="AA94" i="8"/>
  <c r="W94" i="8"/>
  <c r="T94" i="8"/>
  <c r="S94" i="8"/>
  <c r="R94" i="8"/>
  <c r="P94" i="8"/>
  <c r="K94" i="8"/>
  <c r="AP93" i="8"/>
  <c r="AN93" i="8"/>
  <c r="AJ93" i="8"/>
  <c r="AH93" i="8"/>
  <c r="AD93" i="8"/>
  <c r="AB93" i="8"/>
  <c r="AA93" i="8"/>
  <c r="W93" i="8"/>
  <c r="T93" i="8"/>
  <c r="X93" i="8" s="1"/>
  <c r="S93" i="8"/>
  <c r="R93" i="8"/>
  <c r="P93" i="8"/>
  <c r="K93" i="8"/>
  <c r="AP92" i="8"/>
  <c r="AN92" i="8"/>
  <c r="AJ92" i="8"/>
  <c r="AH92" i="8"/>
  <c r="AD92" i="8"/>
  <c r="AB92" i="8"/>
  <c r="AA92" i="8"/>
  <c r="W92" i="8"/>
  <c r="T92" i="8"/>
  <c r="S92" i="8"/>
  <c r="R92" i="8"/>
  <c r="P92" i="8"/>
  <c r="K92" i="8"/>
  <c r="AP91" i="8"/>
  <c r="AN91" i="8"/>
  <c r="AJ91" i="8"/>
  <c r="AH91" i="8"/>
  <c r="AD91" i="8"/>
  <c r="AB91" i="8"/>
  <c r="AA91" i="8"/>
  <c r="W91" i="8"/>
  <c r="T91" i="8"/>
  <c r="X91" i="8" s="1"/>
  <c r="S91" i="8"/>
  <c r="R91" i="8"/>
  <c r="P91" i="8"/>
  <c r="K91" i="8"/>
  <c r="AP90" i="8"/>
  <c r="AN90" i="8"/>
  <c r="AJ90" i="8"/>
  <c r="AH90" i="8"/>
  <c r="AD90" i="8"/>
  <c r="AB90" i="8"/>
  <c r="AA90" i="8"/>
  <c r="W90" i="8"/>
  <c r="T90" i="8"/>
  <c r="S90" i="8"/>
  <c r="R90" i="8"/>
  <c r="P90" i="8"/>
  <c r="K90" i="8"/>
  <c r="AP89" i="8"/>
  <c r="AN89" i="8"/>
  <c r="AJ89" i="8"/>
  <c r="AH89" i="8"/>
  <c r="AD89" i="8"/>
  <c r="AB89" i="8"/>
  <c r="AA89" i="8"/>
  <c r="W89" i="8"/>
  <c r="T89" i="8"/>
  <c r="X89" i="8" s="1"/>
  <c r="S89" i="8"/>
  <c r="R89" i="8"/>
  <c r="P89" i="8"/>
  <c r="K89" i="8"/>
  <c r="AP88" i="8"/>
  <c r="AN88" i="8"/>
  <c r="AJ88" i="8"/>
  <c r="AH88" i="8"/>
  <c r="AD88" i="8"/>
  <c r="AB88" i="8"/>
  <c r="AA88" i="8"/>
  <c r="W88" i="8"/>
  <c r="T88" i="8"/>
  <c r="S88" i="8"/>
  <c r="R88" i="8"/>
  <c r="P88" i="8"/>
  <c r="K88" i="8"/>
  <c r="AP87" i="8"/>
  <c r="AN87" i="8"/>
  <c r="AJ87" i="8"/>
  <c r="AH87" i="8"/>
  <c r="AD87" i="8"/>
  <c r="AB87" i="8"/>
  <c r="AA87" i="8"/>
  <c r="W87" i="8"/>
  <c r="T87" i="8"/>
  <c r="X87" i="8" s="1"/>
  <c r="S87" i="8"/>
  <c r="R87" i="8"/>
  <c r="P87" i="8"/>
  <c r="K87" i="8"/>
  <c r="AP86" i="8"/>
  <c r="AN86" i="8"/>
  <c r="AJ86" i="8"/>
  <c r="AH86" i="8"/>
  <c r="AD86" i="8"/>
  <c r="AB86" i="8"/>
  <c r="AA86" i="8"/>
  <c r="W86" i="8"/>
  <c r="T86" i="8"/>
  <c r="S86" i="8"/>
  <c r="R86" i="8"/>
  <c r="P86" i="8"/>
  <c r="K86" i="8"/>
  <c r="AP85" i="8"/>
  <c r="AN85" i="8"/>
  <c r="AJ85" i="8"/>
  <c r="AH85" i="8"/>
  <c r="AD85" i="8"/>
  <c r="AB85" i="8"/>
  <c r="AA85" i="8"/>
  <c r="W85" i="8"/>
  <c r="T85" i="8"/>
  <c r="X85" i="8" s="1"/>
  <c r="S85" i="8"/>
  <c r="R85" i="8"/>
  <c r="P85" i="8"/>
  <c r="K85" i="8"/>
  <c r="AP84" i="8"/>
  <c r="AN84" i="8"/>
  <c r="AJ84" i="8"/>
  <c r="AH84" i="8"/>
  <c r="AD84" i="8"/>
  <c r="AB84" i="8"/>
  <c r="AA84" i="8"/>
  <c r="W84" i="8"/>
  <c r="T84" i="8"/>
  <c r="S84" i="8"/>
  <c r="R84" i="8"/>
  <c r="P84" i="8"/>
  <c r="K84" i="8"/>
  <c r="AP83" i="8"/>
  <c r="AN83" i="8"/>
  <c r="AJ83" i="8"/>
  <c r="AH83" i="8"/>
  <c r="AD83" i="8"/>
  <c r="AB83" i="8"/>
  <c r="AA83" i="8"/>
  <c r="W83" i="8"/>
  <c r="T83" i="8"/>
  <c r="X83" i="8" s="1"/>
  <c r="S83" i="8"/>
  <c r="R83" i="8"/>
  <c r="P83" i="8"/>
  <c r="K83" i="8"/>
  <c r="AP82" i="8"/>
  <c r="AN82" i="8"/>
  <c r="AJ82" i="8"/>
  <c r="AH82" i="8"/>
  <c r="AD82" i="8"/>
  <c r="AB82" i="8"/>
  <c r="AA82" i="8"/>
  <c r="W82" i="8"/>
  <c r="T82" i="8"/>
  <c r="S82" i="8"/>
  <c r="R82" i="8"/>
  <c r="P82" i="8"/>
  <c r="K82" i="8"/>
  <c r="AP81" i="8"/>
  <c r="AN81" i="8"/>
  <c r="AJ81" i="8"/>
  <c r="AH81" i="8"/>
  <c r="AD81" i="8"/>
  <c r="AB81" i="8"/>
  <c r="AA81" i="8"/>
  <c r="W81" i="8"/>
  <c r="T81" i="8"/>
  <c r="X81" i="8" s="1"/>
  <c r="S81" i="8"/>
  <c r="R81" i="8"/>
  <c r="P81" i="8"/>
  <c r="K81" i="8"/>
  <c r="AP80" i="8"/>
  <c r="AN80" i="8"/>
  <c r="AJ80" i="8"/>
  <c r="AH80" i="8"/>
  <c r="AD80" i="8"/>
  <c r="AB80" i="8"/>
  <c r="AA80" i="8"/>
  <c r="W80" i="8"/>
  <c r="X80" i="8" s="1"/>
  <c r="T80" i="8"/>
  <c r="S80" i="8"/>
  <c r="R80" i="8"/>
  <c r="P80" i="8"/>
  <c r="K80" i="8"/>
  <c r="AP79" i="8"/>
  <c r="AN79" i="8"/>
  <c r="AJ79" i="8"/>
  <c r="AH79" i="8"/>
  <c r="AD79" i="8"/>
  <c r="AB79" i="8"/>
  <c r="AA79" i="8"/>
  <c r="W79" i="8"/>
  <c r="T79" i="8"/>
  <c r="S79" i="8"/>
  <c r="R79" i="8"/>
  <c r="P79" i="8"/>
  <c r="K79" i="8"/>
  <c r="AP78" i="8"/>
  <c r="AN78" i="8"/>
  <c r="AJ78" i="8"/>
  <c r="AH78" i="8"/>
  <c r="AD78" i="8"/>
  <c r="AB78" i="8"/>
  <c r="AA78" i="8"/>
  <c r="W78" i="8"/>
  <c r="T78" i="8"/>
  <c r="S78" i="8"/>
  <c r="R78" i="8"/>
  <c r="P78" i="8"/>
  <c r="K78" i="8"/>
  <c r="AP77" i="8"/>
  <c r="AN77" i="8"/>
  <c r="AJ77" i="8"/>
  <c r="AH77" i="8"/>
  <c r="AD77" i="8"/>
  <c r="AB77" i="8"/>
  <c r="AA77" i="8"/>
  <c r="W77" i="8"/>
  <c r="T77" i="8"/>
  <c r="X77" i="8" s="1"/>
  <c r="S77" i="8"/>
  <c r="R77" i="8"/>
  <c r="P77" i="8"/>
  <c r="K77" i="8"/>
  <c r="AP76" i="8"/>
  <c r="AN76" i="8"/>
  <c r="AJ76" i="8"/>
  <c r="AH76" i="8"/>
  <c r="AD76" i="8"/>
  <c r="AB76" i="8"/>
  <c r="AA76" i="8"/>
  <c r="W76" i="8"/>
  <c r="T76" i="8"/>
  <c r="S76" i="8"/>
  <c r="R76" i="8"/>
  <c r="P76" i="8"/>
  <c r="K76" i="8"/>
  <c r="AP75" i="8"/>
  <c r="AN75" i="8"/>
  <c r="AJ75" i="8"/>
  <c r="AH75" i="8"/>
  <c r="AD75" i="8"/>
  <c r="AB75" i="8"/>
  <c r="AA75" i="8"/>
  <c r="W75" i="8"/>
  <c r="T75" i="8"/>
  <c r="S75" i="8"/>
  <c r="R75" i="8"/>
  <c r="P75" i="8"/>
  <c r="K75" i="8"/>
  <c r="AP74" i="8"/>
  <c r="AN74" i="8"/>
  <c r="AJ74" i="8"/>
  <c r="AH74" i="8"/>
  <c r="AD74" i="8"/>
  <c r="AB74" i="8"/>
  <c r="AA74" i="8"/>
  <c r="W74" i="8"/>
  <c r="T74" i="8"/>
  <c r="S74" i="8"/>
  <c r="R74" i="8"/>
  <c r="P74" i="8"/>
  <c r="K74" i="8"/>
  <c r="AP73" i="8"/>
  <c r="AN73" i="8"/>
  <c r="AJ73" i="8"/>
  <c r="AH73" i="8"/>
  <c r="AD73" i="8"/>
  <c r="AB73" i="8"/>
  <c r="AA73" i="8"/>
  <c r="W73" i="8"/>
  <c r="T73" i="8"/>
  <c r="X73" i="8" s="1"/>
  <c r="S73" i="8"/>
  <c r="R73" i="8"/>
  <c r="P73" i="8"/>
  <c r="K73" i="8"/>
  <c r="AP72" i="8"/>
  <c r="AN72" i="8"/>
  <c r="AJ72" i="8"/>
  <c r="AH72" i="8"/>
  <c r="AD72" i="8"/>
  <c r="AB72" i="8"/>
  <c r="AA72" i="8"/>
  <c r="W72" i="8"/>
  <c r="T72" i="8"/>
  <c r="S72" i="8"/>
  <c r="R72" i="8"/>
  <c r="P72" i="8"/>
  <c r="K72" i="8"/>
  <c r="AP71" i="8"/>
  <c r="AN71" i="8"/>
  <c r="AJ71" i="8"/>
  <c r="AH71" i="8"/>
  <c r="AD71" i="8"/>
  <c r="AB71" i="8"/>
  <c r="AA71" i="8"/>
  <c r="W71" i="8"/>
  <c r="T71" i="8"/>
  <c r="S71" i="8"/>
  <c r="R71" i="8"/>
  <c r="P71" i="8"/>
  <c r="K71" i="8"/>
  <c r="AP70" i="8"/>
  <c r="AN70" i="8"/>
  <c r="AJ70" i="8"/>
  <c r="AH70" i="8"/>
  <c r="AD70" i="8"/>
  <c r="AB70" i="8"/>
  <c r="AA70" i="8"/>
  <c r="W70" i="8"/>
  <c r="T70" i="8"/>
  <c r="S70" i="8"/>
  <c r="R70" i="8"/>
  <c r="P70" i="8"/>
  <c r="K70" i="8"/>
  <c r="AP69" i="8"/>
  <c r="AN69" i="8"/>
  <c r="AJ69" i="8"/>
  <c r="AH69" i="8"/>
  <c r="AD69" i="8"/>
  <c r="AB69" i="8"/>
  <c r="AA69" i="8"/>
  <c r="W69" i="8"/>
  <c r="T69" i="8"/>
  <c r="X69" i="8" s="1"/>
  <c r="S69" i="8"/>
  <c r="R69" i="8"/>
  <c r="P69" i="8"/>
  <c r="K69" i="8"/>
  <c r="AP68" i="8"/>
  <c r="AN68" i="8"/>
  <c r="AJ68" i="8"/>
  <c r="AH68" i="8"/>
  <c r="AD68" i="8"/>
  <c r="AB68" i="8"/>
  <c r="AA68" i="8"/>
  <c r="W68" i="8"/>
  <c r="T68" i="8"/>
  <c r="S68" i="8"/>
  <c r="R68" i="8"/>
  <c r="P68" i="8"/>
  <c r="K68" i="8"/>
  <c r="AP67" i="8"/>
  <c r="AN67" i="8"/>
  <c r="AJ67" i="8"/>
  <c r="AH67" i="8"/>
  <c r="AD67" i="8"/>
  <c r="AB67" i="8"/>
  <c r="AA67" i="8"/>
  <c r="W67" i="8"/>
  <c r="T67" i="8"/>
  <c r="S67" i="8"/>
  <c r="R67" i="8"/>
  <c r="P67" i="8"/>
  <c r="K67" i="8"/>
  <c r="AP66" i="8"/>
  <c r="AN66" i="8"/>
  <c r="AJ66" i="8"/>
  <c r="AH66" i="8"/>
  <c r="AD66" i="8"/>
  <c r="AB66" i="8"/>
  <c r="AA66" i="8"/>
  <c r="W66" i="8"/>
  <c r="T66" i="8"/>
  <c r="S66" i="8"/>
  <c r="R66" i="8"/>
  <c r="P66" i="8"/>
  <c r="K66" i="8"/>
  <c r="AP65" i="8"/>
  <c r="AN65" i="8"/>
  <c r="AJ65" i="8"/>
  <c r="AH65" i="8"/>
  <c r="AD65" i="8"/>
  <c r="AB65" i="8"/>
  <c r="AA65" i="8"/>
  <c r="W65" i="8"/>
  <c r="T65" i="8"/>
  <c r="X65" i="8" s="1"/>
  <c r="S65" i="8"/>
  <c r="R65" i="8"/>
  <c r="P65" i="8"/>
  <c r="K65" i="8"/>
  <c r="AP64" i="8"/>
  <c r="AN64" i="8"/>
  <c r="AJ64" i="8"/>
  <c r="AH64" i="8"/>
  <c r="AD64" i="8"/>
  <c r="AB64" i="8"/>
  <c r="AA64" i="8"/>
  <c r="W64" i="8"/>
  <c r="T64" i="8"/>
  <c r="S64" i="8"/>
  <c r="R64" i="8"/>
  <c r="P64" i="8"/>
  <c r="K64" i="8"/>
  <c r="AP63" i="8"/>
  <c r="AN63" i="8"/>
  <c r="AJ63" i="8"/>
  <c r="AH63" i="8"/>
  <c r="AD63" i="8"/>
  <c r="AB63" i="8"/>
  <c r="AA63" i="8"/>
  <c r="W63" i="8"/>
  <c r="T63" i="8"/>
  <c r="S63" i="8"/>
  <c r="R63" i="8"/>
  <c r="P63" i="8"/>
  <c r="K63" i="8"/>
  <c r="AP62" i="8"/>
  <c r="AN62" i="8"/>
  <c r="AJ62" i="8"/>
  <c r="AH62" i="8"/>
  <c r="AD62" i="8"/>
  <c r="AB62" i="8"/>
  <c r="AA62" i="8"/>
  <c r="W62" i="8"/>
  <c r="T62" i="8"/>
  <c r="S62" i="8"/>
  <c r="R62" i="8"/>
  <c r="P62" i="8"/>
  <c r="K62" i="8"/>
  <c r="AP61" i="8"/>
  <c r="AN61" i="8"/>
  <c r="AJ61" i="8"/>
  <c r="AH61" i="8"/>
  <c r="AD61" i="8"/>
  <c r="AB61" i="8"/>
  <c r="AA61" i="8"/>
  <c r="W61" i="8"/>
  <c r="T61" i="8"/>
  <c r="X61" i="8" s="1"/>
  <c r="S61" i="8"/>
  <c r="R61" i="8"/>
  <c r="P61" i="8"/>
  <c r="K61" i="8"/>
  <c r="AP60" i="8"/>
  <c r="AN60" i="8"/>
  <c r="AJ60" i="8"/>
  <c r="AH60" i="8"/>
  <c r="AD60" i="8"/>
  <c r="AB60" i="8"/>
  <c r="AA60" i="8"/>
  <c r="W60" i="8"/>
  <c r="T60" i="8"/>
  <c r="S60" i="8"/>
  <c r="R60" i="8"/>
  <c r="P60" i="8"/>
  <c r="K60" i="8"/>
  <c r="AP59" i="8"/>
  <c r="AN59" i="8"/>
  <c r="AJ59" i="8"/>
  <c r="AH59" i="8"/>
  <c r="AD59" i="8"/>
  <c r="AB59" i="8"/>
  <c r="AA59" i="8"/>
  <c r="W59" i="8"/>
  <c r="T59" i="8"/>
  <c r="S59" i="8"/>
  <c r="R59" i="8"/>
  <c r="P59" i="8"/>
  <c r="K59" i="8"/>
  <c r="AP58" i="8"/>
  <c r="AN58" i="8"/>
  <c r="AJ58" i="8"/>
  <c r="AH58" i="8"/>
  <c r="AD58" i="8"/>
  <c r="AB58" i="8"/>
  <c r="AA58" i="8"/>
  <c r="W58" i="8"/>
  <c r="T58" i="8"/>
  <c r="S58" i="8"/>
  <c r="R58" i="8"/>
  <c r="P58" i="8"/>
  <c r="K58" i="8"/>
  <c r="AP57" i="8"/>
  <c r="AN57" i="8"/>
  <c r="AJ57" i="8"/>
  <c r="AH57" i="8"/>
  <c r="AD57" i="8"/>
  <c r="AB57" i="8"/>
  <c r="AA57" i="8"/>
  <c r="W57" i="8"/>
  <c r="T57" i="8"/>
  <c r="X57" i="8" s="1"/>
  <c r="S57" i="8"/>
  <c r="R57" i="8"/>
  <c r="P57" i="8"/>
  <c r="K57" i="8"/>
  <c r="AP56" i="8"/>
  <c r="AN56" i="8"/>
  <c r="AJ56" i="8"/>
  <c r="AH56" i="8"/>
  <c r="AD56" i="8"/>
  <c r="AB56" i="8"/>
  <c r="AA56" i="8"/>
  <c r="W56" i="8"/>
  <c r="T56" i="8"/>
  <c r="S56" i="8"/>
  <c r="R56" i="8"/>
  <c r="P56" i="8"/>
  <c r="K56" i="8"/>
  <c r="AP55" i="8"/>
  <c r="AN55" i="8"/>
  <c r="AJ55" i="8"/>
  <c r="AH55" i="8"/>
  <c r="AD55" i="8"/>
  <c r="AB55" i="8"/>
  <c r="AA55" i="8"/>
  <c r="W55" i="8"/>
  <c r="T55" i="8"/>
  <c r="S55" i="8"/>
  <c r="R55" i="8"/>
  <c r="P55" i="8"/>
  <c r="K55" i="8"/>
  <c r="AP54" i="8"/>
  <c r="AN54" i="8"/>
  <c r="AJ54" i="8"/>
  <c r="AH54" i="8"/>
  <c r="AD54" i="8"/>
  <c r="AB54" i="8"/>
  <c r="AA54" i="8"/>
  <c r="W54" i="8"/>
  <c r="T54" i="8"/>
  <c r="S54" i="8"/>
  <c r="R54" i="8"/>
  <c r="P54" i="8"/>
  <c r="K54" i="8"/>
  <c r="AP53" i="8"/>
  <c r="AN53" i="8"/>
  <c r="AJ53" i="8"/>
  <c r="AH53" i="8"/>
  <c r="AD53" i="8"/>
  <c r="AB53" i="8"/>
  <c r="AA53" i="8"/>
  <c r="W53" i="8"/>
  <c r="T53" i="8"/>
  <c r="X53" i="8" s="1"/>
  <c r="S53" i="8"/>
  <c r="R53" i="8"/>
  <c r="P53" i="8"/>
  <c r="K53" i="8"/>
  <c r="AP52" i="8"/>
  <c r="AN52" i="8"/>
  <c r="AJ52" i="8"/>
  <c r="AH52" i="8"/>
  <c r="AD52" i="8"/>
  <c r="AB52" i="8"/>
  <c r="AA52" i="8"/>
  <c r="W52" i="8"/>
  <c r="T52" i="8"/>
  <c r="S52" i="8"/>
  <c r="R52" i="8"/>
  <c r="P52" i="8"/>
  <c r="K52" i="8"/>
  <c r="AP51" i="8"/>
  <c r="AN51" i="8"/>
  <c r="AJ51" i="8"/>
  <c r="AH51" i="8"/>
  <c r="AD51" i="8"/>
  <c r="AB51" i="8"/>
  <c r="AA51" i="8"/>
  <c r="W51" i="8"/>
  <c r="T51" i="8"/>
  <c r="S51" i="8"/>
  <c r="R51" i="8"/>
  <c r="P51" i="8"/>
  <c r="K51" i="8"/>
  <c r="AP50" i="8"/>
  <c r="AN50" i="8"/>
  <c r="AJ50" i="8"/>
  <c r="AH50" i="8"/>
  <c r="AD50" i="8"/>
  <c r="AB50" i="8"/>
  <c r="AA50" i="8"/>
  <c r="W50" i="8"/>
  <c r="T50" i="8"/>
  <c r="S50" i="8"/>
  <c r="R50" i="8"/>
  <c r="P50" i="8"/>
  <c r="K50" i="8"/>
  <c r="AP49" i="8"/>
  <c r="AN49" i="8"/>
  <c r="AJ49" i="8"/>
  <c r="AH49" i="8"/>
  <c r="AD49" i="8"/>
  <c r="AB49" i="8"/>
  <c r="AA49" i="8"/>
  <c r="W49" i="8"/>
  <c r="T49" i="8"/>
  <c r="X49" i="8" s="1"/>
  <c r="S49" i="8"/>
  <c r="R49" i="8"/>
  <c r="P49" i="8"/>
  <c r="K49" i="8"/>
  <c r="AP48" i="8"/>
  <c r="AN48" i="8"/>
  <c r="AJ48" i="8"/>
  <c r="AH48" i="8"/>
  <c r="AD48" i="8"/>
  <c r="AB48" i="8"/>
  <c r="AA48" i="8"/>
  <c r="W48" i="8"/>
  <c r="T48" i="8"/>
  <c r="S48" i="8"/>
  <c r="R48" i="8"/>
  <c r="P48" i="8"/>
  <c r="K48" i="8"/>
  <c r="AP47" i="8"/>
  <c r="AN47" i="8"/>
  <c r="AJ47" i="8"/>
  <c r="AH47" i="8"/>
  <c r="AD47" i="8"/>
  <c r="AB47" i="8"/>
  <c r="AA47" i="8"/>
  <c r="W47" i="8"/>
  <c r="T47" i="8"/>
  <c r="S47" i="8"/>
  <c r="R47" i="8"/>
  <c r="P47" i="8"/>
  <c r="K47" i="8"/>
  <c r="AP46" i="8"/>
  <c r="AN46" i="8"/>
  <c r="AJ46" i="8"/>
  <c r="AH46" i="8"/>
  <c r="AD46" i="8"/>
  <c r="AB46" i="8"/>
  <c r="AA46" i="8"/>
  <c r="W46" i="8"/>
  <c r="T46" i="8"/>
  <c r="S46" i="8"/>
  <c r="R46" i="8"/>
  <c r="P46" i="8"/>
  <c r="K46" i="8"/>
  <c r="AP45" i="8"/>
  <c r="AN45" i="8"/>
  <c r="AJ45" i="8"/>
  <c r="AH45" i="8"/>
  <c r="AD45" i="8"/>
  <c r="AB45" i="8"/>
  <c r="AA45" i="8"/>
  <c r="W45" i="8"/>
  <c r="T45" i="8"/>
  <c r="X45" i="8" s="1"/>
  <c r="S45" i="8"/>
  <c r="R45" i="8"/>
  <c r="P45" i="8"/>
  <c r="K45" i="8"/>
  <c r="AP44" i="8"/>
  <c r="AN44" i="8"/>
  <c r="AJ44" i="8"/>
  <c r="AH44" i="8"/>
  <c r="AD44" i="8"/>
  <c r="AB44" i="8"/>
  <c r="AA44" i="8"/>
  <c r="X44" i="8"/>
  <c r="W44" i="8"/>
  <c r="T44" i="8"/>
  <c r="S44" i="8"/>
  <c r="R44" i="8"/>
  <c r="P44" i="8"/>
  <c r="K44" i="8"/>
  <c r="AP43" i="8"/>
  <c r="AN43" i="8"/>
  <c r="AJ43" i="8"/>
  <c r="AH43" i="8"/>
  <c r="AD43" i="8"/>
  <c r="AB43" i="8"/>
  <c r="AA43" i="8"/>
  <c r="W43" i="8"/>
  <c r="T43" i="8"/>
  <c r="X43" i="8" s="1"/>
  <c r="S43" i="8"/>
  <c r="R43" i="8"/>
  <c r="P43" i="8"/>
  <c r="K43" i="8"/>
  <c r="AP42" i="8"/>
  <c r="AN42" i="8"/>
  <c r="AJ42" i="8"/>
  <c r="AH42" i="8"/>
  <c r="AD42" i="8"/>
  <c r="AB42" i="8"/>
  <c r="AA42" i="8"/>
  <c r="X42" i="8"/>
  <c r="W42" i="8"/>
  <c r="T42" i="8"/>
  <c r="S42" i="8"/>
  <c r="R42" i="8"/>
  <c r="P42" i="8"/>
  <c r="K42" i="8"/>
  <c r="AP41" i="8"/>
  <c r="AN41" i="8"/>
  <c r="AJ41" i="8"/>
  <c r="AH41" i="8"/>
  <c r="AD41" i="8"/>
  <c r="AB41" i="8"/>
  <c r="AA41" i="8"/>
  <c r="W41" i="8"/>
  <c r="T41" i="8"/>
  <c r="X41" i="8" s="1"/>
  <c r="S41" i="8"/>
  <c r="R41" i="8"/>
  <c r="P41" i="8"/>
  <c r="K41" i="8"/>
  <c r="AP40" i="8"/>
  <c r="AN40" i="8"/>
  <c r="AJ40" i="8"/>
  <c r="AH40" i="8"/>
  <c r="AD40" i="8"/>
  <c r="AB40" i="8"/>
  <c r="AA40" i="8"/>
  <c r="X40" i="8"/>
  <c r="W40" i="8"/>
  <c r="T40" i="8"/>
  <c r="S40" i="8"/>
  <c r="R40" i="8"/>
  <c r="P40" i="8"/>
  <c r="K40" i="8"/>
  <c r="AP39" i="8"/>
  <c r="AN39" i="8"/>
  <c r="AJ39" i="8"/>
  <c r="AH39" i="8"/>
  <c r="AD39" i="8"/>
  <c r="AB39" i="8"/>
  <c r="AA39" i="8"/>
  <c r="W39" i="8"/>
  <c r="T39" i="8"/>
  <c r="X39" i="8" s="1"/>
  <c r="S39" i="8"/>
  <c r="R39" i="8"/>
  <c r="P39" i="8"/>
  <c r="K39" i="8"/>
  <c r="AP38" i="8"/>
  <c r="AN38" i="8"/>
  <c r="AJ38" i="8"/>
  <c r="AH38" i="8"/>
  <c r="AD38" i="8"/>
  <c r="AB38" i="8"/>
  <c r="AA38" i="8"/>
  <c r="X38" i="8"/>
  <c r="W38" i="8"/>
  <c r="T38" i="8"/>
  <c r="S38" i="8"/>
  <c r="R38" i="8"/>
  <c r="P38" i="8"/>
  <c r="K38" i="8"/>
  <c r="AP37" i="8"/>
  <c r="AN37" i="8"/>
  <c r="AJ37" i="8"/>
  <c r="AH37" i="8"/>
  <c r="AD37" i="8"/>
  <c r="AB37" i="8"/>
  <c r="AA37" i="8"/>
  <c r="W37" i="8"/>
  <c r="T37" i="8"/>
  <c r="X37" i="8" s="1"/>
  <c r="S37" i="8"/>
  <c r="R37" i="8"/>
  <c r="P37" i="8"/>
  <c r="K37" i="8"/>
  <c r="AP36" i="8"/>
  <c r="AN36" i="8"/>
  <c r="AJ36" i="8"/>
  <c r="AH36" i="8"/>
  <c r="AD36" i="8"/>
  <c r="AB36" i="8"/>
  <c r="AA36" i="8"/>
  <c r="X36" i="8"/>
  <c r="W36" i="8"/>
  <c r="T36" i="8"/>
  <c r="S36" i="8"/>
  <c r="R36" i="8"/>
  <c r="P36" i="8"/>
  <c r="K36" i="8"/>
  <c r="AP35" i="8"/>
  <c r="AN35" i="8"/>
  <c r="AJ35" i="8"/>
  <c r="AH35" i="8"/>
  <c r="AD35" i="8"/>
  <c r="AB35" i="8"/>
  <c r="AA35" i="8"/>
  <c r="W35" i="8"/>
  <c r="T35" i="8"/>
  <c r="X35" i="8" s="1"/>
  <c r="S35" i="8"/>
  <c r="R35" i="8"/>
  <c r="P35" i="8"/>
  <c r="K35" i="8"/>
  <c r="AP34" i="8"/>
  <c r="AN34" i="8"/>
  <c r="AJ34" i="8"/>
  <c r="AH34" i="8"/>
  <c r="AD34" i="8"/>
  <c r="AB34" i="8"/>
  <c r="AA34" i="8"/>
  <c r="X34" i="8"/>
  <c r="W34" i="8"/>
  <c r="T34" i="8"/>
  <c r="S34" i="8"/>
  <c r="R34" i="8"/>
  <c r="P34" i="8"/>
  <c r="K34" i="8"/>
  <c r="AP33" i="8"/>
  <c r="AN33" i="8"/>
  <c r="AJ33" i="8"/>
  <c r="AH33" i="8"/>
  <c r="AD33" i="8"/>
  <c r="AB33" i="8"/>
  <c r="AA33" i="8"/>
  <c r="W33" i="8"/>
  <c r="T33" i="8"/>
  <c r="X33" i="8" s="1"/>
  <c r="S33" i="8"/>
  <c r="R33" i="8"/>
  <c r="P33" i="8"/>
  <c r="K33" i="8"/>
  <c r="AP32" i="8"/>
  <c r="AN32" i="8"/>
  <c r="AJ32" i="8"/>
  <c r="AH32" i="8"/>
  <c r="AD32" i="8"/>
  <c r="AB32" i="8"/>
  <c r="AA32" i="8"/>
  <c r="X32" i="8"/>
  <c r="W32" i="8"/>
  <c r="T32" i="8"/>
  <c r="S32" i="8"/>
  <c r="R32" i="8"/>
  <c r="P32" i="8"/>
  <c r="K32" i="8"/>
  <c r="AP31" i="8"/>
  <c r="AN31" i="8"/>
  <c r="AJ31" i="8"/>
  <c r="AH31" i="8"/>
  <c r="AD31" i="8"/>
  <c r="AB31" i="8"/>
  <c r="AA31" i="8"/>
  <c r="W31" i="8"/>
  <c r="T31" i="8"/>
  <c r="X31" i="8" s="1"/>
  <c r="S31" i="8"/>
  <c r="R31" i="8"/>
  <c r="P31" i="8"/>
  <c r="K31" i="8"/>
  <c r="AP30" i="8"/>
  <c r="AN30" i="8"/>
  <c r="AJ30" i="8"/>
  <c r="AH30" i="8"/>
  <c r="AD30" i="8"/>
  <c r="AB30" i="8"/>
  <c r="AA30" i="8"/>
  <c r="X30" i="8"/>
  <c r="W30" i="8"/>
  <c r="T30" i="8"/>
  <c r="S30" i="8"/>
  <c r="R30" i="8"/>
  <c r="P30" i="8"/>
  <c r="K30" i="8"/>
  <c r="AP29" i="8"/>
  <c r="AN29" i="8"/>
  <c r="AJ29" i="8"/>
  <c r="AH29" i="8"/>
  <c r="AD29" i="8"/>
  <c r="AB29" i="8"/>
  <c r="AA29" i="8"/>
  <c r="W29" i="8"/>
  <c r="T29" i="8"/>
  <c r="X29" i="8" s="1"/>
  <c r="S29" i="8"/>
  <c r="R29" i="8"/>
  <c r="P29" i="8"/>
  <c r="K29" i="8"/>
  <c r="AP28" i="8"/>
  <c r="AN28" i="8"/>
  <c r="AJ28" i="8"/>
  <c r="AH28" i="8"/>
  <c r="AD28" i="8"/>
  <c r="AB28" i="8"/>
  <c r="AA28" i="8"/>
  <c r="X28" i="8"/>
  <c r="W28" i="8"/>
  <c r="T28" i="8"/>
  <c r="S28" i="8"/>
  <c r="R28" i="8"/>
  <c r="P28" i="8"/>
  <c r="K28" i="8"/>
  <c r="AP27" i="8"/>
  <c r="AN27" i="8"/>
  <c r="AJ27" i="8"/>
  <c r="AH27" i="8"/>
  <c r="AD27" i="8"/>
  <c r="AB27" i="8"/>
  <c r="AA27" i="8"/>
  <c r="W27" i="8"/>
  <c r="T27" i="8"/>
  <c r="X27" i="8" s="1"/>
  <c r="S27" i="8"/>
  <c r="R27" i="8"/>
  <c r="P27" i="8"/>
  <c r="K27" i="8"/>
  <c r="AP26" i="8"/>
  <c r="AN26" i="8"/>
  <c r="AJ26" i="8"/>
  <c r="AH26" i="8"/>
  <c r="AD26" i="8"/>
  <c r="AB26" i="8"/>
  <c r="AA26" i="8"/>
  <c r="X26" i="8"/>
  <c r="W26" i="8"/>
  <c r="T26" i="8"/>
  <c r="S26" i="8"/>
  <c r="R26" i="8"/>
  <c r="P26" i="8"/>
  <c r="K26" i="8"/>
  <c r="AP25" i="8"/>
  <c r="AN25" i="8"/>
  <c r="AJ25" i="8"/>
  <c r="AH25" i="8"/>
  <c r="AD25" i="8"/>
  <c r="AB25" i="8"/>
  <c r="AA25" i="8"/>
  <c r="W25" i="8"/>
  <c r="T25" i="8"/>
  <c r="X25" i="8" s="1"/>
  <c r="S25" i="8"/>
  <c r="R25" i="8"/>
  <c r="P25" i="8"/>
  <c r="K25" i="8"/>
  <c r="AP24" i="8"/>
  <c r="AN24" i="8"/>
  <c r="AJ24" i="8"/>
  <c r="AH24" i="8"/>
  <c r="AD24" i="8"/>
  <c r="AB24" i="8"/>
  <c r="AA24" i="8"/>
  <c r="X24" i="8"/>
  <c r="W24" i="8"/>
  <c r="T24" i="8"/>
  <c r="S24" i="8"/>
  <c r="R24" i="8"/>
  <c r="P24" i="8"/>
  <c r="K24" i="8"/>
  <c r="AP23" i="8"/>
  <c r="AN23" i="8"/>
  <c r="AJ23" i="8"/>
  <c r="AH23" i="8"/>
  <c r="AD23" i="8"/>
  <c r="AB23" i="8"/>
  <c r="AA23" i="8"/>
  <c r="W23" i="8"/>
  <c r="T23" i="8"/>
  <c r="X23" i="8" s="1"/>
  <c r="S23" i="8"/>
  <c r="R23" i="8"/>
  <c r="P23" i="8"/>
  <c r="K23" i="8"/>
  <c r="AP22" i="8"/>
  <c r="AN22" i="8"/>
  <c r="AJ22" i="8"/>
  <c r="AH22" i="8"/>
  <c r="AD22" i="8"/>
  <c r="AB22" i="8"/>
  <c r="AA22" i="8"/>
  <c r="X22" i="8"/>
  <c r="W22" i="8"/>
  <c r="T22" i="8"/>
  <c r="S22" i="8"/>
  <c r="R22" i="8"/>
  <c r="P22" i="8"/>
  <c r="K22" i="8"/>
  <c r="AP21" i="8"/>
  <c r="AN21" i="8"/>
  <c r="AJ21" i="8"/>
  <c r="AH21" i="8"/>
  <c r="AD21" i="8"/>
  <c r="AB21" i="8"/>
  <c r="AA21" i="8"/>
  <c r="W21" i="8"/>
  <c r="T21" i="8"/>
  <c r="X21" i="8" s="1"/>
  <c r="S21" i="8"/>
  <c r="R21" i="8"/>
  <c r="P21" i="8"/>
  <c r="K21" i="8"/>
  <c r="AP20" i="8"/>
  <c r="AN20" i="8"/>
  <c r="AJ20" i="8"/>
  <c r="AH20" i="8"/>
  <c r="AD20" i="8"/>
  <c r="AB20" i="8"/>
  <c r="AA20" i="8"/>
  <c r="X20" i="8"/>
  <c r="W20" i="8"/>
  <c r="T20" i="8"/>
  <c r="S20" i="8"/>
  <c r="R20" i="8"/>
  <c r="P20" i="8"/>
  <c r="K20" i="8"/>
  <c r="AP19" i="8"/>
  <c r="AN19" i="8"/>
  <c r="AJ19" i="8"/>
  <c r="AH19" i="8"/>
  <c r="AD19" i="8"/>
  <c r="AB19" i="8"/>
  <c r="AA19" i="8"/>
  <c r="W19" i="8"/>
  <c r="T19" i="8"/>
  <c r="X19" i="8" s="1"/>
  <c r="S19" i="8"/>
  <c r="R19" i="8"/>
  <c r="P19" i="8"/>
  <c r="K19" i="8"/>
  <c r="AP18" i="8"/>
  <c r="AN18" i="8"/>
  <c r="AJ18" i="8"/>
  <c r="AH18" i="8"/>
  <c r="AD18" i="8"/>
  <c r="AB18" i="8"/>
  <c r="AA18" i="8"/>
  <c r="X18" i="8"/>
  <c r="W18" i="8"/>
  <c r="T18" i="8"/>
  <c r="S18" i="8"/>
  <c r="R18" i="8"/>
  <c r="P18" i="8"/>
  <c r="K18" i="8"/>
  <c r="AP17" i="8"/>
  <c r="AN17" i="8"/>
  <c r="AJ17" i="8"/>
  <c r="AH17" i="8"/>
  <c r="AD17" i="8"/>
  <c r="AB17" i="8"/>
  <c r="AA17" i="8"/>
  <c r="W17" i="8"/>
  <c r="T17" i="8"/>
  <c r="X17" i="8" s="1"/>
  <c r="S17" i="8"/>
  <c r="R17" i="8"/>
  <c r="P17" i="8"/>
  <c r="K17" i="8"/>
  <c r="AP16" i="8"/>
  <c r="AN16" i="8"/>
  <c r="AJ16" i="8"/>
  <c r="AH16" i="8"/>
  <c r="AD16" i="8"/>
  <c r="AB16" i="8"/>
  <c r="AA16" i="8"/>
  <c r="X16" i="8"/>
  <c r="W16" i="8"/>
  <c r="T16" i="8"/>
  <c r="S16" i="8"/>
  <c r="R16" i="8"/>
  <c r="P16" i="8"/>
  <c r="K16" i="8"/>
  <c r="AP15" i="8"/>
  <c r="AN15" i="8"/>
  <c r="AJ15" i="8"/>
  <c r="AH15" i="8"/>
  <c r="AD15" i="8"/>
  <c r="AB15" i="8"/>
  <c r="AA15" i="8"/>
  <c r="W15" i="8"/>
  <c r="T15" i="8"/>
  <c r="X15" i="8" s="1"/>
  <c r="S15" i="8"/>
  <c r="R15" i="8"/>
  <c r="P15" i="8"/>
  <c r="K15" i="8"/>
  <c r="AP14" i="8"/>
  <c r="AN14" i="8"/>
  <c r="AJ14" i="8"/>
  <c r="AH14" i="8"/>
  <c r="AD14" i="8"/>
  <c r="AB14" i="8"/>
  <c r="AA14" i="8"/>
  <c r="X14" i="8"/>
  <c r="W14" i="8"/>
  <c r="T14" i="8"/>
  <c r="S14" i="8"/>
  <c r="R14" i="8"/>
  <c r="P14" i="8"/>
  <c r="K14" i="8"/>
  <c r="AP13" i="8"/>
  <c r="AN13" i="8"/>
  <c r="AJ13" i="8"/>
  <c r="AH13" i="8"/>
  <c r="AD13" i="8"/>
  <c r="AB13" i="8"/>
  <c r="AA13" i="8"/>
  <c r="W13" i="8"/>
  <c r="T13" i="8"/>
  <c r="X13" i="8" s="1"/>
  <c r="S13" i="8"/>
  <c r="R13" i="8"/>
  <c r="P13" i="8"/>
  <c r="K13" i="8"/>
  <c r="AP12" i="8"/>
  <c r="AN12" i="8"/>
  <c r="AJ12" i="8"/>
  <c r="AH12" i="8"/>
  <c r="AD12" i="8"/>
  <c r="AB12" i="8"/>
  <c r="AA12" i="8"/>
  <c r="X12" i="8"/>
  <c r="W12" i="8"/>
  <c r="T12" i="8"/>
  <c r="S12" i="8"/>
  <c r="R12" i="8"/>
  <c r="P12" i="8"/>
  <c r="K12" i="8"/>
  <c r="AP11" i="8"/>
  <c r="AN11" i="8"/>
  <c r="AJ11" i="8"/>
  <c r="AH11" i="8"/>
  <c r="AD11" i="8"/>
  <c r="AB11" i="8"/>
  <c r="AA11" i="8"/>
  <c r="W11" i="8"/>
  <c r="T11" i="8"/>
  <c r="X11" i="8" s="1"/>
  <c r="S11" i="8"/>
  <c r="R11" i="8"/>
  <c r="P11" i="8"/>
  <c r="K11" i="8"/>
  <c r="AP10" i="8"/>
  <c r="AN10" i="8"/>
  <c r="AJ10" i="8"/>
  <c r="AH10" i="8"/>
  <c r="AD10" i="8"/>
  <c r="AB10" i="8"/>
  <c r="AA10" i="8"/>
  <c r="X10" i="8"/>
  <c r="W10" i="8"/>
  <c r="T10" i="8"/>
  <c r="S10" i="8"/>
  <c r="R10" i="8"/>
  <c r="P10" i="8"/>
  <c r="K10" i="8"/>
  <c r="AP9" i="8"/>
  <c r="AN9" i="8"/>
  <c r="AJ9" i="8"/>
  <c r="AH9" i="8"/>
  <c r="AD9" i="8"/>
  <c r="AB9" i="8"/>
  <c r="AA9" i="8"/>
  <c r="W9" i="8"/>
  <c r="T9" i="8"/>
  <c r="X9" i="8" s="1"/>
  <c r="S9" i="8"/>
  <c r="R9" i="8"/>
  <c r="P9" i="8"/>
  <c r="K9" i="8"/>
  <c r="AP8" i="8"/>
  <c r="AN8" i="8"/>
  <c r="AJ8" i="8"/>
  <c r="AH8" i="8"/>
  <c r="AD8" i="8"/>
  <c r="AB8" i="8"/>
  <c r="AA8" i="8"/>
  <c r="X8" i="8"/>
  <c r="W8" i="8"/>
  <c r="T8" i="8"/>
  <c r="S8" i="8"/>
  <c r="R8" i="8"/>
  <c r="P8" i="8"/>
  <c r="K8" i="8"/>
  <c r="AP7" i="8"/>
  <c r="AN7" i="8"/>
  <c r="AJ7" i="8"/>
  <c r="AH7" i="8"/>
  <c r="AD7" i="8"/>
  <c r="AB7" i="8"/>
  <c r="AA7" i="8"/>
  <c r="W7" i="8"/>
  <c r="T7" i="8"/>
  <c r="X7" i="8" s="1"/>
  <c r="S7" i="8"/>
  <c r="R7" i="8"/>
  <c r="P7" i="8"/>
  <c r="K7" i="8"/>
  <c r="AP6" i="8"/>
  <c r="AN6" i="8"/>
  <c r="AJ6" i="8"/>
  <c r="AH6" i="8"/>
  <c r="AD6" i="8"/>
  <c r="AB6" i="8"/>
  <c r="AA6" i="8"/>
  <c r="X6" i="8"/>
  <c r="W6" i="8"/>
  <c r="T6" i="8"/>
  <c r="S6" i="8"/>
  <c r="R6" i="8"/>
  <c r="P6" i="8"/>
  <c r="K6" i="8"/>
  <c r="AP5" i="8"/>
  <c r="AN5" i="8"/>
  <c r="AJ5" i="8"/>
  <c r="AH5" i="8"/>
  <c r="AD5" i="8"/>
  <c r="AB5" i="8"/>
  <c r="AA5" i="8"/>
  <c r="W5" i="8"/>
  <c r="T5" i="8"/>
  <c r="X5" i="8" s="1"/>
  <c r="S5" i="8"/>
  <c r="R5" i="8"/>
  <c r="P5" i="8"/>
  <c r="K5" i="8"/>
  <c r="AP4" i="8"/>
  <c r="AN4" i="8"/>
  <c r="AJ4" i="8"/>
  <c r="AH4" i="8"/>
  <c r="AD4" i="8"/>
  <c r="AB4" i="8"/>
  <c r="AA4" i="8"/>
  <c r="X4" i="8"/>
  <c r="W4" i="8"/>
  <c r="T4" i="8"/>
  <c r="S4" i="8"/>
  <c r="R4" i="8"/>
  <c r="P4" i="8"/>
  <c r="K4" i="8"/>
  <c r="AP3" i="8"/>
  <c r="AN3" i="8"/>
  <c r="AJ3" i="8"/>
  <c r="AH3" i="8"/>
  <c r="AD3" i="8"/>
  <c r="AB3" i="8"/>
  <c r="AA3" i="8"/>
  <c r="W3" i="8"/>
  <c r="T3" i="8"/>
  <c r="X3" i="8" s="1"/>
  <c r="S3" i="8"/>
  <c r="R3" i="8"/>
  <c r="P3" i="8"/>
  <c r="K3" i="8"/>
  <c r="AP2" i="8"/>
  <c r="AN2" i="8"/>
  <c r="AJ2" i="8"/>
  <c r="AH2" i="8"/>
  <c r="AD2" i="8"/>
  <c r="AA2" i="8"/>
  <c r="X2" i="8"/>
  <c r="W2" i="8"/>
  <c r="T2" i="8"/>
  <c r="S2" i="8"/>
  <c r="R2" i="8"/>
  <c r="P2" i="8"/>
  <c r="K2" i="8"/>
  <c r="AP366" i="7"/>
  <c r="AN366" i="7"/>
  <c r="AJ366" i="7"/>
  <c r="AH366" i="7"/>
  <c r="AD366" i="7"/>
  <c r="AB366" i="7"/>
  <c r="AA366" i="7"/>
  <c r="W366" i="7"/>
  <c r="T366" i="7"/>
  <c r="X366" i="7" s="1"/>
  <c r="S366" i="7"/>
  <c r="R366" i="7"/>
  <c r="P366" i="7"/>
  <c r="K366" i="7"/>
  <c r="AP365" i="7"/>
  <c r="AN365" i="7"/>
  <c r="AJ365" i="7"/>
  <c r="AH365" i="7"/>
  <c r="AD365" i="7"/>
  <c r="AB365" i="7"/>
  <c r="AA365" i="7"/>
  <c r="X365" i="7"/>
  <c r="W365" i="7"/>
  <c r="T365" i="7"/>
  <c r="S365" i="7"/>
  <c r="R365" i="7"/>
  <c r="P365" i="7"/>
  <c r="K365" i="7"/>
  <c r="AP364" i="7"/>
  <c r="AN364" i="7"/>
  <c r="AJ364" i="7"/>
  <c r="AH364" i="7"/>
  <c r="AD364" i="7"/>
  <c r="AB364" i="7"/>
  <c r="AA364" i="7"/>
  <c r="W364" i="7"/>
  <c r="T364" i="7"/>
  <c r="X364" i="7" s="1"/>
  <c r="S364" i="7"/>
  <c r="R364" i="7"/>
  <c r="P364" i="7"/>
  <c r="K364" i="7"/>
  <c r="AP363" i="7"/>
  <c r="AN363" i="7"/>
  <c r="AJ363" i="7"/>
  <c r="AH363" i="7"/>
  <c r="AD363" i="7"/>
  <c r="AB363" i="7"/>
  <c r="AA363" i="7"/>
  <c r="X363" i="7"/>
  <c r="W363" i="7"/>
  <c r="T363" i="7"/>
  <c r="S363" i="7"/>
  <c r="R363" i="7"/>
  <c r="P363" i="7"/>
  <c r="K363" i="7"/>
  <c r="AP362" i="7"/>
  <c r="AN362" i="7"/>
  <c r="AJ362" i="7"/>
  <c r="AH362" i="7"/>
  <c r="AD362" i="7"/>
  <c r="AB362" i="7"/>
  <c r="AA362" i="7"/>
  <c r="W362" i="7"/>
  <c r="T362" i="7"/>
  <c r="X362" i="7" s="1"/>
  <c r="S362" i="7"/>
  <c r="R362" i="7"/>
  <c r="P362" i="7"/>
  <c r="K362" i="7"/>
  <c r="AP361" i="7"/>
  <c r="AN361" i="7"/>
  <c r="AJ361" i="7"/>
  <c r="AH361" i="7"/>
  <c r="AD361" i="7"/>
  <c r="AB361" i="7"/>
  <c r="AA361" i="7"/>
  <c r="X361" i="7"/>
  <c r="W361" i="7"/>
  <c r="T361" i="7"/>
  <c r="S361" i="7"/>
  <c r="R361" i="7"/>
  <c r="P361" i="7"/>
  <c r="K361" i="7"/>
  <c r="AP360" i="7"/>
  <c r="AN360" i="7"/>
  <c r="AJ360" i="7"/>
  <c r="AH360" i="7"/>
  <c r="AD360" i="7"/>
  <c r="AB360" i="7"/>
  <c r="AA360" i="7"/>
  <c r="W360" i="7"/>
  <c r="T360" i="7"/>
  <c r="X360" i="7" s="1"/>
  <c r="S360" i="7"/>
  <c r="R360" i="7"/>
  <c r="P360" i="7"/>
  <c r="K360" i="7"/>
  <c r="AP359" i="7"/>
  <c r="AN359" i="7"/>
  <c r="AJ359" i="7"/>
  <c r="AH359" i="7"/>
  <c r="AD359" i="7"/>
  <c r="AB359" i="7"/>
  <c r="AA359" i="7"/>
  <c r="X359" i="7"/>
  <c r="W359" i="7"/>
  <c r="T359" i="7"/>
  <c r="S359" i="7"/>
  <c r="R359" i="7"/>
  <c r="P359" i="7"/>
  <c r="K359" i="7"/>
  <c r="AP358" i="7"/>
  <c r="AN358" i="7"/>
  <c r="AJ358" i="7"/>
  <c r="AH358" i="7"/>
  <c r="AD358" i="7"/>
  <c r="AB358" i="7"/>
  <c r="AA358" i="7"/>
  <c r="W358" i="7"/>
  <c r="T358" i="7"/>
  <c r="X358" i="7" s="1"/>
  <c r="S358" i="7"/>
  <c r="R358" i="7"/>
  <c r="P358" i="7"/>
  <c r="K358" i="7"/>
  <c r="AP357" i="7"/>
  <c r="AN357" i="7"/>
  <c r="AJ357" i="7"/>
  <c r="AH357" i="7"/>
  <c r="AD357" i="7"/>
  <c r="AB357" i="7"/>
  <c r="AA357" i="7"/>
  <c r="X357" i="7"/>
  <c r="W357" i="7"/>
  <c r="T357" i="7"/>
  <c r="S357" i="7"/>
  <c r="R357" i="7"/>
  <c r="P357" i="7"/>
  <c r="K357" i="7"/>
  <c r="AP356" i="7"/>
  <c r="AN356" i="7"/>
  <c r="AJ356" i="7"/>
  <c r="AH356" i="7"/>
  <c r="AD356" i="7"/>
  <c r="AB356" i="7"/>
  <c r="AA356" i="7"/>
  <c r="W356" i="7"/>
  <c r="T356" i="7"/>
  <c r="X356" i="7" s="1"/>
  <c r="S356" i="7"/>
  <c r="R356" i="7"/>
  <c r="P356" i="7"/>
  <c r="K356" i="7"/>
  <c r="AP355" i="7"/>
  <c r="AN355" i="7"/>
  <c r="AJ355" i="7"/>
  <c r="AH355" i="7"/>
  <c r="AD355" i="7"/>
  <c r="AB355" i="7"/>
  <c r="AA355" i="7"/>
  <c r="X355" i="7"/>
  <c r="W355" i="7"/>
  <c r="T355" i="7"/>
  <c r="S355" i="7"/>
  <c r="R355" i="7"/>
  <c r="P355" i="7"/>
  <c r="K355" i="7"/>
  <c r="AP354" i="7"/>
  <c r="AN354" i="7"/>
  <c r="AJ354" i="7"/>
  <c r="AH354" i="7"/>
  <c r="AD354" i="7"/>
  <c r="AB354" i="7"/>
  <c r="AA354" i="7"/>
  <c r="W354" i="7"/>
  <c r="T354" i="7"/>
  <c r="X354" i="7" s="1"/>
  <c r="S354" i="7"/>
  <c r="R354" i="7"/>
  <c r="P354" i="7"/>
  <c r="K354" i="7"/>
  <c r="AP353" i="7"/>
  <c r="AN353" i="7"/>
  <c r="AJ353" i="7"/>
  <c r="AH353" i="7"/>
  <c r="AD353" i="7"/>
  <c r="AB353" i="7"/>
  <c r="AA353" i="7"/>
  <c r="X353" i="7"/>
  <c r="W353" i="7"/>
  <c r="T353" i="7"/>
  <c r="S353" i="7"/>
  <c r="R353" i="7"/>
  <c r="P353" i="7"/>
  <c r="K353" i="7"/>
  <c r="AP352" i="7"/>
  <c r="AN352" i="7"/>
  <c r="AJ352" i="7"/>
  <c r="AH352" i="7"/>
  <c r="AD352" i="7"/>
  <c r="AB352" i="7"/>
  <c r="AA352" i="7"/>
  <c r="W352" i="7"/>
  <c r="T352" i="7"/>
  <c r="X352" i="7" s="1"/>
  <c r="S352" i="7"/>
  <c r="R352" i="7"/>
  <c r="P352" i="7"/>
  <c r="K352" i="7"/>
  <c r="AP351" i="7"/>
  <c r="AN351" i="7"/>
  <c r="AJ351" i="7"/>
  <c r="AH351" i="7"/>
  <c r="AD351" i="7"/>
  <c r="AB351" i="7"/>
  <c r="AA351" i="7"/>
  <c r="X351" i="7"/>
  <c r="W351" i="7"/>
  <c r="T351" i="7"/>
  <c r="S351" i="7"/>
  <c r="R351" i="7"/>
  <c r="P351" i="7"/>
  <c r="K351" i="7"/>
  <c r="AP350" i="7"/>
  <c r="AN350" i="7"/>
  <c r="AJ350" i="7"/>
  <c r="AH350" i="7"/>
  <c r="AD350" i="7"/>
  <c r="AB350" i="7"/>
  <c r="AA350" i="7"/>
  <c r="W350" i="7"/>
  <c r="T350" i="7"/>
  <c r="X350" i="7" s="1"/>
  <c r="S350" i="7"/>
  <c r="R350" i="7"/>
  <c r="P350" i="7"/>
  <c r="K350" i="7"/>
  <c r="AP349" i="7"/>
  <c r="AN349" i="7"/>
  <c r="AJ349" i="7"/>
  <c r="AH349" i="7"/>
  <c r="AD349" i="7"/>
  <c r="AB349" i="7"/>
  <c r="AA349" i="7"/>
  <c r="X349" i="7"/>
  <c r="W349" i="7"/>
  <c r="T349" i="7"/>
  <c r="S349" i="7"/>
  <c r="R349" i="7"/>
  <c r="P349" i="7"/>
  <c r="K349" i="7"/>
  <c r="AP348" i="7"/>
  <c r="AN348" i="7"/>
  <c r="AJ348" i="7"/>
  <c r="AH348" i="7"/>
  <c r="AD348" i="7"/>
  <c r="AB348" i="7"/>
  <c r="AA348" i="7"/>
  <c r="W348" i="7"/>
  <c r="T348" i="7"/>
  <c r="X348" i="7" s="1"/>
  <c r="S348" i="7"/>
  <c r="R348" i="7"/>
  <c r="P348" i="7"/>
  <c r="K348" i="7"/>
  <c r="AP347" i="7"/>
  <c r="AN347" i="7"/>
  <c r="AJ347" i="7"/>
  <c r="AH347" i="7"/>
  <c r="AD347" i="7"/>
  <c r="AB347" i="7"/>
  <c r="AA347" i="7"/>
  <c r="X347" i="7"/>
  <c r="W347" i="7"/>
  <c r="T347" i="7"/>
  <c r="S347" i="7"/>
  <c r="R347" i="7"/>
  <c r="P347" i="7"/>
  <c r="K347" i="7"/>
  <c r="AP346" i="7"/>
  <c r="AN346" i="7"/>
  <c r="AJ346" i="7"/>
  <c r="AH346" i="7"/>
  <c r="AD346" i="7"/>
  <c r="AB346" i="7"/>
  <c r="AA346" i="7"/>
  <c r="W346" i="7"/>
  <c r="T346" i="7"/>
  <c r="X346" i="7" s="1"/>
  <c r="S346" i="7"/>
  <c r="R346" i="7"/>
  <c r="P346" i="7"/>
  <c r="K346" i="7"/>
  <c r="AP345" i="7"/>
  <c r="AN345" i="7"/>
  <c r="AJ345" i="7"/>
  <c r="AH345" i="7"/>
  <c r="AD345" i="7"/>
  <c r="AB345" i="7"/>
  <c r="AA345" i="7"/>
  <c r="X345" i="7"/>
  <c r="W345" i="7"/>
  <c r="T345" i="7"/>
  <c r="S345" i="7"/>
  <c r="R345" i="7"/>
  <c r="P345" i="7"/>
  <c r="K345" i="7"/>
  <c r="AP344" i="7"/>
  <c r="AN344" i="7"/>
  <c r="AJ344" i="7"/>
  <c r="AH344" i="7"/>
  <c r="AD344" i="7"/>
  <c r="AB344" i="7"/>
  <c r="AA344" i="7"/>
  <c r="W344" i="7"/>
  <c r="T344" i="7"/>
  <c r="X344" i="7" s="1"/>
  <c r="S344" i="7"/>
  <c r="R344" i="7"/>
  <c r="P344" i="7"/>
  <c r="K344" i="7"/>
  <c r="AP343" i="7"/>
  <c r="AN343" i="7"/>
  <c r="AJ343" i="7"/>
  <c r="AH343" i="7"/>
  <c r="AD343" i="7"/>
  <c r="AB343" i="7"/>
  <c r="AA343" i="7"/>
  <c r="X343" i="7"/>
  <c r="W343" i="7"/>
  <c r="T343" i="7"/>
  <c r="S343" i="7"/>
  <c r="R343" i="7"/>
  <c r="P343" i="7"/>
  <c r="K343" i="7"/>
  <c r="AP342" i="7"/>
  <c r="AN342" i="7"/>
  <c r="AJ342" i="7"/>
  <c r="AH342" i="7"/>
  <c r="AD342" i="7"/>
  <c r="AB342" i="7"/>
  <c r="AA342" i="7"/>
  <c r="W342" i="7"/>
  <c r="T342" i="7"/>
  <c r="X342" i="7" s="1"/>
  <c r="S342" i="7"/>
  <c r="R342" i="7"/>
  <c r="P342" i="7"/>
  <c r="K342" i="7"/>
  <c r="AP341" i="7"/>
  <c r="AN341" i="7"/>
  <c r="AJ341" i="7"/>
  <c r="AH341" i="7"/>
  <c r="AD341" i="7"/>
  <c r="AB341" i="7"/>
  <c r="AA341" i="7"/>
  <c r="X341" i="7"/>
  <c r="W341" i="7"/>
  <c r="T341" i="7"/>
  <c r="S341" i="7"/>
  <c r="R341" i="7"/>
  <c r="P341" i="7"/>
  <c r="K341" i="7"/>
  <c r="AP340" i="7"/>
  <c r="AN340" i="7"/>
  <c r="AJ340" i="7"/>
  <c r="AH340" i="7"/>
  <c r="AD340" i="7"/>
  <c r="AB340" i="7"/>
  <c r="AA340" i="7"/>
  <c r="W340" i="7"/>
  <c r="T340" i="7"/>
  <c r="X340" i="7" s="1"/>
  <c r="S340" i="7"/>
  <c r="R340" i="7"/>
  <c r="P340" i="7"/>
  <c r="K340" i="7"/>
  <c r="AP339" i="7"/>
  <c r="AN339" i="7"/>
  <c r="AJ339" i="7"/>
  <c r="AH339" i="7"/>
  <c r="AD339" i="7"/>
  <c r="AB339" i="7"/>
  <c r="AA339" i="7"/>
  <c r="X339" i="7"/>
  <c r="W339" i="7"/>
  <c r="T339" i="7"/>
  <c r="S339" i="7"/>
  <c r="R339" i="7"/>
  <c r="P339" i="7"/>
  <c r="K339" i="7"/>
  <c r="AP338" i="7"/>
  <c r="AN338" i="7"/>
  <c r="AJ338" i="7"/>
  <c r="AH338" i="7"/>
  <c r="AD338" i="7"/>
  <c r="AB338" i="7"/>
  <c r="AA338" i="7"/>
  <c r="W338" i="7"/>
  <c r="T338" i="7"/>
  <c r="X338" i="7" s="1"/>
  <c r="S338" i="7"/>
  <c r="R338" i="7"/>
  <c r="P338" i="7"/>
  <c r="K338" i="7"/>
  <c r="AP337" i="7"/>
  <c r="AN337" i="7"/>
  <c r="AJ337" i="7"/>
  <c r="AH337" i="7"/>
  <c r="AD337" i="7"/>
  <c r="AB337" i="7"/>
  <c r="AA337" i="7"/>
  <c r="X337" i="7"/>
  <c r="W337" i="7"/>
  <c r="T337" i="7"/>
  <c r="S337" i="7"/>
  <c r="R337" i="7"/>
  <c r="P337" i="7"/>
  <c r="K337" i="7"/>
  <c r="AP336" i="7"/>
  <c r="AN336" i="7"/>
  <c r="AJ336" i="7"/>
  <c r="AH336" i="7"/>
  <c r="AD336" i="7"/>
  <c r="AB336" i="7"/>
  <c r="AA336" i="7"/>
  <c r="W336" i="7"/>
  <c r="T336" i="7"/>
  <c r="X336" i="7" s="1"/>
  <c r="S336" i="7"/>
  <c r="R336" i="7"/>
  <c r="P336" i="7"/>
  <c r="K336" i="7"/>
  <c r="AP335" i="7"/>
  <c r="AN335" i="7"/>
  <c r="AJ335" i="7"/>
  <c r="AH335" i="7"/>
  <c r="AD335" i="7"/>
  <c r="AB335" i="7"/>
  <c r="AA335" i="7"/>
  <c r="X335" i="7"/>
  <c r="W335" i="7"/>
  <c r="T335" i="7"/>
  <c r="S335" i="7"/>
  <c r="R335" i="7"/>
  <c r="P335" i="7"/>
  <c r="K335" i="7"/>
  <c r="AP334" i="7"/>
  <c r="AN334" i="7"/>
  <c r="AJ334" i="7"/>
  <c r="AH334" i="7"/>
  <c r="AD334" i="7"/>
  <c r="AB334" i="7"/>
  <c r="AA334" i="7"/>
  <c r="W334" i="7"/>
  <c r="T334" i="7"/>
  <c r="X334" i="7" s="1"/>
  <c r="S334" i="7"/>
  <c r="R334" i="7"/>
  <c r="P334" i="7"/>
  <c r="K334" i="7"/>
  <c r="AP333" i="7"/>
  <c r="AN333" i="7"/>
  <c r="AJ333" i="7"/>
  <c r="AH333" i="7"/>
  <c r="AD333" i="7"/>
  <c r="AB333" i="7"/>
  <c r="AA333" i="7"/>
  <c r="X333" i="7"/>
  <c r="W333" i="7"/>
  <c r="T333" i="7"/>
  <c r="S333" i="7"/>
  <c r="R333" i="7"/>
  <c r="P333" i="7"/>
  <c r="K333" i="7"/>
  <c r="AP332" i="7"/>
  <c r="AN332" i="7"/>
  <c r="AJ332" i="7"/>
  <c r="AH332" i="7"/>
  <c r="AD332" i="7"/>
  <c r="AB332" i="7"/>
  <c r="AA332" i="7"/>
  <c r="W332" i="7"/>
  <c r="T332" i="7"/>
  <c r="X332" i="7" s="1"/>
  <c r="S332" i="7"/>
  <c r="R332" i="7"/>
  <c r="P332" i="7"/>
  <c r="K332" i="7"/>
  <c r="AP331" i="7"/>
  <c r="AN331" i="7"/>
  <c r="AJ331" i="7"/>
  <c r="AH331" i="7"/>
  <c r="AD331" i="7"/>
  <c r="AB331" i="7"/>
  <c r="AA331" i="7"/>
  <c r="X331" i="7"/>
  <c r="W331" i="7"/>
  <c r="T331" i="7"/>
  <c r="S331" i="7"/>
  <c r="R331" i="7"/>
  <c r="P331" i="7"/>
  <c r="K331" i="7"/>
  <c r="AP330" i="7"/>
  <c r="AN330" i="7"/>
  <c r="AJ330" i="7"/>
  <c r="AH330" i="7"/>
  <c r="AD330" i="7"/>
  <c r="AB330" i="7"/>
  <c r="AA330" i="7"/>
  <c r="W330" i="7"/>
  <c r="T330" i="7"/>
  <c r="X330" i="7" s="1"/>
  <c r="S330" i="7"/>
  <c r="R330" i="7"/>
  <c r="P330" i="7"/>
  <c r="K330" i="7"/>
  <c r="AP329" i="7"/>
  <c r="AN329" i="7"/>
  <c r="AJ329" i="7"/>
  <c r="AH329" i="7"/>
  <c r="AD329" i="7"/>
  <c r="AB329" i="7"/>
  <c r="AA329" i="7"/>
  <c r="X329" i="7"/>
  <c r="W329" i="7"/>
  <c r="T329" i="7"/>
  <c r="S329" i="7"/>
  <c r="R329" i="7"/>
  <c r="P329" i="7"/>
  <c r="K329" i="7"/>
  <c r="AP328" i="7"/>
  <c r="AN328" i="7"/>
  <c r="AJ328" i="7"/>
  <c r="AH328" i="7"/>
  <c r="AD328" i="7"/>
  <c r="AB328" i="7"/>
  <c r="AA328" i="7"/>
  <c r="W328" i="7"/>
  <c r="T328" i="7"/>
  <c r="X328" i="7" s="1"/>
  <c r="S328" i="7"/>
  <c r="R328" i="7"/>
  <c r="P328" i="7"/>
  <c r="K328" i="7"/>
  <c r="AP327" i="7"/>
  <c r="AN327" i="7"/>
  <c r="AJ327" i="7"/>
  <c r="AH327" i="7"/>
  <c r="AD327" i="7"/>
  <c r="AB327" i="7"/>
  <c r="AA327" i="7"/>
  <c r="X327" i="7"/>
  <c r="W327" i="7"/>
  <c r="T327" i="7"/>
  <c r="S327" i="7"/>
  <c r="R327" i="7"/>
  <c r="P327" i="7"/>
  <c r="K327" i="7"/>
  <c r="AP326" i="7"/>
  <c r="AN326" i="7"/>
  <c r="AJ326" i="7"/>
  <c r="AH326" i="7"/>
  <c r="AD326" i="7"/>
  <c r="AB326" i="7"/>
  <c r="AA326" i="7"/>
  <c r="W326" i="7"/>
  <c r="T326" i="7"/>
  <c r="S326" i="7"/>
  <c r="R326" i="7"/>
  <c r="P326" i="7"/>
  <c r="K326" i="7"/>
  <c r="AP325" i="7"/>
  <c r="AN325" i="7"/>
  <c r="AJ325" i="7"/>
  <c r="AH325" i="7"/>
  <c r="AD325" i="7"/>
  <c r="AB325" i="7"/>
  <c r="AA325" i="7"/>
  <c r="X325" i="7"/>
  <c r="W325" i="7"/>
  <c r="T325" i="7"/>
  <c r="S325" i="7"/>
  <c r="R325" i="7"/>
  <c r="P325" i="7"/>
  <c r="K325" i="7"/>
  <c r="AP324" i="7"/>
  <c r="AN324" i="7"/>
  <c r="AJ324" i="7"/>
  <c r="AH324" i="7"/>
  <c r="AD324" i="7"/>
  <c r="AB324" i="7"/>
  <c r="AA324" i="7"/>
  <c r="W324" i="7"/>
  <c r="T324" i="7"/>
  <c r="X324" i="7" s="1"/>
  <c r="S324" i="7"/>
  <c r="R324" i="7"/>
  <c r="P324" i="7"/>
  <c r="K324" i="7"/>
  <c r="AP323" i="7"/>
  <c r="AN323" i="7"/>
  <c r="AJ323" i="7"/>
  <c r="AH323" i="7"/>
  <c r="AD323" i="7"/>
  <c r="AB323" i="7"/>
  <c r="AA323" i="7"/>
  <c r="X323" i="7"/>
  <c r="W323" i="7"/>
  <c r="T323" i="7"/>
  <c r="S323" i="7"/>
  <c r="R323" i="7"/>
  <c r="P323" i="7"/>
  <c r="K323" i="7"/>
  <c r="AP322" i="7"/>
  <c r="AN322" i="7"/>
  <c r="AJ322" i="7"/>
  <c r="AH322" i="7"/>
  <c r="AD322" i="7"/>
  <c r="AB322" i="7"/>
  <c r="AA322" i="7"/>
  <c r="W322" i="7"/>
  <c r="T322" i="7"/>
  <c r="S322" i="7"/>
  <c r="R322" i="7"/>
  <c r="P322" i="7"/>
  <c r="K322" i="7"/>
  <c r="AP321" i="7"/>
  <c r="AN321" i="7"/>
  <c r="AJ321" i="7"/>
  <c r="AH321" i="7"/>
  <c r="AD321" i="7"/>
  <c r="AB321" i="7"/>
  <c r="AA321" i="7"/>
  <c r="X321" i="7"/>
  <c r="W321" i="7"/>
  <c r="T321" i="7"/>
  <c r="S321" i="7"/>
  <c r="R321" i="7"/>
  <c r="P321" i="7"/>
  <c r="K321" i="7"/>
  <c r="AP320" i="7"/>
  <c r="AN320" i="7"/>
  <c r="AJ320" i="7"/>
  <c r="AH320" i="7"/>
  <c r="AD320" i="7"/>
  <c r="AB320" i="7"/>
  <c r="AA320" i="7"/>
  <c r="W320" i="7"/>
  <c r="T320" i="7"/>
  <c r="X320" i="7" s="1"/>
  <c r="S320" i="7"/>
  <c r="R320" i="7"/>
  <c r="P320" i="7"/>
  <c r="K320" i="7"/>
  <c r="AP319" i="7"/>
  <c r="AN319" i="7"/>
  <c r="AJ319" i="7"/>
  <c r="AH319" i="7"/>
  <c r="AD319" i="7"/>
  <c r="AB319" i="7"/>
  <c r="AA319" i="7"/>
  <c r="X319" i="7"/>
  <c r="W319" i="7"/>
  <c r="T319" i="7"/>
  <c r="S319" i="7"/>
  <c r="R319" i="7"/>
  <c r="P319" i="7"/>
  <c r="K319" i="7"/>
  <c r="AP318" i="7"/>
  <c r="AN318" i="7"/>
  <c r="AJ318" i="7"/>
  <c r="AH318" i="7"/>
  <c r="AD318" i="7"/>
  <c r="AB318" i="7"/>
  <c r="AA318" i="7"/>
  <c r="W318" i="7"/>
  <c r="T318" i="7"/>
  <c r="S318" i="7"/>
  <c r="R318" i="7"/>
  <c r="P318" i="7"/>
  <c r="K318" i="7"/>
  <c r="AP317" i="7"/>
  <c r="AN317" i="7"/>
  <c r="AJ317" i="7"/>
  <c r="AH317" i="7"/>
  <c r="AD317" i="7"/>
  <c r="AB317" i="7"/>
  <c r="AA317" i="7"/>
  <c r="X317" i="7"/>
  <c r="W317" i="7"/>
  <c r="T317" i="7"/>
  <c r="S317" i="7"/>
  <c r="R317" i="7"/>
  <c r="P317" i="7"/>
  <c r="K317" i="7"/>
  <c r="AP316" i="7"/>
  <c r="AN316" i="7"/>
  <c r="AJ316" i="7"/>
  <c r="AH316" i="7"/>
  <c r="AD316" i="7"/>
  <c r="AB316" i="7"/>
  <c r="AA316" i="7"/>
  <c r="W316" i="7"/>
  <c r="T316" i="7"/>
  <c r="X316" i="7" s="1"/>
  <c r="S316" i="7"/>
  <c r="R316" i="7"/>
  <c r="P316" i="7"/>
  <c r="K316" i="7"/>
  <c r="AP315" i="7"/>
  <c r="AN315" i="7"/>
  <c r="AJ315" i="7"/>
  <c r="AH315" i="7"/>
  <c r="AD315" i="7"/>
  <c r="AB315" i="7"/>
  <c r="AA315" i="7"/>
  <c r="X315" i="7"/>
  <c r="W315" i="7"/>
  <c r="T315" i="7"/>
  <c r="S315" i="7"/>
  <c r="R315" i="7"/>
  <c r="P315" i="7"/>
  <c r="K315" i="7"/>
  <c r="AP314" i="7"/>
  <c r="AN314" i="7"/>
  <c r="AJ314" i="7"/>
  <c r="AH314" i="7"/>
  <c r="AD314" i="7"/>
  <c r="AB314" i="7"/>
  <c r="AA314" i="7"/>
  <c r="W314" i="7"/>
  <c r="T314" i="7"/>
  <c r="S314" i="7"/>
  <c r="R314" i="7"/>
  <c r="P314" i="7"/>
  <c r="K314" i="7"/>
  <c r="AP313" i="7"/>
  <c r="AN313" i="7"/>
  <c r="AJ313" i="7"/>
  <c r="AH313" i="7"/>
  <c r="AD313" i="7"/>
  <c r="AB313" i="7"/>
  <c r="AA313" i="7"/>
  <c r="X313" i="7"/>
  <c r="W313" i="7"/>
  <c r="T313" i="7"/>
  <c r="S313" i="7"/>
  <c r="R313" i="7"/>
  <c r="P313" i="7"/>
  <c r="K313" i="7"/>
  <c r="AP312" i="7"/>
  <c r="AN312" i="7"/>
  <c r="AJ312" i="7"/>
  <c r="AH312" i="7"/>
  <c r="AD312" i="7"/>
  <c r="AB312" i="7"/>
  <c r="AA312" i="7"/>
  <c r="W312" i="7"/>
  <c r="T312" i="7"/>
  <c r="X312" i="7" s="1"/>
  <c r="S312" i="7"/>
  <c r="R312" i="7"/>
  <c r="P312" i="7"/>
  <c r="K312" i="7"/>
  <c r="AP311" i="7"/>
  <c r="AN311" i="7"/>
  <c r="AJ311" i="7"/>
  <c r="AH311" i="7"/>
  <c r="AD311" i="7"/>
  <c r="AB311" i="7"/>
  <c r="AA311" i="7"/>
  <c r="X311" i="7"/>
  <c r="W311" i="7"/>
  <c r="T311" i="7"/>
  <c r="S311" i="7"/>
  <c r="R311" i="7"/>
  <c r="P311" i="7"/>
  <c r="K311" i="7"/>
  <c r="AP310" i="7"/>
  <c r="AN310" i="7"/>
  <c r="AJ310" i="7"/>
  <c r="AH310" i="7"/>
  <c r="AD310" i="7"/>
  <c r="AB310" i="7"/>
  <c r="AA310" i="7"/>
  <c r="W310" i="7"/>
  <c r="T310" i="7"/>
  <c r="S310" i="7"/>
  <c r="R310" i="7"/>
  <c r="P310" i="7"/>
  <c r="K310" i="7"/>
  <c r="AP309" i="7"/>
  <c r="AN309" i="7"/>
  <c r="AJ309" i="7"/>
  <c r="AH309" i="7"/>
  <c r="AD309" i="7"/>
  <c r="AB309" i="7"/>
  <c r="AA309" i="7"/>
  <c r="X309" i="7"/>
  <c r="W309" i="7"/>
  <c r="T309" i="7"/>
  <c r="S309" i="7"/>
  <c r="R309" i="7"/>
  <c r="P309" i="7"/>
  <c r="K309" i="7"/>
  <c r="AP308" i="7"/>
  <c r="AN308" i="7"/>
  <c r="AJ308" i="7"/>
  <c r="AH308" i="7"/>
  <c r="AD308" i="7"/>
  <c r="AB308" i="7"/>
  <c r="AA308" i="7"/>
  <c r="W308" i="7"/>
  <c r="T308" i="7"/>
  <c r="X308" i="7" s="1"/>
  <c r="S308" i="7"/>
  <c r="R308" i="7"/>
  <c r="P308" i="7"/>
  <c r="K308" i="7"/>
  <c r="AP307" i="7"/>
  <c r="AN307" i="7"/>
  <c r="AJ307" i="7"/>
  <c r="AH307" i="7"/>
  <c r="AD307" i="7"/>
  <c r="AB307" i="7"/>
  <c r="AA307" i="7"/>
  <c r="X307" i="7"/>
  <c r="W307" i="7"/>
  <c r="T307" i="7"/>
  <c r="S307" i="7"/>
  <c r="R307" i="7"/>
  <c r="P307" i="7"/>
  <c r="K307" i="7"/>
  <c r="AP306" i="7"/>
  <c r="AN306" i="7"/>
  <c r="AJ306" i="7"/>
  <c r="AH306" i="7"/>
  <c r="AD306" i="7"/>
  <c r="AB306" i="7"/>
  <c r="AA306" i="7"/>
  <c r="W306" i="7"/>
  <c r="T306" i="7"/>
  <c r="S306" i="7"/>
  <c r="R306" i="7"/>
  <c r="P306" i="7"/>
  <c r="K306" i="7"/>
  <c r="AP305" i="7"/>
  <c r="AN305" i="7"/>
  <c r="AJ305" i="7"/>
  <c r="AH305" i="7"/>
  <c r="AD305" i="7"/>
  <c r="AB305" i="7"/>
  <c r="AA305" i="7"/>
  <c r="X305" i="7"/>
  <c r="W305" i="7"/>
  <c r="T305" i="7"/>
  <c r="S305" i="7"/>
  <c r="R305" i="7"/>
  <c r="P305" i="7"/>
  <c r="K305" i="7"/>
  <c r="AP304" i="7"/>
  <c r="AN304" i="7"/>
  <c r="AJ304" i="7"/>
  <c r="AH304" i="7"/>
  <c r="AD304" i="7"/>
  <c r="AB304" i="7"/>
  <c r="AA304" i="7"/>
  <c r="W304" i="7"/>
  <c r="T304" i="7"/>
  <c r="X304" i="7" s="1"/>
  <c r="S304" i="7"/>
  <c r="R304" i="7"/>
  <c r="P304" i="7"/>
  <c r="K304" i="7"/>
  <c r="AP303" i="7"/>
  <c r="AN303" i="7"/>
  <c r="AJ303" i="7"/>
  <c r="AH303" i="7"/>
  <c r="AD303" i="7"/>
  <c r="AB303" i="7"/>
  <c r="AA303" i="7"/>
  <c r="X303" i="7"/>
  <c r="W303" i="7"/>
  <c r="T303" i="7"/>
  <c r="S303" i="7"/>
  <c r="R303" i="7"/>
  <c r="P303" i="7"/>
  <c r="K303" i="7"/>
  <c r="AP302" i="7"/>
  <c r="AN302" i="7"/>
  <c r="AJ302" i="7"/>
  <c r="AH302" i="7"/>
  <c r="AD302" i="7"/>
  <c r="AB302" i="7"/>
  <c r="AA302" i="7"/>
  <c r="W302" i="7"/>
  <c r="T302" i="7"/>
  <c r="S302" i="7"/>
  <c r="R302" i="7"/>
  <c r="P302" i="7"/>
  <c r="K302" i="7"/>
  <c r="AP301" i="7"/>
  <c r="AN301" i="7"/>
  <c r="AJ301" i="7"/>
  <c r="AH301" i="7"/>
  <c r="AD301" i="7"/>
  <c r="AB301" i="7"/>
  <c r="AA301" i="7"/>
  <c r="X301" i="7"/>
  <c r="W301" i="7"/>
  <c r="T301" i="7"/>
  <c r="S301" i="7"/>
  <c r="R301" i="7"/>
  <c r="P301" i="7"/>
  <c r="K301" i="7"/>
  <c r="AP300" i="7"/>
  <c r="AN300" i="7"/>
  <c r="AJ300" i="7"/>
  <c r="AH300" i="7"/>
  <c r="AD300" i="7"/>
  <c r="AB300" i="7"/>
  <c r="AA300" i="7"/>
  <c r="W300" i="7"/>
  <c r="T300" i="7"/>
  <c r="X300" i="7" s="1"/>
  <c r="S300" i="7"/>
  <c r="R300" i="7"/>
  <c r="P300" i="7"/>
  <c r="K300" i="7"/>
  <c r="AP299" i="7"/>
  <c r="AN299" i="7"/>
  <c r="AJ299" i="7"/>
  <c r="AH299" i="7"/>
  <c r="AD299" i="7"/>
  <c r="AB299" i="7"/>
  <c r="AA299" i="7"/>
  <c r="X299" i="7"/>
  <c r="W299" i="7"/>
  <c r="T299" i="7"/>
  <c r="S299" i="7"/>
  <c r="R299" i="7"/>
  <c r="P299" i="7"/>
  <c r="K299" i="7"/>
  <c r="AP298" i="7"/>
  <c r="AN298" i="7"/>
  <c r="AJ298" i="7"/>
  <c r="AH298" i="7"/>
  <c r="AD298" i="7"/>
  <c r="AB298" i="7"/>
  <c r="AA298" i="7"/>
  <c r="W298" i="7"/>
  <c r="T298" i="7"/>
  <c r="S298" i="7"/>
  <c r="R298" i="7"/>
  <c r="P298" i="7"/>
  <c r="K298" i="7"/>
  <c r="AP297" i="7"/>
  <c r="AN297" i="7"/>
  <c r="AJ297" i="7"/>
  <c r="AH297" i="7"/>
  <c r="AD297" i="7"/>
  <c r="AB297" i="7"/>
  <c r="AA297" i="7"/>
  <c r="X297" i="7"/>
  <c r="W297" i="7"/>
  <c r="T297" i="7"/>
  <c r="S297" i="7"/>
  <c r="R297" i="7"/>
  <c r="P297" i="7"/>
  <c r="K297" i="7"/>
  <c r="AP296" i="7"/>
  <c r="AN296" i="7"/>
  <c r="AJ296" i="7"/>
  <c r="AH296" i="7"/>
  <c r="AD296" i="7"/>
  <c r="AB296" i="7"/>
  <c r="AA296" i="7"/>
  <c r="W296" i="7"/>
  <c r="T296" i="7"/>
  <c r="X296" i="7" s="1"/>
  <c r="S296" i="7"/>
  <c r="R296" i="7"/>
  <c r="P296" i="7"/>
  <c r="K296" i="7"/>
  <c r="AP295" i="7"/>
  <c r="AN295" i="7"/>
  <c r="AJ295" i="7"/>
  <c r="AH295" i="7"/>
  <c r="AD295" i="7"/>
  <c r="AB295" i="7"/>
  <c r="AA295" i="7"/>
  <c r="X295" i="7"/>
  <c r="W295" i="7"/>
  <c r="T295" i="7"/>
  <c r="S295" i="7"/>
  <c r="R295" i="7"/>
  <c r="P295" i="7"/>
  <c r="K295" i="7"/>
  <c r="AP294" i="7"/>
  <c r="AN294" i="7"/>
  <c r="AJ294" i="7"/>
  <c r="AH294" i="7"/>
  <c r="AD294" i="7"/>
  <c r="AB294" i="7"/>
  <c r="AA294" i="7"/>
  <c r="W294" i="7"/>
  <c r="T294" i="7"/>
  <c r="S294" i="7"/>
  <c r="R294" i="7"/>
  <c r="P294" i="7"/>
  <c r="K294" i="7"/>
  <c r="AP293" i="7"/>
  <c r="AN293" i="7"/>
  <c r="AJ293" i="7"/>
  <c r="AH293" i="7"/>
  <c r="AD293" i="7"/>
  <c r="AB293" i="7"/>
  <c r="AA293" i="7"/>
  <c r="X293" i="7"/>
  <c r="W293" i="7"/>
  <c r="T293" i="7"/>
  <c r="S293" i="7"/>
  <c r="R293" i="7"/>
  <c r="P293" i="7"/>
  <c r="K293" i="7"/>
  <c r="AP292" i="7"/>
  <c r="AN292" i="7"/>
  <c r="AJ292" i="7"/>
  <c r="AH292" i="7"/>
  <c r="AD292" i="7"/>
  <c r="AB292" i="7"/>
  <c r="AA292" i="7"/>
  <c r="W292" i="7"/>
  <c r="T292" i="7"/>
  <c r="X292" i="7" s="1"/>
  <c r="S292" i="7"/>
  <c r="R292" i="7"/>
  <c r="P292" i="7"/>
  <c r="K292" i="7"/>
  <c r="AP291" i="7"/>
  <c r="AN291" i="7"/>
  <c r="AJ291" i="7"/>
  <c r="AH291" i="7"/>
  <c r="AD291" i="7"/>
  <c r="AB291" i="7"/>
  <c r="AA291" i="7"/>
  <c r="X291" i="7"/>
  <c r="W291" i="7"/>
  <c r="T291" i="7"/>
  <c r="S291" i="7"/>
  <c r="R291" i="7"/>
  <c r="P291" i="7"/>
  <c r="K291" i="7"/>
  <c r="AP290" i="7"/>
  <c r="AN290" i="7"/>
  <c r="AJ290" i="7"/>
  <c r="AH290" i="7"/>
  <c r="AD290" i="7"/>
  <c r="AB290" i="7"/>
  <c r="AA290" i="7"/>
  <c r="W290" i="7"/>
  <c r="T290" i="7"/>
  <c r="S290" i="7"/>
  <c r="R290" i="7"/>
  <c r="P290" i="7"/>
  <c r="K290" i="7"/>
  <c r="AP289" i="7"/>
  <c r="AN289" i="7"/>
  <c r="AJ289" i="7"/>
  <c r="AH289" i="7"/>
  <c r="AD289" i="7"/>
  <c r="AB289" i="7"/>
  <c r="AA289" i="7"/>
  <c r="X289" i="7"/>
  <c r="W289" i="7"/>
  <c r="T289" i="7"/>
  <c r="S289" i="7"/>
  <c r="R289" i="7"/>
  <c r="P289" i="7"/>
  <c r="K289" i="7"/>
  <c r="AP288" i="7"/>
  <c r="AN288" i="7"/>
  <c r="AJ288" i="7"/>
  <c r="AH288" i="7"/>
  <c r="AD288" i="7"/>
  <c r="AB288" i="7"/>
  <c r="AA288" i="7"/>
  <c r="W288" i="7"/>
  <c r="T288" i="7"/>
  <c r="X288" i="7" s="1"/>
  <c r="S288" i="7"/>
  <c r="R288" i="7"/>
  <c r="P288" i="7"/>
  <c r="K288" i="7"/>
  <c r="AP287" i="7"/>
  <c r="AN287" i="7"/>
  <c r="AJ287" i="7"/>
  <c r="AH287" i="7"/>
  <c r="AD287" i="7"/>
  <c r="AB287" i="7"/>
  <c r="AA287" i="7"/>
  <c r="X287" i="7"/>
  <c r="W287" i="7"/>
  <c r="T287" i="7"/>
  <c r="S287" i="7"/>
  <c r="R287" i="7"/>
  <c r="P287" i="7"/>
  <c r="K287" i="7"/>
  <c r="AP286" i="7"/>
  <c r="AN286" i="7"/>
  <c r="AJ286" i="7"/>
  <c r="AH286" i="7"/>
  <c r="AD286" i="7"/>
  <c r="AB286" i="7"/>
  <c r="AA286" i="7"/>
  <c r="W286" i="7"/>
  <c r="T286" i="7"/>
  <c r="S286" i="7"/>
  <c r="R286" i="7"/>
  <c r="P286" i="7"/>
  <c r="K286" i="7"/>
  <c r="AP285" i="7"/>
  <c r="AN285" i="7"/>
  <c r="AJ285" i="7"/>
  <c r="AH285" i="7"/>
  <c r="AD285" i="7"/>
  <c r="AB285" i="7"/>
  <c r="AA285" i="7"/>
  <c r="X285" i="7"/>
  <c r="W285" i="7"/>
  <c r="T285" i="7"/>
  <c r="S285" i="7"/>
  <c r="R285" i="7"/>
  <c r="P285" i="7"/>
  <c r="K285" i="7"/>
  <c r="AP284" i="7"/>
  <c r="AN284" i="7"/>
  <c r="AJ284" i="7"/>
  <c r="AH284" i="7"/>
  <c r="AD284" i="7"/>
  <c r="AB284" i="7"/>
  <c r="AA284" i="7"/>
  <c r="W284" i="7"/>
  <c r="T284" i="7"/>
  <c r="X284" i="7" s="1"/>
  <c r="S284" i="7"/>
  <c r="R284" i="7"/>
  <c r="P284" i="7"/>
  <c r="K284" i="7"/>
  <c r="AP283" i="7"/>
  <c r="AN283" i="7"/>
  <c r="AJ283" i="7"/>
  <c r="AH283" i="7"/>
  <c r="AD283" i="7"/>
  <c r="AB283" i="7"/>
  <c r="AA283" i="7"/>
  <c r="X283" i="7"/>
  <c r="W283" i="7"/>
  <c r="T283" i="7"/>
  <c r="S283" i="7"/>
  <c r="R283" i="7"/>
  <c r="P283" i="7"/>
  <c r="K283" i="7"/>
  <c r="AP282" i="7"/>
  <c r="AN282" i="7"/>
  <c r="AJ282" i="7"/>
  <c r="AH282" i="7"/>
  <c r="AD282" i="7"/>
  <c r="AB282" i="7"/>
  <c r="AA282" i="7"/>
  <c r="W282" i="7"/>
  <c r="T282" i="7"/>
  <c r="S282" i="7"/>
  <c r="R282" i="7"/>
  <c r="P282" i="7"/>
  <c r="K282" i="7"/>
  <c r="AP281" i="7"/>
  <c r="AN281" i="7"/>
  <c r="AJ281" i="7"/>
  <c r="AH281" i="7"/>
  <c r="AD281" i="7"/>
  <c r="AB281" i="7"/>
  <c r="AA281" i="7"/>
  <c r="X281" i="7"/>
  <c r="W281" i="7"/>
  <c r="T281" i="7"/>
  <c r="S281" i="7"/>
  <c r="R281" i="7"/>
  <c r="P281" i="7"/>
  <c r="K281" i="7"/>
  <c r="AP280" i="7"/>
  <c r="AN280" i="7"/>
  <c r="AJ280" i="7"/>
  <c r="AH280" i="7"/>
  <c r="AD280" i="7"/>
  <c r="AB280" i="7"/>
  <c r="AA280" i="7"/>
  <c r="W280" i="7"/>
  <c r="T280" i="7"/>
  <c r="X280" i="7" s="1"/>
  <c r="S280" i="7"/>
  <c r="R280" i="7"/>
  <c r="P280" i="7"/>
  <c r="K280" i="7"/>
  <c r="AP279" i="7"/>
  <c r="AN279" i="7"/>
  <c r="AJ279" i="7"/>
  <c r="AH279" i="7"/>
  <c r="AD279" i="7"/>
  <c r="AB279" i="7"/>
  <c r="AA279" i="7"/>
  <c r="X279" i="7"/>
  <c r="W279" i="7"/>
  <c r="T279" i="7"/>
  <c r="S279" i="7"/>
  <c r="R279" i="7"/>
  <c r="P279" i="7"/>
  <c r="K279" i="7"/>
  <c r="AP278" i="7"/>
  <c r="AN278" i="7"/>
  <c r="AJ278" i="7"/>
  <c r="AH278" i="7"/>
  <c r="AD278" i="7"/>
  <c r="AB278" i="7"/>
  <c r="AA278" i="7"/>
  <c r="W278" i="7"/>
  <c r="T278" i="7"/>
  <c r="S278" i="7"/>
  <c r="R278" i="7"/>
  <c r="P278" i="7"/>
  <c r="K278" i="7"/>
  <c r="AP277" i="7"/>
  <c r="AN277" i="7"/>
  <c r="AJ277" i="7"/>
  <c r="AH277" i="7"/>
  <c r="AD277" i="7"/>
  <c r="AB277" i="7"/>
  <c r="AA277" i="7"/>
  <c r="X277" i="7"/>
  <c r="W277" i="7"/>
  <c r="T277" i="7"/>
  <c r="S277" i="7"/>
  <c r="R277" i="7"/>
  <c r="P277" i="7"/>
  <c r="K277" i="7"/>
  <c r="AP276" i="7"/>
  <c r="AN276" i="7"/>
  <c r="AJ276" i="7"/>
  <c r="AH276" i="7"/>
  <c r="AD276" i="7"/>
  <c r="AB276" i="7"/>
  <c r="AA276" i="7"/>
  <c r="W276" i="7"/>
  <c r="T276" i="7"/>
  <c r="X276" i="7" s="1"/>
  <c r="S276" i="7"/>
  <c r="R276" i="7"/>
  <c r="P276" i="7"/>
  <c r="K276" i="7"/>
  <c r="AP275" i="7"/>
  <c r="AN275" i="7"/>
  <c r="AJ275" i="7"/>
  <c r="AH275" i="7"/>
  <c r="AD275" i="7"/>
  <c r="AB275" i="7"/>
  <c r="AA275" i="7"/>
  <c r="W275" i="7"/>
  <c r="X275" i="7" s="1"/>
  <c r="T275" i="7"/>
  <c r="S275" i="7"/>
  <c r="R275" i="7"/>
  <c r="P275" i="7"/>
  <c r="K275" i="7"/>
  <c r="AP274" i="7"/>
  <c r="AN274" i="7"/>
  <c r="AJ274" i="7"/>
  <c r="AH274" i="7"/>
  <c r="AD274" i="7"/>
  <c r="AB274" i="7"/>
  <c r="AA274" i="7"/>
  <c r="W274" i="7"/>
  <c r="T274" i="7"/>
  <c r="X274" i="7" s="1"/>
  <c r="S274" i="7"/>
  <c r="R274" i="7"/>
  <c r="P274" i="7"/>
  <c r="K274" i="7"/>
  <c r="AP273" i="7"/>
  <c r="AN273" i="7"/>
  <c r="AJ273" i="7"/>
  <c r="AH273" i="7"/>
  <c r="AD273" i="7"/>
  <c r="AB273" i="7"/>
  <c r="AA273" i="7"/>
  <c r="W273" i="7"/>
  <c r="X273" i="7" s="1"/>
  <c r="T273" i="7"/>
  <c r="S273" i="7"/>
  <c r="R273" i="7"/>
  <c r="P273" i="7"/>
  <c r="K273" i="7"/>
  <c r="AP272" i="7"/>
  <c r="AN272" i="7"/>
  <c r="AJ272" i="7"/>
  <c r="AH272" i="7"/>
  <c r="AD272" i="7"/>
  <c r="AB272" i="7"/>
  <c r="AA272" i="7"/>
  <c r="W272" i="7"/>
  <c r="T272" i="7"/>
  <c r="X272" i="7" s="1"/>
  <c r="S272" i="7"/>
  <c r="R272" i="7"/>
  <c r="P272" i="7"/>
  <c r="K272" i="7"/>
  <c r="AP271" i="7"/>
  <c r="AN271" i="7"/>
  <c r="AJ271" i="7"/>
  <c r="AH271" i="7"/>
  <c r="AD271" i="7"/>
  <c r="AB271" i="7"/>
  <c r="AA271" i="7"/>
  <c r="W271" i="7"/>
  <c r="X271" i="7" s="1"/>
  <c r="T271" i="7"/>
  <c r="S271" i="7"/>
  <c r="R271" i="7"/>
  <c r="P271" i="7"/>
  <c r="K271" i="7"/>
  <c r="AP270" i="7"/>
  <c r="AN270" i="7"/>
  <c r="AJ270" i="7"/>
  <c r="AH270" i="7"/>
  <c r="AD270" i="7"/>
  <c r="AB270" i="7"/>
  <c r="AA270" i="7"/>
  <c r="W270" i="7"/>
  <c r="T270" i="7"/>
  <c r="X270" i="7" s="1"/>
  <c r="S270" i="7"/>
  <c r="R270" i="7"/>
  <c r="P270" i="7"/>
  <c r="K270" i="7"/>
  <c r="AP269" i="7"/>
  <c r="AN269" i="7"/>
  <c r="AJ269" i="7"/>
  <c r="AH269" i="7"/>
  <c r="AD269" i="7"/>
  <c r="AB269" i="7"/>
  <c r="AA269" i="7"/>
  <c r="W269" i="7"/>
  <c r="X269" i="7" s="1"/>
  <c r="T269" i="7"/>
  <c r="S269" i="7"/>
  <c r="R269" i="7"/>
  <c r="P269" i="7"/>
  <c r="K269" i="7"/>
  <c r="AP268" i="7"/>
  <c r="AN268" i="7"/>
  <c r="AJ268" i="7"/>
  <c r="AH268" i="7"/>
  <c r="AD268" i="7"/>
  <c r="AB268" i="7"/>
  <c r="AA268" i="7"/>
  <c r="W268" i="7"/>
  <c r="T268" i="7"/>
  <c r="X268" i="7" s="1"/>
  <c r="S268" i="7"/>
  <c r="R268" i="7"/>
  <c r="P268" i="7"/>
  <c r="K268" i="7"/>
  <c r="AP267" i="7"/>
  <c r="AN267" i="7"/>
  <c r="AJ267" i="7"/>
  <c r="AH267" i="7"/>
  <c r="AD267" i="7"/>
  <c r="AB267" i="7"/>
  <c r="AA267" i="7"/>
  <c r="W267" i="7"/>
  <c r="X267" i="7" s="1"/>
  <c r="T267" i="7"/>
  <c r="S267" i="7"/>
  <c r="R267" i="7"/>
  <c r="P267" i="7"/>
  <c r="K267" i="7"/>
  <c r="AP266" i="7"/>
  <c r="AN266" i="7"/>
  <c r="AJ266" i="7"/>
  <c r="AH266" i="7"/>
  <c r="AD266" i="7"/>
  <c r="AB266" i="7"/>
  <c r="AA266" i="7"/>
  <c r="W266" i="7"/>
  <c r="T266" i="7"/>
  <c r="X266" i="7" s="1"/>
  <c r="S266" i="7"/>
  <c r="R266" i="7"/>
  <c r="P266" i="7"/>
  <c r="K266" i="7"/>
  <c r="AP265" i="7"/>
  <c r="AN265" i="7"/>
  <c r="AJ265" i="7"/>
  <c r="AH265" i="7"/>
  <c r="AD265" i="7"/>
  <c r="AB265" i="7"/>
  <c r="AA265" i="7"/>
  <c r="W265" i="7"/>
  <c r="X265" i="7" s="1"/>
  <c r="T265" i="7"/>
  <c r="S265" i="7"/>
  <c r="R265" i="7"/>
  <c r="P265" i="7"/>
  <c r="K265" i="7"/>
  <c r="AP264" i="7"/>
  <c r="AN264" i="7"/>
  <c r="AJ264" i="7"/>
  <c r="AH264" i="7"/>
  <c r="AD264" i="7"/>
  <c r="AB264" i="7"/>
  <c r="AA264" i="7"/>
  <c r="W264" i="7"/>
  <c r="T264" i="7"/>
  <c r="X264" i="7" s="1"/>
  <c r="S264" i="7"/>
  <c r="R264" i="7"/>
  <c r="P264" i="7"/>
  <c r="K264" i="7"/>
  <c r="AP263" i="7"/>
  <c r="AN263" i="7"/>
  <c r="AJ263" i="7"/>
  <c r="AH263" i="7"/>
  <c r="AD263" i="7"/>
  <c r="AB263" i="7"/>
  <c r="AA263" i="7"/>
  <c r="W263" i="7"/>
  <c r="X263" i="7" s="1"/>
  <c r="T263" i="7"/>
  <c r="S263" i="7"/>
  <c r="R263" i="7"/>
  <c r="P263" i="7"/>
  <c r="K263" i="7"/>
  <c r="AP262" i="7"/>
  <c r="AN262" i="7"/>
  <c r="AJ262" i="7"/>
  <c r="AH262" i="7"/>
  <c r="AD262" i="7"/>
  <c r="AB262" i="7"/>
  <c r="AA262" i="7"/>
  <c r="W262" i="7"/>
  <c r="T262" i="7"/>
  <c r="X262" i="7" s="1"/>
  <c r="S262" i="7"/>
  <c r="R262" i="7"/>
  <c r="P262" i="7"/>
  <c r="K262" i="7"/>
  <c r="AP261" i="7"/>
  <c r="AN261" i="7"/>
  <c r="AJ261" i="7"/>
  <c r="AH261" i="7"/>
  <c r="AD261" i="7"/>
  <c r="AB261" i="7"/>
  <c r="AA261" i="7"/>
  <c r="W261" i="7"/>
  <c r="X261" i="7" s="1"/>
  <c r="T261" i="7"/>
  <c r="S261" i="7"/>
  <c r="R261" i="7"/>
  <c r="P261" i="7"/>
  <c r="K261" i="7"/>
  <c r="AP260" i="7"/>
  <c r="AN260" i="7"/>
  <c r="AJ260" i="7"/>
  <c r="AH260" i="7"/>
  <c r="AD260" i="7"/>
  <c r="AB260" i="7"/>
  <c r="AA260" i="7"/>
  <c r="W260" i="7"/>
  <c r="T260" i="7"/>
  <c r="X260" i="7" s="1"/>
  <c r="S260" i="7"/>
  <c r="R260" i="7"/>
  <c r="P260" i="7"/>
  <c r="K260" i="7"/>
  <c r="AP259" i="7"/>
  <c r="AN259" i="7"/>
  <c r="AJ259" i="7"/>
  <c r="AH259" i="7"/>
  <c r="AD259" i="7"/>
  <c r="AB259" i="7"/>
  <c r="AA259" i="7"/>
  <c r="W259" i="7"/>
  <c r="X259" i="7" s="1"/>
  <c r="T259" i="7"/>
  <c r="S259" i="7"/>
  <c r="R259" i="7"/>
  <c r="P259" i="7"/>
  <c r="K259" i="7"/>
  <c r="AP258" i="7"/>
  <c r="AN258" i="7"/>
  <c r="AJ258" i="7"/>
  <c r="AH258" i="7"/>
  <c r="AD258" i="7"/>
  <c r="AB258" i="7"/>
  <c r="AA258" i="7"/>
  <c r="W258" i="7"/>
  <c r="T258" i="7"/>
  <c r="X258" i="7" s="1"/>
  <c r="S258" i="7"/>
  <c r="R258" i="7"/>
  <c r="P258" i="7"/>
  <c r="K258" i="7"/>
  <c r="AP257" i="7"/>
  <c r="AN257" i="7"/>
  <c r="AJ257" i="7"/>
  <c r="AH257" i="7"/>
  <c r="AD257" i="7"/>
  <c r="AB257" i="7"/>
  <c r="AA257" i="7"/>
  <c r="W257" i="7"/>
  <c r="X257" i="7" s="1"/>
  <c r="T257" i="7"/>
  <c r="S257" i="7"/>
  <c r="R257" i="7"/>
  <c r="P257" i="7"/>
  <c r="K257" i="7"/>
  <c r="AP256" i="7"/>
  <c r="AN256" i="7"/>
  <c r="AJ256" i="7"/>
  <c r="AH256" i="7"/>
  <c r="AD256" i="7"/>
  <c r="AB256" i="7"/>
  <c r="AA256" i="7"/>
  <c r="W256" i="7"/>
  <c r="T256" i="7"/>
  <c r="X256" i="7" s="1"/>
  <c r="S256" i="7"/>
  <c r="R256" i="7"/>
  <c r="P256" i="7"/>
  <c r="K256" i="7"/>
  <c r="AP255" i="7"/>
  <c r="AN255" i="7"/>
  <c r="AJ255" i="7"/>
  <c r="AH255" i="7"/>
  <c r="AD255" i="7"/>
  <c r="AB255" i="7"/>
  <c r="AA255" i="7"/>
  <c r="W255" i="7"/>
  <c r="X255" i="7" s="1"/>
  <c r="T255" i="7"/>
  <c r="S255" i="7"/>
  <c r="R255" i="7"/>
  <c r="P255" i="7"/>
  <c r="K255" i="7"/>
  <c r="AP254" i="7"/>
  <c r="AN254" i="7"/>
  <c r="AJ254" i="7"/>
  <c r="AH254" i="7"/>
  <c r="AD254" i="7"/>
  <c r="AB254" i="7"/>
  <c r="AA254" i="7"/>
  <c r="W254" i="7"/>
  <c r="T254" i="7"/>
  <c r="X254" i="7" s="1"/>
  <c r="S254" i="7"/>
  <c r="R254" i="7"/>
  <c r="P254" i="7"/>
  <c r="K254" i="7"/>
  <c r="AP253" i="7"/>
  <c r="AN253" i="7"/>
  <c r="AJ253" i="7"/>
  <c r="AH253" i="7"/>
  <c r="AD253" i="7"/>
  <c r="AB253" i="7"/>
  <c r="AA253" i="7"/>
  <c r="W253" i="7"/>
  <c r="X253" i="7" s="1"/>
  <c r="T253" i="7"/>
  <c r="S253" i="7"/>
  <c r="R253" i="7"/>
  <c r="P253" i="7"/>
  <c r="K253" i="7"/>
  <c r="AP252" i="7"/>
  <c r="AN252" i="7"/>
  <c r="AJ252" i="7"/>
  <c r="AH252" i="7"/>
  <c r="AD252" i="7"/>
  <c r="AB252" i="7"/>
  <c r="AA252" i="7"/>
  <c r="W252" i="7"/>
  <c r="T252" i="7"/>
  <c r="X252" i="7" s="1"/>
  <c r="S252" i="7"/>
  <c r="R252" i="7"/>
  <c r="P252" i="7"/>
  <c r="K252" i="7"/>
  <c r="AP251" i="7"/>
  <c r="AN251" i="7"/>
  <c r="AJ251" i="7"/>
  <c r="AH251" i="7"/>
  <c r="AD251" i="7"/>
  <c r="AB251" i="7"/>
  <c r="AA251" i="7"/>
  <c r="W251" i="7"/>
  <c r="X251" i="7" s="1"/>
  <c r="T251" i="7"/>
  <c r="S251" i="7"/>
  <c r="R251" i="7"/>
  <c r="P251" i="7"/>
  <c r="K251" i="7"/>
  <c r="AP250" i="7"/>
  <c r="AN250" i="7"/>
  <c r="AJ250" i="7"/>
  <c r="AH250" i="7"/>
  <c r="AD250" i="7"/>
  <c r="AB250" i="7"/>
  <c r="AA250" i="7"/>
  <c r="W250" i="7"/>
  <c r="T250" i="7"/>
  <c r="X250" i="7" s="1"/>
  <c r="S250" i="7"/>
  <c r="R250" i="7"/>
  <c r="P250" i="7"/>
  <c r="K250" i="7"/>
  <c r="AP249" i="7"/>
  <c r="AN249" i="7"/>
  <c r="AJ249" i="7"/>
  <c r="AH249" i="7"/>
  <c r="AD249" i="7"/>
  <c r="AB249" i="7"/>
  <c r="AA249" i="7"/>
  <c r="W249" i="7"/>
  <c r="X249" i="7" s="1"/>
  <c r="T249" i="7"/>
  <c r="S249" i="7"/>
  <c r="R249" i="7"/>
  <c r="P249" i="7"/>
  <c r="K249" i="7"/>
  <c r="AP248" i="7"/>
  <c r="AN248" i="7"/>
  <c r="AJ248" i="7"/>
  <c r="AH248" i="7"/>
  <c r="AD248" i="7"/>
  <c r="AB248" i="7"/>
  <c r="AA248" i="7"/>
  <c r="W248" i="7"/>
  <c r="T248" i="7"/>
  <c r="X248" i="7" s="1"/>
  <c r="S248" i="7"/>
  <c r="R248" i="7"/>
  <c r="P248" i="7"/>
  <c r="K248" i="7"/>
  <c r="AP247" i="7"/>
  <c r="AN247" i="7"/>
  <c r="AJ247" i="7"/>
  <c r="AH247" i="7"/>
  <c r="AD247" i="7"/>
  <c r="AB247" i="7"/>
  <c r="AA247" i="7"/>
  <c r="W247" i="7"/>
  <c r="X247" i="7" s="1"/>
  <c r="T247" i="7"/>
  <c r="S247" i="7"/>
  <c r="R247" i="7"/>
  <c r="P247" i="7"/>
  <c r="K247" i="7"/>
  <c r="AP246" i="7"/>
  <c r="AN246" i="7"/>
  <c r="AJ246" i="7"/>
  <c r="AH246" i="7"/>
  <c r="AD246" i="7"/>
  <c r="AB246" i="7"/>
  <c r="AA246" i="7"/>
  <c r="W246" i="7"/>
  <c r="T246" i="7"/>
  <c r="X246" i="7" s="1"/>
  <c r="S246" i="7"/>
  <c r="R246" i="7"/>
  <c r="P246" i="7"/>
  <c r="K246" i="7"/>
  <c r="AP245" i="7"/>
  <c r="AN245" i="7"/>
  <c r="AJ245" i="7"/>
  <c r="AH245" i="7"/>
  <c r="AD245" i="7"/>
  <c r="AB245" i="7"/>
  <c r="AA245" i="7"/>
  <c r="W245" i="7"/>
  <c r="X245" i="7" s="1"/>
  <c r="T245" i="7"/>
  <c r="S245" i="7"/>
  <c r="R245" i="7"/>
  <c r="P245" i="7"/>
  <c r="K245" i="7"/>
  <c r="AP244" i="7"/>
  <c r="AN244" i="7"/>
  <c r="AJ244" i="7"/>
  <c r="AH244" i="7"/>
  <c r="AD244" i="7"/>
  <c r="AB244" i="7"/>
  <c r="AA244" i="7"/>
  <c r="W244" i="7"/>
  <c r="T244" i="7"/>
  <c r="X244" i="7" s="1"/>
  <c r="S244" i="7"/>
  <c r="R244" i="7"/>
  <c r="P244" i="7"/>
  <c r="K244" i="7"/>
  <c r="AP243" i="7"/>
  <c r="AN243" i="7"/>
  <c r="AJ243" i="7"/>
  <c r="AH243" i="7"/>
  <c r="AD243" i="7"/>
  <c r="AB243" i="7"/>
  <c r="AA243" i="7"/>
  <c r="W243" i="7"/>
  <c r="X243" i="7" s="1"/>
  <c r="T243" i="7"/>
  <c r="S243" i="7"/>
  <c r="R243" i="7"/>
  <c r="P243" i="7"/>
  <c r="K243" i="7"/>
  <c r="AP242" i="7"/>
  <c r="AN242" i="7"/>
  <c r="AJ242" i="7"/>
  <c r="AH242" i="7"/>
  <c r="AD242" i="7"/>
  <c r="AB242" i="7"/>
  <c r="AA242" i="7"/>
  <c r="W242" i="7"/>
  <c r="T242" i="7"/>
  <c r="X242" i="7" s="1"/>
  <c r="S242" i="7"/>
  <c r="R242" i="7"/>
  <c r="P242" i="7"/>
  <c r="K242" i="7"/>
  <c r="AP241" i="7"/>
  <c r="AN241" i="7"/>
  <c r="AJ241" i="7"/>
  <c r="AH241" i="7"/>
  <c r="AD241" i="7"/>
  <c r="AB241" i="7"/>
  <c r="AA241" i="7"/>
  <c r="W241" i="7"/>
  <c r="X241" i="7" s="1"/>
  <c r="T241" i="7"/>
  <c r="S241" i="7"/>
  <c r="R241" i="7"/>
  <c r="P241" i="7"/>
  <c r="K241" i="7"/>
  <c r="AP240" i="7"/>
  <c r="AN240" i="7"/>
  <c r="AJ240" i="7"/>
  <c r="AH240" i="7"/>
  <c r="AD240" i="7"/>
  <c r="AB240" i="7"/>
  <c r="AA240" i="7"/>
  <c r="W240" i="7"/>
  <c r="T240" i="7"/>
  <c r="X240" i="7" s="1"/>
  <c r="S240" i="7"/>
  <c r="R240" i="7"/>
  <c r="P240" i="7"/>
  <c r="K240" i="7"/>
  <c r="AP239" i="7"/>
  <c r="AN239" i="7"/>
  <c r="AJ239" i="7"/>
  <c r="AH239" i="7"/>
  <c r="AD239" i="7"/>
  <c r="AB239" i="7"/>
  <c r="AA239" i="7"/>
  <c r="W239" i="7"/>
  <c r="X239" i="7" s="1"/>
  <c r="T239" i="7"/>
  <c r="S239" i="7"/>
  <c r="R239" i="7"/>
  <c r="P239" i="7"/>
  <c r="K239" i="7"/>
  <c r="AP238" i="7"/>
  <c r="AN238" i="7"/>
  <c r="AJ238" i="7"/>
  <c r="AH238" i="7"/>
  <c r="AD238" i="7"/>
  <c r="AB238" i="7"/>
  <c r="AA238" i="7"/>
  <c r="W238" i="7"/>
  <c r="T238" i="7"/>
  <c r="X238" i="7" s="1"/>
  <c r="S238" i="7"/>
  <c r="R238" i="7"/>
  <c r="P238" i="7"/>
  <c r="K238" i="7"/>
  <c r="AP237" i="7"/>
  <c r="AN237" i="7"/>
  <c r="AJ237" i="7"/>
  <c r="AH237" i="7"/>
  <c r="AD237" i="7"/>
  <c r="AB237" i="7"/>
  <c r="AA237" i="7"/>
  <c r="W237" i="7"/>
  <c r="X237" i="7" s="1"/>
  <c r="T237" i="7"/>
  <c r="S237" i="7"/>
  <c r="R237" i="7"/>
  <c r="P237" i="7"/>
  <c r="K237" i="7"/>
  <c r="AP236" i="7"/>
  <c r="AN236" i="7"/>
  <c r="AJ236" i="7"/>
  <c r="AH236" i="7"/>
  <c r="AD236" i="7"/>
  <c r="AB236" i="7"/>
  <c r="AA236" i="7"/>
  <c r="W236" i="7"/>
  <c r="T236" i="7"/>
  <c r="X236" i="7" s="1"/>
  <c r="S236" i="7"/>
  <c r="R236" i="7"/>
  <c r="P236" i="7"/>
  <c r="K236" i="7"/>
  <c r="AP235" i="7"/>
  <c r="AN235" i="7"/>
  <c r="AJ235" i="7"/>
  <c r="AH235" i="7"/>
  <c r="AD235" i="7"/>
  <c r="AB235" i="7"/>
  <c r="AA235" i="7"/>
  <c r="W235" i="7"/>
  <c r="X235" i="7" s="1"/>
  <c r="T235" i="7"/>
  <c r="S235" i="7"/>
  <c r="R235" i="7"/>
  <c r="P235" i="7"/>
  <c r="K235" i="7"/>
  <c r="AP234" i="7"/>
  <c r="AN234" i="7"/>
  <c r="AJ234" i="7"/>
  <c r="AH234" i="7"/>
  <c r="AD234" i="7"/>
  <c r="AB234" i="7"/>
  <c r="AA234" i="7"/>
  <c r="W234" i="7"/>
  <c r="T234" i="7"/>
  <c r="X234" i="7" s="1"/>
  <c r="S234" i="7"/>
  <c r="R234" i="7"/>
  <c r="P234" i="7"/>
  <c r="K234" i="7"/>
  <c r="AP233" i="7"/>
  <c r="AN233" i="7"/>
  <c r="AJ233" i="7"/>
  <c r="AH233" i="7"/>
  <c r="AD233" i="7"/>
  <c r="AB233" i="7"/>
  <c r="AA233" i="7"/>
  <c r="W233" i="7"/>
  <c r="X233" i="7" s="1"/>
  <c r="T233" i="7"/>
  <c r="S233" i="7"/>
  <c r="R233" i="7"/>
  <c r="P233" i="7"/>
  <c r="K233" i="7"/>
  <c r="AP232" i="7"/>
  <c r="AN232" i="7"/>
  <c r="AJ232" i="7"/>
  <c r="AH232" i="7"/>
  <c r="AD232" i="7"/>
  <c r="AB232" i="7"/>
  <c r="AA232" i="7"/>
  <c r="W232" i="7"/>
  <c r="T232" i="7"/>
  <c r="X232" i="7" s="1"/>
  <c r="S232" i="7"/>
  <c r="R232" i="7"/>
  <c r="P232" i="7"/>
  <c r="K232" i="7"/>
  <c r="AP231" i="7"/>
  <c r="AN231" i="7"/>
  <c r="AJ231" i="7"/>
  <c r="AH231" i="7"/>
  <c r="AD231" i="7"/>
  <c r="AB231" i="7"/>
  <c r="AA231" i="7"/>
  <c r="W231" i="7"/>
  <c r="X231" i="7" s="1"/>
  <c r="T231" i="7"/>
  <c r="S231" i="7"/>
  <c r="R231" i="7"/>
  <c r="P231" i="7"/>
  <c r="K231" i="7"/>
  <c r="AP230" i="7"/>
  <c r="AN230" i="7"/>
  <c r="AJ230" i="7"/>
  <c r="AH230" i="7"/>
  <c r="AD230" i="7"/>
  <c r="AB230" i="7"/>
  <c r="AA230" i="7"/>
  <c r="W230" i="7"/>
  <c r="T230" i="7"/>
  <c r="X230" i="7" s="1"/>
  <c r="S230" i="7"/>
  <c r="R230" i="7"/>
  <c r="P230" i="7"/>
  <c r="K230" i="7"/>
  <c r="AP229" i="7"/>
  <c r="AN229" i="7"/>
  <c r="AJ229" i="7"/>
  <c r="AH229" i="7"/>
  <c r="AD229" i="7"/>
  <c r="AB229" i="7"/>
  <c r="AA229" i="7"/>
  <c r="W229" i="7"/>
  <c r="X229" i="7" s="1"/>
  <c r="T229" i="7"/>
  <c r="S229" i="7"/>
  <c r="R229" i="7"/>
  <c r="P229" i="7"/>
  <c r="K229" i="7"/>
  <c r="AP228" i="7"/>
  <c r="AN228" i="7"/>
  <c r="AJ228" i="7"/>
  <c r="AH228" i="7"/>
  <c r="AD228" i="7"/>
  <c r="AB228" i="7"/>
  <c r="AA228" i="7"/>
  <c r="W228" i="7"/>
  <c r="T228" i="7"/>
  <c r="X228" i="7" s="1"/>
  <c r="S228" i="7"/>
  <c r="R228" i="7"/>
  <c r="P228" i="7"/>
  <c r="K228" i="7"/>
  <c r="AP227" i="7"/>
  <c r="AN227" i="7"/>
  <c r="AJ227" i="7"/>
  <c r="AH227" i="7"/>
  <c r="AD227" i="7"/>
  <c r="AB227" i="7"/>
  <c r="AA227" i="7"/>
  <c r="W227" i="7"/>
  <c r="X227" i="7" s="1"/>
  <c r="T227" i="7"/>
  <c r="S227" i="7"/>
  <c r="R227" i="7"/>
  <c r="P227" i="7"/>
  <c r="K227" i="7"/>
  <c r="AP226" i="7"/>
  <c r="AN226" i="7"/>
  <c r="AJ226" i="7"/>
  <c r="AH226" i="7"/>
  <c r="AD226" i="7"/>
  <c r="AB226" i="7"/>
  <c r="AA226" i="7"/>
  <c r="W226" i="7"/>
  <c r="T226" i="7"/>
  <c r="X226" i="7" s="1"/>
  <c r="S226" i="7"/>
  <c r="R226" i="7"/>
  <c r="P226" i="7"/>
  <c r="K226" i="7"/>
  <c r="AP225" i="7"/>
  <c r="AN225" i="7"/>
  <c r="AJ225" i="7"/>
  <c r="AH225" i="7"/>
  <c r="AD225" i="7"/>
  <c r="AB225" i="7"/>
  <c r="AA225" i="7"/>
  <c r="W225" i="7"/>
  <c r="X225" i="7" s="1"/>
  <c r="T225" i="7"/>
  <c r="S225" i="7"/>
  <c r="R225" i="7"/>
  <c r="P225" i="7"/>
  <c r="K225" i="7"/>
  <c r="AP224" i="7"/>
  <c r="AN224" i="7"/>
  <c r="AJ224" i="7"/>
  <c r="AH224" i="7"/>
  <c r="AD224" i="7"/>
  <c r="AB224" i="7"/>
  <c r="AA224" i="7"/>
  <c r="W224" i="7"/>
  <c r="T224" i="7"/>
  <c r="X224" i="7" s="1"/>
  <c r="S224" i="7"/>
  <c r="R224" i="7"/>
  <c r="P224" i="7"/>
  <c r="K224" i="7"/>
  <c r="AP223" i="7"/>
  <c r="AN223" i="7"/>
  <c r="AJ223" i="7"/>
  <c r="AH223" i="7"/>
  <c r="AD223" i="7"/>
  <c r="AB223" i="7"/>
  <c r="AA223" i="7"/>
  <c r="W223" i="7"/>
  <c r="X223" i="7" s="1"/>
  <c r="T223" i="7"/>
  <c r="S223" i="7"/>
  <c r="R223" i="7"/>
  <c r="P223" i="7"/>
  <c r="K223" i="7"/>
  <c r="AP222" i="7"/>
  <c r="AN222" i="7"/>
  <c r="AJ222" i="7"/>
  <c r="AH222" i="7"/>
  <c r="AD222" i="7"/>
  <c r="AB222" i="7"/>
  <c r="AA222" i="7"/>
  <c r="W222" i="7"/>
  <c r="T222" i="7"/>
  <c r="X222" i="7" s="1"/>
  <c r="S222" i="7"/>
  <c r="R222" i="7"/>
  <c r="P222" i="7"/>
  <c r="K222" i="7"/>
  <c r="AP221" i="7"/>
  <c r="AN221" i="7"/>
  <c r="AJ221" i="7"/>
  <c r="AH221" i="7"/>
  <c r="AD221" i="7"/>
  <c r="AB221" i="7"/>
  <c r="AA221" i="7"/>
  <c r="W221" i="7"/>
  <c r="X221" i="7" s="1"/>
  <c r="T221" i="7"/>
  <c r="S221" i="7"/>
  <c r="R221" i="7"/>
  <c r="P221" i="7"/>
  <c r="K221" i="7"/>
  <c r="AP220" i="7"/>
  <c r="AN220" i="7"/>
  <c r="AJ220" i="7"/>
  <c r="AH220" i="7"/>
  <c r="AD220" i="7"/>
  <c r="AB220" i="7"/>
  <c r="AA220" i="7"/>
  <c r="W220" i="7"/>
  <c r="T220" i="7"/>
  <c r="X220" i="7" s="1"/>
  <c r="S220" i="7"/>
  <c r="R220" i="7"/>
  <c r="P220" i="7"/>
  <c r="K220" i="7"/>
  <c r="AP219" i="7"/>
  <c r="AN219" i="7"/>
  <c r="AJ219" i="7"/>
  <c r="AH219" i="7"/>
  <c r="AD219" i="7"/>
  <c r="AB219" i="7"/>
  <c r="AA219" i="7"/>
  <c r="W219" i="7"/>
  <c r="X219" i="7" s="1"/>
  <c r="T219" i="7"/>
  <c r="S219" i="7"/>
  <c r="R219" i="7"/>
  <c r="P219" i="7"/>
  <c r="K219" i="7"/>
  <c r="AP218" i="7"/>
  <c r="AN218" i="7"/>
  <c r="AJ218" i="7"/>
  <c r="AH218" i="7"/>
  <c r="AD218" i="7"/>
  <c r="AB218" i="7"/>
  <c r="AA218" i="7"/>
  <c r="W218" i="7"/>
  <c r="T218" i="7"/>
  <c r="X218" i="7" s="1"/>
  <c r="S218" i="7"/>
  <c r="R218" i="7"/>
  <c r="P218" i="7"/>
  <c r="K218" i="7"/>
  <c r="AP217" i="7"/>
  <c r="AN217" i="7"/>
  <c r="AJ217" i="7"/>
  <c r="AH217" i="7"/>
  <c r="AD217" i="7"/>
  <c r="AB217" i="7"/>
  <c r="AA217" i="7"/>
  <c r="W217" i="7"/>
  <c r="X217" i="7" s="1"/>
  <c r="T217" i="7"/>
  <c r="S217" i="7"/>
  <c r="R217" i="7"/>
  <c r="P217" i="7"/>
  <c r="K217" i="7"/>
  <c r="AP216" i="7"/>
  <c r="AN216" i="7"/>
  <c r="AJ216" i="7"/>
  <c r="AH216" i="7"/>
  <c r="AD216" i="7"/>
  <c r="AB216" i="7"/>
  <c r="AA216" i="7"/>
  <c r="W216" i="7"/>
  <c r="T216" i="7"/>
  <c r="X216" i="7" s="1"/>
  <c r="S216" i="7"/>
  <c r="R216" i="7"/>
  <c r="P216" i="7"/>
  <c r="K216" i="7"/>
  <c r="AP215" i="7"/>
  <c r="AN215" i="7"/>
  <c r="AJ215" i="7"/>
  <c r="AH215" i="7"/>
  <c r="AD215" i="7"/>
  <c r="AB215" i="7"/>
  <c r="AA215" i="7"/>
  <c r="W215" i="7"/>
  <c r="X215" i="7" s="1"/>
  <c r="T215" i="7"/>
  <c r="S215" i="7"/>
  <c r="R215" i="7"/>
  <c r="P215" i="7"/>
  <c r="K215" i="7"/>
  <c r="AP214" i="7"/>
  <c r="AN214" i="7"/>
  <c r="AJ214" i="7"/>
  <c r="AH214" i="7"/>
  <c r="AD214" i="7"/>
  <c r="AB214" i="7"/>
  <c r="AA214" i="7"/>
  <c r="W214" i="7"/>
  <c r="T214" i="7"/>
  <c r="X214" i="7" s="1"/>
  <c r="S214" i="7"/>
  <c r="R214" i="7"/>
  <c r="P214" i="7"/>
  <c r="K214" i="7"/>
  <c r="AP213" i="7"/>
  <c r="AN213" i="7"/>
  <c r="AJ213" i="7"/>
  <c r="AH213" i="7"/>
  <c r="AD213" i="7"/>
  <c r="AB213" i="7"/>
  <c r="AA213" i="7"/>
  <c r="X213" i="7"/>
  <c r="W213" i="7"/>
  <c r="T213" i="7"/>
  <c r="S213" i="7"/>
  <c r="R213" i="7"/>
  <c r="P213" i="7"/>
  <c r="K213" i="7"/>
  <c r="AP212" i="7"/>
  <c r="AN212" i="7"/>
  <c r="AJ212" i="7"/>
  <c r="AH212" i="7"/>
  <c r="AD212" i="7"/>
  <c r="AB212" i="7"/>
  <c r="AA212" i="7"/>
  <c r="W212" i="7"/>
  <c r="T212" i="7"/>
  <c r="S212" i="7"/>
  <c r="R212" i="7"/>
  <c r="P212" i="7"/>
  <c r="K212" i="7"/>
  <c r="AP211" i="7"/>
  <c r="AN211" i="7"/>
  <c r="AJ211" i="7"/>
  <c r="AH211" i="7"/>
  <c r="AD211" i="7"/>
  <c r="AB211" i="7"/>
  <c r="AA211" i="7"/>
  <c r="W211" i="7"/>
  <c r="X211" i="7" s="1"/>
  <c r="T211" i="7"/>
  <c r="S211" i="7"/>
  <c r="R211" i="7"/>
  <c r="P211" i="7"/>
  <c r="K211" i="7"/>
  <c r="AP210" i="7"/>
  <c r="AN210" i="7"/>
  <c r="AJ210" i="7"/>
  <c r="AH210" i="7"/>
  <c r="AD210" i="7"/>
  <c r="AB210" i="7"/>
  <c r="AA210" i="7"/>
  <c r="W210" i="7"/>
  <c r="T210" i="7"/>
  <c r="X210" i="7" s="1"/>
  <c r="S210" i="7"/>
  <c r="R210" i="7"/>
  <c r="P210" i="7"/>
  <c r="K210" i="7"/>
  <c r="AP209" i="7"/>
  <c r="AN209" i="7"/>
  <c r="AJ209" i="7"/>
  <c r="AH209" i="7"/>
  <c r="AD209" i="7"/>
  <c r="AB209" i="7"/>
  <c r="AA209" i="7"/>
  <c r="X209" i="7"/>
  <c r="W209" i="7"/>
  <c r="T209" i="7"/>
  <c r="S209" i="7"/>
  <c r="R209" i="7"/>
  <c r="P209" i="7"/>
  <c r="K209" i="7"/>
  <c r="AP208" i="7"/>
  <c r="AN208" i="7"/>
  <c r="AJ208" i="7"/>
  <c r="AH208" i="7"/>
  <c r="AD208" i="7"/>
  <c r="AB208" i="7"/>
  <c r="AA208" i="7"/>
  <c r="W208" i="7"/>
  <c r="T208" i="7"/>
  <c r="S208" i="7"/>
  <c r="R208" i="7"/>
  <c r="P208" i="7"/>
  <c r="K208" i="7"/>
  <c r="AP207" i="7"/>
  <c r="AN207" i="7"/>
  <c r="AJ207" i="7"/>
  <c r="AH207" i="7"/>
  <c r="AD207" i="7"/>
  <c r="AB207" i="7"/>
  <c r="AA207" i="7"/>
  <c r="W207" i="7"/>
  <c r="X207" i="7" s="1"/>
  <c r="T207" i="7"/>
  <c r="S207" i="7"/>
  <c r="R207" i="7"/>
  <c r="P207" i="7"/>
  <c r="K207" i="7"/>
  <c r="AP206" i="7"/>
  <c r="AN206" i="7"/>
  <c r="AJ206" i="7"/>
  <c r="AH206" i="7"/>
  <c r="AD206" i="7"/>
  <c r="AB206" i="7"/>
  <c r="AA206" i="7"/>
  <c r="W206" i="7"/>
  <c r="T206" i="7"/>
  <c r="X206" i="7" s="1"/>
  <c r="S206" i="7"/>
  <c r="R206" i="7"/>
  <c r="P206" i="7"/>
  <c r="K206" i="7"/>
  <c r="AP205" i="7"/>
  <c r="AN205" i="7"/>
  <c r="AJ205" i="7"/>
  <c r="AH205" i="7"/>
  <c r="AD205" i="7"/>
  <c r="AB205" i="7"/>
  <c r="AA205" i="7"/>
  <c r="X205" i="7"/>
  <c r="W205" i="7"/>
  <c r="T205" i="7"/>
  <c r="S205" i="7"/>
  <c r="R205" i="7"/>
  <c r="P205" i="7"/>
  <c r="K205" i="7"/>
  <c r="AP204" i="7"/>
  <c r="AN204" i="7"/>
  <c r="AJ204" i="7"/>
  <c r="AH204" i="7"/>
  <c r="AD204" i="7"/>
  <c r="AB204" i="7"/>
  <c r="AA204" i="7"/>
  <c r="W204" i="7"/>
  <c r="T204" i="7"/>
  <c r="S204" i="7"/>
  <c r="R204" i="7"/>
  <c r="P204" i="7"/>
  <c r="K204" i="7"/>
  <c r="AP203" i="7"/>
  <c r="AN203" i="7"/>
  <c r="AJ203" i="7"/>
  <c r="AH203" i="7"/>
  <c r="AD203" i="7"/>
  <c r="AB203" i="7"/>
  <c r="AA203" i="7"/>
  <c r="W203" i="7"/>
  <c r="X203" i="7" s="1"/>
  <c r="T203" i="7"/>
  <c r="S203" i="7"/>
  <c r="R203" i="7"/>
  <c r="P203" i="7"/>
  <c r="K203" i="7"/>
  <c r="AP202" i="7"/>
  <c r="AN202" i="7"/>
  <c r="AJ202" i="7"/>
  <c r="AH202" i="7"/>
  <c r="AD202" i="7"/>
  <c r="AB202" i="7"/>
  <c r="AA202" i="7"/>
  <c r="W202" i="7"/>
  <c r="T202" i="7"/>
  <c r="X202" i="7" s="1"/>
  <c r="S202" i="7"/>
  <c r="R202" i="7"/>
  <c r="P202" i="7"/>
  <c r="K202" i="7"/>
  <c r="AP201" i="7"/>
  <c r="AN201" i="7"/>
  <c r="AJ201" i="7"/>
  <c r="AH201" i="7"/>
  <c r="AD201" i="7"/>
  <c r="AB201" i="7"/>
  <c r="AA201" i="7"/>
  <c r="X201" i="7"/>
  <c r="W201" i="7"/>
  <c r="T201" i="7"/>
  <c r="S201" i="7"/>
  <c r="R201" i="7"/>
  <c r="P201" i="7"/>
  <c r="K201" i="7"/>
  <c r="AP200" i="7"/>
  <c r="AN200" i="7"/>
  <c r="AJ200" i="7"/>
  <c r="AH200" i="7"/>
  <c r="AD200" i="7"/>
  <c r="AB200" i="7"/>
  <c r="AA200" i="7"/>
  <c r="W200" i="7"/>
  <c r="T200" i="7"/>
  <c r="S200" i="7"/>
  <c r="R200" i="7"/>
  <c r="P200" i="7"/>
  <c r="K200" i="7"/>
  <c r="AP199" i="7"/>
  <c r="AN199" i="7"/>
  <c r="AJ199" i="7"/>
  <c r="AH199" i="7"/>
  <c r="AD199" i="7"/>
  <c r="AB199" i="7"/>
  <c r="AA199" i="7"/>
  <c r="W199" i="7"/>
  <c r="X199" i="7" s="1"/>
  <c r="T199" i="7"/>
  <c r="S199" i="7"/>
  <c r="R199" i="7"/>
  <c r="P199" i="7"/>
  <c r="K199" i="7"/>
  <c r="AP198" i="7"/>
  <c r="AN198" i="7"/>
  <c r="AJ198" i="7"/>
  <c r="AH198" i="7"/>
  <c r="AD198" i="7"/>
  <c r="AB198" i="7"/>
  <c r="AA198" i="7"/>
  <c r="W198" i="7"/>
  <c r="T198" i="7"/>
  <c r="X198" i="7" s="1"/>
  <c r="S198" i="7"/>
  <c r="R198" i="7"/>
  <c r="P198" i="7"/>
  <c r="K198" i="7"/>
  <c r="AP197" i="7"/>
  <c r="AN197" i="7"/>
  <c r="AJ197" i="7"/>
  <c r="AH197" i="7"/>
  <c r="AD197" i="7"/>
  <c r="AB197" i="7"/>
  <c r="AA197" i="7"/>
  <c r="W197" i="7"/>
  <c r="T197" i="7"/>
  <c r="X197" i="7" s="1"/>
  <c r="S197" i="7"/>
  <c r="R197" i="7"/>
  <c r="P197" i="7"/>
  <c r="K197" i="7"/>
  <c r="AP196" i="7"/>
  <c r="AN196" i="7"/>
  <c r="AJ196" i="7"/>
  <c r="AH196" i="7"/>
  <c r="AD196" i="7"/>
  <c r="AB196" i="7"/>
  <c r="AA196" i="7"/>
  <c r="X196" i="7"/>
  <c r="W196" i="7"/>
  <c r="T196" i="7"/>
  <c r="S196" i="7"/>
  <c r="R196" i="7"/>
  <c r="P196" i="7"/>
  <c r="K196" i="7"/>
  <c r="AP195" i="7"/>
  <c r="AN195" i="7"/>
  <c r="AJ195" i="7"/>
  <c r="AH195" i="7"/>
  <c r="AD195" i="7"/>
  <c r="AB195" i="7"/>
  <c r="AA195" i="7"/>
  <c r="W195" i="7"/>
  <c r="T195" i="7"/>
  <c r="X195" i="7" s="1"/>
  <c r="S195" i="7"/>
  <c r="R195" i="7"/>
  <c r="P195" i="7"/>
  <c r="K195" i="7"/>
  <c r="AP194" i="7"/>
  <c r="AN194" i="7"/>
  <c r="AJ194" i="7"/>
  <c r="AH194" i="7"/>
  <c r="AD194" i="7"/>
  <c r="AB194" i="7"/>
  <c r="AA194" i="7"/>
  <c r="X194" i="7"/>
  <c r="W194" i="7"/>
  <c r="T194" i="7"/>
  <c r="S194" i="7"/>
  <c r="R194" i="7"/>
  <c r="P194" i="7"/>
  <c r="K194" i="7"/>
  <c r="AP193" i="7"/>
  <c r="AN193" i="7"/>
  <c r="AJ193" i="7"/>
  <c r="AH193" i="7"/>
  <c r="AD193" i="7"/>
  <c r="AB193" i="7"/>
  <c r="AA193" i="7"/>
  <c r="W193" i="7"/>
  <c r="T193" i="7"/>
  <c r="X193" i="7" s="1"/>
  <c r="S193" i="7"/>
  <c r="R193" i="7"/>
  <c r="P193" i="7"/>
  <c r="K193" i="7"/>
  <c r="AP192" i="7"/>
  <c r="AN192" i="7"/>
  <c r="AJ192" i="7"/>
  <c r="AH192" i="7"/>
  <c r="AD192" i="7"/>
  <c r="AB192" i="7"/>
  <c r="AA192" i="7"/>
  <c r="X192" i="7"/>
  <c r="W192" i="7"/>
  <c r="T192" i="7"/>
  <c r="S192" i="7"/>
  <c r="R192" i="7"/>
  <c r="P192" i="7"/>
  <c r="K192" i="7"/>
  <c r="AP191" i="7"/>
  <c r="AN191" i="7"/>
  <c r="AJ191" i="7"/>
  <c r="AH191" i="7"/>
  <c r="AD191" i="7"/>
  <c r="AB191" i="7"/>
  <c r="AA191" i="7"/>
  <c r="W191" i="7"/>
  <c r="T191" i="7"/>
  <c r="X191" i="7" s="1"/>
  <c r="S191" i="7"/>
  <c r="R191" i="7"/>
  <c r="P191" i="7"/>
  <c r="K191" i="7"/>
  <c r="AP190" i="7"/>
  <c r="AN190" i="7"/>
  <c r="AJ190" i="7"/>
  <c r="AH190" i="7"/>
  <c r="AD190" i="7"/>
  <c r="AB190" i="7"/>
  <c r="AA190" i="7"/>
  <c r="X190" i="7"/>
  <c r="W190" i="7"/>
  <c r="T190" i="7"/>
  <c r="S190" i="7"/>
  <c r="R190" i="7"/>
  <c r="P190" i="7"/>
  <c r="K190" i="7"/>
  <c r="AP189" i="7"/>
  <c r="AN189" i="7"/>
  <c r="AJ189" i="7"/>
  <c r="AH189" i="7"/>
  <c r="AD189" i="7"/>
  <c r="AB189" i="7"/>
  <c r="AA189" i="7"/>
  <c r="W189" i="7"/>
  <c r="T189" i="7"/>
  <c r="X189" i="7" s="1"/>
  <c r="S189" i="7"/>
  <c r="R189" i="7"/>
  <c r="P189" i="7"/>
  <c r="K189" i="7"/>
  <c r="AP188" i="7"/>
  <c r="AN188" i="7"/>
  <c r="AJ188" i="7"/>
  <c r="AH188" i="7"/>
  <c r="AD188" i="7"/>
  <c r="AB188" i="7"/>
  <c r="AA188" i="7"/>
  <c r="X188" i="7"/>
  <c r="W188" i="7"/>
  <c r="T188" i="7"/>
  <c r="S188" i="7"/>
  <c r="R188" i="7"/>
  <c r="P188" i="7"/>
  <c r="K188" i="7"/>
  <c r="AP187" i="7"/>
  <c r="AN187" i="7"/>
  <c r="AJ187" i="7"/>
  <c r="AH187" i="7"/>
  <c r="AD187" i="7"/>
  <c r="AB187" i="7"/>
  <c r="AA187" i="7"/>
  <c r="W187" i="7"/>
  <c r="T187" i="7"/>
  <c r="X187" i="7" s="1"/>
  <c r="S187" i="7"/>
  <c r="R187" i="7"/>
  <c r="P187" i="7"/>
  <c r="K187" i="7"/>
  <c r="AP186" i="7"/>
  <c r="AN186" i="7"/>
  <c r="AJ186" i="7"/>
  <c r="AH186" i="7"/>
  <c r="AD186" i="7"/>
  <c r="AB186" i="7"/>
  <c r="AA186" i="7"/>
  <c r="X186" i="7"/>
  <c r="W186" i="7"/>
  <c r="T186" i="7"/>
  <c r="S186" i="7"/>
  <c r="R186" i="7"/>
  <c r="P186" i="7"/>
  <c r="K186" i="7"/>
  <c r="AP185" i="7"/>
  <c r="AN185" i="7"/>
  <c r="AJ185" i="7"/>
  <c r="AH185" i="7"/>
  <c r="AD185" i="7"/>
  <c r="AB185" i="7"/>
  <c r="AA185" i="7"/>
  <c r="W185" i="7"/>
  <c r="T185" i="7"/>
  <c r="X185" i="7" s="1"/>
  <c r="S185" i="7"/>
  <c r="R185" i="7"/>
  <c r="P185" i="7"/>
  <c r="K185" i="7"/>
  <c r="AP184" i="7"/>
  <c r="AN184" i="7"/>
  <c r="AJ184" i="7"/>
  <c r="AH184" i="7"/>
  <c r="AD184" i="7"/>
  <c r="AB184" i="7"/>
  <c r="AA184" i="7"/>
  <c r="X184" i="7"/>
  <c r="W184" i="7"/>
  <c r="T184" i="7"/>
  <c r="S184" i="7"/>
  <c r="R184" i="7"/>
  <c r="P184" i="7"/>
  <c r="K184" i="7"/>
  <c r="AP183" i="7"/>
  <c r="AN183" i="7"/>
  <c r="AJ183" i="7"/>
  <c r="AH183" i="7"/>
  <c r="AD183" i="7"/>
  <c r="AB183" i="7"/>
  <c r="AA183" i="7"/>
  <c r="W183" i="7"/>
  <c r="T183" i="7"/>
  <c r="X183" i="7" s="1"/>
  <c r="S183" i="7"/>
  <c r="R183" i="7"/>
  <c r="P183" i="7"/>
  <c r="K183" i="7"/>
  <c r="AP182" i="7"/>
  <c r="AN182" i="7"/>
  <c r="AJ182" i="7"/>
  <c r="AH182" i="7"/>
  <c r="AD182" i="7"/>
  <c r="AB182" i="7"/>
  <c r="AA182" i="7"/>
  <c r="X182" i="7"/>
  <c r="W182" i="7"/>
  <c r="T182" i="7"/>
  <c r="S182" i="7"/>
  <c r="R182" i="7"/>
  <c r="P182" i="7"/>
  <c r="K182" i="7"/>
  <c r="AP181" i="7"/>
  <c r="AN181" i="7"/>
  <c r="AJ181" i="7"/>
  <c r="AH181" i="7"/>
  <c r="AD181" i="7"/>
  <c r="AB181" i="7"/>
  <c r="AA181" i="7"/>
  <c r="W181" i="7"/>
  <c r="T181" i="7"/>
  <c r="X181" i="7" s="1"/>
  <c r="S181" i="7"/>
  <c r="R181" i="7"/>
  <c r="P181" i="7"/>
  <c r="K181" i="7"/>
  <c r="AP180" i="7"/>
  <c r="AN180" i="7"/>
  <c r="AJ180" i="7"/>
  <c r="AH180" i="7"/>
  <c r="AD180" i="7"/>
  <c r="AB180" i="7"/>
  <c r="AA180" i="7"/>
  <c r="X180" i="7"/>
  <c r="W180" i="7"/>
  <c r="T180" i="7"/>
  <c r="S180" i="7"/>
  <c r="R180" i="7"/>
  <c r="P180" i="7"/>
  <c r="K180" i="7"/>
  <c r="AP179" i="7"/>
  <c r="AN179" i="7"/>
  <c r="AJ179" i="7"/>
  <c r="AH179" i="7"/>
  <c r="AD179" i="7"/>
  <c r="AB179" i="7"/>
  <c r="AA179" i="7"/>
  <c r="W179" i="7"/>
  <c r="T179" i="7"/>
  <c r="X179" i="7" s="1"/>
  <c r="S179" i="7"/>
  <c r="R179" i="7"/>
  <c r="P179" i="7"/>
  <c r="K179" i="7"/>
  <c r="AP178" i="7"/>
  <c r="AN178" i="7"/>
  <c r="AJ178" i="7"/>
  <c r="AH178" i="7"/>
  <c r="AD178" i="7"/>
  <c r="AB178" i="7"/>
  <c r="AA178" i="7"/>
  <c r="X178" i="7"/>
  <c r="W178" i="7"/>
  <c r="T178" i="7"/>
  <c r="S178" i="7"/>
  <c r="R178" i="7"/>
  <c r="P178" i="7"/>
  <c r="K178" i="7"/>
  <c r="AP177" i="7"/>
  <c r="AN177" i="7"/>
  <c r="AJ177" i="7"/>
  <c r="AH177" i="7"/>
  <c r="AD177" i="7"/>
  <c r="AB177" i="7"/>
  <c r="AA177" i="7"/>
  <c r="W177" i="7"/>
  <c r="T177" i="7"/>
  <c r="X177" i="7" s="1"/>
  <c r="S177" i="7"/>
  <c r="R177" i="7"/>
  <c r="P177" i="7"/>
  <c r="K177" i="7"/>
  <c r="AP176" i="7"/>
  <c r="AN176" i="7"/>
  <c r="AJ176" i="7"/>
  <c r="AH176" i="7"/>
  <c r="AD176" i="7"/>
  <c r="AB176" i="7"/>
  <c r="AA176" i="7"/>
  <c r="X176" i="7"/>
  <c r="W176" i="7"/>
  <c r="T176" i="7"/>
  <c r="S176" i="7"/>
  <c r="R176" i="7"/>
  <c r="P176" i="7"/>
  <c r="K176" i="7"/>
  <c r="AP175" i="7"/>
  <c r="AN175" i="7"/>
  <c r="AJ175" i="7"/>
  <c r="AH175" i="7"/>
  <c r="AD175" i="7"/>
  <c r="AB175" i="7"/>
  <c r="AA175" i="7"/>
  <c r="W175" i="7"/>
  <c r="T175" i="7"/>
  <c r="X175" i="7" s="1"/>
  <c r="S175" i="7"/>
  <c r="R175" i="7"/>
  <c r="P175" i="7"/>
  <c r="K175" i="7"/>
  <c r="AP174" i="7"/>
  <c r="AN174" i="7"/>
  <c r="AJ174" i="7"/>
  <c r="AH174" i="7"/>
  <c r="AD174" i="7"/>
  <c r="AB174" i="7"/>
  <c r="AA174" i="7"/>
  <c r="X174" i="7"/>
  <c r="W174" i="7"/>
  <c r="T174" i="7"/>
  <c r="S174" i="7"/>
  <c r="R174" i="7"/>
  <c r="P174" i="7"/>
  <c r="K174" i="7"/>
  <c r="AP173" i="7"/>
  <c r="AN173" i="7"/>
  <c r="AJ173" i="7"/>
  <c r="AH173" i="7"/>
  <c r="AD173" i="7"/>
  <c r="AB173" i="7"/>
  <c r="AA173" i="7"/>
  <c r="W173" i="7"/>
  <c r="T173" i="7"/>
  <c r="X173" i="7" s="1"/>
  <c r="S173" i="7"/>
  <c r="R173" i="7"/>
  <c r="P173" i="7"/>
  <c r="K173" i="7"/>
  <c r="AP172" i="7"/>
  <c r="AN172" i="7"/>
  <c r="AJ172" i="7"/>
  <c r="AH172" i="7"/>
  <c r="AD172" i="7"/>
  <c r="AB172" i="7"/>
  <c r="AA172" i="7"/>
  <c r="X172" i="7"/>
  <c r="W172" i="7"/>
  <c r="T172" i="7"/>
  <c r="S172" i="7"/>
  <c r="R172" i="7"/>
  <c r="P172" i="7"/>
  <c r="K172" i="7"/>
  <c r="AP171" i="7"/>
  <c r="AN171" i="7"/>
  <c r="AJ171" i="7"/>
  <c r="AH171" i="7"/>
  <c r="AD171" i="7"/>
  <c r="AB171" i="7"/>
  <c r="AA171" i="7"/>
  <c r="W171" i="7"/>
  <c r="T171" i="7"/>
  <c r="X171" i="7" s="1"/>
  <c r="S171" i="7"/>
  <c r="R171" i="7"/>
  <c r="P171" i="7"/>
  <c r="K171" i="7"/>
  <c r="AP170" i="7"/>
  <c r="AN170" i="7"/>
  <c r="AJ170" i="7"/>
  <c r="AH170" i="7"/>
  <c r="AD170" i="7"/>
  <c r="AB170" i="7"/>
  <c r="AA170" i="7"/>
  <c r="X170" i="7"/>
  <c r="W170" i="7"/>
  <c r="T170" i="7"/>
  <c r="S170" i="7"/>
  <c r="R170" i="7"/>
  <c r="P170" i="7"/>
  <c r="K170" i="7"/>
  <c r="AP169" i="7"/>
  <c r="AN169" i="7"/>
  <c r="AJ169" i="7"/>
  <c r="AH169" i="7"/>
  <c r="AD169" i="7"/>
  <c r="AB169" i="7"/>
  <c r="AA169" i="7"/>
  <c r="W169" i="7"/>
  <c r="T169" i="7"/>
  <c r="X169" i="7" s="1"/>
  <c r="S169" i="7"/>
  <c r="R169" i="7"/>
  <c r="P169" i="7"/>
  <c r="K169" i="7"/>
  <c r="AP168" i="7"/>
  <c r="AN168" i="7"/>
  <c r="AJ168" i="7"/>
  <c r="AH168" i="7"/>
  <c r="AD168" i="7"/>
  <c r="AB168" i="7"/>
  <c r="AA168" i="7"/>
  <c r="X168" i="7"/>
  <c r="W168" i="7"/>
  <c r="T168" i="7"/>
  <c r="S168" i="7"/>
  <c r="R168" i="7"/>
  <c r="P168" i="7"/>
  <c r="K168" i="7"/>
  <c r="AP167" i="7"/>
  <c r="AN167" i="7"/>
  <c r="AJ167" i="7"/>
  <c r="AH167" i="7"/>
  <c r="AD167" i="7"/>
  <c r="AB167" i="7"/>
  <c r="AA167" i="7"/>
  <c r="W167" i="7"/>
  <c r="T167" i="7"/>
  <c r="X167" i="7" s="1"/>
  <c r="S167" i="7"/>
  <c r="R167" i="7"/>
  <c r="P167" i="7"/>
  <c r="K167" i="7"/>
  <c r="AP166" i="7"/>
  <c r="AN166" i="7"/>
  <c r="AJ166" i="7"/>
  <c r="AH166" i="7"/>
  <c r="AD166" i="7"/>
  <c r="AB166" i="7"/>
  <c r="AA166" i="7"/>
  <c r="X166" i="7"/>
  <c r="W166" i="7"/>
  <c r="T166" i="7"/>
  <c r="S166" i="7"/>
  <c r="R166" i="7"/>
  <c r="P166" i="7"/>
  <c r="K166" i="7"/>
  <c r="AP165" i="7"/>
  <c r="AN165" i="7"/>
  <c r="AJ165" i="7"/>
  <c r="AH165" i="7"/>
  <c r="AD165" i="7"/>
  <c r="AB165" i="7"/>
  <c r="AA165" i="7"/>
  <c r="W165" i="7"/>
  <c r="T165" i="7"/>
  <c r="X165" i="7" s="1"/>
  <c r="S165" i="7"/>
  <c r="R165" i="7"/>
  <c r="P165" i="7"/>
  <c r="K165" i="7"/>
  <c r="AP164" i="7"/>
  <c r="AN164" i="7"/>
  <c r="AJ164" i="7"/>
  <c r="AH164" i="7"/>
  <c r="AD164" i="7"/>
  <c r="AB164" i="7"/>
  <c r="AA164" i="7"/>
  <c r="X164" i="7"/>
  <c r="W164" i="7"/>
  <c r="T164" i="7"/>
  <c r="S164" i="7"/>
  <c r="R164" i="7"/>
  <c r="P164" i="7"/>
  <c r="K164" i="7"/>
  <c r="AP163" i="7"/>
  <c r="AN163" i="7"/>
  <c r="AJ163" i="7"/>
  <c r="AH163" i="7"/>
  <c r="AD163" i="7"/>
  <c r="AB163" i="7"/>
  <c r="AA163" i="7"/>
  <c r="W163" i="7"/>
  <c r="T163" i="7"/>
  <c r="X163" i="7" s="1"/>
  <c r="S163" i="7"/>
  <c r="R163" i="7"/>
  <c r="P163" i="7"/>
  <c r="K163" i="7"/>
  <c r="AP162" i="7"/>
  <c r="AN162" i="7"/>
  <c r="AJ162" i="7"/>
  <c r="AH162" i="7"/>
  <c r="AD162" i="7"/>
  <c r="AB162" i="7"/>
  <c r="AA162" i="7"/>
  <c r="X162" i="7"/>
  <c r="W162" i="7"/>
  <c r="T162" i="7"/>
  <c r="S162" i="7"/>
  <c r="R162" i="7"/>
  <c r="P162" i="7"/>
  <c r="K162" i="7"/>
  <c r="AP161" i="7"/>
  <c r="AN161" i="7"/>
  <c r="AJ161" i="7"/>
  <c r="AH161" i="7"/>
  <c r="AD161" i="7"/>
  <c r="AB161" i="7"/>
  <c r="AA161" i="7"/>
  <c r="W161" i="7"/>
  <c r="T161" i="7"/>
  <c r="X161" i="7" s="1"/>
  <c r="S161" i="7"/>
  <c r="R161" i="7"/>
  <c r="P161" i="7"/>
  <c r="K161" i="7"/>
  <c r="AP160" i="7"/>
  <c r="AN160" i="7"/>
  <c r="AJ160" i="7"/>
  <c r="AH160" i="7"/>
  <c r="AD160" i="7"/>
  <c r="AB160" i="7"/>
  <c r="AA160" i="7"/>
  <c r="X160" i="7"/>
  <c r="W160" i="7"/>
  <c r="T160" i="7"/>
  <c r="S160" i="7"/>
  <c r="R160" i="7"/>
  <c r="P160" i="7"/>
  <c r="K160" i="7"/>
  <c r="AP159" i="7"/>
  <c r="AN159" i="7"/>
  <c r="AJ159" i="7"/>
  <c r="AH159" i="7"/>
  <c r="AD159" i="7"/>
  <c r="AB159" i="7"/>
  <c r="AA159" i="7"/>
  <c r="W159" i="7"/>
  <c r="T159" i="7"/>
  <c r="X159" i="7" s="1"/>
  <c r="S159" i="7"/>
  <c r="R159" i="7"/>
  <c r="P159" i="7"/>
  <c r="K159" i="7"/>
  <c r="AP158" i="7"/>
  <c r="AN158" i="7"/>
  <c r="AJ158" i="7"/>
  <c r="AH158" i="7"/>
  <c r="AD158" i="7"/>
  <c r="AB158" i="7"/>
  <c r="AA158" i="7"/>
  <c r="X158" i="7"/>
  <c r="W158" i="7"/>
  <c r="T158" i="7"/>
  <c r="S158" i="7"/>
  <c r="R158" i="7"/>
  <c r="P158" i="7"/>
  <c r="K158" i="7"/>
  <c r="AP157" i="7"/>
  <c r="AN157" i="7"/>
  <c r="AJ157" i="7"/>
  <c r="AH157" i="7"/>
  <c r="AD157" i="7"/>
  <c r="AB157" i="7"/>
  <c r="AA157" i="7"/>
  <c r="W157" i="7"/>
  <c r="T157" i="7"/>
  <c r="X157" i="7" s="1"/>
  <c r="S157" i="7"/>
  <c r="R157" i="7"/>
  <c r="P157" i="7"/>
  <c r="K157" i="7"/>
  <c r="AP156" i="7"/>
  <c r="AN156" i="7"/>
  <c r="AJ156" i="7"/>
  <c r="AH156" i="7"/>
  <c r="AD156" i="7"/>
  <c r="AB156" i="7"/>
  <c r="AA156" i="7"/>
  <c r="X156" i="7"/>
  <c r="W156" i="7"/>
  <c r="T156" i="7"/>
  <c r="S156" i="7"/>
  <c r="R156" i="7"/>
  <c r="P156" i="7"/>
  <c r="K156" i="7"/>
  <c r="AP155" i="7"/>
  <c r="AN155" i="7"/>
  <c r="AJ155" i="7"/>
  <c r="AH155" i="7"/>
  <c r="AD155" i="7"/>
  <c r="AB155" i="7"/>
  <c r="AA155" i="7"/>
  <c r="W155" i="7"/>
  <c r="T155" i="7"/>
  <c r="X155" i="7" s="1"/>
  <c r="S155" i="7"/>
  <c r="R155" i="7"/>
  <c r="P155" i="7"/>
  <c r="K155" i="7"/>
  <c r="AP154" i="7"/>
  <c r="AN154" i="7"/>
  <c r="AJ154" i="7"/>
  <c r="AH154" i="7"/>
  <c r="AD154" i="7"/>
  <c r="AB154" i="7"/>
  <c r="AA154" i="7"/>
  <c r="X154" i="7"/>
  <c r="W154" i="7"/>
  <c r="T154" i="7"/>
  <c r="S154" i="7"/>
  <c r="R154" i="7"/>
  <c r="P154" i="7"/>
  <c r="K154" i="7"/>
  <c r="AP153" i="7"/>
  <c r="AN153" i="7"/>
  <c r="AJ153" i="7"/>
  <c r="AH153" i="7"/>
  <c r="AD153" i="7"/>
  <c r="AB153" i="7"/>
  <c r="AA153" i="7"/>
  <c r="W153" i="7"/>
  <c r="T153" i="7"/>
  <c r="X153" i="7" s="1"/>
  <c r="S153" i="7"/>
  <c r="R153" i="7"/>
  <c r="P153" i="7"/>
  <c r="K153" i="7"/>
  <c r="AP152" i="7"/>
  <c r="AN152" i="7"/>
  <c r="AJ152" i="7"/>
  <c r="AH152" i="7"/>
  <c r="AD152" i="7"/>
  <c r="AB152" i="7"/>
  <c r="AA152" i="7"/>
  <c r="X152" i="7"/>
  <c r="W152" i="7"/>
  <c r="T152" i="7"/>
  <c r="S152" i="7"/>
  <c r="R152" i="7"/>
  <c r="P152" i="7"/>
  <c r="K152" i="7"/>
  <c r="AP151" i="7"/>
  <c r="AN151" i="7"/>
  <c r="AJ151" i="7"/>
  <c r="AH151" i="7"/>
  <c r="AD151" i="7"/>
  <c r="AB151" i="7"/>
  <c r="AA151" i="7"/>
  <c r="W151" i="7"/>
  <c r="T151" i="7"/>
  <c r="X151" i="7" s="1"/>
  <c r="S151" i="7"/>
  <c r="R151" i="7"/>
  <c r="P151" i="7"/>
  <c r="K151" i="7"/>
  <c r="AP150" i="7"/>
  <c r="AN150" i="7"/>
  <c r="AJ150" i="7"/>
  <c r="AH150" i="7"/>
  <c r="AD150" i="7"/>
  <c r="AB150" i="7"/>
  <c r="AA150" i="7"/>
  <c r="X150" i="7"/>
  <c r="W150" i="7"/>
  <c r="T150" i="7"/>
  <c r="S150" i="7"/>
  <c r="R150" i="7"/>
  <c r="P150" i="7"/>
  <c r="K150" i="7"/>
  <c r="AP149" i="7"/>
  <c r="AN149" i="7"/>
  <c r="AJ149" i="7"/>
  <c r="AH149" i="7"/>
  <c r="AD149" i="7"/>
  <c r="AB149" i="7"/>
  <c r="AA149" i="7"/>
  <c r="W149" i="7"/>
  <c r="T149" i="7"/>
  <c r="X149" i="7" s="1"/>
  <c r="S149" i="7"/>
  <c r="R149" i="7"/>
  <c r="P149" i="7"/>
  <c r="K149" i="7"/>
  <c r="AP148" i="7"/>
  <c r="AN148" i="7"/>
  <c r="AJ148" i="7"/>
  <c r="AH148" i="7"/>
  <c r="AD148" i="7"/>
  <c r="AB148" i="7"/>
  <c r="AA148" i="7"/>
  <c r="X148" i="7"/>
  <c r="W148" i="7"/>
  <c r="T148" i="7"/>
  <c r="S148" i="7"/>
  <c r="R148" i="7"/>
  <c r="P148" i="7"/>
  <c r="K148" i="7"/>
  <c r="AP147" i="7"/>
  <c r="AN147" i="7"/>
  <c r="AJ147" i="7"/>
  <c r="AH147" i="7"/>
  <c r="AD147" i="7"/>
  <c r="AB147" i="7"/>
  <c r="AA147" i="7"/>
  <c r="W147" i="7"/>
  <c r="T147" i="7"/>
  <c r="X147" i="7" s="1"/>
  <c r="S147" i="7"/>
  <c r="R147" i="7"/>
  <c r="P147" i="7"/>
  <c r="K147" i="7"/>
  <c r="AP146" i="7"/>
  <c r="AN146" i="7"/>
  <c r="AJ146" i="7"/>
  <c r="AH146" i="7"/>
  <c r="AD146" i="7"/>
  <c r="AB146" i="7"/>
  <c r="AA146" i="7"/>
  <c r="X146" i="7"/>
  <c r="W146" i="7"/>
  <c r="T146" i="7"/>
  <c r="S146" i="7"/>
  <c r="R146" i="7"/>
  <c r="P146" i="7"/>
  <c r="K146" i="7"/>
  <c r="AP145" i="7"/>
  <c r="AN145" i="7"/>
  <c r="AJ145" i="7"/>
  <c r="AH145" i="7"/>
  <c r="AD145" i="7"/>
  <c r="AB145" i="7"/>
  <c r="AA145" i="7"/>
  <c r="W145" i="7"/>
  <c r="T145" i="7"/>
  <c r="X145" i="7" s="1"/>
  <c r="S145" i="7"/>
  <c r="R145" i="7"/>
  <c r="P145" i="7"/>
  <c r="K145" i="7"/>
  <c r="AP144" i="7"/>
  <c r="AN144" i="7"/>
  <c r="AJ144" i="7"/>
  <c r="AH144" i="7"/>
  <c r="AD144" i="7"/>
  <c r="AB144" i="7"/>
  <c r="AA144" i="7"/>
  <c r="X144" i="7"/>
  <c r="W144" i="7"/>
  <c r="T144" i="7"/>
  <c r="S144" i="7"/>
  <c r="R144" i="7"/>
  <c r="P144" i="7"/>
  <c r="K144" i="7"/>
  <c r="AP143" i="7"/>
  <c r="AN143" i="7"/>
  <c r="AJ143" i="7"/>
  <c r="AH143" i="7"/>
  <c r="AD143" i="7"/>
  <c r="AB143" i="7"/>
  <c r="AA143" i="7"/>
  <c r="W143" i="7"/>
  <c r="T143" i="7"/>
  <c r="X143" i="7" s="1"/>
  <c r="S143" i="7"/>
  <c r="R143" i="7"/>
  <c r="P143" i="7"/>
  <c r="K143" i="7"/>
  <c r="AP142" i="7"/>
  <c r="AN142" i="7"/>
  <c r="AJ142" i="7"/>
  <c r="AH142" i="7"/>
  <c r="AD142" i="7"/>
  <c r="AB142" i="7"/>
  <c r="AA142" i="7"/>
  <c r="X142" i="7"/>
  <c r="W142" i="7"/>
  <c r="T142" i="7"/>
  <c r="S142" i="7"/>
  <c r="R142" i="7"/>
  <c r="P142" i="7"/>
  <c r="K142" i="7"/>
  <c r="AP141" i="7"/>
  <c r="AN141" i="7"/>
  <c r="AJ141" i="7"/>
  <c r="AH141" i="7"/>
  <c r="AD141" i="7"/>
  <c r="AB141" i="7"/>
  <c r="AA141" i="7"/>
  <c r="W141" i="7"/>
  <c r="T141" i="7"/>
  <c r="X141" i="7" s="1"/>
  <c r="S141" i="7"/>
  <c r="R141" i="7"/>
  <c r="P141" i="7"/>
  <c r="K141" i="7"/>
  <c r="AP140" i="7"/>
  <c r="AN140" i="7"/>
  <c r="AJ140" i="7"/>
  <c r="AH140" i="7"/>
  <c r="AD140" i="7"/>
  <c r="AB140" i="7"/>
  <c r="AA140" i="7"/>
  <c r="X140" i="7"/>
  <c r="W140" i="7"/>
  <c r="T140" i="7"/>
  <c r="S140" i="7"/>
  <c r="R140" i="7"/>
  <c r="P140" i="7"/>
  <c r="K140" i="7"/>
  <c r="AP139" i="7"/>
  <c r="AN139" i="7"/>
  <c r="AJ139" i="7"/>
  <c r="AH139" i="7"/>
  <c r="AD139" i="7"/>
  <c r="AB139" i="7"/>
  <c r="AA139" i="7"/>
  <c r="W139" i="7"/>
  <c r="T139" i="7"/>
  <c r="X139" i="7" s="1"/>
  <c r="S139" i="7"/>
  <c r="R139" i="7"/>
  <c r="P139" i="7"/>
  <c r="K139" i="7"/>
  <c r="AP138" i="7"/>
  <c r="AN138" i="7"/>
  <c r="AJ138" i="7"/>
  <c r="AH138" i="7"/>
  <c r="AD138" i="7"/>
  <c r="AB138" i="7"/>
  <c r="AA138" i="7"/>
  <c r="X138" i="7"/>
  <c r="W138" i="7"/>
  <c r="T138" i="7"/>
  <c r="S138" i="7"/>
  <c r="R138" i="7"/>
  <c r="P138" i="7"/>
  <c r="K138" i="7"/>
  <c r="AP137" i="7"/>
  <c r="AN137" i="7"/>
  <c r="AJ137" i="7"/>
  <c r="AH137" i="7"/>
  <c r="AD137" i="7"/>
  <c r="AB137" i="7"/>
  <c r="AA137" i="7"/>
  <c r="W137" i="7"/>
  <c r="T137" i="7"/>
  <c r="X137" i="7" s="1"/>
  <c r="S137" i="7"/>
  <c r="R137" i="7"/>
  <c r="P137" i="7"/>
  <c r="K137" i="7"/>
  <c r="AP136" i="7"/>
  <c r="AN136" i="7"/>
  <c r="AJ136" i="7"/>
  <c r="AH136" i="7"/>
  <c r="AD136" i="7"/>
  <c r="AB136" i="7"/>
  <c r="AA136" i="7"/>
  <c r="X136" i="7"/>
  <c r="W136" i="7"/>
  <c r="T136" i="7"/>
  <c r="S136" i="7"/>
  <c r="R136" i="7"/>
  <c r="P136" i="7"/>
  <c r="K136" i="7"/>
  <c r="AP135" i="7"/>
  <c r="AN135" i="7"/>
  <c r="AJ135" i="7"/>
  <c r="AH135" i="7"/>
  <c r="AD135" i="7"/>
  <c r="AB135" i="7"/>
  <c r="AA135" i="7"/>
  <c r="W135" i="7"/>
  <c r="T135" i="7"/>
  <c r="X135" i="7" s="1"/>
  <c r="S135" i="7"/>
  <c r="R135" i="7"/>
  <c r="P135" i="7"/>
  <c r="K135" i="7"/>
  <c r="AP134" i="7"/>
  <c r="AN134" i="7"/>
  <c r="AJ134" i="7"/>
  <c r="AH134" i="7"/>
  <c r="AD134" i="7"/>
  <c r="AB134" i="7"/>
  <c r="AA134" i="7"/>
  <c r="X134" i="7"/>
  <c r="W134" i="7"/>
  <c r="T134" i="7"/>
  <c r="S134" i="7"/>
  <c r="R134" i="7"/>
  <c r="P134" i="7"/>
  <c r="K134" i="7"/>
  <c r="AP133" i="7"/>
  <c r="AN133" i="7"/>
  <c r="AJ133" i="7"/>
  <c r="AH133" i="7"/>
  <c r="AD133" i="7"/>
  <c r="AB133" i="7"/>
  <c r="AA133" i="7"/>
  <c r="W133" i="7"/>
  <c r="T133" i="7"/>
  <c r="X133" i="7" s="1"/>
  <c r="S133" i="7"/>
  <c r="R133" i="7"/>
  <c r="P133" i="7"/>
  <c r="K133" i="7"/>
  <c r="AP132" i="7"/>
  <c r="AN132" i="7"/>
  <c r="AJ132" i="7"/>
  <c r="AH132" i="7"/>
  <c r="AD132" i="7"/>
  <c r="AB132" i="7"/>
  <c r="AA132" i="7"/>
  <c r="X132" i="7"/>
  <c r="W132" i="7"/>
  <c r="T132" i="7"/>
  <c r="S132" i="7"/>
  <c r="R132" i="7"/>
  <c r="P132" i="7"/>
  <c r="K132" i="7"/>
  <c r="AP131" i="7"/>
  <c r="AN131" i="7"/>
  <c r="AJ131" i="7"/>
  <c r="AH131" i="7"/>
  <c r="AD131" i="7"/>
  <c r="AB131" i="7"/>
  <c r="AA131" i="7"/>
  <c r="W131" i="7"/>
  <c r="T131" i="7"/>
  <c r="X131" i="7" s="1"/>
  <c r="S131" i="7"/>
  <c r="R131" i="7"/>
  <c r="P131" i="7"/>
  <c r="K131" i="7"/>
  <c r="AP130" i="7"/>
  <c r="AN130" i="7"/>
  <c r="AJ130" i="7"/>
  <c r="AH130" i="7"/>
  <c r="AD130" i="7"/>
  <c r="AB130" i="7"/>
  <c r="AA130" i="7"/>
  <c r="X130" i="7"/>
  <c r="W130" i="7"/>
  <c r="T130" i="7"/>
  <c r="S130" i="7"/>
  <c r="R130" i="7"/>
  <c r="P130" i="7"/>
  <c r="K130" i="7"/>
  <c r="AP129" i="7"/>
  <c r="AN129" i="7"/>
  <c r="AJ129" i="7"/>
  <c r="AH129" i="7"/>
  <c r="AD129" i="7"/>
  <c r="AB129" i="7"/>
  <c r="AA129" i="7"/>
  <c r="W129" i="7"/>
  <c r="T129" i="7"/>
  <c r="X129" i="7" s="1"/>
  <c r="S129" i="7"/>
  <c r="R129" i="7"/>
  <c r="P129" i="7"/>
  <c r="K129" i="7"/>
  <c r="AP128" i="7"/>
  <c r="AN128" i="7"/>
  <c r="AJ128" i="7"/>
  <c r="AH128" i="7"/>
  <c r="AD128" i="7"/>
  <c r="AB128" i="7"/>
  <c r="AA128" i="7"/>
  <c r="X128" i="7"/>
  <c r="W128" i="7"/>
  <c r="T128" i="7"/>
  <c r="S128" i="7"/>
  <c r="R128" i="7"/>
  <c r="P128" i="7"/>
  <c r="K128" i="7"/>
  <c r="AP127" i="7"/>
  <c r="AN127" i="7"/>
  <c r="AJ127" i="7"/>
  <c r="AH127" i="7"/>
  <c r="AD127" i="7"/>
  <c r="AB127" i="7"/>
  <c r="AA127" i="7"/>
  <c r="W127" i="7"/>
  <c r="T127" i="7"/>
  <c r="X127" i="7" s="1"/>
  <c r="S127" i="7"/>
  <c r="R127" i="7"/>
  <c r="P127" i="7"/>
  <c r="K127" i="7"/>
  <c r="AP126" i="7"/>
  <c r="AN126" i="7"/>
  <c r="AJ126" i="7"/>
  <c r="AH126" i="7"/>
  <c r="AD126" i="7"/>
  <c r="AB126" i="7"/>
  <c r="AA126" i="7"/>
  <c r="X126" i="7"/>
  <c r="W126" i="7"/>
  <c r="T126" i="7"/>
  <c r="S126" i="7"/>
  <c r="R126" i="7"/>
  <c r="P126" i="7"/>
  <c r="K126" i="7"/>
  <c r="AP125" i="7"/>
  <c r="AN125" i="7"/>
  <c r="AJ125" i="7"/>
  <c r="AH125" i="7"/>
  <c r="AD125" i="7"/>
  <c r="AB125" i="7"/>
  <c r="AA125" i="7"/>
  <c r="W125" i="7"/>
  <c r="T125" i="7"/>
  <c r="X125" i="7" s="1"/>
  <c r="S125" i="7"/>
  <c r="R125" i="7"/>
  <c r="P125" i="7"/>
  <c r="K125" i="7"/>
  <c r="AP124" i="7"/>
  <c r="AN124" i="7"/>
  <c r="AJ124" i="7"/>
  <c r="AH124" i="7"/>
  <c r="AD124" i="7"/>
  <c r="AB124" i="7"/>
  <c r="AA124" i="7"/>
  <c r="X124" i="7"/>
  <c r="W124" i="7"/>
  <c r="T124" i="7"/>
  <c r="S124" i="7"/>
  <c r="R124" i="7"/>
  <c r="P124" i="7"/>
  <c r="K124" i="7"/>
  <c r="AP123" i="7"/>
  <c r="AN123" i="7"/>
  <c r="AJ123" i="7"/>
  <c r="AH123" i="7"/>
  <c r="AD123" i="7"/>
  <c r="AB123" i="7"/>
  <c r="AA123" i="7"/>
  <c r="W123" i="7"/>
  <c r="T123" i="7"/>
  <c r="X123" i="7" s="1"/>
  <c r="S123" i="7"/>
  <c r="R123" i="7"/>
  <c r="P123" i="7"/>
  <c r="K123" i="7"/>
  <c r="AP122" i="7"/>
  <c r="AN122" i="7"/>
  <c r="AJ122" i="7"/>
  <c r="AH122" i="7"/>
  <c r="AD122" i="7"/>
  <c r="AB122" i="7"/>
  <c r="AA122" i="7"/>
  <c r="X122" i="7"/>
  <c r="W122" i="7"/>
  <c r="T122" i="7"/>
  <c r="S122" i="7"/>
  <c r="R122" i="7"/>
  <c r="P122" i="7"/>
  <c r="K122" i="7"/>
  <c r="AP121" i="7"/>
  <c r="AN121" i="7"/>
  <c r="AJ121" i="7"/>
  <c r="AH121" i="7"/>
  <c r="AD121" i="7"/>
  <c r="AB121" i="7"/>
  <c r="AA121" i="7"/>
  <c r="W121" i="7"/>
  <c r="T121" i="7"/>
  <c r="X121" i="7" s="1"/>
  <c r="S121" i="7"/>
  <c r="R121" i="7"/>
  <c r="P121" i="7"/>
  <c r="K121" i="7"/>
  <c r="AP120" i="7"/>
  <c r="AN120" i="7"/>
  <c r="AJ120" i="7"/>
  <c r="AH120" i="7"/>
  <c r="AD120" i="7"/>
  <c r="AB120" i="7"/>
  <c r="AA120" i="7"/>
  <c r="X120" i="7"/>
  <c r="W120" i="7"/>
  <c r="T120" i="7"/>
  <c r="S120" i="7"/>
  <c r="R120" i="7"/>
  <c r="P120" i="7"/>
  <c r="K120" i="7"/>
  <c r="AP119" i="7"/>
  <c r="AN119" i="7"/>
  <c r="AJ119" i="7"/>
  <c r="AH119" i="7"/>
  <c r="AD119" i="7"/>
  <c r="AB119" i="7"/>
  <c r="AA119" i="7"/>
  <c r="W119" i="7"/>
  <c r="T119" i="7"/>
  <c r="X119" i="7" s="1"/>
  <c r="S119" i="7"/>
  <c r="R119" i="7"/>
  <c r="P119" i="7"/>
  <c r="K119" i="7"/>
  <c r="AP118" i="7"/>
  <c r="AN118" i="7"/>
  <c r="AJ118" i="7"/>
  <c r="AH118" i="7"/>
  <c r="AD118" i="7"/>
  <c r="AB118" i="7"/>
  <c r="AA118" i="7"/>
  <c r="X118" i="7"/>
  <c r="W118" i="7"/>
  <c r="T118" i="7"/>
  <c r="S118" i="7"/>
  <c r="R118" i="7"/>
  <c r="P118" i="7"/>
  <c r="K118" i="7"/>
  <c r="AP117" i="7"/>
  <c r="AN117" i="7"/>
  <c r="AJ117" i="7"/>
  <c r="AH117" i="7"/>
  <c r="AD117" i="7"/>
  <c r="AB117" i="7"/>
  <c r="AA117" i="7"/>
  <c r="W117" i="7"/>
  <c r="T117" i="7"/>
  <c r="X117" i="7" s="1"/>
  <c r="S117" i="7"/>
  <c r="R117" i="7"/>
  <c r="P117" i="7"/>
  <c r="K117" i="7"/>
  <c r="AP116" i="7"/>
  <c r="AN116" i="7"/>
  <c r="AJ116" i="7"/>
  <c r="AH116" i="7"/>
  <c r="AD116" i="7"/>
  <c r="AB116" i="7"/>
  <c r="AA116" i="7"/>
  <c r="X116" i="7"/>
  <c r="W116" i="7"/>
  <c r="T116" i="7"/>
  <c r="S116" i="7"/>
  <c r="R116" i="7"/>
  <c r="P116" i="7"/>
  <c r="K116" i="7"/>
  <c r="AP115" i="7"/>
  <c r="AN115" i="7"/>
  <c r="AJ115" i="7"/>
  <c r="AH115" i="7"/>
  <c r="AD115" i="7"/>
  <c r="AB115" i="7"/>
  <c r="AA115" i="7"/>
  <c r="W115" i="7"/>
  <c r="T115" i="7"/>
  <c r="X115" i="7" s="1"/>
  <c r="S115" i="7"/>
  <c r="R115" i="7"/>
  <c r="P115" i="7"/>
  <c r="K115" i="7"/>
  <c r="AP114" i="7"/>
  <c r="AN114" i="7"/>
  <c r="AJ114" i="7"/>
  <c r="AH114" i="7"/>
  <c r="AD114" i="7"/>
  <c r="AB114" i="7"/>
  <c r="AA114" i="7"/>
  <c r="X114" i="7"/>
  <c r="W114" i="7"/>
  <c r="T114" i="7"/>
  <c r="S114" i="7"/>
  <c r="R114" i="7"/>
  <c r="P114" i="7"/>
  <c r="K114" i="7"/>
  <c r="AP113" i="7"/>
  <c r="AN113" i="7"/>
  <c r="AJ113" i="7"/>
  <c r="AH113" i="7"/>
  <c r="AD113" i="7"/>
  <c r="AB113" i="7"/>
  <c r="AA113" i="7"/>
  <c r="W113" i="7"/>
  <c r="T113" i="7"/>
  <c r="X113" i="7" s="1"/>
  <c r="S113" i="7"/>
  <c r="R113" i="7"/>
  <c r="P113" i="7"/>
  <c r="K113" i="7"/>
  <c r="AP112" i="7"/>
  <c r="AN112" i="7"/>
  <c r="AJ112" i="7"/>
  <c r="AH112" i="7"/>
  <c r="AD112" i="7"/>
  <c r="AB112" i="7"/>
  <c r="AA112" i="7"/>
  <c r="X112" i="7"/>
  <c r="W112" i="7"/>
  <c r="T112" i="7"/>
  <c r="S112" i="7"/>
  <c r="R112" i="7"/>
  <c r="P112" i="7"/>
  <c r="K112" i="7"/>
  <c r="AP111" i="7"/>
  <c r="AN111" i="7"/>
  <c r="AJ111" i="7"/>
  <c r="AH111" i="7"/>
  <c r="AD111" i="7"/>
  <c r="AB111" i="7"/>
  <c r="AA111" i="7"/>
  <c r="W111" i="7"/>
  <c r="T111" i="7"/>
  <c r="X111" i="7" s="1"/>
  <c r="S111" i="7"/>
  <c r="R111" i="7"/>
  <c r="P111" i="7"/>
  <c r="K111" i="7"/>
  <c r="AP110" i="7"/>
  <c r="AN110" i="7"/>
  <c r="AJ110" i="7"/>
  <c r="AH110" i="7"/>
  <c r="AD110" i="7"/>
  <c r="AB110" i="7"/>
  <c r="AA110" i="7"/>
  <c r="X110" i="7"/>
  <c r="W110" i="7"/>
  <c r="T110" i="7"/>
  <c r="S110" i="7"/>
  <c r="R110" i="7"/>
  <c r="P110" i="7"/>
  <c r="K110" i="7"/>
  <c r="AP109" i="7"/>
  <c r="AN109" i="7"/>
  <c r="AJ109" i="7"/>
  <c r="AH109" i="7"/>
  <c r="AD109" i="7"/>
  <c r="AB109" i="7"/>
  <c r="AA109" i="7"/>
  <c r="W109" i="7"/>
  <c r="T109" i="7"/>
  <c r="X109" i="7" s="1"/>
  <c r="S109" i="7"/>
  <c r="R109" i="7"/>
  <c r="P109" i="7"/>
  <c r="K109" i="7"/>
  <c r="AP108" i="7"/>
  <c r="AN108" i="7"/>
  <c r="AJ108" i="7"/>
  <c r="AH108" i="7"/>
  <c r="AD108" i="7"/>
  <c r="AB108" i="7"/>
  <c r="AA108" i="7"/>
  <c r="X108" i="7"/>
  <c r="W108" i="7"/>
  <c r="T108" i="7"/>
  <c r="S108" i="7"/>
  <c r="R108" i="7"/>
  <c r="P108" i="7"/>
  <c r="K108" i="7"/>
  <c r="AP107" i="7"/>
  <c r="AN107" i="7"/>
  <c r="AJ107" i="7"/>
  <c r="AH107" i="7"/>
  <c r="AD107" i="7"/>
  <c r="AB107" i="7"/>
  <c r="AA107" i="7"/>
  <c r="W107" i="7"/>
  <c r="T107" i="7"/>
  <c r="X107" i="7" s="1"/>
  <c r="S107" i="7"/>
  <c r="R107" i="7"/>
  <c r="P107" i="7"/>
  <c r="K107" i="7"/>
  <c r="AP106" i="7"/>
  <c r="AN106" i="7"/>
  <c r="AJ106" i="7"/>
  <c r="AH106" i="7"/>
  <c r="AD106" i="7"/>
  <c r="AB106" i="7"/>
  <c r="AA106" i="7"/>
  <c r="X106" i="7"/>
  <c r="W106" i="7"/>
  <c r="T106" i="7"/>
  <c r="S106" i="7"/>
  <c r="R106" i="7"/>
  <c r="P106" i="7"/>
  <c r="K106" i="7"/>
  <c r="AP105" i="7"/>
  <c r="AN105" i="7"/>
  <c r="AJ105" i="7"/>
  <c r="AH105" i="7"/>
  <c r="AD105" i="7"/>
  <c r="AB105" i="7"/>
  <c r="AA105" i="7"/>
  <c r="W105" i="7"/>
  <c r="T105" i="7"/>
  <c r="X105" i="7" s="1"/>
  <c r="S105" i="7"/>
  <c r="R105" i="7"/>
  <c r="P105" i="7"/>
  <c r="K105" i="7"/>
  <c r="AP104" i="7"/>
  <c r="AN104" i="7"/>
  <c r="AJ104" i="7"/>
  <c r="AH104" i="7"/>
  <c r="AD104" i="7"/>
  <c r="AB104" i="7"/>
  <c r="AA104" i="7"/>
  <c r="X104" i="7"/>
  <c r="W104" i="7"/>
  <c r="T104" i="7"/>
  <c r="S104" i="7"/>
  <c r="R104" i="7"/>
  <c r="P104" i="7"/>
  <c r="K104" i="7"/>
  <c r="AP103" i="7"/>
  <c r="AN103" i="7"/>
  <c r="AJ103" i="7"/>
  <c r="AH103" i="7"/>
  <c r="AD103" i="7"/>
  <c r="AB103" i="7"/>
  <c r="AA103" i="7"/>
  <c r="W103" i="7"/>
  <c r="T103" i="7"/>
  <c r="X103" i="7" s="1"/>
  <c r="S103" i="7"/>
  <c r="R103" i="7"/>
  <c r="P103" i="7"/>
  <c r="K103" i="7"/>
  <c r="AP102" i="7"/>
  <c r="AN102" i="7"/>
  <c r="AJ102" i="7"/>
  <c r="AH102" i="7"/>
  <c r="AD102" i="7"/>
  <c r="AB102" i="7"/>
  <c r="AA102" i="7"/>
  <c r="X102" i="7"/>
  <c r="W102" i="7"/>
  <c r="T102" i="7"/>
  <c r="S102" i="7"/>
  <c r="R102" i="7"/>
  <c r="P102" i="7"/>
  <c r="K102" i="7"/>
  <c r="AP101" i="7"/>
  <c r="AN101" i="7"/>
  <c r="AJ101" i="7"/>
  <c r="AH101" i="7"/>
  <c r="AD101" i="7"/>
  <c r="AB101" i="7"/>
  <c r="AA101" i="7"/>
  <c r="W101" i="7"/>
  <c r="T101" i="7"/>
  <c r="X101" i="7" s="1"/>
  <c r="S101" i="7"/>
  <c r="R101" i="7"/>
  <c r="P101" i="7"/>
  <c r="K101" i="7"/>
  <c r="AP100" i="7"/>
  <c r="AN100" i="7"/>
  <c r="AJ100" i="7"/>
  <c r="AH100" i="7"/>
  <c r="AD100" i="7"/>
  <c r="AB100" i="7"/>
  <c r="AA100" i="7"/>
  <c r="X100" i="7"/>
  <c r="W100" i="7"/>
  <c r="T100" i="7"/>
  <c r="S100" i="7"/>
  <c r="R100" i="7"/>
  <c r="P100" i="7"/>
  <c r="K100" i="7"/>
  <c r="AP99" i="7"/>
  <c r="AN99" i="7"/>
  <c r="AJ99" i="7"/>
  <c r="AH99" i="7"/>
  <c r="AD99" i="7"/>
  <c r="AB99" i="7"/>
  <c r="AA99" i="7"/>
  <c r="W99" i="7"/>
  <c r="T99" i="7"/>
  <c r="X99" i="7" s="1"/>
  <c r="S99" i="7"/>
  <c r="R99" i="7"/>
  <c r="P99" i="7"/>
  <c r="K99" i="7"/>
  <c r="AP98" i="7"/>
  <c r="AN98" i="7"/>
  <c r="AJ98" i="7"/>
  <c r="AH98" i="7"/>
  <c r="AD98" i="7"/>
  <c r="AB98" i="7"/>
  <c r="AA98" i="7"/>
  <c r="X98" i="7"/>
  <c r="W98" i="7"/>
  <c r="T98" i="7"/>
  <c r="S98" i="7"/>
  <c r="R98" i="7"/>
  <c r="P98" i="7"/>
  <c r="K98" i="7"/>
  <c r="AP97" i="7"/>
  <c r="AN97" i="7"/>
  <c r="AJ97" i="7"/>
  <c r="AH97" i="7"/>
  <c r="AD97" i="7"/>
  <c r="AB97" i="7"/>
  <c r="AA97" i="7"/>
  <c r="W97" i="7"/>
  <c r="T97" i="7"/>
  <c r="X97" i="7" s="1"/>
  <c r="S97" i="7"/>
  <c r="R97" i="7"/>
  <c r="P97" i="7"/>
  <c r="K97" i="7"/>
  <c r="AP96" i="7"/>
  <c r="AN96" i="7"/>
  <c r="AJ96" i="7"/>
  <c r="AH96" i="7"/>
  <c r="AD96" i="7"/>
  <c r="AB96" i="7"/>
  <c r="AA96" i="7"/>
  <c r="X96" i="7"/>
  <c r="W96" i="7"/>
  <c r="T96" i="7"/>
  <c r="S96" i="7"/>
  <c r="R96" i="7"/>
  <c r="P96" i="7"/>
  <c r="K96" i="7"/>
  <c r="AP95" i="7"/>
  <c r="AN95" i="7"/>
  <c r="AJ95" i="7"/>
  <c r="AH95" i="7"/>
  <c r="AD95" i="7"/>
  <c r="AB95" i="7"/>
  <c r="AA95" i="7"/>
  <c r="W95" i="7"/>
  <c r="T95" i="7"/>
  <c r="X95" i="7" s="1"/>
  <c r="S95" i="7"/>
  <c r="R95" i="7"/>
  <c r="P95" i="7"/>
  <c r="K95" i="7"/>
  <c r="AP94" i="7"/>
  <c r="AN94" i="7"/>
  <c r="AJ94" i="7"/>
  <c r="AH94" i="7"/>
  <c r="AD94" i="7"/>
  <c r="AB94" i="7"/>
  <c r="AA94" i="7"/>
  <c r="X94" i="7"/>
  <c r="W94" i="7"/>
  <c r="T94" i="7"/>
  <c r="S94" i="7"/>
  <c r="R94" i="7"/>
  <c r="P94" i="7"/>
  <c r="K94" i="7"/>
  <c r="AP93" i="7"/>
  <c r="AN93" i="7"/>
  <c r="AJ93" i="7"/>
  <c r="AH93" i="7"/>
  <c r="AD93" i="7"/>
  <c r="AB93" i="7"/>
  <c r="AA93" i="7"/>
  <c r="W93" i="7"/>
  <c r="T93" i="7"/>
  <c r="X93" i="7" s="1"/>
  <c r="S93" i="7"/>
  <c r="R93" i="7"/>
  <c r="P93" i="7"/>
  <c r="K93" i="7"/>
  <c r="AP92" i="7"/>
  <c r="AN92" i="7"/>
  <c r="AJ92" i="7"/>
  <c r="AH92" i="7"/>
  <c r="AD92" i="7"/>
  <c r="AB92" i="7"/>
  <c r="AA92" i="7"/>
  <c r="X92" i="7"/>
  <c r="W92" i="7"/>
  <c r="T92" i="7"/>
  <c r="S92" i="7"/>
  <c r="R92" i="7"/>
  <c r="P92" i="7"/>
  <c r="K92" i="7"/>
  <c r="AP91" i="7"/>
  <c r="AN91" i="7"/>
  <c r="AJ91" i="7"/>
  <c r="AH91" i="7"/>
  <c r="AD91" i="7"/>
  <c r="AB91" i="7"/>
  <c r="AA91" i="7"/>
  <c r="W91" i="7"/>
  <c r="T91" i="7"/>
  <c r="X91" i="7" s="1"/>
  <c r="S91" i="7"/>
  <c r="R91" i="7"/>
  <c r="P91" i="7"/>
  <c r="K91" i="7"/>
  <c r="AP90" i="7"/>
  <c r="AN90" i="7"/>
  <c r="AJ90" i="7"/>
  <c r="AH90" i="7"/>
  <c r="AD90" i="7"/>
  <c r="AB90" i="7"/>
  <c r="AA90" i="7"/>
  <c r="X90" i="7"/>
  <c r="W90" i="7"/>
  <c r="T90" i="7"/>
  <c r="S90" i="7"/>
  <c r="R90" i="7"/>
  <c r="P90" i="7"/>
  <c r="K90" i="7"/>
  <c r="AP89" i="7"/>
  <c r="AN89" i="7"/>
  <c r="AJ89" i="7"/>
  <c r="AH89" i="7"/>
  <c r="AD89" i="7"/>
  <c r="AB89" i="7"/>
  <c r="AA89" i="7"/>
  <c r="W89" i="7"/>
  <c r="T89" i="7"/>
  <c r="X89" i="7" s="1"/>
  <c r="S89" i="7"/>
  <c r="R89" i="7"/>
  <c r="P89" i="7"/>
  <c r="K89" i="7"/>
  <c r="AP88" i="7"/>
  <c r="AN88" i="7"/>
  <c r="AJ88" i="7"/>
  <c r="AH88" i="7"/>
  <c r="AD88" i="7"/>
  <c r="AB88" i="7"/>
  <c r="AA88" i="7"/>
  <c r="X88" i="7"/>
  <c r="W88" i="7"/>
  <c r="T88" i="7"/>
  <c r="S88" i="7"/>
  <c r="R88" i="7"/>
  <c r="P88" i="7"/>
  <c r="K88" i="7"/>
  <c r="AP87" i="7"/>
  <c r="AN87" i="7"/>
  <c r="AJ87" i="7"/>
  <c r="AH87" i="7"/>
  <c r="AD87" i="7"/>
  <c r="AB87" i="7"/>
  <c r="AA87" i="7"/>
  <c r="W87" i="7"/>
  <c r="T87" i="7"/>
  <c r="X87" i="7" s="1"/>
  <c r="S87" i="7"/>
  <c r="R87" i="7"/>
  <c r="P87" i="7"/>
  <c r="K87" i="7"/>
  <c r="AP86" i="7"/>
  <c r="AN86" i="7"/>
  <c r="AJ86" i="7"/>
  <c r="AH86" i="7"/>
  <c r="AD86" i="7"/>
  <c r="AB86" i="7"/>
  <c r="AA86" i="7"/>
  <c r="X86" i="7"/>
  <c r="W86" i="7"/>
  <c r="T86" i="7"/>
  <c r="S86" i="7"/>
  <c r="R86" i="7"/>
  <c r="P86" i="7"/>
  <c r="K86" i="7"/>
  <c r="AP85" i="7"/>
  <c r="AN85" i="7"/>
  <c r="AJ85" i="7"/>
  <c r="AH85" i="7"/>
  <c r="AD85" i="7"/>
  <c r="AB85" i="7"/>
  <c r="AA85" i="7"/>
  <c r="W85" i="7"/>
  <c r="T85" i="7"/>
  <c r="X85" i="7" s="1"/>
  <c r="S85" i="7"/>
  <c r="R85" i="7"/>
  <c r="P85" i="7"/>
  <c r="K85" i="7"/>
  <c r="AP84" i="7"/>
  <c r="AN84" i="7"/>
  <c r="AJ84" i="7"/>
  <c r="AH84" i="7"/>
  <c r="AD84" i="7"/>
  <c r="AB84" i="7"/>
  <c r="AA84" i="7"/>
  <c r="X84" i="7"/>
  <c r="W84" i="7"/>
  <c r="T84" i="7"/>
  <c r="S84" i="7"/>
  <c r="R84" i="7"/>
  <c r="P84" i="7"/>
  <c r="K84" i="7"/>
  <c r="AP83" i="7"/>
  <c r="AN83" i="7"/>
  <c r="AJ83" i="7"/>
  <c r="AH83" i="7"/>
  <c r="AD83" i="7"/>
  <c r="AB83" i="7"/>
  <c r="AA83" i="7"/>
  <c r="W83" i="7"/>
  <c r="T83" i="7"/>
  <c r="X83" i="7" s="1"/>
  <c r="S83" i="7"/>
  <c r="R83" i="7"/>
  <c r="P83" i="7"/>
  <c r="K83" i="7"/>
  <c r="AP82" i="7"/>
  <c r="AN82" i="7"/>
  <c r="AJ82" i="7"/>
  <c r="AH82" i="7"/>
  <c r="AD82" i="7"/>
  <c r="AB82" i="7"/>
  <c r="AA82" i="7"/>
  <c r="X82" i="7"/>
  <c r="W82" i="7"/>
  <c r="T82" i="7"/>
  <c r="S82" i="7"/>
  <c r="R82" i="7"/>
  <c r="P82" i="7"/>
  <c r="K82" i="7"/>
  <c r="AP81" i="7"/>
  <c r="AN81" i="7"/>
  <c r="AJ81" i="7"/>
  <c r="AH81" i="7"/>
  <c r="AD81" i="7"/>
  <c r="AB81" i="7"/>
  <c r="AA81" i="7"/>
  <c r="W81" i="7"/>
  <c r="T81" i="7"/>
  <c r="X81" i="7" s="1"/>
  <c r="S81" i="7"/>
  <c r="R81" i="7"/>
  <c r="P81" i="7"/>
  <c r="K81" i="7"/>
  <c r="AP80" i="7"/>
  <c r="AN80" i="7"/>
  <c r="AJ80" i="7"/>
  <c r="AH80" i="7"/>
  <c r="AD80" i="7"/>
  <c r="AB80" i="7"/>
  <c r="AA80" i="7"/>
  <c r="X80" i="7"/>
  <c r="W80" i="7"/>
  <c r="T80" i="7"/>
  <c r="S80" i="7"/>
  <c r="R80" i="7"/>
  <c r="P80" i="7"/>
  <c r="K80" i="7"/>
  <c r="AP79" i="7"/>
  <c r="AN79" i="7"/>
  <c r="AJ79" i="7"/>
  <c r="AH79" i="7"/>
  <c r="AD79" i="7"/>
  <c r="AB79" i="7"/>
  <c r="AA79" i="7"/>
  <c r="W79" i="7"/>
  <c r="T79" i="7"/>
  <c r="X79" i="7" s="1"/>
  <c r="S79" i="7"/>
  <c r="R79" i="7"/>
  <c r="P79" i="7"/>
  <c r="K79" i="7"/>
  <c r="AP78" i="7"/>
  <c r="AN78" i="7"/>
  <c r="AJ78" i="7"/>
  <c r="AH78" i="7"/>
  <c r="AD78" i="7"/>
  <c r="AB78" i="7"/>
  <c r="AA78" i="7"/>
  <c r="X78" i="7"/>
  <c r="W78" i="7"/>
  <c r="T78" i="7"/>
  <c r="S78" i="7"/>
  <c r="R78" i="7"/>
  <c r="P78" i="7"/>
  <c r="K78" i="7"/>
  <c r="AP77" i="7"/>
  <c r="AN77" i="7"/>
  <c r="AJ77" i="7"/>
  <c r="AH77" i="7"/>
  <c r="AD77" i="7"/>
  <c r="AB77" i="7"/>
  <c r="AA77" i="7"/>
  <c r="W77" i="7"/>
  <c r="T77" i="7"/>
  <c r="X77" i="7" s="1"/>
  <c r="S77" i="7"/>
  <c r="R77" i="7"/>
  <c r="P77" i="7"/>
  <c r="K77" i="7"/>
  <c r="AP76" i="7"/>
  <c r="AN76" i="7"/>
  <c r="AJ76" i="7"/>
  <c r="AH76" i="7"/>
  <c r="AD76" i="7"/>
  <c r="AB76" i="7"/>
  <c r="AA76" i="7"/>
  <c r="X76" i="7"/>
  <c r="W76" i="7"/>
  <c r="T76" i="7"/>
  <c r="S76" i="7"/>
  <c r="R76" i="7"/>
  <c r="P76" i="7"/>
  <c r="K76" i="7"/>
  <c r="AP75" i="7"/>
  <c r="AN75" i="7"/>
  <c r="AJ75" i="7"/>
  <c r="AH75" i="7"/>
  <c r="AD75" i="7"/>
  <c r="AB75" i="7"/>
  <c r="AA75" i="7"/>
  <c r="W75" i="7"/>
  <c r="T75" i="7"/>
  <c r="X75" i="7" s="1"/>
  <c r="S75" i="7"/>
  <c r="R75" i="7"/>
  <c r="P75" i="7"/>
  <c r="K75" i="7"/>
  <c r="AP74" i="7"/>
  <c r="AN74" i="7"/>
  <c r="AJ74" i="7"/>
  <c r="AH74" i="7"/>
  <c r="AD74" i="7"/>
  <c r="AB74" i="7"/>
  <c r="AA74" i="7"/>
  <c r="X74" i="7"/>
  <c r="W74" i="7"/>
  <c r="T74" i="7"/>
  <c r="S74" i="7"/>
  <c r="R74" i="7"/>
  <c r="P74" i="7"/>
  <c r="K74" i="7"/>
  <c r="AP73" i="7"/>
  <c r="AN73" i="7"/>
  <c r="AJ73" i="7"/>
  <c r="AH73" i="7"/>
  <c r="AD73" i="7"/>
  <c r="AB73" i="7"/>
  <c r="AA73" i="7"/>
  <c r="W73" i="7"/>
  <c r="T73" i="7"/>
  <c r="X73" i="7" s="1"/>
  <c r="S73" i="7"/>
  <c r="R73" i="7"/>
  <c r="P73" i="7"/>
  <c r="K73" i="7"/>
  <c r="AP72" i="7"/>
  <c r="AN72" i="7"/>
  <c r="AJ72" i="7"/>
  <c r="AH72" i="7"/>
  <c r="AD72" i="7"/>
  <c r="AB72" i="7"/>
  <c r="AA72" i="7"/>
  <c r="X72" i="7"/>
  <c r="W72" i="7"/>
  <c r="T72" i="7"/>
  <c r="S72" i="7"/>
  <c r="R72" i="7"/>
  <c r="P72" i="7"/>
  <c r="K72" i="7"/>
  <c r="AP71" i="7"/>
  <c r="AN71" i="7"/>
  <c r="AJ71" i="7"/>
  <c r="AH71" i="7"/>
  <c r="AD71" i="7"/>
  <c r="AB71" i="7"/>
  <c r="AA71" i="7"/>
  <c r="W71" i="7"/>
  <c r="T71" i="7"/>
  <c r="X71" i="7" s="1"/>
  <c r="S71" i="7"/>
  <c r="R71" i="7"/>
  <c r="P71" i="7"/>
  <c r="K71" i="7"/>
  <c r="AP70" i="7"/>
  <c r="AN70" i="7"/>
  <c r="AJ70" i="7"/>
  <c r="AH70" i="7"/>
  <c r="AD70" i="7"/>
  <c r="AB70" i="7"/>
  <c r="AA70" i="7"/>
  <c r="X70" i="7"/>
  <c r="W70" i="7"/>
  <c r="T70" i="7"/>
  <c r="S70" i="7"/>
  <c r="R70" i="7"/>
  <c r="P70" i="7"/>
  <c r="K70" i="7"/>
  <c r="AP69" i="7"/>
  <c r="AN69" i="7"/>
  <c r="AJ69" i="7"/>
  <c r="AH69" i="7"/>
  <c r="AD69" i="7"/>
  <c r="AB69" i="7"/>
  <c r="AA69" i="7"/>
  <c r="W69" i="7"/>
  <c r="T69" i="7"/>
  <c r="S69" i="7"/>
  <c r="R69" i="7"/>
  <c r="P69" i="7"/>
  <c r="K69" i="7"/>
  <c r="AP68" i="7"/>
  <c r="AN68" i="7"/>
  <c r="AJ68" i="7"/>
  <c r="AH68" i="7"/>
  <c r="AD68" i="7"/>
  <c r="AB68" i="7"/>
  <c r="AA68" i="7"/>
  <c r="X68" i="7"/>
  <c r="W68" i="7"/>
  <c r="T68" i="7"/>
  <c r="S68" i="7"/>
  <c r="R68" i="7"/>
  <c r="P68" i="7"/>
  <c r="K68" i="7"/>
  <c r="AP67" i="7"/>
  <c r="AN67" i="7"/>
  <c r="AJ67" i="7"/>
  <c r="AH67" i="7"/>
  <c r="AD67" i="7"/>
  <c r="AB67" i="7"/>
  <c r="AA67" i="7"/>
  <c r="W67" i="7"/>
  <c r="T67" i="7"/>
  <c r="X67" i="7" s="1"/>
  <c r="S67" i="7"/>
  <c r="R67" i="7"/>
  <c r="P67" i="7"/>
  <c r="K67" i="7"/>
  <c r="AP66" i="7"/>
  <c r="AN66" i="7"/>
  <c r="AJ66" i="7"/>
  <c r="AH66" i="7"/>
  <c r="AD66" i="7"/>
  <c r="AB66" i="7"/>
  <c r="AA66" i="7"/>
  <c r="X66" i="7"/>
  <c r="W66" i="7"/>
  <c r="T66" i="7"/>
  <c r="S66" i="7"/>
  <c r="R66" i="7"/>
  <c r="P66" i="7"/>
  <c r="K66" i="7"/>
  <c r="AP65" i="7"/>
  <c r="AN65" i="7"/>
  <c r="AJ65" i="7"/>
  <c r="AH65" i="7"/>
  <c r="AD65" i="7"/>
  <c r="AB65" i="7"/>
  <c r="AA65" i="7"/>
  <c r="W65" i="7"/>
  <c r="T65" i="7"/>
  <c r="S65" i="7"/>
  <c r="R65" i="7"/>
  <c r="P65" i="7"/>
  <c r="K65" i="7"/>
  <c r="AP64" i="7"/>
  <c r="AN64" i="7"/>
  <c r="AJ64" i="7"/>
  <c r="AH64" i="7"/>
  <c r="AD64" i="7"/>
  <c r="AB64" i="7"/>
  <c r="AA64" i="7"/>
  <c r="X64" i="7"/>
  <c r="W64" i="7"/>
  <c r="T64" i="7"/>
  <c r="S64" i="7"/>
  <c r="R64" i="7"/>
  <c r="P64" i="7"/>
  <c r="K64" i="7"/>
  <c r="AP63" i="7"/>
  <c r="AN63" i="7"/>
  <c r="AJ63" i="7"/>
  <c r="AH63" i="7"/>
  <c r="AD63" i="7"/>
  <c r="AB63" i="7"/>
  <c r="AA63" i="7"/>
  <c r="W63" i="7"/>
  <c r="T63" i="7"/>
  <c r="X63" i="7" s="1"/>
  <c r="S63" i="7"/>
  <c r="R63" i="7"/>
  <c r="P63" i="7"/>
  <c r="K63" i="7"/>
  <c r="AP62" i="7"/>
  <c r="AN62" i="7"/>
  <c r="AJ62" i="7"/>
  <c r="AH62" i="7"/>
  <c r="AD62" i="7"/>
  <c r="AB62" i="7"/>
  <c r="AA62" i="7"/>
  <c r="X62" i="7"/>
  <c r="W62" i="7"/>
  <c r="T62" i="7"/>
  <c r="S62" i="7"/>
  <c r="R62" i="7"/>
  <c r="P62" i="7"/>
  <c r="K62" i="7"/>
  <c r="AP61" i="7"/>
  <c r="AN61" i="7"/>
  <c r="AJ61" i="7"/>
  <c r="AH61" i="7"/>
  <c r="AD61" i="7"/>
  <c r="AB61" i="7"/>
  <c r="AA61" i="7"/>
  <c r="W61" i="7"/>
  <c r="T61" i="7"/>
  <c r="S61" i="7"/>
  <c r="R61" i="7"/>
  <c r="P61" i="7"/>
  <c r="K61" i="7"/>
  <c r="AP60" i="7"/>
  <c r="AN60" i="7"/>
  <c r="AJ60" i="7"/>
  <c r="AH60" i="7"/>
  <c r="AD60" i="7"/>
  <c r="AB60" i="7"/>
  <c r="AA60" i="7"/>
  <c r="W60" i="7"/>
  <c r="X60" i="7" s="1"/>
  <c r="T60" i="7"/>
  <c r="S60" i="7"/>
  <c r="R60" i="7"/>
  <c r="P60" i="7"/>
  <c r="K60" i="7"/>
  <c r="AP59" i="7"/>
  <c r="AN59" i="7"/>
  <c r="AJ59" i="7"/>
  <c r="AH59" i="7"/>
  <c r="AD59" i="7"/>
  <c r="AB59" i="7"/>
  <c r="AA59" i="7"/>
  <c r="W59" i="7"/>
  <c r="T59" i="7"/>
  <c r="X59" i="7" s="1"/>
  <c r="S59" i="7"/>
  <c r="R59" i="7"/>
  <c r="P59" i="7"/>
  <c r="K59" i="7"/>
  <c r="AP58" i="7"/>
  <c r="AN58" i="7"/>
  <c r="AJ58" i="7"/>
  <c r="AH58" i="7"/>
  <c r="AD58" i="7"/>
  <c r="AB58" i="7"/>
  <c r="AA58" i="7"/>
  <c r="X58" i="7"/>
  <c r="W58" i="7"/>
  <c r="T58" i="7"/>
  <c r="S58" i="7"/>
  <c r="R58" i="7"/>
  <c r="P58" i="7"/>
  <c r="K58" i="7"/>
  <c r="AP57" i="7"/>
  <c r="AN57" i="7"/>
  <c r="AJ57" i="7"/>
  <c r="AH57" i="7"/>
  <c r="AD57" i="7"/>
  <c r="AB57" i="7"/>
  <c r="AA57" i="7"/>
  <c r="W57" i="7"/>
  <c r="T57" i="7"/>
  <c r="S57" i="7"/>
  <c r="R57" i="7"/>
  <c r="P57" i="7"/>
  <c r="K57" i="7"/>
  <c r="AP56" i="7"/>
  <c r="AN56" i="7"/>
  <c r="AJ56" i="7"/>
  <c r="AH56" i="7"/>
  <c r="AD56" i="7"/>
  <c r="AB56" i="7"/>
  <c r="AA56" i="7"/>
  <c r="W56" i="7"/>
  <c r="X56" i="7" s="1"/>
  <c r="T56" i="7"/>
  <c r="S56" i="7"/>
  <c r="R56" i="7"/>
  <c r="P56" i="7"/>
  <c r="K56" i="7"/>
  <c r="AP55" i="7"/>
  <c r="AN55" i="7"/>
  <c r="AJ55" i="7"/>
  <c r="AH55" i="7"/>
  <c r="AD55" i="7"/>
  <c r="AB55" i="7"/>
  <c r="AA55" i="7"/>
  <c r="W55" i="7"/>
  <c r="T55" i="7"/>
  <c r="X55" i="7" s="1"/>
  <c r="S55" i="7"/>
  <c r="R55" i="7"/>
  <c r="P55" i="7"/>
  <c r="K55" i="7"/>
  <c r="AP54" i="7"/>
  <c r="AN54" i="7"/>
  <c r="AJ54" i="7"/>
  <c r="AH54" i="7"/>
  <c r="AD54" i="7"/>
  <c r="AB54" i="7"/>
  <c r="AA54" i="7"/>
  <c r="X54" i="7"/>
  <c r="W54" i="7"/>
  <c r="T54" i="7"/>
  <c r="S54" i="7"/>
  <c r="R54" i="7"/>
  <c r="P54" i="7"/>
  <c r="K54" i="7"/>
  <c r="AP53" i="7"/>
  <c r="AN53" i="7"/>
  <c r="AJ53" i="7"/>
  <c r="AH53" i="7"/>
  <c r="AD53" i="7"/>
  <c r="AB53" i="7"/>
  <c r="AA53" i="7"/>
  <c r="W53" i="7"/>
  <c r="T53" i="7"/>
  <c r="S53" i="7"/>
  <c r="R53" i="7"/>
  <c r="P53" i="7"/>
  <c r="K53" i="7"/>
  <c r="AP52" i="7"/>
  <c r="AN52" i="7"/>
  <c r="AJ52" i="7"/>
  <c r="AH52" i="7"/>
  <c r="AD52" i="7"/>
  <c r="AB52" i="7"/>
  <c r="AA52" i="7"/>
  <c r="W52" i="7"/>
  <c r="X52" i="7" s="1"/>
  <c r="T52" i="7"/>
  <c r="S52" i="7"/>
  <c r="R52" i="7"/>
  <c r="P52" i="7"/>
  <c r="K52" i="7"/>
  <c r="AP51" i="7"/>
  <c r="AN51" i="7"/>
  <c r="AJ51" i="7"/>
  <c r="AH51" i="7"/>
  <c r="AD51" i="7"/>
  <c r="AB51" i="7"/>
  <c r="AA51" i="7"/>
  <c r="W51" i="7"/>
  <c r="T51" i="7"/>
  <c r="X51" i="7" s="1"/>
  <c r="S51" i="7"/>
  <c r="R51" i="7"/>
  <c r="P51" i="7"/>
  <c r="K51" i="7"/>
  <c r="AP50" i="7"/>
  <c r="AN50" i="7"/>
  <c r="AJ50" i="7"/>
  <c r="AH50" i="7"/>
  <c r="AD50" i="7"/>
  <c r="AB50" i="7"/>
  <c r="AA50" i="7"/>
  <c r="X50" i="7"/>
  <c r="W50" i="7"/>
  <c r="T50" i="7"/>
  <c r="S50" i="7"/>
  <c r="R50" i="7"/>
  <c r="P50" i="7"/>
  <c r="K50" i="7"/>
  <c r="AP49" i="7"/>
  <c r="AN49" i="7"/>
  <c r="AJ49" i="7"/>
  <c r="AH49" i="7"/>
  <c r="AD49" i="7"/>
  <c r="AB49" i="7"/>
  <c r="AA49" i="7"/>
  <c r="W49" i="7"/>
  <c r="T49" i="7"/>
  <c r="S49" i="7"/>
  <c r="R49" i="7"/>
  <c r="P49" i="7"/>
  <c r="K49" i="7"/>
  <c r="AP48" i="7"/>
  <c r="AN48" i="7"/>
  <c r="AJ48" i="7"/>
  <c r="AH48" i="7"/>
  <c r="AD48" i="7"/>
  <c r="AB48" i="7"/>
  <c r="AA48" i="7"/>
  <c r="W48" i="7"/>
  <c r="X48" i="7" s="1"/>
  <c r="T48" i="7"/>
  <c r="S48" i="7"/>
  <c r="R48" i="7"/>
  <c r="P48" i="7"/>
  <c r="K48" i="7"/>
  <c r="AP47" i="7"/>
  <c r="AN47" i="7"/>
  <c r="AJ47" i="7"/>
  <c r="AH47" i="7"/>
  <c r="AD47" i="7"/>
  <c r="AB47" i="7"/>
  <c r="AA47" i="7"/>
  <c r="W47" i="7"/>
  <c r="T47" i="7"/>
  <c r="X47" i="7" s="1"/>
  <c r="S47" i="7"/>
  <c r="R47" i="7"/>
  <c r="P47" i="7"/>
  <c r="K47" i="7"/>
  <c r="AP46" i="7"/>
  <c r="AN46" i="7"/>
  <c r="AJ46" i="7"/>
  <c r="AH46" i="7"/>
  <c r="AD46" i="7"/>
  <c r="AB46" i="7"/>
  <c r="AA46" i="7"/>
  <c r="X46" i="7"/>
  <c r="W46" i="7"/>
  <c r="T46" i="7"/>
  <c r="S46" i="7"/>
  <c r="R46" i="7"/>
  <c r="P46" i="7"/>
  <c r="K46" i="7"/>
  <c r="AP45" i="7"/>
  <c r="AN45" i="7"/>
  <c r="AJ45" i="7"/>
  <c r="AH45" i="7"/>
  <c r="AD45" i="7"/>
  <c r="AB45" i="7"/>
  <c r="AA45" i="7"/>
  <c r="W45" i="7"/>
  <c r="T45" i="7"/>
  <c r="S45" i="7"/>
  <c r="R45" i="7"/>
  <c r="P45" i="7"/>
  <c r="K45" i="7"/>
  <c r="AP44" i="7"/>
  <c r="AN44" i="7"/>
  <c r="AJ44" i="7"/>
  <c r="AH44" i="7"/>
  <c r="AD44" i="7"/>
  <c r="AB44" i="7"/>
  <c r="AA44" i="7"/>
  <c r="W44" i="7"/>
  <c r="X44" i="7" s="1"/>
  <c r="T44" i="7"/>
  <c r="S44" i="7"/>
  <c r="R44" i="7"/>
  <c r="P44" i="7"/>
  <c r="K44" i="7"/>
  <c r="AP43" i="7"/>
  <c r="AN43" i="7"/>
  <c r="AJ43" i="7"/>
  <c r="AH43" i="7"/>
  <c r="AD43" i="7"/>
  <c r="AB43" i="7"/>
  <c r="AA43" i="7"/>
  <c r="W43" i="7"/>
  <c r="T43" i="7"/>
  <c r="X43" i="7" s="1"/>
  <c r="S43" i="7"/>
  <c r="R43" i="7"/>
  <c r="P43" i="7"/>
  <c r="K43" i="7"/>
  <c r="AP42" i="7"/>
  <c r="AN42" i="7"/>
  <c r="AJ42" i="7"/>
  <c r="AH42" i="7"/>
  <c r="AD42" i="7"/>
  <c r="AB42" i="7"/>
  <c r="AA42" i="7"/>
  <c r="X42" i="7"/>
  <c r="W42" i="7"/>
  <c r="T42" i="7"/>
  <c r="S42" i="7"/>
  <c r="R42" i="7"/>
  <c r="P42" i="7"/>
  <c r="K42" i="7"/>
  <c r="AP41" i="7"/>
  <c r="AN41" i="7"/>
  <c r="AJ41" i="7"/>
  <c r="AH41" i="7"/>
  <c r="AD41" i="7"/>
  <c r="AB41" i="7"/>
  <c r="AA41" i="7"/>
  <c r="W41" i="7"/>
  <c r="T41" i="7"/>
  <c r="S41" i="7"/>
  <c r="R41" i="7"/>
  <c r="P41" i="7"/>
  <c r="K41" i="7"/>
  <c r="AP40" i="7"/>
  <c r="AN40" i="7"/>
  <c r="AJ40" i="7"/>
  <c r="AH40" i="7"/>
  <c r="AD40" i="7"/>
  <c r="AB40" i="7"/>
  <c r="AA40" i="7"/>
  <c r="W40" i="7"/>
  <c r="X40" i="7" s="1"/>
  <c r="T40" i="7"/>
  <c r="S40" i="7"/>
  <c r="R40" i="7"/>
  <c r="P40" i="7"/>
  <c r="K40" i="7"/>
  <c r="AP39" i="7"/>
  <c r="AN39" i="7"/>
  <c r="AJ39" i="7"/>
  <c r="AH39" i="7"/>
  <c r="AD39" i="7"/>
  <c r="AB39" i="7"/>
  <c r="AA39" i="7"/>
  <c r="W39" i="7"/>
  <c r="T39" i="7"/>
  <c r="X39" i="7" s="1"/>
  <c r="S39" i="7"/>
  <c r="R39" i="7"/>
  <c r="P39" i="7"/>
  <c r="K39" i="7"/>
  <c r="AP38" i="7"/>
  <c r="AN38" i="7"/>
  <c r="AJ38" i="7"/>
  <c r="AH38" i="7"/>
  <c r="AD38" i="7"/>
  <c r="AB38" i="7"/>
  <c r="AA38" i="7"/>
  <c r="X38" i="7"/>
  <c r="W38" i="7"/>
  <c r="T38" i="7"/>
  <c r="S38" i="7"/>
  <c r="R38" i="7"/>
  <c r="P38" i="7"/>
  <c r="K38" i="7"/>
  <c r="AP37" i="7"/>
  <c r="AN37" i="7"/>
  <c r="AJ37" i="7"/>
  <c r="AH37" i="7"/>
  <c r="AD37" i="7"/>
  <c r="AB37" i="7"/>
  <c r="AA37" i="7"/>
  <c r="W37" i="7"/>
  <c r="T37" i="7"/>
  <c r="S37" i="7"/>
  <c r="R37" i="7"/>
  <c r="P37" i="7"/>
  <c r="K37" i="7"/>
  <c r="AP36" i="7"/>
  <c r="AN36" i="7"/>
  <c r="AJ36" i="7"/>
  <c r="AH36" i="7"/>
  <c r="AD36" i="7"/>
  <c r="AB36" i="7"/>
  <c r="AA36" i="7"/>
  <c r="W36" i="7"/>
  <c r="X36" i="7" s="1"/>
  <c r="T36" i="7"/>
  <c r="S36" i="7"/>
  <c r="R36" i="7"/>
  <c r="P36" i="7"/>
  <c r="K36" i="7"/>
  <c r="AP35" i="7"/>
  <c r="AN35" i="7"/>
  <c r="AJ35" i="7"/>
  <c r="AH35" i="7"/>
  <c r="AD35" i="7"/>
  <c r="AB35" i="7"/>
  <c r="AA35" i="7"/>
  <c r="W35" i="7"/>
  <c r="T35" i="7"/>
  <c r="X35" i="7" s="1"/>
  <c r="S35" i="7"/>
  <c r="R35" i="7"/>
  <c r="P35" i="7"/>
  <c r="K35" i="7"/>
  <c r="AP34" i="7"/>
  <c r="AN34" i="7"/>
  <c r="AJ34" i="7"/>
  <c r="AH34" i="7"/>
  <c r="AD34" i="7"/>
  <c r="AB34" i="7"/>
  <c r="AA34" i="7"/>
  <c r="X34" i="7"/>
  <c r="W34" i="7"/>
  <c r="T34" i="7"/>
  <c r="S34" i="7"/>
  <c r="R34" i="7"/>
  <c r="P34" i="7"/>
  <c r="K34" i="7"/>
  <c r="AP33" i="7"/>
  <c r="AN33" i="7"/>
  <c r="AJ33" i="7"/>
  <c r="AH33" i="7"/>
  <c r="AD33" i="7"/>
  <c r="AB33" i="7"/>
  <c r="AA33" i="7"/>
  <c r="W33" i="7"/>
  <c r="T33" i="7"/>
  <c r="S33" i="7"/>
  <c r="R33" i="7"/>
  <c r="P33" i="7"/>
  <c r="K33" i="7"/>
  <c r="AP32" i="7"/>
  <c r="AN32" i="7"/>
  <c r="AJ32" i="7"/>
  <c r="AH32" i="7"/>
  <c r="AD32" i="7"/>
  <c r="AB32" i="7"/>
  <c r="AA32" i="7"/>
  <c r="W32" i="7"/>
  <c r="X32" i="7" s="1"/>
  <c r="T32" i="7"/>
  <c r="S32" i="7"/>
  <c r="R32" i="7"/>
  <c r="P32" i="7"/>
  <c r="K32" i="7"/>
  <c r="AP31" i="7"/>
  <c r="AN31" i="7"/>
  <c r="AJ31" i="7"/>
  <c r="AH31" i="7"/>
  <c r="AD31" i="7"/>
  <c r="AB31" i="7"/>
  <c r="AA31" i="7"/>
  <c r="W31" i="7"/>
  <c r="T31" i="7"/>
  <c r="X31" i="7" s="1"/>
  <c r="S31" i="7"/>
  <c r="R31" i="7"/>
  <c r="P31" i="7"/>
  <c r="K31" i="7"/>
  <c r="AP30" i="7"/>
  <c r="AN30" i="7"/>
  <c r="AJ30" i="7"/>
  <c r="AH30" i="7"/>
  <c r="AD30" i="7"/>
  <c r="AB30" i="7"/>
  <c r="AA30" i="7"/>
  <c r="X30" i="7"/>
  <c r="W30" i="7"/>
  <c r="T30" i="7"/>
  <c r="S30" i="7"/>
  <c r="R30" i="7"/>
  <c r="P30" i="7"/>
  <c r="K30" i="7"/>
  <c r="AP29" i="7"/>
  <c r="AN29" i="7"/>
  <c r="AJ29" i="7"/>
  <c r="AH29" i="7"/>
  <c r="AD29" i="7"/>
  <c r="AB29" i="7"/>
  <c r="AA29" i="7"/>
  <c r="W29" i="7"/>
  <c r="T29" i="7"/>
  <c r="S29" i="7"/>
  <c r="R29" i="7"/>
  <c r="P29" i="7"/>
  <c r="K29" i="7"/>
  <c r="AP28" i="7"/>
  <c r="AN28" i="7"/>
  <c r="AJ28" i="7"/>
  <c r="AH28" i="7"/>
  <c r="AD28" i="7"/>
  <c r="AB28" i="7"/>
  <c r="AA28" i="7"/>
  <c r="W28" i="7"/>
  <c r="T28" i="7"/>
  <c r="X28" i="7" s="1"/>
  <c r="S28" i="7"/>
  <c r="R28" i="7"/>
  <c r="P28" i="7"/>
  <c r="K28" i="7"/>
  <c r="AP27" i="7"/>
  <c r="AN27" i="7"/>
  <c r="AJ27" i="7"/>
  <c r="AH27" i="7"/>
  <c r="AD27" i="7"/>
  <c r="AB27" i="7"/>
  <c r="AA27" i="7"/>
  <c r="W27" i="7"/>
  <c r="X27" i="7" s="1"/>
  <c r="T27" i="7"/>
  <c r="S27" i="7"/>
  <c r="R27" i="7"/>
  <c r="P27" i="7"/>
  <c r="K27" i="7"/>
  <c r="AP26" i="7"/>
  <c r="AN26" i="7"/>
  <c r="AJ26" i="7"/>
  <c r="AH26" i="7"/>
  <c r="AD26" i="7"/>
  <c r="AB26" i="7"/>
  <c r="AA26" i="7"/>
  <c r="W26" i="7"/>
  <c r="T26" i="7"/>
  <c r="X26" i="7" s="1"/>
  <c r="S26" i="7"/>
  <c r="R26" i="7"/>
  <c r="P26" i="7"/>
  <c r="K26" i="7"/>
  <c r="AP25" i="7"/>
  <c r="AN25" i="7"/>
  <c r="AJ25" i="7"/>
  <c r="AH25" i="7"/>
  <c r="AD25" i="7"/>
  <c r="AB25" i="7"/>
  <c r="AA25" i="7"/>
  <c r="W25" i="7"/>
  <c r="X25" i="7" s="1"/>
  <c r="T25" i="7"/>
  <c r="S25" i="7"/>
  <c r="R25" i="7"/>
  <c r="P25" i="7"/>
  <c r="K25" i="7"/>
  <c r="AP24" i="7"/>
  <c r="AN24" i="7"/>
  <c r="AJ24" i="7"/>
  <c r="AH24" i="7"/>
  <c r="AD24" i="7"/>
  <c r="AB24" i="7"/>
  <c r="AA24" i="7"/>
  <c r="W24" i="7"/>
  <c r="T24" i="7"/>
  <c r="X24" i="7" s="1"/>
  <c r="S24" i="7"/>
  <c r="R24" i="7"/>
  <c r="P24" i="7"/>
  <c r="K24" i="7"/>
  <c r="AP23" i="7"/>
  <c r="AN23" i="7"/>
  <c r="AJ23" i="7"/>
  <c r="AH23" i="7"/>
  <c r="AD23" i="7"/>
  <c r="AB23" i="7"/>
  <c r="AA23" i="7"/>
  <c r="W23" i="7"/>
  <c r="X23" i="7" s="1"/>
  <c r="T23" i="7"/>
  <c r="S23" i="7"/>
  <c r="R23" i="7"/>
  <c r="P23" i="7"/>
  <c r="K23" i="7"/>
  <c r="AP22" i="7"/>
  <c r="AN22" i="7"/>
  <c r="AJ22" i="7"/>
  <c r="AH22" i="7"/>
  <c r="AD22" i="7"/>
  <c r="AB22" i="7"/>
  <c r="AA22" i="7"/>
  <c r="W22" i="7"/>
  <c r="T22" i="7"/>
  <c r="X22" i="7" s="1"/>
  <c r="S22" i="7"/>
  <c r="R22" i="7"/>
  <c r="P22" i="7"/>
  <c r="K22" i="7"/>
  <c r="AP21" i="7"/>
  <c r="AN21" i="7"/>
  <c r="AJ21" i="7"/>
  <c r="AH21" i="7"/>
  <c r="AD21" i="7"/>
  <c r="AB21" i="7"/>
  <c r="AA21" i="7"/>
  <c r="W21" i="7"/>
  <c r="T21" i="7"/>
  <c r="X21" i="7" s="1"/>
  <c r="S21" i="7"/>
  <c r="R21" i="7"/>
  <c r="P21" i="7"/>
  <c r="K21" i="7"/>
  <c r="AP20" i="7"/>
  <c r="AN20" i="7"/>
  <c r="AJ20" i="7"/>
  <c r="AH20" i="7"/>
  <c r="AD20" i="7"/>
  <c r="AB20" i="7"/>
  <c r="AA20" i="7"/>
  <c r="W20" i="7"/>
  <c r="X20" i="7" s="1"/>
  <c r="T20" i="7"/>
  <c r="S20" i="7"/>
  <c r="R20" i="7"/>
  <c r="P20" i="7"/>
  <c r="K20" i="7"/>
  <c r="AP19" i="7"/>
  <c r="AN19" i="7"/>
  <c r="AJ19" i="7"/>
  <c r="AH19" i="7"/>
  <c r="AD19" i="7"/>
  <c r="AB19" i="7"/>
  <c r="AA19" i="7"/>
  <c r="W19" i="7"/>
  <c r="T19" i="7"/>
  <c r="X19" i="7" s="1"/>
  <c r="S19" i="7"/>
  <c r="R19" i="7"/>
  <c r="P19" i="7"/>
  <c r="K19" i="7"/>
  <c r="AP18" i="7"/>
  <c r="AN18" i="7"/>
  <c r="AJ18" i="7"/>
  <c r="AH18" i="7"/>
  <c r="AD18" i="7"/>
  <c r="AB18" i="7"/>
  <c r="AA18" i="7"/>
  <c r="W18" i="7"/>
  <c r="X18" i="7" s="1"/>
  <c r="T18" i="7"/>
  <c r="S18" i="7"/>
  <c r="R18" i="7"/>
  <c r="P18" i="7"/>
  <c r="K18" i="7"/>
  <c r="AP17" i="7"/>
  <c r="AN17" i="7"/>
  <c r="AJ17" i="7"/>
  <c r="AH17" i="7"/>
  <c r="AD17" i="7"/>
  <c r="AB17" i="7"/>
  <c r="AA17" i="7"/>
  <c r="W17" i="7"/>
  <c r="T17" i="7"/>
  <c r="X17" i="7" s="1"/>
  <c r="S17" i="7"/>
  <c r="R17" i="7"/>
  <c r="P17" i="7"/>
  <c r="K17" i="7"/>
  <c r="AP16" i="7"/>
  <c r="AN16" i="7"/>
  <c r="AJ16" i="7"/>
  <c r="AH16" i="7"/>
  <c r="AD16" i="7"/>
  <c r="AB16" i="7"/>
  <c r="AA16" i="7"/>
  <c r="W16" i="7"/>
  <c r="X16" i="7" s="1"/>
  <c r="T16" i="7"/>
  <c r="S16" i="7"/>
  <c r="R16" i="7"/>
  <c r="P16" i="7"/>
  <c r="K16" i="7"/>
  <c r="AP15" i="7"/>
  <c r="AN15" i="7"/>
  <c r="AJ15" i="7"/>
  <c r="AH15" i="7"/>
  <c r="AD15" i="7"/>
  <c r="AB15" i="7"/>
  <c r="AA15" i="7"/>
  <c r="W15" i="7"/>
  <c r="T15" i="7"/>
  <c r="X15" i="7" s="1"/>
  <c r="S15" i="7"/>
  <c r="R15" i="7"/>
  <c r="P15" i="7"/>
  <c r="K15" i="7"/>
  <c r="AP14" i="7"/>
  <c r="AN14" i="7"/>
  <c r="AJ14" i="7"/>
  <c r="AH14" i="7"/>
  <c r="AD14" i="7"/>
  <c r="AB14" i="7"/>
  <c r="AA14" i="7"/>
  <c r="W14" i="7"/>
  <c r="X14" i="7" s="1"/>
  <c r="T14" i="7"/>
  <c r="S14" i="7"/>
  <c r="R14" i="7"/>
  <c r="P14" i="7"/>
  <c r="K14" i="7"/>
  <c r="AP13" i="7"/>
  <c r="AN13" i="7"/>
  <c r="AJ13" i="7"/>
  <c r="AH13" i="7"/>
  <c r="AD13" i="7"/>
  <c r="AB13" i="7"/>
  <c r="AA13" i="7"/>
  <c r="W13" i="7"/>
  <c r="T13" i="7"/>
  <c r="X13" i="7" s="1"/>
  <c r="S13" i="7"/>
  <c r="R13" i="7"/>
  <c r="P13" i="7"/>
  <c r="K13" i="7"/>
  <c r="AP12" i="7"/>
  <c r="AN12" i="7"/>
  <c r="AJ12" i="7"/>
  <c r="AH12" i="7"/>
  <c r="AD12" i="7"/>
  <c r="AB12" i="7"/>
  <c r="AA12" i="7"/>
  <c r="W12" i="7"/>
  <c r="X12" i="7" s="1"/>
  <c r="T12" i="7"/>
  <c r="S12" i="7"/>
  <c r="R12" i="7"/>
  <c r="P12" i="7"/>
  <c r="K12" i="7"/>
  <c r="AP11" i="7"/>
  <c r="AN11" i="7"/>
  <c r="AJ11" i="7"/>
  <c r="AH11" i="7"/>
  <c r="AD11" i="7"/>
  <c r="AB11" i="7"/>
  <c r="AA11" i="7"/>
  <c r="W11" i="7"/>
  <c r="T11" i="7"/>
  <c r="X11" i="7" s="1"/>
  <c r="S11" i="7"/>
  <c r="R11" i="7"/>
  <c r="P11" i="7"/>
  <c r="K11" i="7"/>
  <c r="AP10" i="7"/>
  <c r="AN10" i="7"/>
  <c r="AJ10" i="7"/>
  <c r="AH10" i="7"/>
  <c r="AD10" i="7"/>
  <c r="AB10" i="7"/>
  <c r="AA10" i="7"/>
  <c r="W10" i="7"/>
  <c r="X10" i="7" s="1"/>
  <c r="T10" i="7"/>
  <c r="S10" i="7"/>
  <c r="R10" i="7"/>
  <c r="P10" i="7"/>
  <c r="K10" i="7"/>
  <c r="AP9" i="7"/>
  <c r="AN9" i="7"/>
  <c r="AJ9" i="7"/>
  <c r="AH9" i="7"/>
  <c r="AD9" i="7"/>
  <c r="AB9" i="7"/>
  <c r="AA9" i="7"/>
  <c r="W9" i="7"/>
  <c r="T9" i="7"/>
  <c r="X9" i="7" s="1"/>
  <c r="S9" i="7"/>
  <c r="R9" i="7"/>
  <c r="P9" i="7"/>
  <c r="K9" i="7"/>
  <c r="AP8" i="7"/>
  <c r="AN8" i="7"/>
  <c r="AJ8" i="7"/>
  <c r="AH8" i="7"/>
  <c r="AD8" i="7"/>
  <c r="AB8" i="7"/>
  <c r="AA8" i="7"/>
  <c r="W8" i="7"/>
  <c r="X8" i="7" s="1"/>
  <c r="T8" i="7"/>
  <c r="S8" i="7"/>
  <c r="R8" i="7"/>
  <c r="P8" i="7"/>
  <c r="K8" i="7"/>
  <c r="AP7" i="7"/>
  <c r="AN7" i="7"/>
  <c r="AJ7" i="7"/>
  <c r="AH7" i="7"/>
  <c r="AD7" i="7"/>
  <c r="AB7" i="7"/>
  <c r="AA7" i="7"/>
  <c r="W7" i="7"/>
  <c r="T7" i="7"/>
  <c r="X7" i="7" s="1"/>
  <c r="S7" i="7"/>
  <c r="R7" i="7"/>
  <c r="P7" i="7"/>
  <c r="K7" i="7"/>
  <c r="AP6" i="7"/>
  <c r="AN6" i="7"/>
  <c r="AJ6" i="7"/>
  <c r="AH6" i="7"/>
  <c r="AD6" i="7"/>
  <c r="AB6" i="7"/>
  <c r="AA6" i="7"/>
  <c r="W6" i="7"/>
  <c r="X6" i="7" s="1"/>
  <c r="T6" i="7"/>
  <c r="S6" i="7"/>
  <c r="R6" i="7"/>
  <c r="P6" i="7"/>
  <c r="K6" i="7"/>
  <c r="AP5" i="7"/>
  <c r="AN5" i="7"/>
  <c r="AJ5" i="7"/>
  <c r="AH5" i="7"/>
  <c r="AD5" i="7"/>
  <c r="AB5" i="7"/>
  <c r="AA5" i="7"/>
  <c r="W5" i="7"/>
  <c r="T5" i="7"/>
  <c r="X5" i="7" s="1"/>
  <c r="S5" i="7"/>
  <c r="R5" i="7"/>
  <c r="P5" i="7"/>
  <c r="K5" i="7"/>
  <c r="AP4" i="7"/>
  <c r="AN4" i="7"/>
  <c r="AJ4" i="7"/>
  <c r="AH4" i="7"/>
  <c r="AD4" i="7"/>
  <c r="AB4" i="7"/>
  <c r="AA4" i="7"/>
  <c r="W4" i="7"/>
  <c r="X4" i="7" s="1"/>
  <c r="T4" i="7"/>
  <c r="S4" i="7"/>
  <c r="R4" i="7"/>
  <c r="P4" i="7"/>
  <c r="K4" i="7"/>
  <c r="AP3" i="7"/>
  <c r="AN3" i="7"/>
  <c r="AJ3" i="7"/>
  <c r="AH3" i="7"/>
  <c r="AD3" i="7"/>
  <c r="AB3" i="7"/>
  <c r="AA3" i="7"/>
  <c r="W3" i="7"/>
  <c r="T3" i="7"/>
  <c r="X3" i="7" s="1"/>
  <c r="S3" i="7"/>
  <c r="R3" i="7"/>
  <c r="P3" i="7"/>
  <c r="K3" i="7"/>
  <c r="AP2" i="7"/>
  <c r="AN2" i="7"/>
  <c r="AJ2" i="7"/>
  <c r="AH2" i="7"/>
  <c r="AD2" i="7"/>
  <c r="AA2" i="7"/>
  <c r="W2" i="7"/>
  <c r="T2" i="7"/>
  <c r="X2" i="7" s="1"/>
  <c r="S2" i="7"/>
  <c r="R2" i="7"/>
  <c r="P2" i="7"/>
  <c r="K2" i="7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46" i="8" l="1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P2" i="1" l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AD302" i="4" s="1"/>
  <c r="T303" i="4"/>
  <c r="T304" i="4"/>
  <c r="AD304" i="4" s="1"/>
  <c r="T305" i="4"/>
  <c r="T306" i="4"/>
  <c r="AD306" i="4" s="1"/>
  <c r="T307" i="4"/>
  <c r="T308" i="4"/>
  <c r="AD308" i="4" s="1"/>
  <c r="T309" i="4"/>
  <c r="AD309" i="4" s="1"/>
  <c r="T310" i="4"/>
  <c r="AD310" i="4" s="1"/>
  <c r="T311" i="4"/>
  <c r="T312" i="4"/>
  <c r="AD312" i="4" s="1"/>
  <c r="T313" i="4"/>
  <c r="AD313" i="4" s="1"/>
  <c r="T314" i="4"/>
  <c r="AD314" i="4" s="1"/>
  <c r="T315" i="4"/>
  <c r="T316" i="4"/>
  <c r="AD316" i="4" s="1"/>
  <c r="T317" i="4"/>
  <c r="AD317" i="4" s="1"/>
  <c r="T318" i="4"/>
  <c r="AD318" i="4" s="1"/>
  <c r="T319" i="4"/>
  <c r="T320" i="4"/>
  <c r="AD320" i="4" s="1"/>
  <c r="T321" i="4"/>
  <c r="AD321" i="4" s="1"/>
  <c r="T322" i="4"/>
  <c r="AD322" i="4" s="1"/>
  <c r="T323" i="4"/>
  <c r="T324" i="4"/>
  <c r="AD324" i="4" s="1"/>
  <c r="T325" i="4"/>
  <c r="AD325" i="4" s="1"/>
  <c r="T326" i="4"/>
  <c r="AD326" i="4" s="1"/>
  <c r="T327" i="4"/>
  <c r="T328" i="4"/>
  <c r="AD328" i="4" s="1"/>
  <c r="T329" i="4"/>
  <c r="AD329" i="4" s="1"/>
  <c r="T330" i="4"/>
  <c r="AD330" i="4" s="1"/>
  <c r="T331" i="4"/>
  <c r="T332" i="4"/>
  <c r="AD332" i="4" s="1"/>
  <c r="T333" i="4"/>
  <c r="AD333" i="4" s="1"/>
  <c r="T334" i="4"/>
  <c r="AD334" i="4" s="1"/>
  <c r="T335" i="4"/>
  <c r="T336" i="4"/>
  <c r="AD336" i="4" s="1"/>
  <c r="T337" i="4"/>
  <c r="AD337" i="4" s="1"/>
  <c r="T338" i="4"/>
  <c r="AD338" i="4" s="1"/>
  <c r="T339" i="4"/>
  <c r="T340" i="4"/>
  <c r="AD340" i="4" s="1"/>
  <c r="T341" i="4"/>
  <c r="AD341" i="4" s="1"/>
  <c r="T342" i="4"/>
  <c r="AD342" i="4" s="1"/>
  <c r="T343" i="4"/>
  <c r="T344" i="4"/>
  <c r="AD344" i="4" s="1"/>
  <c r="T345" i="4"/>
  <c r="AD345" i="4" s="1"/>
  <c r="T346" i="4"/>
  <c r="AD346" i="4" s="1"/>
  <c r="T347" i="4"/>
  <c r="T348" i="4"/>
  <c r="AD348" i="4" s="1"/>
  <c r="T349" i="4"/>
  <c r="AD349" i="4" s="1"/>
  <c r="T350" i="4"/>
  <c r="AD350" i="4" s="1"/>
  <c r="T351" i="4"/>
  <c r="T352" i="4"/>
  <c r="AD352" i="4" s="1"/>
  <c r="T353" i="4"/>
  <c r="AD353" i="4" s="1"/>
  <c r="T354" i="4"/>
  <c r="AD354" i="4" s="1"/>
  <c r="T355" i="4"/>
  <c r="T356" i="4"/>
  <c r="AD356" i="4" s="1"/>
  <c r="T357" i="4"/>
  <c r="AD357" i="4" s="1"/>
  <c r="T358" i="4"/>
  <c r="AD358" i="4" s="1"/>
  <c r="T359" i="4"/>
  <c r="T360" i="4"/>
  <c r="AD360" i="4" s="1"/>
  <c r="T361" i="4"/>
  <c r="AD361" i="4" s="1"/>
  <c r="T362" i="4"/>
  <c r="AD362" i="4" s="1"/>
  <c r="T363" i="4"/>
  <c r="T364" i="4"/>
  <c r="AD364" i="4" s="1"/>
  <c r="T365" i="4"/>
  <c r="AD365" i="4" s="1"/>
  <c r="T366" i="4"/>
  <c r="AD366" i="4" s="1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00" i="4" l="1"/>
  <c r="AD296" i="4"/>
  <c r="AD292" i="4"/>
  <c r="AD288" i="4"/>
  <c r="AD284" i="4"/>
  <c r="AD280" i="4"/>
  <c r="AD276" i="4"/>
  <c r="AD298" i="4"/>
  <c r="AD294" i="4"/>
  <c r="AD290" i="4"/>
  <c r="AD286" i="4"/>
  <c r="AD282" i="4"/>
  <c r="AD278" i="4"/>
  <c r="AD305" i="4"/>
  <c r="AD301" i="4"/>
  <c r="AD297" i="4"/>
  <c r="AD293" i="4"/>
  <c r="AD289" i="4"/>
  <c r="AD285" i="4"/>
  <c r="AD281" i="4"/>
  <c r="AD277" i="4"/>
  <c r="AD272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X363" i="4"/>
  <c r="AD363" i="4"/>
  <c r="X359" i="4"/>
  <c r="AD359" i="4"/>
  <c r="X355" i="4"/>
  <c r="AD355" i="4"/>
  <c r="X351" i="4"/>
  <c r="AD351" i="4"/>
  <c r="X347" i="4"/>
  <c r="AD347" i="4"/>
  <c r="X343" i="4"/>
  <c r="AD343" i="4"/>
  <c r="X339" i="4"/>
  <c r="AD339" i="4"/>
  <c r="X335" i="4"/>
  <c r="AD335" i="4"/>
  <c r="X331" i="4"/>
  <c r="AD331" i="4"/>
  <c r="X327" i="4"/>
  <c r="AD327" i="4"/>
  <c r="X323" i="4"/>
  <c r="AD323" i="4"/>
  <c r="X319" i="4"/>
  <c r="AD319" i="4"/>
  <c r="X315" i="4"/>
  <c r="AD315" i="4"/>
  <c r="X311" i="4"/>
  <c r="AD311" i="4"/>
  <c r="X307" i="4"/>
  <c r="AD307" i="4"/>
  <c r="X303" i="4"/>
  <c r="AD303" i="4"/>
  <c r="X299" i="4"/>
  <c r="AD299" i="4"/>
  <c r="X295" i="4"/>
  <c r="AD295" i="4"/>
  <c r="X291" i="4"/>
  <c r="AD291" i="4"/>
  <c r="X287" i="4"/>
  <c r="AD287" i="4"/>
  <c r="X283" i="4"/>
  <c r="AD283" i="4"/>
  <c r="X279" i="4"/>
  <c r="AD279" i="4"/>
  <c r="X275" i="4"/>
  <c r="AD275" i="4"/>
  <c r="X271" i="4"/>
  <c r="AD271" i="4"/>
  <c r="AD267" i="4"/>
  <c r="AD263" i="4"/>
  <c r="AD259" i="4"/>
  <c r="AD255" i="4"/>
  <c r="AD251" i="4"/>
  <c r="AD247" i="4"/>
  <c r="AD243" i="4"/>
  <c r="AD239" i="4"/>
  <c r="AD235" i="4"/>
  <c r="AD231" i="4"/>
  <c r="AD227" i="4"/>
  <c r="AD223" i="4"/>
  <c r="AD219" i="4"/>
  <c r="AD215" i="4"/>
  <c r="AD211" i="4"/>
  <c r="AD207" i="4"/>
  <c r="AD203" i="4"/>
  <c r="AD199" i="4"/>
  <c r="AD195" i="4"/>
  <c r="AD191" i="4"/>
  <c r="AD187" i="4"/>
  <c r="AD183" i="4"/>
  <c r="AD179" i="4"/>
  <c r="AD175" i="4"/>
  <c r="AD171" i="4"/>
  <c r="AD167" i="4"/>
  <c r="AD163" i="4"/>
  <c r="AD159" i="4"/>
  <c r="AD155" i="4"/>
  <c r="AD151" i="4"/>
  <c r="AD147" i="4"/>
  <c r="AD143" i="4"/>
  <c r="AD139" i="4"/>
  <c r="AD135" i="4"/>
  <c r="AD131" i="4"/>
  <c r="AD127" i="4"/>
  <c r="AD123" i="4"/>
  <c r="AD119" i="4"/>
  <c r="AD115" i="4"/>
  <c r="AD111" i="4"/>
  <c r="AD107" i="4"/>
  <c r="AD103" i="4"/>
  <c r="AD99" i="4"/>
  <c r="AD95" i="4"/>
  <c r="AD91" i="4"/>
  <c r="AD87" i="4"/>
  <c r="AD83" i="4"/>
  <c r="AD79" i="4"/>
  <c r="AD75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4" i="4"/>
  <c r="AD274" i="4"/>
  <c r="AD270" i="4"/>
  <c r="AD266" i="4"/>
  <c r="AD262" i="4"/>
  <c r="AD258" i="4"/>
  <c r="AD254" i="4"/>
  <c r="AD250" i="4"/>
  <c r="AD246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3" i="4"/>
  <c r="AD273" i="4"/>
  <c r="AD269" i="4"/>
  <c r="AD265" i="4"/>
  <c r="AD261" i="4"/>
  <c r="AD257" i="4"/>
  <c r="AD253" i="4"/>
  <c r="AD249" i="4"/>
  <c r="AD245" i="4"/>
  <c r="AD241" i="4"/>
  <c r="AD237" i="4"/>
  <c r="AD233" i="4"/>
  <c r="AD229" i="4"/>
  <c r="AD225" i="4"/>
  <c r="AD221" i="4"/>
  <c r="AD217" i="4"/>
  <c r="AD213" i="4"/>
  <c r="AD209" i="4"/>
  <c r="AD205" i="4"/>
  <c r="AD201" i="4"/>
  <c r="AD197" i="4"/>
  <c r="AD193" i="4"/>
  <c r="AD189" i="4"/>
  <c r="AD185" i="4"/>
  <c r="AD181" i="4"/>
  <c r="AD177" i="4"/>
  <c r="AD173" i="4"/>
  <c r="AD169" i="4"/>
  <c r="AD165" i="4"/>
  <c r="AD161" i="4"/>
  <c r="AD157" i="4"/>
  <c r="AD153" i="4"/>
  <c r="AD149" i="4"/>
  <c r="AD145" i="4"/>
  <c r="AD141" i="4"/>
  <c r="AD137" i="4"/>
  <c r="AD133" i="4"/>
  <c r="AD129" i="4"/>
  <c r="AD125" i="4"/>
  <c r="AD121" i="4"/>
  <c r="AD117" i="4"/>
  <c r="AD113" i="4"/>
  <c r="AD109" i="4"/>
  <c r="AD105" i="4"/>
  <c r="AD101" i="4"/>
  <c r="AD97" i="4"/>
  <c r="AD93" i="4"/>
  <c r="AD89" i="4"/>
  <c r="AD85" i="4"/>
  <c r="AD81" i="4"/>
  <c r="AD77" i="4"/>
  <c r="AD73" i="4"/>
  <c r="AD69" i="4"/>
  <c r="AD65" i="4"/>
  <c r="AD61" i="4"/>
  <c r="AD57" i="4"/>
  <c r="AD53" i="4"/>
  <c r="AD49" i="4"/>
  <c r="AD45" i="4"/>
  <c r="AD41" i="4"/>
  <c r="AD37" i="4"/>
  <c r="AD33" i="4"/>
  <c r="AD29" i="4"/>
  <c r="AD25" i="4"/>
  <c r="AD21" i="4"/>
  <c r="AD17" i="4"/>
  <c r="AD13" i="4"/>
  <c r="AD9" i="4"/>
  <c r="AD5" i="4"/>
  <c r="AD2" i="4"/>
  <c r="S298" i="4"/>
  <c r="S302" i="4"/>
  <c r="S306" i="4"/>
  <c r="S310" i="4"/>
  <c r="S322" i="4"/>
  <c r="S326" i="4"/>
  <c r="S334" i="4"/>
  <c r="S338" i="4"/>
  <c r="S350" i="4"/>
  <c r="S358" i="4"/>
  <c r="S366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X274" i="4"/>
  <c r="X267" i="4"/>
  <c r="X263" i="4"/>
  <c r="X259" i="4"/>
  <c r="X255" i="4"/>
  <c r="X251" i="4"/>
  <c r="X247" i="4"/>
  <c r="X243" i="4"/>
  <c r="X239" i="4"/>
  <c r="X235" i="4"/>
  <c r="X231" i="4"/>
  <c r="X227" i="4"/>
  <c r="X223" i="4"/>
  <c r="X219" i="4"/>
  <c r="X215" i="4"/>
  <c r="X211" i="4"/>
  <c r="X207" i="4"/>
  <c r="X203" i="4"/>
  <c r="X199" i="4"/>
  <c r="X195" i="4"/>
  <c r="X191" i="4"/>
  <c r="X187" i="4"/>
  <c r="X183" i="4"/>
  <c r="X179" i="4"/>
  <c r="X175" i="4"/>
  <c r="X171" i="4"/>
  <c r="X167" i="4"/>
  <c r="X163" i="4"/>
  <c r="X159" i="4"/>
  <c r="X155" i="4"/>
  <c r="X151" i="4"/>
  <c r="X147" i="4"/>
  <c r="X143" i="4"/>
  <c r="X139" i="4"/>
  <c r="X127" i="4"/>
  <c r="X115" i="4"/>
  <c r="X103" i="4"/>
  <c r="X91" i="4"/>
  <c r="X79" i="4"/>
  <c r="X75" i="4"/>
  <c r="X258" i="4"/>
  <c r="X242" i="4"/>
  <c r="X135" i="4"/>
  <c r="X123" i="4"/>
  <c r="X111" i="4"/>
  <c r="X99" i="4"/>
  <c r="X87" i="4"/>
  <c r="X131" i="4"/>
  <c r="X119" i="4"/>
  <c r="X107" i="4"/>
  <c r="X95" i="4"/>
  <c r="X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X285" i="1"/>
  <c r="X293" i="1"/>
  <c r="S300" i="1"/>
  <c r="S311" i="1"/>
  <c r="S315" i="1"/>
  <c r="S318" i="1"/>
  <c r="X319" i="1"/>
  <c r="S321" i="1"/>
  <c r="S336" i="1"/>
  <c r="X337" i="1"/>
  <c r="S338" i="1"/>
  <c r="X354" i="1"/>
  <c r="X358" i="1"/>
  <c r="S361" i="1"/>
  <c r="X362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S6" i="1"/>
  <c r="S114" i="1"/>
  <c r="S118" i="1"/>
  <c r="S122" i="1"/>
  <c r="S126" i="1"/>
  <c r="S130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S9" i="1"/>
  <c r="S7" i="1"/>
  <c r="S11" i="1"/>
  <c r="X31" i="1"/>
  <c r="X35" i="1"/>
  <c r="X39" i="1"/>
  <c r="S197" i="1"/>
  <c r="X279" i="1"/>
  <c r="S43" i="1"/>
  <c r="S47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S115" i="1"/>
  <c r="S119" i="1"/>
  <c r="S123" i="1"/>
  <c r="S127" i="1"/>
  <c r="S131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X365" i="1"/>
  <c r="X312" i="1"/>
  <c r="X322" i="1"/>
  <c r="S337" i="1"/>
  <c r="X338" i="1"/>
  <c r="S341" i="1"/>
  <c r="X34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S340" i="1"/>
  <c r="S342" i="1"/>
  <c r="S349" i="1"/>
  <c r="X352" i="1"/>
  <c r="S359" i="1"/>
  <c r="X94" i="1"/>
  <c r="S97" i="1"/>
  <c r="X98" i="1"/>
  <c r="S101" i="1"/>
  <c r="X102" i="1"/>
  <c r="S105" i="1"/>
  <c r="X106" i="1"/>
  <c r="S109" i="1"/>
  <c r="X110" i="1"/>
  <c r="S113" i="1"/>
  <c r="S117" i="1"/>
  <c r="S121" i="1"/>
  <c r="S125" i="1"/>
  <c r="S129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X159" i="1"/>
  <c r="S161" i="1"/>
  <c r="X163" i="1"/>
  <c r="S165" i="1"/>
  <c r="S169" i="1"/>
  <c r="X170" i="1"/>
  <c r="S173" i="1"/>
  <c r="X175" i="1"/>
  <c r="S177" i="1"/>
  <c r="X179" i="1"/>
  <c r="S181" i="1"/>
  <c r="X183" i="1"/>
  <c r="S185" i="1"/>
  <c r="X187" i="1"/>
  <c r="S189" i="1"/>
  <c r="X191" i="1"/>
  <c r="S193" i="1"/>
  <c r="S196" i="1"/>
  <c r="X277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X360" i="1"/>
  <c r="X6" i="1"/>
  <c r="X10" i="1"/>
  <c r="X20" i="1"/>
  <c r="X24" i="1"/>
  <c r="X341" i="1"/>
  <c r="X4" i="1"/>
  <c r="X12" i="1"/>
  <c r="X16" i="1"/>
  <c r="X22" i="1"/>
  <c r="X36" i="1"/>
  <c r="X29" i="1"/>
  <c r="X33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X41" i="1"/>
  <c r="X45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X160" i="1"/>
  <c r="X164" i="1"/>
  <c r="X167" i="1"/>
  <c r="X171" i="1"/>
  <c r="X176" i="1"/>
  <c r="X180" i="1"/>
  <c r="X184" i="1"/>
  <c r="X188" i="1"/>
  <c r="X192" i="1"/>
  <c r="X246" i="1"/>
  <c r="X250" i="1"/>
  <c r="X254" i="1"/>
  <c r="X258" i="1"/>
  <c r="X262" i="1"/>
  <c r="X266" i="1"/>
  <c r="X270" i="1"/>
  <c r="X275" i="1"/>
  <c r="S281" i="1"/>
  <c r="X284" i="1"/>
  <c r="X287" i="1"/>
  <c r="X290" i="1"/>
  <c r="S292" i="1"/>
  <c r="X295" i="1"/>
  <c r="X298" i="1"/>
  <c r="X303" i="1"/>
  <c r="X306" i="1"/>
  <c r="X320" i="1"/>
  <c r="S324" i="1"/>
  <c r="X336" i="1"/>
  <c r="X350" i="1"/>
  <c r="S356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S314" i="1"/>
  <c r="X315" i="1"/>
  <c r="X318" i="1"/>
  <c r="S322" i="1"/>
  <c r="X323" i="1"/>
  <c r="S325" i="1"/>
  <c r="S329" i="1"/>
  <c r="S333" i="1"/>
  <c r="S339" i="1"/>
  <c r="X340" i="1"/>
  <c r="X346" i="1"/>
  <c r="S347" i="1"/>
  <c r="S350" i="1"/>
  <c r="X356" i="1"/>
  <c r="X43" i="1"/>
  <c r="X44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X162" i="1"/>
  <c r="X166" i="1"/>
  <c r="X169" i="1"/>
  <c r="X174" i="1"/>
  <c r="X178" i="1"/>
  <c r="X182" i="1"/>
  <c r="X186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X348" i="1"/>
  <c r="S352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X195" i="1"/>
  <c r="X198" i="1"/>
  <c r="X200" i="1"/>
  <c r="X202" i="1"/>
  <c r="X204" i="1"/>
  <c r="X206" i="1"/>
  <c r="X208" i="1"/>
  <c r="X210" i="1"/>
  <c r="X212" i="1"/>
  <c r="X214" i="1"/>
  <c r="X216" i="1"/>
  <c r="X218" i="1"/>
  <c r="X220" i="1"/>
  <c r="X222" i="1"/>
  <c r="X224" i="1"/>
  <c r="X226" i="1"/>
  <c r="X228" i="1"/>
  <c r="X230" i="1"/>
  <c r="X232" i="1"/>
  <c r="X234" i="1"/>
  <c r="X236" i="1"/>
  <c r="X238" i="1"/>
  <c r="X240" i="1"/>
  <c r="X242" i="1"/>
  <c r="X199" i="1"/>
  <c r="X201" i="1"/>
  <c r="X203" i="1"/>
  <c r="X205" i="1"/>
  <c r="X207" i="1"/>
  <c r="X209" i="1"/>
  <c r="X211" i="1"/>
  <c r="X213" i="1"/>
  <c r="X215" i="1"/>
  <c r="X217" i="1"/>
  <c r="X219" i="1"/>
  <c r="X221" i="1"/>
  <c r="X223" i="1"/>
  <c r="X225" i="1"/>
  <c r="X227" i="1"/>
  <c r="X229" i="1"/>
  <c r="X231" i="1"/>
  <c r="X233" i="1"/>
  <c r="X235" i="1"/>
  <c r="X237" i="1"/>
  <c r="X239" i="1"/>
  <c r="X241" i="1"/>
  <c r="X243" i="1"/>
  <c r="X328" i="1"/>
  <c r="X332" i="1"/>
  <c r="X347" i="1"/>
  <c r="X363" i="1"/>
  <c r="X325" i="1"/>
  <c r="X329" i="1"/>
  <c r="X333" i="1"/>
  <c r="X343" i="1"/>
  <c r="X359" i="1"/>
  <c r="X326" i="1"/>
  <c r="X330" i="1"/>
  <c r="X334" i="1"/>
  <c r="X339" i="1"/>
  <c r="X355" i="1"/>
  <c r="X289" i="1"/>
  <c r="X327" i="1"/>
  <c r="X331" i="1"/>
  <c r="X335" i="1"/>
  <c r="X351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<sst xmlns="http://schemas.openxmlformats.org/spreadsheetml/2006/main" count="252" uniqueCount="42">
  <si>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</si>
  <si>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+ A/S) AJD</t>
  </si>
  <si>
    <t>(RES. LEVEL) AJD</t>
  </si>
  <si>
    <t>(RESV. STORGE) AJD</t>
  </si>
  <si>
    <t>(STORGE DIFF.) AJD</t>
  </si>
  <si>
    <t>( S/S+T/B)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</si>
  <si>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</si>
  <si>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</si>
  <si>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</si>
  <si>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</si>
  <si>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</si>
  <si>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</si>
  <si>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</si>
  <si>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(S/S+TB)SAR</t>
  </si>
  <si>
    <t xml:space="preserve"> % ECV SAR</t>
  </si>
  <si>
    <t>(RES. LEVEL) BER</t>
  </si>
  <si>
    <t xml:space="preserve"> (RESV. STORGE) BER</t>
  </si>
  <si>
    <t xml:space="preserve">(RES. LEVEL) SER </t>
  </si>
  <si>
    <t xml:space="preserve"> (RESV. STORGE) SER</t>
  </si>
  <si>
    <t>T/B-CON.</t>
  </si>
  <si>
    <t>(S/S-T/B)-CON.</t>
  </si>
  <si>
    <t>BER_STORG. * 10</t>
  </si>
  <si>
    <t>AJD_Evaporation</t>
  </si>
  <si>
    <t>A/B_CON.</t>
  </si>
  <si>
    <t>AJD_STORG.* 10</t>
  </si>
  <si>
    <t>SER_STORG.* 10</t>
  </si>
  <si>
    <t>SER_Evap.</t>
  </si>
  <si>
    <t>A/S_CON.</t>
  </si>
  <si>
    <t>SER_IN</t>
  </si>
  <si>
    <t>BER_Evap.</t>
  </si>
  <si>
    <t>BER_IN</t>
  </si>
  <si>
    <t>AJD_LOSES</t>
  </si>
  <si>
    <t>(IN-OUT) AJD</t>
  </si>
  <si>
    <t>(A/S) AJD</t>
  </si>
  <si>
    <t>(A/B) AJD</t>
  </si>
  <si>
    <t>(T/B) AJD</t>
  </si>
  <si>
    <t>S/S_CON.</t>
  </si>
  <si>
    <t>(S/S) AJD</t>
  </si>
  <si>
    <t>ECV (bar) SAR</t>
  </si>
  <si>
    <t>TAZ/SAR</t>
  </si>
  <si>
    <t xml:space="preserve"> (S/S) SAR</t>
  </si>
  <si>
    <t xml:space="preserve"> (T/B) 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</si>
</sst>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34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256" headerRowBorderDxfId="255" tableBorderDxfId="254">
  <autoFilter ref="A1:AP366" xr:uid="{6E0F382F-67F4-430A-B384-60EF2F5DAC6C}"/>
  <tableColumns count="42">
    <tableColumn id="1" xr3:uid="{66387CC3-B100-4304-9559-EC4889828ABF}" name=" اليوم" dataDxfId="253" totalsRowDxfId="252" dataCellStyle="Normal 2"/>
    <tableColumn id="19" xr3:uid="{73AF8B15-15C2-4FFB-A4CF-2BCAC459190F}" name="آبار منتجة TAZ" dataDxfId="251" totalsRowDxfId="250" dataCellStyle="Normal 2"/>
    <tableColumn id="18" xr3:uid="{09325C69-53C6-4F31-92E3-CB300328F497}" name="الانتاج 1000 (م3) TAZ" dataDxfId="249" totalsRowDxfId="248" dataCellStyle="Normal 2"/>
    <tableColumn id="17" xr3:uid="{16B8FBF1-029A-469C-B1C6-F69C4C4F7CAF}" name="آبار عاملة TAZ" dataDxfId="247" totalsRowDxfId="246" dataCellStyle="Normal 2"/>
    <tableColumn id="16" xr3:uid="{00C28CE5-3D49-4F68-919C-13DF472F495C}" name="آبار احتياطية" dataDxfId="245" totalsRowDxfId="244" dataCellStyle="Normal 2"/>
    <tableColumn id="26" xr3:uid="{EE5DB7EC-D86D-49D5-9B77-054A5BABE28D}" name="آبار منتجة SAR" dataDxfId="243" totalsRowDxfId="242" dataCellStyle="Normal 2"/>
    <tableColumn id="25" xr3:uid="{7C165A36-3712-4689-8755-F53FE5B20ABE}" name="إنتاج آبار  SAR" dataDxfId="241" totalsRowDxfId="240" dataCellStyle="Normal 2"/>
    <tableColumn id="24" xr3:uid="{83A6BBA7-380F-4769-8A42-D4612297E2AD}" name="آبار احتياطية  SAR" dataDxfId="239" totalsRowDxfId="238" dataCellStyle="Normal 2"/>
    <tableColumn id="8" xr3:uid="{AE56A76F-A0FC-417D-B2B6-D4978FB39679}" name=" (T/B) SAR" dataDxfId="237" totalsRowDxfId="236" dataCellStyle="Normal 2"/>
    <tableColumn id="22" xr3:uid="{DAAA7253-4784-4BE7-9784-7EAE5F799701}" name=" (S/S) SAR" dataDxfId="235" totalsRowDxfId="234" dataCellStyle="Normal 2"/>
    <tableColumn id="38" xr3:uid="{C17DFA01-DEFE-472D-8A02-0FF9206A0813}" name="(S/S+TB)SAR" dataDxfId="233" totalsRowDxfId="232" dataCellStyle="Normal 2">
      <calculatedColumnFormula>TABL12[[#This Row],[ (T/B) SAR]]+TABL12[[#This Row],[ (S/S) SAR]]</calculatedColumnFormula>
    </tableColumn>
    <tableColumn id="21" xr3:uid="{5D7F5EC4-F3B5-4C0B-BE31-CED811786A9A}" name="TAZ/SAR" dataDxfId="231" totalsRowDxfId="230" dataCellStyle="Normal 2"/>
    <tableColumn id="20" xr3:uid="{3C1CE13A-ADA2-44D8-9F21-A08E5B226D9C}" name=" % ECV SAR" dataDxfId="229" totalsRowDxfId="228" dataCellStyle="Normal 2"/>
    <tableColumn id="6" xr3:uid="{4245025E-4350-4CF5-A37D-368EE5D4C6E6}" name="ECV (bar) SAR" dataDxfId="227" totalsRowDxfId="226" dataCellStyle="Normal 2"/>
    <tableColumn id="3" xr3:uid="{E521A30B-C651-47F3-8C9F-1644C97E55AB}" name="(S/S) AJD" dataDxfId="225" totalsRowDxfId="224"/>
    <tableColumn id="36" xr3:uid="{2E18B7B5-1893-4635-84E6-AAD5165E012D}" name="S/S_CON." dataDxfId="223" totalsRowDxfId="222">
      <calculatedColumnFormula>TABL12[[#This Row],[ (S/S) SAR]]-TABL12[[#This Row],[(S/S) AJD]]</calculatedColumnFormula>
    </tableColumn>
    <tableColumn id="5" xr3:uid="{2560A6DC-201C-40F0-8F48-5525F036384E}" name="(T/B) AJD" dataDxfId="221" totalsRowDxfId="220"/>
    <tableColumn id="35" xr3:uid="{CCC03B44-9E2F-4CD1-89EE-A2983AA131AC}" name="T/B-CON." dataDxfId="219" totalsRowDxfId="218">
      <calculatedColumnFormula>TABL12[[#This Row],[ (T/B) SAR]]-TABL12[[#This Row],[(T/B) AJD]]</calculatedColumnFormula>
    </tableColumn>
    <tableColumn id="37" xr3:uid="{11AB6075-5F47-4BB0-9025-D8BC15EDE0E8}" name="(S/S-T/B)-CON." dataDxfId="217" totalsRowDxfId="216">
      <calculatedColumnFormula>TABL12[[#This Row],[S/S_CON.]]+TABL12[[#This Row],[T/B-CON.]]</calculatedColumnFormula>
    </tableColumn>
    <tableColumn id="13" xr3:uid="{19EB6091-9975-4502-8119-B7C9AD981DD0}" name="( S/S+T/B) AJD" dataDxfId="215" totalsRowDxfId="214">
      <calculatedColumnFormula>O2+Q2</calculatedColumnFormula>
    </tableColumn>
    <tableColumn id="7" xr3:uid="{FE67C820-40E0-442E-9E31-856C32A508B6}" name="(A/B) AJD" dataDxfId="213" totalsRowDxfId="212"/>
    <tableColumn id="9" xr3:uid="{D5679418-BA27-4A9E-9F79-B5750AE87354}" name="(A/S) AJD" dataDxfId="211" totalsRowDxfId="210"/>
    <tableColumn id="14" xr3:uid="{3D7832B3-0EBF-4C36-9589-8817B10DB712}" name="(A/B + A/S) AJD" dataDxfId="209" totalsRowDxfId="208">
      <calculatedColumnFormula>U2+V2</calculatedColumnFormula>
    </tableColumn>
    <tableColumn id="15" xr3:uid="{9DF00D84-966C-444D-B303-1741455D7F9D}" name="(IN-OUT) AJD" dataDxfId="207" totalsRowDxfId="206">
      <calculatedColumnFormula>T2-W2</calculatedColumnFormula>
    </tableColumn>
    <tableColumn id="10" xr3:uid="{F816C09C-6DAC-44D6-8748-76EA15069B1B}" name="(RES. LEVEL) AJD" dataDxfId="205" totalsRowDxfId="204"/>
    <tableColumn id="11" xr3:uid="{00C5DB16-3CE7-43C0-85AC-3A94F1DF93AB}" name="(RESV. STORGE) AJD" dataDxfId="203" totalsRowDxfId="202"/>
    <tableColumn id="40" xr3:uid="{3BB612D7-93EF-4EAC-AE56-DDA1277F66BC}" name="AJD_STORG.* 10" dataDxfId="201" totalsRowDxfId="200">
      <calculatedColumnFormula>TABL12[[#This Row],[(RESV. STORGE) AJD]]/10</calculatedColumnFormula>
    </tableColumn>
    <tableColumn id="4" xr3:uid="{15D5ED16-E158-4BC3-B9EB-7F0B835A68C3}" name="(STORGE DIFF.) AJD" dataDxfId="199" totalsRowDxfId="198"/>
    <tableColumn id="12" xr3:uid="{1995E128-14C8-4F8F-908D-D03A5E8655DC}" name="AJD_Evaporation" dataDxfId="197" totalsRowDxfId="196" dataCellStyle="Normal 2">
      <calculatedColumnFormula>(Z2-Z1)/1000</calculatedColumnFormula>
    </tableColumn>
    <tableColumn id="39" xr3:uid="{E732E22F-62E8-4E58-A573-7DF93813B1E1}" name="AJD_LOSES" dataDxfId="195" totalsRowDxfId="194">
      <calculatedColumnFormula>TABL12[[#This Row],[( S/S+T/B) AJD]]-(TABL12[[#This Row],[(A/B + A/S) AJD]]+TABL12[[#This Row],[(STORGE DIFF.) AJD]]+(TABL12[[#This Row],[AJD_Evaporation]]))</calculatedColumnFormula>
    </tableColumn>
    <tableColumn id="30" xr3:uid="{B8A4B6D6-AD45-4CC9-87FA-F1BA2E37ACCA}" name="BER_IN" dataDxfId="193" totalsRowDxfId="192"/>
    <tableColumn id="31" xr3:uid="{55F50B2A-C1E1-433E-9815-41A6E80E52CD}" name="(RES. LEVEL) BER" dataDxfId="191" totalsRowDxfId="190"/>
    <tableColumn id="28" xr3:uid="{2651ABE7-B931-449C-B6AE-ACC17C319D95}" name=" (RESV. STORGE) BER" dataDxfId="189" totalsRowDxfId="188"/>
    <tableColumn id="41" xr3:uid="{E68DD80B-5F75-4484-AE22-A4DBB5C3D9D7}" name="BER_STORG. * 10" dataDxfId="187" totalsRowDxfId="186">
      <calculatedColumnFormula>TABL12[[#This Row],[ (RESV. STORGE) BER]]/10</calculatedColumnFormula>
    </tableColumn>
    <tableColumn id="29" xr3:uid="{72C12724-11AC-42CC-A11D-EFF1C3F9C26F}" name="BER_Evap." dataDxfId="185" totalsRowDxfId="184"/>
    <tableColumn id="34" xr3:uid="{6D25E223-64FE-4345-BF75-4C64F7653DD7}" name="A/B_CON." totalsRowFunction="custom" dataDxfId="183" totalsRowDxfId="182">
      <calculatedColumnFormula>TABL12[[#This Row],[(A/B) AJD]]-TABL12[[#This Row],[BER_IN]]</calculatedColumnFormula>
      <totalsRowFormula>SUBTOTAL(109,TABL12[] TABL12[A/B_CON.] )</totalsRowFormula>
    </tableColumn>
    <tableColumn id="32" xr3:uid="{C187EA93-4FB1-495F-84A8-14D93A6A1E3E}" name="SER_IN" dataDxfId="181" totalsRowDxfId="180"/>
    <tableColumn id="33" xr3:uid="{4E73E2C8-F54D-4138-8186-189B1AB2FC67}" name="(RES. LEVEL) SER " dataDxfId="179" totalsRowDxfId="178"/>
    <tableColumn id="27" xr3:uid="{078E4705-C3C5-46D2-9B78-A05F1D915B91}" name=" (RESV. STORGE) SER" dataDxfId="177" totalsRowDxfId="176"/>
    <tableColumn id="42" xr3:uid="{67E01307-DE8B-4AEB-9752-499927A54124}" name="SER_STORG.* 10" dataDxfId="175" totalsRowDxfId="174">
      <calculatedColumnFormula>TABL12[[#This Row],[ (RESV. STORGE) SER]]/10</calculatedColumnFormula>
    </tableColumn>
    <tableColumn id="2" xr3:uid="{E2C3B7C8-2EF3-47A2-B8EC-2DE7243E9A49}" name="SER_Evap." dataDxfId="173" totalsRowDxfId="172"/>
    <tableColumn id="23" xr3:uid="{BC79413F-8931-48D4-A08F-5DEBEF496FAE}" name="A/S_CON." dataDxfId="171" totalsRowDxfId="17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169" headerRowBorderDxfId="168" tableBorderDxfId="167">
  <autoFilter ref="A1:AP366" xr:uid="{C2A051BE-B5E3-493B-964B-8205F3177506}"/>
  <tableColumns count="42">
    <tableColumn id="1" xr3:uid="{F2C94FEB-A00A-4D88-9DB9-A505F694326E}" name=" اليوم" dataDxfId="79" totalsRowDxfId="39" dataCellStyle="Normal 2"/>
    <tableColumn id="19" xr3:uid="{68DB4C1E-A17C-490E-9705-B462F20FB2F5}" name="آبار منتجة TAZ" dataDxfId="78" totalsRowDxfId="38" dataCellStyle="Normal 2"/>
    <tableColumn id="18" xr3:uid="{E796FBBC-59BD-4C13-A0B4-3F479BF911CC}" name="الانتاج 1000 (م3) TAZ" dataDxfId="77" totalsRowDxfId="37" dataCellStyle="Normal 2"/>
    <tableColumn id="17" xr3:uid="{C89E9AFB-A295-4B42-8D04-66D22406019A}" name="آبار عاملة TAZ" dataDxfId="76" totalsRowDxfId="36" dataCellStyle="Normal 2"/>
    <tableColumn id="16" xr3:uid="{CCAB6794-76BB-4656-8BFD-720321A160A1}" name="آبار احتياطية" dataDxfId="75" totalsRowDxfId="35" dataCellStyle="Normal 2"/>
    <tableColumn id="26" xr3:uid="{B93CAD1F-9F70-4073-BA5B-9A25C7E0773A}" name="آبار منتجة SAR" dataDxfId="74" totalsRowDxfId="34" dataCellStyle="Normal 2"/>
    <tableColumn id="25" xr3:uid="{843065C2-FA24-4EBC-946C-017549EDBE73}" name="إنتاج آبار  SAR" dataDxfId="73" totalsRowDxfId="33" dataCellStyle="Normal 2"/>
    <tableColumn id="24" xr3:uid="{72E79D2B-11DD-4F09-9A98-C3DC5E961080}" name="آبار احتياطية  SAR" dataDxfId="72" totalsRowDxfId="32" dataCellStyle="Normal 2">
      <calculatedColumnFormula>103-F2</calculatedColumnFormula>
    </tableColumn>
    <tableColumn id="8" xr3:uid="{32ADAB80-0731-4497-9C74-B767F325E7AA}" name=" (T/B) SAR" dataDxfId="71" totalsRowDxfId="31" dataCellStyle="Normal 2"/>
    <tableColumn id="22" xr3:uid="{D6CA7FCA-765E-4E81-A162-4CD8BB0D7043}" name=" (S/S) SAR" dataDxfId="70" totalsRowDxfId="30" dataCellStyle="Normal 2"/>
    <tableColumn id="38" xr3:uid="{33C2CB21-9229-4243-ADAE-776B8647DFD1}" name="(S/S+TB)SAR" dataDxfId="69" totalsRowDxfId="29" dataCellStyle="Normal 2">
      <calculatedColumnFormula>TABL123[[#This Row],[ (T/B) SAR]]+TABL123[[#This Row],[ (S/S) SAR]]</calculatedColumnFormula>
    </tableColumn>
    <tableColumn id="21" xr3:uid="{5084FB58-C82F-41E5-A2B2-15A7632A1BEA}" name="TAZ/SAR" dataDxfId="68" totalsRowDxfId="28" dataCellStyle="Normal 2"/>
    <tableColumn id="20" xr3:uid="{66436F12-F860-44EF-B3A6-FFD54DC8AFC8}" name=" % ECV SAR" dataDxfId="67" totalsRowDxfId="27" dataCellStyle="Normal 2"/>
    <tableColumn id="6" xr3:uid="{4438EA12-D59A-4F0A-AA36-C59397D029D5}" name="ECV (bar) SAR" dataDxfId="66" totalsRowDxfId="26" dataCellStyle="Normal 2"/>
    <tableColumn id="3" xr3:uid="{5C7CE9FC-7273-4F20-97D1-277D70176732}" name="(S/S) AJD" dataDxfId="65" totalsRowDxfId="25"/>
    <tableColumn id="36" xr3:uid="{6672827C-38A3-4694-A87C-BC06C39D02A5}" name="S/S_CON." dataDxfId="64" totalsRowDxfId="24">
      <calculatedColumnFormula>TABL123[[#This Row],[ (S/S) SAR]]-TABL123[[#This Row],[(S/S) AJD]]</calculatedColumnFormula>
    </tableColumn>
    <tableColumn id="5" xr3:uid="{DF02E977-976C-497A-90D6-F963B833E43A}" name="(T/B) AJD" dataDxfId="63" totalsRowDxfId="23"/>
    <tableColumn id="35" xr3:uid="{EA1BE12C-3660-4876-BFF2-4646FCDB4BA4}" name="T/B-CON." dataDxfId="62" totalsRowDxfId="22">
      <calculatedColumnFormula>TABL123[[#This Row],[ (T/B) SAR]]-TABL123[[#This Row],[(T/B) AJD]]</calculatedColumnFormula>
    </tableColumn>
    <tableColumn id="37" xr3:uid="{CD73554D-A9F7-4280-84E5-B46659328447}" name="(S/S-T/B)-CON." dataDxfId="61" totalsRowDxfId="21">
      <calculatedColumnFormula>TABL123[[#This Row],[T/B-CON.]]+TABL123[[#This Row],[S/S_CON.]]</calculatedColumnFormula>
    </tableColumn>
    <tableColumn id="13" xr3:uid="{01AE2A1C-21BD-46A6-A4AA-D88652C86F49}" name="( S/S+T/B) AJD" dataDxfId="60" totalsRowDxfId="20">
      <calculatedColumnFormula>TABL123[[#This Row],[(S/S) AJD]]+TABL123[[#This Row],[(T/B) AJD]]</calculatedColumnFormula>
    </tableColumn>
    <tableColumn id="7" xr3:uid="{21BC058B-8A61-431E-BCD6-7FDA77C9E7C5}" name="(A/B) AJD" dataDxfId="59" totalsRowDxfId="19"/>
    <tableColumn id="9" xr3:uid="{E4125AA8-4C18-482A-92C7-44662200A444}" name="(A/S) AJD" dataDxfId="58" totalsRowDxfId="18"/>
    <tableColumn id="14" xr3:uid="{A5BCC66E-3B62-4C06-92B8-78FF88D4151A}" name="(A/B + A/S) AJD" dataDxfId="57" totalsRowDxfId="17">
      <calculatedColumnFormula>TABL123[[#This Row],[(A/B) AJD]]+TABL123[[#This Row],[(A/S) AJD]]</calculatedColumnFormula>
    </tableColumn>
    <tableColumn id="15" xr3:uid="{3BBEAFA6-6146-471B-A18A-86F379088B70}" name="(IN-OUT) AJD" dataDxfId="56" totalsRowDxfId="16">
      <calculatedColumnFormula>TABL123[[#This Row],[( S/S+T/B) AJD]]-TABL123[[#This Row],[(A/B + A/S) AJD]]</calculatedColumnFormula>
    </tableColumn>
    <tableColumn id="10" xr3:uid="{876922B5-A4E9-45ED-86BF-10C757F7DE2A}" name="(RES. LEVEL) AJD" dataDxfId="55" totalsRowDxfId="15"/>
    <tableColumn id="11" xr3:uid="{2F9A8435-0058-45F7-AA38-B4B4E3E3322D}" name="(RESV. STORGE) AJD" dataDxfId="54" totalsRowDxfId="14"/>
    <tableColumn id="40" xr3:uid="{F87A19EF-5769-4625-AC0A-777F3AC43946}" name="AJD_STORG.* 10" dataDxfId="53" totalsRowDxfId="13" dataCellStyle="Normal 2">
      <calculatedColumnFormula>TABL123[[#This Row],[(RESV. STORGE) AJD]]/10</calculatedColumnFormula>
    </tableColumn>
    <tableColumn id="4" xr3:uid="{F15E20D7-B8EF-4163-9E31-6D3BF77A73A3}" name="(STORGE DIFF.) AJD" dataDxfId="52" totalsRowDxfId="12"/>
    <tableColumn id="12" xr3:uid="{BC2F8435-ACF2-46F4-8794-4AC9C2B6C9E9}" name="AJD_Evaporation" dataDxfId="51" totalsRowDxfId="11" dataCellStyle="Normal 2"/>
    <tableColumn id="39" xr3:uid="{FCD950FB-697C-49D6-8E16-0E7ECE2CAB54}" name="AJD_LOSES" dataDxfId="50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8CFBC8C8-233F-4A7C-8008-ADE64EB24554}" name="BER_IN" dataDxfId="49" totalsRowDxfId="9"/>
    <tableColumn id="31" xr3:uid="{5D2F464C-C9F4-4576-8552-66822FE5010C}" name="(RES. LEVEL) BER" dataDxfId="48" totalsRowDxfId="8"/>
    <tableColumn id="28" xr3:uid="{79AC9202-E111-492A-A1C7-C20EAB7DB475}" name=" (RESV. STORGE) BER" dataDxfId="47" totalsRowDxfId="7"/>
    <tableColumn id="29" xr3:uid="{0D3228DA-C740-4CD4-8142-FA2E5314F93F}" name="BER_STORG. * 10" dataDxfId="46" totalsRowDxfId="6"/>
    <tableColumn id="34" xr3:uid="{5733C1F9-D466-469C-ABB3-E7F7DB0EE0F1}" name="BER_Evap." dataDxfId="45" totalsRowDxfId="5"/>
    <tableColumn id="32" xr3:uid="{4CE1412A-4E2F-44FE-A87E-085A0A9129ED}" name="A/B_CON." dataDxfId="44" totalsRowDxfId="4">
      <calculatedColumnFormula>TABL123[[#This Row],[(A/B) AJD]]-TABL123[[#This Row],[BER_IN]]</calculatedColumnFormula>
    </tableColumn>
    <tableColumn id="33" xr3:uid="{2395CD46-6205-4986-BD68-620680EE6F2E}" name="SER_IN" dataDxfId="43" totalsRowDxfId="3"/>
    <tableColumn id="27" xr3:uid="{3AEA8C61-AA99-45B5-9461-2FF3EDCC8EA9}" name="(RES. LEVEL) SER " dataDxfId="42" totalsRowDxfId="2"/>
    <tableColumn id="2" xr3:uid="{7A48A26A-7876-4082-9402-59ED4782C9D4}" name=" (RESV. STORGE) SER" dataDxfId="41" totalsRowDxfId="1" dataCellStyle="Normal 2"/>
    <tableColumn id="23" xr3:uid="{CDFEC5F7-08FE-41DC-8D56-FDC100C5A4D5}" name="SER_STORG.* 10" dataDxfId="40" totalsRowDxfId="0" dataCellStyle="Normal 2">
      <calculatedColumnFormula>TABL123[[#This Row],[ (RESV. STORGE) SER]]/10</calculatedColumnFormula>
    </tableColumn>
    <tableColumn id="42" xr3:uid="{BEA2B6C9-A747-4952-BA2D-D4DE723F4074}" name="SER_Evap." dataDxfId="166"/>
    <tableColumn id="43" xr3:uid="{B393EE02-A71B-4CC5-BB4E-081FA4FD0162}" name="A/S_CON." dataDxfId="16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341" headerRowBorderDxfId="340" tableBorderDxfId="339">
  <autoFilter ref="A1:AP366" xr:uid="{5FCB9D25-BF41-4AB4-98FB-CE010629717D}"/>
  <tableColumns count="42">
    <tableColumn id="1" xr3:uid="{CF2CC824-BD23-4EED-93E0-3B9E45F278EC}" name=" اليوم" dataDxfId="338" totalsRowDxfId="337" dataCellStyle="Normal 2"/>
    <tableColumn id="19" xr3:uid="{11FDAE88-09F6-4E94-8617-B2BA9147CD51}" name="آبار منتجة TAZ" dataDxfId="336" totalsRowDxfId="335" dataCellStyle="Normal 2"/>
    <tableColumn id="18" xr3:uid="{076C74DF-4714-4AD5-8210-E3B3407FBA13}" name="الانتاج 1000 (م3) TAZ" dataDxfId="334" totalsRowDxfId="333" dataCellStyle="Normal 2"/>
    <tableColumn id="17" xr3:uid="{C7220FDF-726E-40FC-99CD-A67D880F1387}" name="آبار عاملة TAZ" dataDxfId="332" totalsRowDxfId="331" dataCellStyle="Normal 2"/>
    <tableColumn id="16" xr3:uid="{DC504DC8-6426-4941-99CB-73AC50EFF406}" name="آبار احتياطية" dataDxfId="330" totalsRowDxfId="329" dataCellStyle="Normal 2"/>
    <tableColumn id="26" xr3:uid="{FF8B3ED8-B830-4308-B6C8-CB915A8ED015}" name="آبار منتجة SAR" dataDxfId="328" totalsRowDxfId="327" dataCellStyle="Normal 2"/>
    <tableColumn id="25" xr3:uid="{FA3000E5-6566-416F-921D-1508B5FB714F}" name="إنتاج آبار  SAR" dataDxfId="326" totalsRowDxfId="325" dataCellStyle="Normal 2"/>
    <tableColumn id="24" xr3:uid="{0AD83C01-DEC0-4843-A2F7-84F74F81F9CC}" name="آبار احتياطية  SAR" dataDxfId="324" totalsRowDxfId="323" dataCellStyle="Normal 2">
      <calculatedColumnFormula>103-F2</calculatedColumnFormula>
    </tableColumn>
    <tableColumn id="8" xr3:uid="{7253E698-DAEB-48C5-A750-7FE54CB2AA8A}" name=" (T/B) SAR" dataDxfId="322" totalsRowDxfId="321" dataCellStyle="Normal 2"/>
    <tableColumn id="22" xr3:uid="{876E68A1-B3C2-447A-AB99-8D4E310E232B}" name=" (S/S) SAR" dataDxfId="320" totalsRowDxfId="319" dataCellStyle="Normal 2"/>
    <tableColumn id="38" xr3:uid="{453CB68D-B69C-4F00-BDB3-40499D0BFC97}" name="(S/S+TB)SAR" dataDxfId="318" totalsRowDxfId="317" dataCellStyle="Normal 2">
      <calculatedColumnFormula>TABL1234[[#This Row],[ (T/B) SAR]]+TABL1234[[#This Row],[ (S/S) SAR]]</calculatedColumnFormula>
    </tableColumn>
    <tableColumn id="21" xr3:uid="{272404DA-C793-4A72-B0CB-0EB75185F322}" name="TAZ/SAR" dataDxfId="316" totalsRowDxfId="315" dataCellStyle="Normal 2"/>
    <tableColumn id="20" xr3:uid="{E1B79B18-AF6A-4A21-A847-69543D5853D3}" name=" % ECV SAR" dataDxfId="314" totalsRowDxfId="313" dataCellStyle="Normal 2"/>
    <tableColumn id="6" xr3:uid="{563D8C0C-0449-4C27-8802-1597757EAD90}" name="ECV (bar) SAR" dataDxfId="312" totalsRowDxfId="311" dataCellStyle="Normal 2"/>
    <tableColumn id="3" xr3:uid="{F8817DDA-13BF-41EE-A4AB-3E28920DA12E}" name="(S/S) AJD" dataDxfId="310" totalsRowDxfId="309"/>
    <tableColumn id="36" xr3:uid="{1AEC5609-B8DD-415A-B860-5CA0A2B19CE9}" name="S/S_CON." dataDxfId="308" totalsRowDxfId="307">
      <calculatedColumnFormula>TABL1234[[#This Row],[ (S/S) SAR]]-TABL1234[[#This Row],[(S/S) AJD]]</calculatedColumnFormula>
    </tableColumn>
    <tableColumn id="5" xr3:uid="{479D7584-5FE3-471E-B7AD-E43FC1963CC2}" name="(T/B) AJD" dataDxfId="306" totalsRowDxfId="305"/>
    <tableColumn id="35" xr3:uid="{A8D868F1-5EFC-4A0C-9EDC-13DB03872867}" name="T/B-CON." dataDxfId="304" totalsRowDxfId="303">
      <calculatedColumnFormula>TABL1234[[#This Row],[ (T/B) SAR]]-TABL1234[[#This Row],[(T/B) AJD]]</calculatedColumnFormula>
    </tableColumn>
    <tableColumn id="37" xr3:uid="{AA566E6C-9D8D-4B70-B216-3F23038B5006}" name="(S/S-T/B)-CON." dataDxfId="302" totalsRowDxfId="301">
      <calculatedColumnFormula>TABL1234[[#This Row],[T/B-CON.]]+TABL1234[[#This Row],[S/S_CON.]]</calculatedColumnFormula>
    </tableColumn>
    <tableColumn id="13" xr3:uid="{5DED3E6B-48E1-4C56-9CED-69CF638DBC14}" name="( S/S+T/B) AJD" dataDxfId="300" totalsRowDxfId="299">
      <calculatedColumnFormula>TABL1234[[#This Row],[(S/S) AJD]]+TABL1234[[#This Row],[(T/B) AJD]]</calculatedColumnFormula>
    </tableColumn>
    <tableColumn id="7" xr3:uid="{2F33E916-32B0-4678-8AF4-810EB069F853}" name="(A/B) AJD" dataDxfId="298" totalsRowDxfId="297"/>
    <tableColumn id="9" xr3:uid="{FE3BEA3B-570A-4810-85AD-CA10BE4443F4}" name="(A/S) AJD" dataDxfId="296" totalsRowDxfId="295"/>
    <tableColumn id="14" xr3:uid="{C6961044-444C-4633-81B0-E220652A0956}" name="(A/B + A/S) AJD" dataDxfId="294" totalsRowDxfId="293">
      <calculatedColumnFormula>TABL1234[[#This Row],[(A/B) AJD]]+TABL1234[[#This Row],[(A/S) AJD]]</calculatedColumnFormula>
    </tableColumn>
    <tableColumn id="15" xr3:uid="{084A6C51-A878-48CC-8273-CFCD05C0A26F}" name="(IN-OUT) AJD" dataDxfId="292" totalsRowDxfId="291">
      <calculatedColumnFormula>TABL1234[[#This Row],[( S/S+T/B) AJD]]-TABL1234[[#This Row],[(A/B + A/S) AJD]]</calculatedColumnFormula>
    </tableColumn>
    <tableColumn id="10" xr3:uid="{00FDC030-FCB6-400F-BDC0-59478D75D7A6}" name="(RES. LEVEL) AJD" dataDxfId="290" totalsRowDxfId="289"/>
    <tableColumn id="11" xr3:uid="{75090017-34DE-44D2-BD87-EF83DB956968}" name="(RESV. STORGE) AJD" dataDxfId="288" totalsRowDxfId="287"/>
    <tableColumn id="40" xr3:uid="{DF1E881D-1F9A-435B-BA4E-D02A45A7E3F5}" name="AJD_STORG.* 10" dataDxfId="286" totalsRowDxfId="285" dataCellStyle="Normal 2">
      <calculatedColumnFormula>TABL1234[[#This Row],[(RESV. STORGE) AJD]]/10</calculatedColumnFormula>
    </tableColumn>
    <tableColumn id="4" xr3:uid="{2B5AF874-2B4A-4BF8-9FF3-43DDA618D54F}" name="(STORGE DIFF.) AJD" dataDxfId="284" totalsRowDxfId="283">
      <calculatedColumnFormula>(TABL123[[#This Row],[(RESV. STORGE) AJD]]-500797)/1000</calculatedColumnFormula>
    </tableColumn>
    <tableColumn id="12" xr3:uid="{F362C966-6D40-4FD8-BEB9-91AD30F56531}" name="AJD_Evaporation" dataDxfId="282" totalsRowDxfId="281" dataCellStyle="Normal 2"/>
    <tableColumn id="39" xr3:uid="{F6CC0FCA-E331-472D-B69B-B56A51958C65}" name="AJD_LOSES" dataDxfId="280" totalsRowDxfId="279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CBA7638F-53DA-4308-98C2-D8502C62FE53}" name="BER_IN" dataDxfId="278" totalsRowDxfId="277"/>
    <tableColumn id="31" xr3:uid="{6A01F181-E82D-4F2D-86AB-EDF51D7FA079}" name="(RES. LEVEL) BER" dataDxfId="276" totalsRowDxfId="275"/>
    <tableColumn id="28" xr3:uid="{FE95C7D8-F5FD-4278-BB5F-1F990B036A22}" name=" (RESV. STORGE) BER" dataDxfId="274" totalsRowDxfId="273"/>
    <tableColumn id="29" xr3:uid="{1BBABB8C-A2C2-442C-B886-2D89A404BDEB}" name="BER_STORG. * 10" dataDxfId="272" totalsRowDxfId="271"/>
    <tableColumn id="34" xr3:uid="{332C7D2C-C6A3-4A26-8AC2-FCD8106086E6}" name="BER_Evap." dataDxfId="270" totalsRowDxfId="269"/>
    <tableColumn id="32" xr3:uid="{C96F884E-1EEB-4DF2-9AA4-149162914A89}" name="A/B_CON." dataDxfId="268" totalsRowDxfId="267">
      <calculatedColumnFormula>TABL1234[[#This Row],[(A/B) AJD]]-TABL1234[[#This Row],[BER_IN]]</calculatedColumnFormula>
    </tableColumn>
    <tableColumn id="33" xr3:uid="{617EB27D-221C-4A84-8637-DB1B7E5C8E4C}" name="SER_IN" dataDxfId="266" totalsRowDxfId="265"/>
    <tableColumn id="27" xr3:uid="{F00A2A8B-D14F-4358-8227-4F0CF59784C3}" name="(RES. LEVEL) SER " dataDxfId="264" totalsRowDxfId="263"/>
    <tableColumn id="2" xr3:uid="{838E1437-DDEE-489A-9F90-354DE69A5FBD}" name=" (RESV. STORGE) SER" dataDxfId="262" totalsRowDxfId="261" dataCellStyle="Normal 2"/>
    <tableColumn id="23" xr3:uid="{09A5AB44-BC9D-4BE3-B380-C113AD5BED90}" name="SER_STORG.* 10" dataDxfId="260" totalsRowDxfId="259" dataCellStyle="Normal 2">
      <calculatedColumnFormula>TABL1234[[#This Row],[ (RESV. STORGE) SER]]/10</calculatedColumnFormula>
    </tableColumn>
    <tableColumn id="41" xr3:uid="{E4770EDE-8ED4-4463-B885-7849D12BD6A0}" name="SER_Evap." dataDxfId="258"/>
    <tableColumn id="42" xr3:uid="{EFDA9A53-0CFE-4CCE-95F2-20AE62E22C56}" name="A/S_CON." dataDxfId="257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164" headerRowBorderDxfId="163" tableBorderDxfId="162">
  <autoFilter ref="A1:AP366" xr:uid="{E27AB35F-C506-4638-82E0-C9375E719914}"/>
  <tableColumns count="42">
    <tableColumn id="1" xr3:uid="{02DACF0D-7EB8-407A-B9F7-7C2292288349}" name=" اليوم" dataDxfId="161" totalsRowDxfId="160" dataCellStyle="Normal 2"/>
    <tableColumn id="19" xr3:uid="{43E17B12-9F51-4E38-809C-0DC2FB9D2198}" name="آبار منتجة TAZ" dataDxfId="159" totalsRowDxfId="158" dataCellStyle="Normal 2"/>
    <tableColumn id="18" xr3:uid="{AE342FC5-E6EF-41F4-A320-A8389AD104C8}" name="الانتاج 1000 (م3) TAZ" dataDxfId="157" totalsRowDxfId="156" dataCellStyle="Normal 2"/>
    <tableColumn id="17" xr3:uid="{B3C5CB3A-D0F1-49AC-B037-6C320FADF260}" name="آبار عاملة TAZ" dataDxfId="155" totalsRowDxfId="154" dataCellStyle="Normal 2"/>
    <tableColumn id="16" xr3:uid="{B716E35D-9012-40EA-AC38-60E9F6339C0D}" name="آبار احتياطية" dataDxfId="153" totalsRowDxfId="152" dataCellStyle="Normal 2"/>
    <tableColumn id="26" xr3:uid="{BEC03712-E2DC-4DF5-9B30-7E545FD4FB18}" name="آبار منتجة SAR" dataDxfId="151" totalsRowDxfId="150" dataCellStyle="Normal 2"/>
    <tableColumn id="25" xr3:uid="{5D056D5F-DD4D-4B13-9030-D38421746905}" name="إنتاج آبار  SAR" dataDxfId="149" totalsRowDxfId="148" dataCellStyle="Normal 2"/>
    <tableColumn id="24" xr3:uid="{E0F5724B-8BCB-47AC-BCF7-0DBD0CF9C33E}" name="آبار احتياطية  SAR" dataDxfId="147" totalsRowDxfId="146" dataCellStyle="Normal 2"/>
    <tableColumn id="8" xr3:uid="{61D18039-EDAC-4612-86A4-AFF23A4064AC}" name=" (T/B) SAR" dataDxfId="145" totalsRowDxfId="144" dataCellStyle="Normal 2"/>
    <tableColumn id="22" xr3:uid="{2C3F81BA-C095-49B2-BF14-75F548667ECB}" name=" (S/S) SAR" dataDxfId="143" totalsRowDxfId="142" dataCellStyle="Normal 2"/>
    <tableColumn id="38" xr3:uid="{1679208C-75B3-4E3C-A4D6-0EECE2F8E911}" name="(S/S+TB)SAR" dataDxfId="141" totalsRowDxfId="140" dataCellStyle="Normal 2">
      <calculatedColumnFormula>TABL12345[[#This Row],[ (T/B) SAR]]+TABL12345[[#This Row],[ (S/S) SAR]]</calculatedColumnFormula>
    </tableColumn>
    <tableColumn id="21" xr3:uid="{D2194429-B14F-4E7B-97D2-E7110F4C07FC}" name="TAZ/SAR" dataDxfId="139" totalsRowDxfId="138" dataCellStyle="Normal 2"/>
    <tableColumn id="20" xr3:uid="{35B39C80-C517-4DB5-B3E6-2C24ACD3BA7C}" name=" % ECV SAR" dataDxfId="137" totalsRowDxfId="136" dataCellStyle="Normal 2"/>
    <tableColumn id="6" xr3:uid="{22D7E0F8-B392-42D3-806C-5E133C18B9F0}" name="ECV (bar) SAR" dataDxfId="135" totalsRowDxfId="134" dataCellStyle="Normal 2"/>
    <tableColumn id="3" xr3:uid="{3907C5E1-E143-4AF6-8647-6264088EB00F}" name="(S/S) AJD" dataDxfId="133" totalsRowDxfId="132"/>
    <tableColumn id="36" xr3:uid="{1631F47D-658D-4528-AA1F-B9937050D436}" name="S/S_CON." dataDxfId="131" totalsRowDxfId="130">
      <calculatedColumnFormula>TABL12345[[#This Row],[ (S/S) SAR]]-TABL12345[[#This Row],[(S/S) AJD]]</calculatedColumnFormula>
    </tableColumn>
    <tableColumn id="5" xr3:uid="{D53678E2-A269-4C4F-8B0A-9BAE8FA907ED}" name="(T/B) AJD" dataDxfId="129" totalsRowDxfId="128"/>
    <tableColumn id="35" xr3:uid="{5D374896-D11B-4B17-A855-150CE88C0760}" name="T/B-CON." dataDxfId="127" totalsRowDxfId="126">
      <calculatedColumnFormula>TABL12345[[#This Row],[ (T/B) SAR]]-TABL12345[[#This Row],[(T/B) AJD]]</calculatedColumnFormula>
    </tableColumn>
    <tableColumn id="37" xr3:uid="{09D6D753-1A3C-4535-BA78-4BF8327D882B}" name="(S/S-T/B)-CON." dataDxfId="125" totalsRowDxfId="124">
      <calculatedColumnFormula>TABL12345[[#This Row],[S/S_CON.]]+TABL12345[[#This Row],[T/B-CON.]]</calculatedColumnFormula>
    </tableColumn>
    <tableColumn id="13" xr3:uid="{C58643E7-024E-443D-83D0-9EB1C639B54D}" name="( S/S+T/B) AJD" dataDxfId="123" totalsRowDxfId="122">
      <calculatedColumnFormula>O2+Q2</calculatedColumnFormula>
    </tableColumn>
    <tableColumn id="7" xr3:uid="{78547799-DE98-4575-BA47-DD3795A95957}" name="(A/B) AJD" dataDxfId="121" totalsRowDxfId="120"/>
    <tableColumn id="9" xr3:uid="{07CD512D-7DBD-4DD8-A984-F7676F67A268}" name="(A/S) AJD" dataDxfId="119" totalsRowDxfId="118"/>
    <tableColumn id="14" xr3:uid="{0213E337-B3B2-47BB-B8E3-6770CDF25454}" name="(A/B + A/S) AJD" dataDxfId="117" totalsRowDxfId="116">
      <calculatedColumnFormula>U2+V2</calculatedColumnFormula>
    </tableColumn>
    <tableColumn id="15" xr3:uid="{84EC5F01-D93C-4CD0-894A-EF313BB95D21}" name="(IN-OUT) AJD" dataDxfId="115" totalsRowDxfId="114">
      <calculatedColumnFormula>T2-W2</calculatedColumnFormula>
    </tableColumn>
    <tableColumn id="10" xr3:uid="{0BD7EC09-04AD-4217-9B85-C8B6B7E453F7}" name="(RES. LEVEL) AJD" dataDxfId="113" totalsRowDxfId="112"/>
    <tableColumn id="11" xr3:uid="{E3E279F5-1486-4471-939B-55F7B0DA545B}" name="(RESV. STORGE) AJD" dataDxfId="111" totalsRowDxfId="110"/>
    <tableColumn id="40" xr3:uid="{AF2423A7-B305-48AC-A45C-F40DDE6E1EDC}" name="AJD_STORG.* 10" dataDxfId="109" totalsRowDxfId="108" dataCellStyle="Normal 2">
      <calculatedColumnFormula>TABL12345[[#This Row],[(RESV. STORGE) AJD]]/10</calculatedColumnFormula>
    </tableColumn>
    <tableColumn id="4" xr3:uid="{349662B3-3FED-4026-98BD-67FC3B66D23C}" name="(STORGE DIFF.) AJD" dataDxfId="107" totalsRowDxfId="106"/>
    <tableColumn id="12" xr3:uid="{852CAD1E-93C7-4B16-AA21-29103890C024}" name="AJD_Evaporation" dataDxfId="105" totalsRowDxfId="104" dataCellStyle="Normal 2"/>
    <tableColumn id="39" xr3:uid="{E8544CA2-A272-4E28-9BF8-A6613CA962F9}" name="AJD_LOSES" dataDxfId="103" totalsRowDxfId="10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D5ED7AC2-6D51-4E79-8A60-BA6A9C05CE5E}" name="BER_IN" dataDxfId="101" totalsRowDxfId="100"/>
    <tableColumn id="31" xr3:uid="{6AB09860-41B2-43B9-9D14-E120039D4952}" name="(RES. LEVEL) BER" dataDxfId="99" totalsRowDxfId="98"/>
    <tableColumn id="28" xr3:uid="{49154F88-FC89-408C-8485-83AC6DB6FE9D}" name=" (RESV. STORGE) BER" dataDxfId="97" totalsRowDxfId="96"/>
    <tableColumn id="29" xr3:uid="{57AD5D30-9B52-48CE-81E9-4506CB0FF416}" name="BER_STORG. * 10" dataDxfId="95" totalsRowDxfId="94">
      <calculatedColumnFormula>TABL12345[[#This Row],[ (RESV. STORGE) BER]]/10</calculatedColumnFormula>
    </tableColumn>
    <tableColumn id="34" xr3:uid="{03FFF891-77B0-43E4-9D01-7AA2BB5AEA1B}" name="BER_Evap." dataDxfId="93" totalsRowDxfId="92"/>
    <tableColumn id="32" xr3:uid="{03EB162E-C5F0-4278-B7BA-4E7D6BDCA6AC}" name="A/B_CON." dataDxfId="91" totalsRowDxfId="90">
      <calculatedColumnFormula>TABL12345[[#This Row],[(A/B) AJD]]-TABL12345[[#This Row],[BER_IN]]</calculatedColumnFormula>
    </tableColumn>
    <tableColumn id="33" xr3:uid="{A605DDD5-2F17-45B7-899A-FD1B18D252A5}" name="SER_IN" dataDxfId="89" totalsRowDxfId="88"/>
    <tableColumn id="27" xr3:uid="{8EAA7A02-F906-476E-939D-D3BC9104B7ED}" name="(RES. LEVEL) SER " dataDxfId="87" totalsRowDxfId="86"/>
    <tableColumn id="2" xr3:uid="{8AA4184C-E831-4C5F-85E8-3E83C570A450}" name=" (RESV. STORGE) SER" dataDxfId="85" totalsRowDxfId="84" dataCellStyle="Normal 2"/>
    <tableColumn id="23" xr3:uid="{A3F2F42E-A42B-4160-AB32-0553ADC6D120}" name="SER_STORG.* 10" dataDxfId="83" totalsRowDxfId="82" dataCellStyle="Normal 2">
      <calculatedColumnFormula>TABL12345[[#This Row],[ (RESV. STORGE) SER]]/10</calculatedColumnFormula>
    </tableColumn>
    <tableColumn id="41" xr3:uid="{9BF764BC-F0F0-4E32-9F3F-BA2F58E16484}" name="SER_Evap." dataDxfId="81"/>
    <tableColumn id="42" xr3:uid="{569575F4-872C-43F8-A630-9E5D78196769}" name="A/S_CON." dataDxfId="8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R1" zoomScale="115" zoomScaleNormal="115" workbookViewId="0">
      <selection activeCell="AD2" sqref="AD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 (T/B) SAR]]+TABL12[[#This Row],[ (S/S) SAR]]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56.979999999999961</v>
      </c>
      <c r="Q16" s="3">
        <v>428</v>
      </c>
      <c r="R16" s="3">
        <f>TABL12[[#This Row],[ (T/B) SAR]]-TABL12[[#This Row],[(T/B) AJD]]</f>
        <v>19.979999999999961</v>
      </c>
      <c r="S16" s="3">
        <f>TABL12[[#This Row],[S/S_CON.]]+TABL12[[#This Row],[T/B-CON.]]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 (T/B) SAR]]+TABL12[[#This Row],[ (S/S) SAR]]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43.979999999999961</v>
      </c>
      <c r="Q19" s="3">
        <v>437</v>
      </c>
      <c r="R19" s="3">
        <f>TABL12[[#This Row],[ (T/B) SAR]]-TABL12[[#This Row],[(T/B) AJD]]</f>
        <v>5.9799999999999613</v>
      </c>
      <c r="S19" s="3">
        <f>TABL12[[#This Row],[S/S_CON.]]+TABL12[[#This Row],[T/B-CON.]]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 (T/B) SAR]]+TABL12[[#This Row],[ (S/S) SAR]]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41.979999999999961</v>
      </c>
      <c r="Q22" s="3">
        <v>436</v>
      </c>
      <c r="R22" s="3">
        <f>TABL12[[#This Row],[ (T/B) SAR]]-TABL12[[#This Row],[(T/B) AJD]]</f>
        <v>3.9799999999999613</v>
      </c>
      <c r="S22" s="3">
        <f>TABL12[[#This Row],[S/S_CON.]]+TABL12[[#This Row],[T/B-CON.]]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 (T/B) SAR]]+TABL12[[#This Row],[ (S/S) SAR]]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38.979999999999961</v>
      </c>
      <c r="Q25" s="3">
        <v>434</v>
      </c>
      <c r="R25" s="3">
        <f>TABL12[[#This Row],[ (T/B) SAR]]-TABL12[[#This Row],[(T/B) AJD]]</f>
        <v>2.9799999999999613</v>
      </c>
      <c r="S25" s="3">
        <f>TABL12[[#This Row],[S/S_CON.]]+TABL12[[#This Row],[T/B-CON.]]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 (T/B) SAR]]+TABL12[[#This Row],[ (S/S) SAR]]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50.479999999999961</v>
      </c>
      <c r="Q28" s="3">
        <v>431</v>
      </c>
      <c r="R28" s="3">
        <f>TABL12[[#This Row],[ (T/B) SAR]]-TABL12[[#This Row],[(T/B) AJD]]</f>
        <v>12.479999999999961</v>
      </c>
      <c r="S28" s="3">
        <f>TABL12[[#This Row],[S/S_CON.]]+TABL12[[#This Row],[T/B-CON.]]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 (T/B) SAR]]+TABL12[[#This Row],[ (S/S) SAR]]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43.534999999999968</v>
      </c>
      <c r="Q42" s="3">
        <v>414</v>
      </c>
      <c r="R42" s="3">
        <f>TABL12[[#This Row],[ (T/B) SAR]]-TABL12[[#This Row],[(T/B) AJD]]</f>
        <v>6.5349999999999682</v>
      </c>
      <c r="S42" s="3">
        <f>TABL12[[#This Row],[S/S_CON.]]+TABL12[[#This Row],[T/B-CON.]]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 (T/B) SAR]]+TABL12[[#This Row],[ (S/S) SAR]]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39.534999999999968</v>
      </c>
      <c r="Q43" s="3">
        <v>415</v>
      </c>
      <c r="R43" s="3">
        <f>TABL12[[#This Row],[ (T/B) SAR]]-TABL12[[#This Row],[(T/B) AJD]]</f>
        <v>1.5349999999999682</v>
      </c>
      <c r="S43" s="3">
        <f>TABL12[[#This Row],[S/S_CON.]]+TABL12[[#This Row],[T/B-CON.]]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 (T/B) SAR]]+TABL12[[#This Row],[ (S/S) SAR]]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38.590000000000032</v>
      </c>
      <c r="Q44" s="3">
        <v>413</v>
      </c>
      <c r="R44" s="3">
        <f>TABL12[[#This Row],[ (T/B) SAR]]-TABL12[[#This Row],[(T/B) AJD]]</f>
        <v>1.5900000000000318</v>
      </c>
      <c r="S44" s="3">
        <f>TABL12[[#This Row],[S/S_CON.]]+TABL12[[#This Row],[T/B-CON.]]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 (T/B) SAR]]+TABL12[[#This Row],[ (S/S) SAR]]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44.590000000000032</v>
      </c>
      <c r="Q48" s="3">
        <v>413</v>
      </c>
      <c r="R48" s="3">
        <f>TABL12[[#This Row],[ (T/B) SAR]]-TABL12[[#This Row],[(T/B) AJD]]</f>
        <v>6.5900000000000318</v>
      </c>
      <c r="S48" s="3">
        <f>TABL12[[#This Row],[S/S_CON.]]+TABL12[[#This Row],[T/B-CON.]]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 (T/B) SAR]]+TABL12[[#This Row],[ (S/S) SAR]]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38.590000000000032</v>
      </c>
      <c r="Q51" s="3">
        <v>412</v>
      </c>
      <c r="R51" s="3">
        <f>TABL12[[#This Row],[ (T/B) SAR]]-TABL12[[#This Row],[(T/B) AJD]]</f>
        <v>0.59000000000003183</v>
      </c>
      <c r="S51" s="3">
        <f>TABL12[[#This Row],[S/S_CON.]]+TABL12[[#This Row],[T/B-CON.]]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 (T/B) SAR]]+TABL12[[#This Row],[ (S/S) SAR]]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43.090000000000032</v>
      </c>
      <c r="Q54" s="3">
        <v>412</v>
      </c>
      <c r="R54" s="3">
        <f>TABL12[[#This Row],[ (T/B) SAR]]-TABL12[[#This Row],[(T/B) AJD]]</f>
        <v>6.0900000000000318</v>
      </c>
      <c r="S54" s="3">
        <f>TABL12[[#This Row],[S/S_CON.]]+TABL12[[#This Row],[T/B-CON.]]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 (T/B) SAR]]+TABL12[[#This Row],[ (S/S) SAR]]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39.090000000000032</v>
      </c>
      <c r="Q57" s="3">
        <v>412</v>
      </c>
      <c r="R57" s="3">
        <f>TABL12[[#This Row],[ (T/B) SAR]]-TABL12[[#This Row],[(T/B) AJD]]</f>
        <v>2.0900000000000318</v>
      </c>
      <c r="S57" s="3">
        <f>TABL12[[#This Row],[S/S_CON.]]+TABL12[[#This Row],[T/B-CON.]]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abSelected="1" topLeftCell="R281" zoomScaleNormal="100" workbookViewId="0">
      <selection activeCell="AB300" sqref="AB300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thickBot="1" x14ac:dyDescent="0.25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hidden="1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85">
        <f>TABL123[[#This Row],[( S/S+T/B) AJD]]-(TABL123[[#This Row],[(A/B + A/S) AJD]]+TABL123[[#This Row],[(STORGE DIFF.) AJD]]+(TABL123[[#This Row],[AJD_Evaporation]])/1000)</f>
        <v>44.173000000000002</v>
      </c>
      <c r="AE2" s="82">
        <v>143</v>
      </c>
      <c r="AF2" s="82">
        <v>57.936999999999998</v>
      </c>
      <c r="AG2" s="82">
        <v>926425</v>
      </c>
      <c r="AH2" s="43">
        <v>755</v>
      </c>
      <c r="AI2" s="43">
        <v>755</v>
      </c>
      <c r="AJ2" s="80">
        <f>TABL123[[#This Row],[(A/B) AJD]]-TABL123[[#This Row],[BER_IN]]</f>
        <v>443</v>
      </c>
      <c r="AK2" s="82">
        <v>22</v>
      </c>
      <c r="AL2" s="89">
        <v>42.743899999999996</v>
      </c>
      <c r="AM2" s="89">
        <v>2969930</v>
      </c>
      <c r="AN2" s="89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hidden="1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84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9">
        <f>TABL123[[#This Row],[(A/B) AJD]]-TABL123[[#This Row],[BER_IN]]</f>
        <v>437</v>
      </c>
      <c r="AK3" s="68">
        <v>23</v>
      </c>
      <c r="AL3" s="88">
        <v>42.754899999999999</v>
      </c>
      <c r="AM3" s="88">
        <v>2975860</v>
      </c>
      <c r="AN3" s="88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hidden="1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84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9">
        <f>TABL123[[#This Row],[(A/B) AJD]]-TABL123[[#This Row],[BER_IN]]</f>
        <v>423</v>
      </c>
      <c r="AK4" s="68">
        <v>22</v>
      </c>
      <c r="AL4" s="88">
        <v>42.766500000000001</v>
      </c>
      <c r="AM4" s="88">
        <v>2982330</v>
      </c>
      <c r="AN4" s="88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hidden="1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4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9">
        <f>TABL123[[#This Row],[(A/B) AJD]]-TABL123[[#This Row],[BER_IN]]</f>
        <v>425</v>
      </c>
      <c r="AK5" s="68">
        <v>23</v>
      </c>
      <c r="AL5" s="88">
        <v>42.758200000000002</v>
      </c>
      <c r="AM5" s="88">
        <v>2977470</v>
      </c>
      <c r="AN5" s="88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hidden="1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4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9">
        <f>TABL123[[#This Row],[(A/B) AJD]]-TABL123[[#This Row],[BER_IN]]</f>
        <v>426</v>
      </c>
      <c r="AK6" s="68">
        <v>23</v>
      </c>
      <c r="AL6" s="88">
        <v>42.7746</v>
      </c>
      <c r="AM6" s="88">
        <v>2989940</v>
      </c>
      <c r="AN6" s="88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hidden="1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4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9">
        <f>TABL123[[#This Row],[(A/B) AJD]]-TABL123[[#This Row],[BER_IN]]</f>
        <v>205</v>
      </c>
      <c r="AK7" s="68">
        <v>78</v>
      </c>
      <c r="AL7" s="88">
        <v>42.881599999999999</v>
      </c>
      <c r="AM7" s="88">
        <v>3044400</v>
      </c>
      <c r="AN7" s="88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hidden="1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4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9">
        <f>TABL123[[#This Row],[(A/B) AJD]]-TABL123[[#This Row],[BER_IN]]</f>
        <v>150</v>
      </c>
      <c r="AK8" s="68">
        <v>111</v>
      </c>
      <c r="AL8" s="88">
        <v>43.009500000000003</v>
      </c>
      <c r="AM8" s="88">
        <v>3113090</v>
      </c>
      <c r="AN8" s="88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hidden="1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4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9">
        <f>TABL123[[#This Row],[(A/B) AJD]]-TABL123[[#This Row],[BER_IN]]</f>
        <v>149</v>
      </c>
      <c r="AK9" s="68">
        <v>111</v>
      </c>
      <c r="AL9" s="88">
        <v>43.088099999999997</v>
      </c>
      <c r="AM9" s="88">
        <v>3155860</v>
      </c>
      <c r="AN9" s="88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hidden="1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4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9">
        <f>TABL123[[#This Row],[(A/B) AJD]]-TABL123[[#This Row],[BER_IN]]</f>
        <v>149</v>
      </c>
      <c r="AK10" s="68">
        <v>109</v>
      </c>
      <c r="AL10" s="88">
        <v>43.087800000000001</v>
      </c>
      <c r="AM10" s="88">
        <v>3156470</v>
      </c>
      <c r="AN10" s="88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hidden="1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4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9">
        <f>TABL123[[#This Row],[(A/B) AJD]]-TABL123[[#This Row],[BER_IN]]</f>
        <v>148</v>
      </c>
      <c r="AK11" s="68">
        <v>110</v>
      </c>
      <c r="AL11" s="88">
        <v>43.119100000000003</v>
      </c>
      <c r="AM11" s="88">
        <v>3172270</v>
      </c>
      <c r="AN11" s="88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hidden="1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4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9">
        <f>TABL123[[#This Row],[(A/B) AJD]]-TABL123[[#This Row],[BER_IN]]</f>
        <v>148</v>
      </c>
      <c r="AK12" s="68">
        <v>112</v>
      </c>
      <c r="AL12" s="88">
        <v>43.129600000000003</v>
      </c>
      <c r="AM12" s="88">
        <v>3178100</v>
      </c>
      <c r="AN12" s="88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hidden="1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4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9">
        <f>TABL123[[#This Row],[(A/B) AJD]]-TABL123[[#This Row],[BER_IN]]</f>
        <v>147</v>
      </c>
      <c r="AK13" s="68">
        <v>119</v>
      </c>
      <c r="AL13" s="88">
        <v>43.183799999999998</v>
      </c>
      <c r="AM13" s="88">
        <v>3207490</v>
      </c>
      <c r="AN13" s="88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hidden="1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4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9">
        <f>TABL123[[#This Row],[(A/B) AJD]]-TABL123[[#This Row],[BER_IN]]</f>
        <v>147</v>
      </c>
      <c r="AK14" s="68">
        <v>121</v>
      </c>
      <c r="AL14" s="88">
        <v>43.333199999999998</v>
      </c>
      <c r="AM14" s="88">
        <v>3288850</v>
      </c>
      <c r="AN14" s="88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hidden="1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4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9">
        <f>TABL123[[#This Row],[(A/B) AJD]]-TABL123[[#This Row],[BER_IN]]</f>
        <v>148</v>
      </c>
      <c r="AK15" s="68">
        <v>119</v>
      </c>
      <c r="AL15" s="88">
        <v>43.494</v>
      </c>
      <c r="AM15" s="88">
        <v>3376500</v>
      </c>
      <c r="AN15" s="88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hidden="1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4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9">
        <f>TABL123[[#This Row],[(A/B) AJD]]-TABL123[[#This Row],[BER_IN]]</f>
        <v>149</v>
      </c>
      <c r="AK16" s="68">
        <v>119</v>
      </c>
      <c r="AL16" s="88">
        <v>43.677399999999999</v>
      </c>
      <c r="AM16" s="88">
        <v>3476370</v>
      </c>
      <c r="AN16" s="88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hidden="1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4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9">
        <f>TABL123[[#This Row],[(A/B) AJD]]-TABL123[[#This Row],[BER_IN]]</f>
        <v>151</v>
      </c>
      <c r="AK17" s="68">
        <v>118</v>
      </c>
      <c r="AL17" s="88">
        <v>43.8536</v>
      </c>
      <c r="AM17" s="88">
        <v>3573210</v>
      </c>
      <c r="AN17" s="88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hidden="1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4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9">
        <f>TABL123[[#This Row],[(A/B) AJD]]-TABL123[[#This Row],[BER_IN]]</f>
        <v>248</v>
      </c>
      <c r="AK18" s="68">
        <v>117</v>
      </c>
      <c r="AL18" s="88">
        <v>44.005499999999998</v>
      </c>
      <c r="AM18" s="88">
        <v>3656590</v>
      </c>
      <c r="AN18" s="88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hidden="1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4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9">
        <f>TABL123[[#This Row],[(A/B) AJD]]-TABL123[[#This Row],[BER_IN]]</f>
        <v>231</v>
      </c>
      <c r="AK19" s="68">
        <v>119</v>
      </c>
      <c r="AL19" s="88">
        <v>44.167200000000001</v>
      </c>
      <c r="AM19" s="88">
        <v>3745080</v>
      </c>
      <c r="AN19" s="88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hidden="1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4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9">
        <f>TABL123[[#This Row],[(A/B) AJD]]-TABL123[[#This Row],[BER_IN]]</f>
        <v>361</v>
      </c>
      <c r="AK20" s="68">
        <v>119</v>
      </c>
      <c r="AL20" s="88">
        <v>44.317599999999999</v>
      </c>
      <c r="AM20" s="88">
        <v>3827490</v>
      </c>
      <c r="AN20" s="88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hidden="1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4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9">
        <f>TABL123[[#This Row],[(A/B) AJD]]-TABL123[[#This Row],[BER_IN]]</f>
        <v>448</v>
      </c>
      <c r="AK21" s="68">
        <v>119</v>
      </c>
      <c r="AL21" s="88">
        <v>44.510800000000003</v>
      </c>
      <c r="AM21" s="88">
        <v>3934870</v>
      </c>
      <c r="AN21" s="88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hidden="1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4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9">
        <f>TABL123[[#This Row],[(A/B) AJD]]-TABL123[[#This Row],[BER_IN]]</f>
        <v>439</v>
      </c>
      <c r="AK22" s="68">
        <v>87</v>
      </c>
      <c r="AL22" s="88">
        <v>44.626600000000003</v>
      </c>
      <c r="AM22" s="88">
        <v>3998520</v>
      </c>
      <c r="AN22" s="88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hidden="1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4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9">
        <f>TABL123[[#This Row],[(A/B) AJD]]-TABL123[[#This Row],[BER_IN]]</f>
        <v>442</v>
      </c>
      <c r="AK23" s="68">
        <v>75</v>
      </c>
      <c r="AL23" s="88">
        <v>44.7303</v>
      </c>
      <c r="AM23" s="88">
        <v>4055970</v>
      </c>
      <c r="AN23" s="88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hidden="1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4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9">
        <f>TABL123[[#This Row],[(A/B) AJD]]-TABL123[[#This Row],[BER_IN]]</f>
        <v>452</v>
      </c>
      <c r="AK24" s="68">
        <v>76</v>
      </c>
      <c r="AL24" s="88">
        <v>44.839199999999998</v>
      </c>
      <c r="AM24" s="88">
        <v>4116700</v>
      </c>
      <c r="AN24" s="88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hidden="1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4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9">
        <f>TABL123[[#This Row],[(A/B) AJD]]-TABL123[[#This Row],[BER_IN]]</f>
        <v>453</v>
      </c>
      <c r="AK25" s="68">
        <v>76</v>
      </c>
      <c r="AL25" s="88">
        <v>44.946199999999997</v>
      </c>
      <c r="AM25" s="88">
        <v>4176200</v>
      </c>
      <c r="AN25" s="88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hidden="1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4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9">
        <f>TABL123[[#This Row],[(A/B) AJD]]-TABL123[[#This Row],[BER_IN]]</f>
        <v>463</v>
      </c>
      <c r="AK26" s="68">
        <v>59</v>
      </c>
      <c r="AL26" s="88">
        <v>45.009799999999998</v>
      </c>
      <c r="AM26" s="88">
        <v>4211830</v>
      </c>
      <c r="AN26" s="88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hidden="1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4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9">
        <f>TABL123[[#This Row],[(A/B) AJD]]-TABL123[[#This Row],[BER_IN]]</f>
        <v>445</v>
      </c>
      <c r="AK27" s="68">
        <v>53</v>
      </c>
      <c r="AL27" s="88">
        <v>45.033900000000003</v>
      </c>
      <c r="AM27" s="88">
        <v>4225760</v>
      </c>
      <c r="AN27" s="88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hidden="1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4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9">
        <f>TABL123[[#This Row],[(A/B) AJD]]-TABL123[[#This Row],[BER_IN]]</f>
        <v>449</v>
      </c>
      <c r="AK28" s="68">
        <v>53</v>
      </c>
      <c r="AL28" s="88">
        <v>45.072400000000002</v>
      </c>
      <c r="AM28" s="88">
        <v>4246560</v>
      </c>
      <c r="AN28" s="88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hidden="1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4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9">
        <f>TABL123[[#This Row],[(A/B) AJD]]-TABL123[[#This Row],[BER_IN]]</f>
        <v>446</v>
      </c>
      <c r="AK29" s="68">
        <v>53</v>
      </c>
      <c r="AL29" s="88">
        <v>45.121299999999998</v>
      </c>
      <c r="AM29" s="88">
        <v>4273770</v>
      </c>
      <c r="AN29" s="88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hidden="1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4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9">
        <f>TABL123[[#This Row],[(A/B) AJD]]-TABL123[[#This Row],[BER_IN]]</f>
        <v>447</v>
      </c>
      <c r="AK30" s="68">
        <v>53</v>
      </c>
      <c r="AL30" s="88">
        <v>45.1723</v>
      </c>
      <c r="AM30" s="88">
        <v>4302170</v>
      </c>
      <c r="AN30" s="88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hidden="1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4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9">
        <f>TABL123[[#This Row],[(A/B) AJD]]-TABL123[[#This Row],[BER_IN]]</f>
        <v>451</v>
      </c>
      <c r="AK31" s="68">
        <v>32</v>
      </c>
      <c r="AL31" s="88">
        <v>45.191600000000001</v>
      </c>
      <c r="AM31" s="88">
        <v>4313340</v>
      </c>
      <c r="AN31" s="88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hidden="1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4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9">
        <f>TABL123[[#This Row],[(A/B) AJD]]-TABL123[[#This Row],[BER_IN]]</f>
        <v>451</v>
      </c>
      <c r="AK32" s="68">
        <v>21</v>
      </c>
      <c r="AL32" s="88">
        <v>45.199800000000003</v>
      </c>
      <c r="AM32" s="88">
        <v>4317820</v>
      </c>
      <c r="AN32" s="88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hidden="1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4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9">
        <f>TABL123[[#This Row],[(A/B) AJD]]-TABL123[[#This Row],[BER_IN]]</f>
        <v>449</v>
      </c>
      <c r="AK33" s="68">
        <v>22</v>
      </c>
      <c r="AL33" s="88">
        <v>45.198700000000002</v>
      </c>
      <c r="AM33" s="88">
        <v>4317230</v>
      </c>
      <c r="AN33" s="88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hidden="1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4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9">
        <f>TABL123[[#This Row],[(A/B) AJD]]-TABL123[[#This Row],[BER_IN]]</f>
        <v>439</v>
      </c>
      <c r="AK34" s="68">
        <v>22</v>
      </c>
      <c r="AL34" s="88">
        <v>45.229399999999998</v>
      </c>
      <c r="AM34" s="88">
        <v>4334000</v>
      </c>
      <c r="AN34" s="88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hidden="1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4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9">
        <f>TABL123[[#This Row],[(A/B) AJD]]-TABL123[[#This Row],[BER_IN]]</f>
        <v>463</v>
      </c>
      <c r="AK35" s="68">
        <v>22</v>
      </c>
      <c r="AL35" s="88">
        <v>45.2483</v>
      </c>
      <c r="AM35" s="88">
        <v>4345090</v>
      </c>
      <c r="AN35" s="88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hidden="1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4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9">
        <f>TABL123[[#This Row],[(A/B) AJD]]-TABL123[[#This Row],[BER_IN]]</f>
        <v>462</v>
      </c>
      <c r="AK36" s="68">
        <v>21</v>
      </c>
      <c r="AL36" s="88">
        <v>45.238700000000001</v>
      </c>
      <c r="AM36" s="88">
        <v>4339740</v>
      </c>
      <c r="AN36" s="88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hidden="1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4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9">
        <f>TABL123[[#This Row],[(A/B) AJD]]-TABL123[[#This Row],[BER_IN]]</f>
        <v>459</v>
      </c>
      <c r="AK37" s="68">
        <v>21</v>
      </c>
      <c r="AL37" s="88">
        <v>45.245199999999997</v>
      </c>
      <c r="AM37" s="88">
        <v>4342940</v>
      </c>
      <c r="AN37" s="88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hidden="1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4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9">
        <f>TABL123[[#This Row],[(A/B) AJD]]-TABL123[[#This Row],[BER_IN]]</f>
        <v>471</v>
      </c>
      <c r="AK38" s="68">
        <v>7</v>
      </c>
      <c r="AL38" s="88">
        <v>45.238</v>
      </c>
      <c r="AM38" s="88">
        <v>4339036</v>
      </c>
      <c r="AN38" s="88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hidden="1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4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9">
        <f>TABL123[[#This Row],[(A/B) AJD]]-TABL123[[#This Row],[BER_IN]]</f>
        <v>388</v>
      </c>
      <c r="AK39" s="68">
        <v>0</v>
      </c>
      <c r="AL39" s="88">
        <v>45.232100000000003</v>
      </c>
      <c r="AM39" s="88">
        <v>4335680</v>
      </c>
      <c r="AN39" s="88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hidden="1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4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9">
        <f>TABL123[[#This Row],[(A/B) AJD]]-TABL123[[#This Row],[BER_IN]]</f>
        <v>463</v>
      </c>
      <c r="AK40" s="68">
        <v>0</v>
      </c>
      <c r="AL40" s="88">
        <v>45.185600000000001</v>
      </c>
      <c r="AM40" s="88">
        <v>4309440</v>
      </c>
      <c r="AN40" s="88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hidden="1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4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9">
        <f>TABL123[[#This Row],[(A/B) AJD]]-TABL123[[#This Row],[BER_IN]]</f>
        <v>464</v>
      </c>
      <c r="AK41" s="68">
        <v>0</v>
      </c>
      <c r="AL41" s="88">
        <v>45.168900000000001</v>
      </c>
      <c r="AM41" s="88">
        <v>4300490</v>
      </c>
      <c r="AN41" s="88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hidden="1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4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9">
        <f>TABL123[[#This Row],[(A/B) AJD]]-TABL123[[#This Row],[BER_IN]]</f>
        <v>473</v>
      </c>
      <c r="AK42" s="68">
        <v>0</v>
      </c>
      <c r="AL42" s="88">
        <v>45.115200000000002</v>
      </c>
      <c r="AM42" s="88">
        <v>4270360</v>
      </c>
      <c r="AN42" s="88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hidden="1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4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9">
        <f>TABL123[[#This Row],[(A/B) AJD]]-TABL123[[#This Row],[BER_IN]]</f>
        <v>467</v>
      </c>
      <c r="AK43" s="68">
        <v>0</v>
      </c>
      <c r="AL43" s="88">
        <v>45.024799999999999</v>
      </c>
      <c r="AM43" s="88">
        <v>4219780</v>
      </c>
      <c r="AN43" s="88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hidden="1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4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9">
        <f>TABL123[[#This Row],[(A/B) AJD]]-TABL123[[#This Row],[BER_IN]]</f>
        <v>469</v>
      </c>
      <c r="AK44" s="68">
        <v>0</v>
      </c>
      <c r="AL44" s="88">
        <v>44.954599999999999</v>
      </c>
      <c r="AM44" s="88">
        <v>4181210</v>
      </c>
      <c r="AN44" s="88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hidden="1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4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9">
        <f>TABL123[[#This Row],[(A/B) AJD]]-TABL123[[#This Row],[BER_IN]]</f>
        <v>458</v>
      </c>
      <c r="AK45" s="68">
        <v>0</v>
      </c>
      <c r="AL45" s="88">
        <v>44.924199999999999</v>
      </c>
      <c r="AM45" s="88">
        <v>4163967</v>
      </c>
      <c r="AN45" s="88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hidden="1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4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9">
        <f>TABL123[[#This Row],[(A/B) AJD]]-TABL123[[#This Row],[BER_IN]]</f>
        <v>461</v>
      </c>
      <c r="AK46" s="68">
        <v>0</v>
      </c>
      <c r="AL46" s="88">
        <v>44.877699999999997</v>
      </c>
      <c r="AM46" s="88">
        <v>4137560</v>
      </c>
      <c r="AN46" s="88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hidden="1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4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9">
        <f>TABL123[[#This Row],[(A/B) AJD]]-TABL123[[#This Row],[BER_IN]]</f>
        <v>386</v>
      </c>
      <c r="AK47" s="68">
        <v>0</v>
      </c>
      <c r="AL47" s="88">
        <v>44.819800000000001</v>
      </c>
      <c r="AM47" s="88">
        <v>4106090</v>
      </c>
      <c r="AN47" s="88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hidden="1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4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9">
        <f>TABL123[[#This Row],[(A/B) AJD]]-TABL123[[#This Row],[BER_IN]]</f>
        <v>456</v>
      </c>
      <c r="AK48" s="68">
        <v>0</v>
      </c>
      <c r="AL48" s="88">
        <v>44.786200000000001</v>
      </c>
      <c r="AM48" s="88">
        <v>4067260</v>
      </c>
      <c r="AN48" s="88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hidden="1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4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9">
        <f>TABL123[[#This Row],[(A/B) AJD]]-TABL123[[#This Row],[BER_IN]]</f>
        <v>461</v>
      </c>
      <c r="AK49" s="68">
        <v>0</v>
      </c>
      <c r="AL49" s="88">
        <v>44.742899999999999</v>
      </c>
      <c r="AM49" s="88">
        <v>4063390</v>
      </c>
      <c r="AN49" s="88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hidden="1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4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9">
        <f>TABL123[[#This Row],[(A/B) AJD]]-TABL123[[#This Row],[BER_IN]]</f>
        <v>456</v>
      </c>
      <c r="AK50" s="68">
        <v>0</v>
      </c>
      <c r="AL50" s="88">
        <v>44.725099999999998</v>
      </c>
      <c r="AM50" s="88">
        <v>4053400</v>
      </c>
      <c r="AN50" s="88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hidden="1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4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9">
        <f>TABL123[[#This Row],[(A/B) AJD]]-TABL123[[#This Row],[BER_IN]]</f>
        <v>455</v>
      </c>
      <c r="AK51" s="68">
        <v>0</v>
      </c>
      <c r="AL51" s="88">
        <v>44.648400000000002</v>
      </c>
      <c r="AM51" s="88">
        <v>4011220</v>
      </c>
      <c r="AN51" s="88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hidden="1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4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9">
        <f>TABL123[[#This Row],[(A/B) AJD]]-TABL123[[#This Row],[BER_IN]]</f>
        <v>457</v>
      </c>
      <c r="AK52" s="68">
        <v>0</v>
      </c>
      <c r="AL52" s="88">
        <v>44.472299999999997</v>
      </c>
      <c r="AM52" s="88">
        <v>3913310</v>
      </c>
      <c r="AN52" s="88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hidden="1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4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9">
        <f>TABL123[[#This Row],[(A/B) AJD]]-TABL123[[#This Row],[BER_IN]]</f>
        <v>440</v>
      </c>
      <c r="AK53" s="68">
        <v>0</v>
      </c>
      <c r="AL53" s="88">
        <v>44.305100000000003</v>
      </c>
      <c r="AM53" s="88">
        <v>3821120</v>
      </c>
      <c r="AN53" s="88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hidden="1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4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9">
        <f>TABL123[[#This Row],[(A/B) AJD]]-TABL123[[#This Row],[BER_IN]]</f>
        <v>460</v>
      </c>
      <c r="AK54" s="68">
        <v>0</v>
      </c>
      <c r="AL54" s="88">
        <v>44.238199999999999</v>
      </c>
      <c r="AM54" s="88">
        <v>3784200</v>
      </c>
      <c r="AN54" s="88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hidden="1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4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9">
        <f>TABL123[[#This Row],[(A/B) AJD]]-TABL123[[#This Row],[BER_IN]]</f>
        <v>428</v>
      </c>
      <c r="AK55" s="68">
        <v>0</v>
      </c>
      <c r="AL55" s="88">
        <v>44.206800000000001</v>
      </c>
      <c r="AM55" s="88">
        <v>3767110</v>
      </c>
      <c r="AN55" s="88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hidden="1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4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9">
        <f>TABL123[[#This Row],[(A/B) AJD]]-TABL123[[#This Row],[BER_IN]]</f>
        <v>466</v>
      </c>
      <c r="AK56" s="68">
        <v>0</v>
      </c>
      <c r="AL56" s="88">
        <v>44.175800000000002</v>
      </c>
      <c r="AM56" s="88">
        <v>3750270</v>
      </c>
      <c r="AN56" s="88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hidden="1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4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9">
        <f>TABL123[[#This Row],[(A/B) AJD]]-TABL123[[#This Row],[BER_IN]]</f>
        <v>471</v>
      </c>
      <c r="AK57" s="68">
        <v>0</v>
      </c>
      <c r="AL57" s="88">
        <v>44.146299999999997</v>
      </c>
      <c r="AM57" s="88">
        <v>3733560</v>
      </c>
      <c r="AN57" s="88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hidden="1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4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9">
        <f>TABL123[[#This Row],[(A/B) AJD]]-TABL123[[#This Row],[BER_IN]]</f>
        <v>468</v>
      </c>
      <c r="AK58" s="68">
        <v>0</v>
      </c>
      <c r="AL58" s="88">
        <v>44.111400000000003</v>
      </c>
      <c r="AM58" s="88">
        <v>3714450</v>
      </c>
      <c r="AN58" s="88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hidden="1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4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9">
        <f>TABL123[[#This Row],[(A/B) AJD]]-TABL123[[#This Row],[BER_IN]]</f>
        <v>452</v>
      </c>
      <c r="AK59" s="68">
        <v>0</v>
      </c>
      <c r="AL59" s="88">
        <v>44.177399999999999</v>
      </c>
      <c r="AM59" s="88">
        <v>3696260</v>
      </c>
      <c r="AN59" s="88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hidden="1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4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9">
        <f>TABL123[[#This Row],[(A/B) AJD]]-TABL123[[#This Row],[BER_IN]]</f>
        <v>468</v>
      </c>
      <c r="AK60" s="68">
        <v>0</v>
      </c>
      <c r="AL60" s="88">
        <v>44.0747</v>
      </c>
      <c r="AM60" s="88">
        <v>3694490</v>
      </c>
      <c r="AN60" s="88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hidden="1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4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9">
        <f>TABL123[[#This Row],[(A/B) AJD]]-TABL123[[#This Row],[BER_IN]]</f>
        <v>457</v>
      </c>
      <c r="AK61" s="68">
        <v>0</v>
      </c>
      <c r="AL61" s="88">
        <v>44.062899999999999</v>
      </c>
      <c r="AM61" s="88">
        <v>3686870</v>
      </c>
      <c r="AN61" s="88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hidden="1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4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9">
        <f>TABL123[[#This Row],[(A/B) AJD]]-TABL123[[#This Row],[BER_IN]]</f>
        <v>458</v>
      </c>
      <c r="AK62" s="68">
        <v>0</v>
      </c>
      <c r="AL62" s="88">
        <v>44.028799999999997</v>
      </c>
      <c r="AM62" s="88">
        <v>3669100</v>
      </c>
      <c r="AN62" s="88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hidden="1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4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9">
        <f>TABL123[[#This Row],[(A/B) AJD]]-TABL123[[#This Row],[BER_IN]]</f>
        <v>473</v>
      </c>
      <c r="AK63" s="68">
        <v>0</v>
      </c>
      <c r="AL63" s="88">
        <v>43.975700000000003</v>
      </c>
      <c r="AM63" s="88">
        <v>3639840</v>
      </c>
      <c r="AN63" s="88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hidden="1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4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9">
        <f>TABL123[[#This Row],[(A/B) AJD]]-TABL123[[#This Row],[BER_IN]]</f>
        <v>479</v>
      </c>
      <c r="AK64" s="68">
        <v>0</v>
      </c>
      <c r="AL64" s="88">
        <v>43.9221</v>
      </c>
      <c r="AM64" s="88">
        <v>3610490</v>
      </c>
      <c r="AN64" s="88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hidden="1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4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9">
        <f>TABL123[[#This Row],[(A/B) AJD]]-TABL123[[#This Row],[BER_IN]]</f>
        <v>479</v>
      </c>
      <c r="AK65" s="68">
        <v>0</v>
      </c>
      <c r="AL65" s="88">
        <v>43.8613</v>
      </c>
      <c r="AM65" s="88">
        <v>3577400</v>
      </c>
      <c r="AN65" s="88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hidden="1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4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9">
        <f>TABL123[[#This Row],[(A/B) AJD]]-TABL123[[#This Row],[BER_IN]]</f>
        <v>468</v>
      </c>
      <c r="AK66" s="68">
        <v>0</v>
      </c>
      <c r="AL66" s="88">
        <v>43.8063</v>
      </c>
      <c r="AM66" s="88">
        <v>3546991</v>
      </c>
      <c r="AN66" s="88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hidden="1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4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9">
        <f>TABL123[[#This Row],[(A/B) AJD]]-TABL123[[#This Row],[BER_IN]]</f>
        <v>476</v>
      </c>
      <c r="AK67" s="68">
        <v>0</v>
      </c>
      <c r="AL67" s="88">
        <v>43.775199999999998</v>
      </c>
      <c r="AM67" s="88">
        <v>3530507</v>
      </c>
      <c r="AN67" s="88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hidden="1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84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9">
        <f>TABL123[[#This Row],[(A/B) AJD]]-TABL123[[#This Row],[BER_IN]]</f>
        <v>484</v>
      </c>
      <c r="AK68" s="68">
        <v>0</v>
      </c>
      <c r="AL68" s="88">
        <v>43.753700000000002</v>
      </c>
      <c r="AM68" s="88">
        <v>3518470</v>
      </c>
      <c r="AN68" s="88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hidden="1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4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9">
        <f>TABL123[[#This Row],[(A/B) AJD]]-TABL123[[#This Row],[BER_IN]]</f>
        <v>468</v>
      </c>
      <c r="AK69" s="68">
        <v>0</v>
      </c>
      <c r="AL69" s="88">
        <v>43.729199999999999</v>
      </c>
      <c r="AM69" s="88">
        <v>3504800</v>
      </c>
      <c r="AN69" s="88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hidden="1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4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9">
        <f>TABL123[[#This Row],[(A/B) AJD]]-TABL123[[#This Row],[BER_IN]]</f>
        <v>452</v>
      </c>
      <c r="AK70" s="68">
        <v>0</v>
      </c>
      <c r="AL70" s="88">
        <v>43.681600000000003</v>
      </c>
      <c r="AM70" s="88">
        <v>3475830</v>
      </c>
      <c r="AN70" s="88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hidden="1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4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9">
        <f>TABL123[[#This Row],[(A/B) AJD]]-TABL123[[#This Row],[BER_IN]]</f>
        <v>433</v>
      </c>
      <c r="AK71" s="68">
        <v>0</v>
      </c>
      <c r="AL71" s="88">
        <v>43.645400000000002</v>
      </c>
      <c r="AM71" s="88">
        <v>3459380</v>
      </c>
      <c r="AN71" s="88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hidden="1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4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9">
        <f>TABL123[[#This Row],[(A/B) AJD]]-TABL123[[#This Row],[BER_IN]]</f>
        <v>466</v>
      </c>
      <c r="AK72" s="68">
        <v>0</v>
      </c>
      <c r="AL72" s="88">
        <v>43.608499999999999</v>
      </c>
      <c r="AM72" s="88">
        <v>3438700</v>
      </c>
      <c r="AN72" s="88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hidden="1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4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9">
        <f>TABL123[[#This Row],[(A/B) AJD]]-TABL123[[#This Row],[BER_IN]]</f>
        <v>477</v>
      </c>
      <c r="AK73" s="68">
        <v>0</v>
      </c>
      <c r="AL73" s="88">
        <v>43.567900000000002</v>
      </c>
      <c r="AM73" s="88">
        <v>3416735</v>
      </c>
      <c r="AN73" s="88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hidden="1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4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9">
        <f>TABL123[[#This Row],[(A/B) AJD]]-TABL123[[#This Row],[BER_IN]]</f>
        <v>462</v>
      </c>
      <c r="AK74" s="68">
        <v>0</v>
      </c>
      <c r="AL74" s="88">
        <v>43.555300000000003</v>
      </c>
      <c r="AM74" s="88">
        <v>3409770</v>
      </c>
      <c r="AN74" s="88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hidden="1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4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9">
        <f>TABL123[[#This Row],[(A/B) AJD]]-TABL123[[#This Row],[BER_IN]]</f>
        <v>479</v>
      </c>
      <c r="AK75" s="68">
        <v>0</v>
      </c>
      <c r="AL75" s="88">
        <v>43.537999999999997</v>
      </c>
      <c r="AM75" s="88">
        <v>3400140</v>
      </c>
      <c r="AN75" s="88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hidden="1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4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9">
        <f>TABL123[[#This Row],[(A/B) AJD]]-TABL123[[#This Row],[BER_IN]]</f>
        <v>472</v>
      </c>
      <c r="AK76" s="68">
        <v>0</v>
      </c>
      <c r="AL76" s="88">
        <v>43.463000000000001</v>
      </c>
      <c r="AM76" s="88">
        <v>3359610</v>
      </c>
      <c r="AN76" s="88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hidden="1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4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9">
        <f>TABL123[[#This Row],[(A/B) AJD]]-TABL123[[#This Row],[BER_IN]]</f>
        <v>468</v>
      </c>
      <c r="AK77" s="68">
        <v>0</v>
      </c>
      <c r="AL77" s="88">
        <v>43.393999999999998</v>
      </c>
      <c r="AM77" s="88">
        <v>3322050</v>
      </c>
      <c r="AN77" s="88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hidden="1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4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9">
        <f>TABL123[[#This Row],[(A/B) AJD]]-TABL123[[#This Row],[BER_IN]]</f>
        <v>466</v>
      </c>
      <c r="AK78" s="68">
        <v>0</v>
      </c>
      <c r="AL78" s="88">
        <v>43.333199999999998</v>
      </c>
      <c r="AM78" s="88">
        <v>3288850</v>
      </c>
      <c r="AN78" s="88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hidden="1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4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9">
        <f>TABL123[[#This Row],[(A/B) AJD]]-TABL123[[#This Row],[BER_IN]]</f>
        <v>492</v>
      </c>
      <c r="AK79" s="68">
        <v>0</v>
      </c>
      <c r="AL79" s="88">
        <v>43.305</v>
      </c>
      <c r="AM79" s="88">
        <v>3273470</v>
      </c>
      <c r="AN79" s="88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hidden="1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4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9">
        <f>TABL123[[#This Row],[(A/B) AJD]]-TABL123[[#This Row],[BER_IN]]</f>
        <v>474</v>
      </c>
      <c r="AK80" s="68">
        <v>14</v>
      </c>
      <c r="AL80" s="88">
        <v>43.2271</v>
      </c>
      <c r="AM80" s="88">
        <v>3231260</v>
      </c>
      <c r="AN80" s="88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hidden="1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4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9">
        <f>TABL123[[#This Row],[(A/B) AJD]]-TABL123[[#This Row],[BER_IN]]</f>
        <v>472</v>
      </c>
      <c r="AK81" s="68">
        <v>20</v>
      </c>
      <c r="AL81" s="88">
        <v>43.202599999999997</v>
      </c>
      <c r="AM81" s="88">
        <v>3218220</v>
      </c>
      <c r="AN81" s="88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hidden="1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4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9">
        <f>TABL123[[#This Row],[(A/B) AJD]]-TABL123[[#This Row],[BER_IN]]</f>
        <v>489</v>
      </c>
      <c r="AK82" s="68">
        <v>19</v>
      </c>
      <c r="AL82" s="88">
        <v>43.217399999999998</v>
      </c>
      <c r="AM82" s="88">
        <v>3226370</v>
      </c>
      <c r="AN82" s="88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hidden="1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4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9">
        <f>TABL123[[#This Row],[(A/B) AJD]]-TABL123[[#This Row],[BER_IN]]</f>
        <v>445</v>
      </c>
      <c r="AK83" s="68">
        <v>20</v>
      </c>
      <c r="AL83" s="88">
        <v>43.218600000000002</v>
      </c>
      <c r="AM83" s="88">
        <v>3226790</v>
      </c>
      <c r="AN83" s="88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hidden="1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4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9">
        <f>TABL123[[#This Row],[(A/B) AJD]]-TABL123[[#This Row],[BER_IN]]</f>
        <v>469</v>
      </c>
      <c r="AK84" s="68">
        <v>21</v>
      </c>
      <c r="AL84" s="88">
        <v>43.223999999999997</v>
      </c>
      <c r="AM84" s="88">
        <v>3230690</v>
      </c>
      <c r="AN84" s="88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hidden="1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4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9">
        <f>TABL123[[#This Row],[(A/B) AJD]]-TABL123[[#This Row],[BER_IN]]</f>
        <v>468</v>
      </c>
      <c r="AK85" s="68">
        <v>21</v>
      </c>
      <c r="AL85" s="88">
        <v>43.227699999999999</v>
      </c>
      <c r="AM85" s="88">
        <v>3231810</v>
      </c>
      <c r="AN85" s="88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hidden="1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4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9">
        <f>TABL123[[#This Row],[(A/B) AJD]]-TABL123[[#This Row],[BER_IN]]</f>
        <v>461</v>
      </c>
      <c r="AK86" s="68">
        <v>22</v>
      </c>
      <c r="AL86" s="88">
        <v>43.2607</v>
      </c>
      <c r="AM86" s="88">
        <v>3249200</v>
      </c>
      <c r="AN86" s="88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hidden="1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4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9">
        <f>TABL123[[#This Row],[(A/B) AJD]]-TABL123[[#This Row],[BER_IN]]</f>
        <v>468</v>
      </c>
      <c r="AK87" s="68">
        <v>22</v>
      </c>
      <c r="AL87" s="88">
        <v>43.262799999999999</v>
      </c>
      <c r="AM87" s="88">
        <v>3250800</v>
      </c>
      <c r="AN87" s="88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hidden="1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4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9">
        <f>TABL123[[#This Row],[(A/B) AJD]]-TABL123[[#This Row],[BER_IN]]</f>
        <v>472</v>
      </c>
      <c r="AK88" s="68">
        <v>22</v>
      </c>
      <c r="AL88" s="88">
        <v>43.286299999999997</v>
      </c>
      <c r="AM88" s="88">
        <v>3263300</v>
      </c>
      <c r="AN88" s="88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hidden="1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4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9">
        <f>TABL123[[#This Row],[(A/B) AJD]]-TABL123[[#This Row],[BER_IN]]</f>
        <v>463</v>
      </c>
      <c r="AK89" s="68">
        <v>21</v>
      </c>
      <c r="AL89" s="88">
        <v>43.294499999999999</v>
      </c>
      <c r="AM89" s="88">
        <v>3267770</v>
      </c>
      <c r="AN89" s="88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hidden="1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4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9">
        <f>TABL123[[#This Row],[(A/B) AJD]]-TABL123[[#This Row],[BER_IN]]</f>
        <v>481</v>
      </c>
      <c r="AK90" s="68">
        <v>27</v>
      </c>
      <c r="AL90" s="88">
        <v>43.271799999999999</v>
      </c>
      <c r="AM90" s="88">
        <v>3255690</v>
      </c>
      <c r="AN90" s="88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hidden="1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4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9">
        <f>TABL123[[#This Row],[(A/B) AJD]]-TABL123[[#This Row],[BER_IN]]</f>
        <v>486</v>
      </c>
      <c r="AK91" s="68">
        <v>32</v>
      </c>
      <c r="AL91" s="88">
        <v>43.225900000000003</v>
      </c>
      <c r="AM91" s="88">
        <v>3230710</v>
      </c>
      <c r="AN91" s="88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hidden="1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4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9">
        <f>TABL123[[#This Row],[(A/B) AJD]]-TABL123[[#This Row],[BER_IN]]</f>
        <v>475</v>
      </c>
      <c r="AK92" s="68">
        <v>28</v>
      </c>
      <c r="AL92" s="88">
        <v>43.1235</v>
      </c>
      <c r="AM92" s="88">
        <v>3175240</v>
      </c>
      <c r="AN92" s="88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hidden="1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4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9">
        <f>TABL123[[#This Row],[(A/B) AJD]]-TABL123[[#This Row],[BER_IN]]</f>
        <v>474</v>
      </c>
      <c r="AK93" s="68">
        <v>29</v>
      </c>
      <c r="AL93" s="88">
        <v>42.998899999999999</v>
      </c>
      <c r="AM93" s="88">
        <v>3107000</v>
      </c>
      <c r="AN93" s="88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hidden="1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4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9">
        <f>TABL123[[#This Row],[(A/B) AJD]]-TABL123[[#This Row],[BER_IN]]</f>
        <v>471</v>
      </c>
      <c r="AK94" s="68">
        <v>27</v>
      </c>
      <c r="AL94" s="88">
        <v>42.860700000000001</v>
      </c>
      <c r="AM94" s="88">
        <v>3033000</v>
      </c>
      <c r="AN94" s="88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hidden="1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4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9">
        <f>TABL123[[#This Row],[(A/B) AJD]]-TABL123[[#This Row],[BER_IN]]</f>
        <v>481</v>
      </c>
      <c r="AK95" s="68">
        <v>26</v>
      </c>
      <c r="AL95" s="88">
        <v>42.805900000000001</v>
      </c>
      <c r="AM95" s="88">
        <v>3003083</v>
      </c>
      <c r="AN95" s="88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hidden="1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4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9">
        <f>TABL123[[#This Row],[(A/B) AJD]]-TABL123[[#This Row],[BER_IN]]</f>
        <v>486</v>
      </c>
      <c r="AK96" s="68">
        <v>25</v>
      </c>
      <c r="AL96" s="88">
        <v>42.827800000000003</v>
      </c>
      <c r="AM96" s="88">
        <v>3014710</v>
      </c>
      <c r="AN96" s="88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hidden="1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4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9">
        <f>TABL123[[#This Row],[(A/B) AJD]]-TABL123[[#This Row],[BER_IN]]</f>
        <v>491</v>
      </c>
      <c r="AK97" s="68">
        <v>25</v>
      </c>
      <c r="AL97" s="88">
        <v>42.835099999999997</v>
      </c>
      <c r="AM97" s="88">
        <v>3019020</v>
      </c>
      <c r="AN97" s="88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hidden="1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4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9">
        <f>TABL123[[#This Row],[(A/B) AJD]]-TABL123[[#This Row],[BER_IN]]</f>
        <v>489</v>
      </c>
      <c r="AK98" s="68">
        <v>24</v>
      </c>
      <c r="AL98" s="88">
        <v>42.854700000000001</v>
      </c>
      <c r="AM98" s="88">
        <v>3029840</v>
      </c>
      <c r="AN98" s="88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hidden="1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4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9">
        <f>TABL123[[#This Row],[(A/B) AJD]]-TABL123[[#This Row],[BER_IN]]</f>
        <v>482</v>
      </c>
      <c r="AK99" s="68">
        <v>25</v>
      </c>
      <c r="AL99" s="88">
        <v>42.863300000000002</v>
      </c>
      <c r="AM99" s="88">
        <v>3033860</v>
      </c>
      <c r="AN99" s="88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hidden="1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4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9">
        <f>TABL123[[#This Row],[(A/B) AJD]]-TABL123[[#This Row],[BER_IN]]</f>
        <v>485</v>
      </c>
      <c r="AK100" s="68">
        <v>21</v>
      </c>
      <c r="AL100" s="88">
        <v>42.850900000000003</v>
      </c>
      <c r="AM100" s="88">
        <v>3027660</v>
      </c>
      <c r="AN100" s="88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hidden="1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4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9">
        <f>TABL123[[#This Row],[(A/B) AJD]]-TABL123[[#This Row],[BER_IN]]</f>
        <v>485</v>
      </c>
      <c r="AK101" s="68">
        <v>21</v>
      </c>
      <c r="AL101" s="88">
        <v>42.835099999999997</v>
      </c>
      <c r="AM101" s="88">
        <v>3019020</v>
      </c>
      <c r="AN101" s="88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hidden="1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4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9">
        <f>TABL123[[#This Row],[(A/B) AJD]]-TABL123[[#This Row],[BER_IN]]</f>
        <v>489</v>
      </c>
      <c r="AK102" s="68">
        <v>22</v>
      </c>
      <c r="AL102" s="88">
        <v>42.835099999999997</v>
      </c>
      <c r="AM102" s="88">
        <v>3019020</v>
      </c>
      <c r="AN102" s="88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hidden="1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4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9">
        <f>TABL123[[#This Row],[(A/B) AJD]]-TABL123[[#This Row],[BER_IN]]</f>
        <v>489</v>
      </c>
      <c r="AK103" s="68">
        <v>22</v>
      </c>
      <c r="AL103" s="88">
        <v>42.830800000000004</v>
      </c>
      <c r="AM103" s="88">
        <v>3016870</v>
      </c>
      <c r="AN103" s="88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hidden="1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4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9">
        <f>TABL123[[#This Row],[(A/B) AJD]]-TABL123[[#This Row],[BER_IN]]</f>
        <v>490</v>
      </c>
      <c r="AK104" s="68">
        <v>23</v>
      </c>
      <c r="AL104" s="88">
        <v>42.813099999999999</v>
      </c>
      <c r="AM104" s="88">
        <v>3007150</v>
      </c>
      <c r="AN104" s="88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hidden="1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4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9">
        <f>TABL123[[#This Row],[(A/B) AJD]]-TABL123[[#This Row],[BER_IN]]</f>
        <v>503</v>
      </c>
      <c r="AK105" s="68">
        <v>24</v>
      </c>
      <c r="AL105" s="88">
        <v>42.790100000000002</v>
      </c>
      <c r="AM105" s="88">
        <v>2995030</v>
      </c>
      <c r="AN105" s="88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hidden="1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4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9">
        <f>TABL123[[#This Row],[(A/B) AJD]]-TABL123[[#This Row],[BER_IN]]</f>
        <v>493</v>
      </c>
      <c r="AK106" s="68">
        <v>23</v>
      </c>
      <c r="AL106" s="88">
        <v>42.783000000000001</v>
      </c>
      <c r="AM106" s="88">
        <v>2990960</v>
      </c>
      <c r="AN106" s="88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hidden="1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4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9">
        <f>TABL123[[#This Row],[(A/B) AJD]]-TABL123[[#This Row],[BER_IN]]</f>
        <v>491</v>
      </c>
      <c r="AK107" s="68">
        <v>6</v>
      </c>
      <c r="AL107" s="88">
        <v>42.745600000000003</v>
      </c>
      <c r="AM107" s="88">
        <v>2971220</v>
      </c>
      <c r="AN107" s="88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hidden="1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4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9">
        <f>TABL123[[#This Row],[(A/B) AJD]]-TABL123[[#This Row],[BER_IN]]</f>
        <v>493</v>
      </c>
      <c r="AK108" s="68">
        <v>0</v>
      </c>
      <c r="AL108" s="88">
        <v>42.700600000000001</v>
      </c>
      <c r="AM108" s="88">
        <v>2946760</v>
      </c>
      <c r="AN108" s="88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hidden="1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4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9">
        <f>TABL123[[#This Row],[(A/B) AJD]]-TABL123[[#This Row],[BER_IN]]</f>
        <v>493</v>
      </c>
      <c r="AK109" s="68">
        <v>0</v>
      </c>
      <c r="AL109" s="88">
        <v>42.674399999999999</v>
      </c>
      <c r="AM109" s="88">
        <v>2932700</v>
      </c>
      <c r="AN109" s="88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hidden="1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4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9">
        <f>TABL123[[#This Row],[(A/B) AJD]]-TABL123[[#This Row],[BER_IN]]</f>
        <v>492</v>
      </c>
      <c r="AK110" s="68">
        <v>0</v>
      </c>
      <c r="AL110" s="88">
        <v>42.6447</v>
      </c>
      <c r="AM110" s="88">
        <v>2916590</v>
      </c>
      <c r="AN110" s="88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hidden="1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4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9">
        <f>TABL123[[#This Row],[(A/B) AJD]]-TABL123[[#This Row],[BER_IN]]</f>
        <v>490</v>
      </c>
      <c r="AK111" s="68">
        <v>0</v>
      </c>
      <c r="AL111" s="88">
        <v>42.598100000000002</v>
      </c>
      <c r="AM111" s="88">
        <v>2891290</v>
      </c>
      <c r="AN111" s="88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hidden="1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4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9">
        <f>TABL123[[#This Row],[(A/B) AJD]]-TABL123[[#This Row],[BER_IN]]</f>
        <v>494</v>
      </c>
      <c r="AK112" s="68">
        <v>0</v>
      </c>
      <c r="AL112" s="88">
        <v>42.552300000000002</v>
      </c>
      <c r="AM112" s="88">
        <v>2866550</v>
      </c>
      <c r="AN112" s="88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hidden="1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4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9">
        <f>TABL123[[#This Row],[(A/B) AJD]]-TABL123[[#This Row],[BER_IN]]</f>
        <v>506</v>
      </c>
      <c r="AK113" s="68">
        <v>0</v>
      </c>
      <c r="AL113" s="88">
        <v>42.513199999999998</v>
      </c>
      <c r="AM113" s="88">
        <v>2845590</v>
      </c>
      <c r="AN113" s="88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hidden="1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4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9">
        <f>TABL123[[#This Row],[(A/B) AJD]]-TABL123[[#This Row],[BER_IN]]</f>
        <v>517</v>
      </c>
      <c r="AK114" s="68">
        <v>0</v>
      </c>
      <c r="AL114" s="88">
        <v>42.4604</v>
      </c>
      <c r="AM114" s="88">
        <v>2817120</v>
      </c>
      <c r="AN114" s="88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hidden="1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4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9">
        <f>TABL123[[#This Row],[(A/B) AJD]]-TABL123[[#This Row],[BER_IN]]</f>
        <v>508</v>
      </c>
      <c r="AK115" s="68">
        <v>0</v>
      </c>
      <c r="AL115" s="88">
        <v>42.4161</v>
      </c>
      <c r="AM115" s="88">
        <v>2793590</v>
      </c>
      <c r="AN115" s="88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hidden="1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4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9">
        <f>TABL123[[#This Row],[(A/B) AJD]]-TABL123[[#This Row],[BER_IN]]</f>
        <v>507</v>
      </c>
      <c r="AK116" s="68">
        <v>0</v>
      </c>
      <c r="AL116" s="88">
        <v>42.399000000000001</v>
      </c>
      <c r="AM116" s="88">
        <v>2784380</v>
      </c>
      <c r="AN116" s="88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hidden="1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4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9">
        <f>TABL123[[#This Row],[(A/B) AJD]]-TABL123[[#This Row],[BER_IN]]</f>
        <v>510</v>
      </c>
      <c r="AK117" s="68">
        <v>0</v>
      </c>
      <c r="AL117" s="88">
        <v>42.362099999999998</v>
      </c>
      <c r="AM117" s="88">
        <v>2764530</v>
      </c>
      <c r="AN117" s="88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hidden="1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4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9">
        <f>TABL123[[#This Row],[(A/B) AJD]]-TABL123[[#This Row],[BER_IN]]</f>
        <v>506</v>
      </c>
      <c r="AK118" s="68">
        <v>0</v>
      </c>
      <c r="AL118" s="88">
        <v>42.308500000000002</v>
      </c>
      <c r="AM118" s="88">
        <v>2735590</v>
      </c>
      <c r="AN118" s="88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hidden="1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4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9">
        <f>TABL123[[#This Row],[(A/B) AJD]]-TABL123[[#This Row],[BER_IN]]</f>
        <v>528</v>
      </c>
      <c r="AK119" s="68">
        <v>0</v>
      </c>
      <c r="AL119" s="88">
        <v>42.298299999999998</v>
      </c>
      <c r="AM119" s="88">
        <v>2730770</v>
      </c>
      <c r="AN119" s="88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hidden="1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4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9">
        <f>TABL123[[#This Row],[(A/B) AJD]]-TABL123[[#This Row],[BER_IN]]</f>
        <v>459</v>
      </c>
      <c r="AK120" s="68">
        <v>0</v>
      </c>
      <c r="AL120" s="88">
        <v>42.291600000000003</v>
      </c>
      <c r="AM120" s="88">
        <v>2727870</v>
      </c>
      <c r="AN120" s="88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hidden="1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4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9">
        <f>TABL123[[#This Row],[(A/B) AJD]]-TABL123[[#This Row],[BER_IN]]</f>
        <v>480</v>
      </c>
      <c r="AK121" s="68">
        <v>0</v>
      </c>
      <c r="AL121" s="88">
        <v>42.284300000000002</v>
      </c>
      <c r="AM121" s="88">
        <v>2722360</v>
      </c>
      <c r="AN121" s="88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hidden="1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4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9">
        <f>TABL123[[#This Row],[(A/B) AJD]]-TABL123[[#This Row],[BER_IN]]</f>
        <v>514</v>
      </c>
      <c r="AK122" s="68">
        <v>15</v>
      </c>
      <c r="AL122" s="88">
        <v>42.27</v>
      </c>
      <c r="AM122" s="88">
        <v>2715240</v>
      </c>
      <c r="AN122" s="88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hidden="1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4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9">
        <f>TABL123[[#This Row],[(A/B) AJD]]-TABL123[[#This Row],[BER_IN]]</f>
        <v>472</v>
      </c>
      <c r="AK123" s="68">
        <v>21</v>
      </c>
      <c r="AL123" s="88">
        <v>42.277000000000001</v>
      </c>
      <c r="AM123" s="88">
        <v>2718490</v>
      </c>
      <c r="AN123" s="88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hidden="1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4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9">
        <f>TABL123[[#This Row],[(A/B) AJD]]-TABL123[[#This Row],[BER_IN]]</f>
        <v>493</v>
      </c>
      <c r="AK124" s="68">
        <v>21</v>
      </c>
      <c r="AL124" s="88">
        <v>42.257100000000001</v>
      </c>
      <c r="AM124" s="88">
        <v>2708940</v>
      </c>
      <c r="AN124" s="88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hidden="1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4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9">
        <f>TABL123[[#This Row],[(A/B) AJD]]-TABL123[[#This Row],[BER_IN]]</f>
        <v>496</v>
      </c>
      <c r="AK125" s="68">
        <v>21</v>
      </c>
      <c r="AL125" s="88">
        <v>42.231499999999997</v>
      </c>
      <c r="AM125" s="88">
        <v>2694890</v>
      </c>
      <c r="AN125" s="88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hidden="1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4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9">
        <f>TABL123[[#This Row],[(A/B) AJD]]-TABL123[[#This Row],[BER_IN]]</f>
        <v>493</v>
      </c>
      <c r="AK126" s="68">
        <v>22</v>
      </c>
      <c r="AL126" s="88">
        <v>42.214199999999998</v>
      </c>
      <c r="AM126" s="88">
        <v>2685260</v>
      </c>
      <c r="AN126" s="88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hidden="1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4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9">
        <f>TABL123[[#This Row],[(A/B) AJD]]-TABL123[[#This Row],[BER_IN]]</f>
        <v>496</v>
      </c>
      <c r="AK127" s="68">
        <v>22</v>
      </c>
      <c r="AL127" s="88">
        <v>42.195500000000003</v>
      </c>
      <c r="AM127" s="88">
        <v>2675570</v>
      </c>
      <c r="AN127" s="88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hidden="1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4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9">
        <f>TABL123[[#This Row],[(A/B) AJD]]-TABL123[[#This Row],[BER_IN]]</f>
        <v>494</v>
      </c>
      <c r="AK128" s="68">
        <v>22</v>
      </c>
      <c r="AL128" s="88">
        <v>42.170099999999998</v>
      </c>
      <c r="AM128" s="88">
        <v>2661730</v>
      </c>
      <c r="AN128" s="88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hidden="1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4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9">
        <f>TABL123[[#This Row],[(A/B) AJD]]-TABL123[[#This Row],[BER_IN]]</f>
        <v>436</v>
      </c>
      <c r="AK129" s="68">
        <v>21</v>
      </c>
      <c r="AL129" s="88">
        <v>42.133600000000001</v>
      </c>
      <c r="AM129" s="88">
        <v>2642534</v>
      </c>
      <c r="AN129" s="88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hidden="1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4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9">
        <f>TABL123[[#This Row],[(A/B) AJD]]-TABL123[[#This Row],[BER_IN]]</f>
        <v>472</v>
      </c>
      <c r="AK130" s="68">
        <v>20</v>
      </c>
      <c r="AL130" s="88">
        <v>42.0944</v>
      </c>
      <c r="AM130" s="88">
        <v>2620580</v>
      </c>
      <c r="AN130" s="88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hidden="1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4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9">
        <f>TABL123[[#This Row],[(A/B) AJD]]-TABL123[[#This Row],[BER_IN]]</f>
        <v>504</v>
      </c>
      <c r="AK131" s="68">
        <v>21</v>
      </c>
      <c r="AL131" s="88">
        <v>42.033799999999999</v>
      </c>
      <c r="AM131" s="88">
        <v>2589050</v>
      </c>
      <c r="AN131" s="88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hidden="1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84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9">
        <f>TABL123[[#This Row],[(A/B) AJD]]-TABL123[[#This Row],[BER_IN]]</f>
        <v>502</v>
      </c>
      <c r="AK132" s="68">
        <v>23</v>
      </c>
      <c r="AL132" s="88">
        <v>41.994599999999998</v>
      </c>
      <c r="AM132" s="88">
        <v>2568280</v>
      </c>
      <c r="AN132" s="88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hidden="1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4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9">
        <f>TABL123[[#This Row],[(A/B) AJD]]-TABL123[[#This Row],[BER_IN]]</f>
        <v>496</v>
      </c>
      <c r="AK133" s="68">
        <v>23</v>
      </c>
      <c r="AL133" s="88">
        <v>41.935400000000001</v>
      </c>
      <c r="AM133" s="88">
        <v>2536790</v>
      </c>
      <c r="AN133" s="88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hidden="1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4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9">
        <f>TABL123[[#This Row],[(A/B) AJD]]-TABL123[[#This Row],[BER_IN]]</f>
        <v>459</v>
      </c>
      <c r="AK134" s="68">
        <v>22</v>
      </c>
      <c r="AL134" s="88">
        <v>41.8491</v>
      </c>
      <c r="AM134" s="88">
        <v>2490490</v>
      </c>
      <c r="AN134" s="88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hidden="1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4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9">
        <f>TABL123[[#This Row],[(A/B) AJD]]-TABL123[[#This Row],[BER_IN]]</f>
        <v>512</v>
      </c>
      <c r="AK135" s="68">
        <v>21</v>
      </c>
      <c r="AL135" s="88">
        <v>41.803199999999997</v>
      </c>
      <c r="AM135" s="88">
        <v>2466220</v>
      </c>
      <c r="AN135" s="88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hidden="1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4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9">
        <f>TABL123[[#This Row],[(A/B) AJD]]-TABL123[[#This Row],[BER_IN]]</f>
        <v>517</v>
      </c>
      <c r="AK136" s="68">
        <v>21</v>
      </c>
      <c r="AL136" s="88">
        <v>41.749600000000001</v>
      </c>
      <c r="AM136" s="88">
        <v>2437846</v>
      </c>
      <c r="AN136" s="88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hidden="1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4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9">
        <f>TABL123[[#This Row],[(A/B) AJD]]-TABL123[[#This Row],[BER_IN]]</f>
        <v>517</v>
      </c>
      <c r="AK137" s="68">
        <v>22</v>
      </c>
      <c r="AL137" s="88">
        <v>41.739400000000003</v>
      </c>
      <c r="AM137" s="88">
        <v>2432180</v>
      </c>
      <c r="AN137" s="88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hidden="1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4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9">
        <f>TABL123[[#This Row],[(A/B) AJD]]-TABL123[[#This Row],[BER_IN]]</f>
        <v>533</v>
      </c>
      <c r="AK138" s="68">
        <v>21</v>
      </c>
      <c r="AL138" s="88">
        <v>41.726900000000001</v>
      </c>
      <c r="AM138" s="88">
        <v>2425620</v>
      </c>
      <c r="AN138" s="88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hidden="1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4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9">
        <f>TABL123[[#This Row],[(A/B) AJD]]-TABL123[[#This Row],[BER_IN]]</f>
        <v>553</v>
      </c>
      <c r="AK139" s="68">
        <v>22</v>
      </c>
      <c r="AL139" s="88">
        <v>41.713000000000001</v>
      </c>
      <c r="AM139" s="88">
        <v>2418190</v>
      </c>
      <c r="AN139" s="88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hidden="1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4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9">
        <f>TABL123[[#This Row],[(A/B) AJD]]-TABL123[[#This Row],[BER_IN]]</f>
        <v>545</v>
      </c>
      <c r="AK140" s="68">
        <v>21</v>
      </c>
      <c r="AL140" s="88">
        <v>41.699399999999997</v>
      </c>
      <c r="AM140" s="88">
        <v>2410720</v>
      </c>
      <c r="AN140" s="88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hidden="1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4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9">
        <f>TABL123[[#This Row],[(A/B) AJD]]-TABL123[[#This Row],[BER_IN]]</f>
        <v>544</v>
      </c>
      <c r="AK141" s="68">
        <v>21</v>
      </c>
      <c r="AL141" s="88">
        <v>41.711100000000002</v>
      </c>
      <c r="AM141" s="88">
        <v>2417120</v>
      </c>
      <c r="AN141" s="88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hidden="1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4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9">
        <f>TABL123[[#This Row],[(A/B) AJD]]-TABL123[[#This Row],[BER_IN]]</f>
        <v>508</v>
      </c>
      <c r="AK142" s="68">
        <v>23</v>
      </c>
      <c r="AL142" s="88">
        <v>41.703400000000002</v>
      </c>
      <c r="AM142" s="88">
        <v>2412880</v>
      </c>
      <c r="AN142" s="88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hidden="1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4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9">
        <f>TABL123[[#This Row],[(A/B) AJD]]-TABL123[[#This Row],[BER_IN]]</f>
        <v>495</v>
      </c>
      <c r="AK143" s="68">
        <v>22</v>
      </c>
      <c r="AL143" s="88">
        <v>41.691400000000002</v>
      </c>
      <c r="AM143" s="88">
        <v>2406300</v>
      </c>
      <c r="AN143" s="88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hidden="1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4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9">
        <f>TABL123[[#This Row],[(A/B) AJD]]-TABL123[[#This Row],[BER_IN]]</f>
        <v>480</v>
      </c>
      <c r="AK144" s="68">
        <v>22</v>
      </c>
      <c r="AL144" s="88">
        <v>41.697400000000002</v>
      </c>
      <c r="AM144" s="88">
        <v>2409710</v>
      </c>
      <c r="AN144" s="88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hidden="1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4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9">
        <f>TABL123[[#This Row],[(A/B) AJD]]-TABL123[[#This Row],[BER_IN]]</f>
        <v>483</v>
      </c>
      <c r="AK145" s="68">
        <v>22</v>
      </c>
      <c r="AL145" s="88">
        <v>41.688200000000002</v>
      </c>
      <c r="AM145" s="88">
        <v>2404910</v>
      </c>
      <c r="AN145" s="88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hidden="1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4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9">
        <f>TABL123[[#This Row],[(A/B) AJD]]-TABL123[[#This Row],[BER_IN]]</f>
        <v>468</v>
      </c>
      <c r="AK146" s="68">
        <v>22</v>
      </c>
      <c r="AL146" s="88">
        <v>41.642600000000002</v>
      </c>
      <c r="AM146" s="88">
        <v>2381030</v>
      </c>
      <c r="AN146" s="88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hidden="1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4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9">
        <f>TABL123[[#This Row],[(A/B) AJD]]-TABL123[[#This Row],[BER_IN]]</f>
        <v>461</v>
      </c>
      <c r="AK147" s="68">
        <v>22</v>
      </c>
      <c r="AL147" s="88">
        <v>41.604100000000003</v>
      </c>
      <c r="AM147" s="88">
        <v>2360540</v>
      </c>
      <c r="AN147" s="88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hidden="1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4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9">
        <f>TABL123[[#This Row],[(A/B) AJD]]-TABL123[[#This Row],[BER_IN]]</f>
        <v>475</v>
      </c>
      <c r="AK148" s="68">
        <v>22</v>
      </c>
      <c r="AL148" s="88">
        <v>41.573099999999997</v>
      </c>
      <c r="AM148" s="88">
        <v>2343900</v>
      </c>
      <c r="AN148" s="88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hidden="1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4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9">
        <f>TABL123[[#This Row],[(A/B) AJD]]-TABL123[[#This Row],[BER_IN]]</f>
        <v>473</v>
      </c>
      <c r="AK149" s="68">
        <v>22</v>
      </c>
      <c r="AL149" s="88">
        <v>41.573099999999997</v>
      </c>
      <c r="AM149" s="88">
        <v>2343900</v>
      </c>
      <c r="AN149" s="88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hidden="1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4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9">
        <f>TABL123[[#This Row],[(A/B) AJD]]-TABL123[[#This Row],[BER_IN]]</f>
        <v>455</v>
      </c>
      <c r="AK150" s="68">
        <v>21</v>
      </c>
      <c r="AL150" s="88">
        <v>41.557600000000001</v>
      </c>
      <c r="AM150" s="88">
        <v>2335950</v>
      </c>
      <c r="AN150" s="88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hidden="1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4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9">
        <f>TABL123[[#This Row],[(A/B) AJD]]-TABL123[[#This Row],[BER_IN]]</f>
        <v>484</v>
      </c>
      <c r="AK151" s="68">
        <v>22</v>
      </c>
      <c r="AL151" s="88">
        <v>41.566299999999998</v>
      </c>
      <c r="AM151" s="88">
        <v>2340190</v>
      </c>
      <c r="AN151" s="88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hidden="1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4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9">
        <f>TABL123[[#This Row],[(A/B) AJD]]-TABL123[[#This Row],[BER_IN]]</f>
        <v>448</v>
      </c>
      <c r="AK152" s="68">
        <v>21</v>
      </c>
      <c r="AL152" s="88">
        <v>41.5505</v>
      </c>
      <c r="AM152" s="88">
        <v>2331710</v>
      </c>
      <c r="AN152" s="88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hidden="1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4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9">
        <f>TABL123[[#This Row],[(A/B) AJD]]-TABL123[[#This Row],[BER_IN]]</f>
        <v>515</v>
      </c>
      <c r="AK153" s="68">
        <v>22</v>
      </c>
      <c r="AL153" s="88">
        <v>41.536200000000001</v>
      </c>
      <c r="AM153" s="88">
        <v>2324390</v>
      </c>
      <c r="AN153" s="88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hidden="1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4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9">
        <f>TABL123[[#This Row],[(A/B) AJD]]-TABL123[[#This Row],[BER_IN]]</f>
        <v>514</v>
      </c>
      <c r="AK154" s="68">
        <v>21</v>
      </c>
      <c r="AL154" s="88">
        <v>41.519799999999996</v>
      </c>
      <c r="AM154" s="88">
        <v>2315820</v>
      </c>
      <c r="AN154" s="88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hidden="1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4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9">
        <f>TABL123[[#This Row],[(A/B) AJD]]-TABL123[[#This Row],[BER_IN]]</f>
        <v>485</v>
      </c>
      <c r="AK155" s="68">
        <v>22</v>
      </c>
      <c r="AL155" s="88">
        <v>41.496499999999997</v>
      </c>
      <c r="AM155" s="88">
        <v>2303630</v>
      </c>
      <c r="AN155" s="88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hidden="1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4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9">
        <f>TABL123[[#This Row],[(A/B) AJD]]-TABL123[[#This Row],[BER_IN]]</f>
        <v>488</v>
      </c>
      <c r="AK156" s="68">
        <v>21</v>
      </c>
      <c r="AL156" s="88">
        <v>41.472000000000001</v>
      </c>
      <c r="AM156" s="88">
        <v>2290380</v>
      </c>
      <c r="AN156" s="88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hidden="1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4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9">
        <f>TABL123[[#This Row],[(A/B) AJD]]-TABL123[[#This Row],[BER_IN]]</f>
        <v>478</v>
      </c>
      <c r="AK157" s="68">
        <v>20</v>
      </c>
      <c r="AL157" s="88">
        <v>41.435699999999997</v>
      </c>
      <c r="AM157" s="88">
        <v>2271293</v>
      </c>
      <c r="AN157" s="88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hidden="1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4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9">
        <f>TABL123[[#This Row],[(A/B) AJD]]-TABL123[[#This Row],[BER_IN]]</f>
        <v>472</v>
      </c>
      <c r="AK158" s="68">
        <v>21</v>
      </c>
      <c r="AL158" s="88">
        <v>41.411200000000001</v>
      </c>
      <c r="AM158" s="88">
        <v>2258290</v>
      </c>
      <c r="AN158" s="88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hidden="1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4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9">
        <f>TABL123[[#This Row],[(A/B) AJD]]-TABL123[[#This Row],[BER_IN]]</f>
        <v>483</v>
      </c>
      <c r="AK159" s="68">
        <v>21</v>
      </c>
      <c r="AL159" s="88">
        <v>41.373199999999997</v>
      </c>
      <c r="AM159" s="88">
        <v>2238560</v>
      </c>
      <c r="AN159" s="88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hidden="1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4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9">
        <f>TABL123[[#This Row],[(A/B) AJD]]-TABL123[[#This Row],[BER_IN]]</f>
        <v>487</v>
      </c>
      <c r="AK160" s="68">
        <v>22</v>
      </c>
      <c r="AL160" s="88">
        <v>41.348199999999999</v>
      </c>
      <c r="AM160" s="88">
        <v>2225350</v>
      </c>
      <c r="AN160" s="88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hidden="1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4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9">
        <f>TABL123[[#This Row],[(A/B) AJD]]-TABL123[[#This Row],[BER_IN]]</f>
        <v>480</v>
      </c>
      <c r="AK161" s="68">
        <v>21</v>
      </c>
      <c r="AL161" s="88">
        <v>41.3352</v>
      </c>
      <c r="AM161" s="88">
        <v>2218180</v>
      </c>
      <c r="AN161" s="88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hidden="1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4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9">
        <f>TABL123[[#This Row],[(A/B) AJD]]-TABL123[[#This Row],[BER_IN]]</f>
        <v>484</v>
      </c>
      <c r="AK162" s="68">
        <v>21</v>
      </c>
      <c r="AL162" s="88">
        <v>41.328699999999998</v>
      </c>
      <c r="AM162" s="88">
        <v>2214800</v>
      </c>
      <c r="AN162" s="88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hidden="1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4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9">
        <f>TABL123[[#This Row],[(A/B) AJD]]-TABL123[[#This Row],[BER_IN]]</f>
        <v>481</v>
      </c>
      <c r="AK163" s="68">
        <v>21</v>
      </c>
      <c r="AL163" s="88">
        <v>41.322800000000001</v>
      </c>
      <c r="AM163" s="88">
        <v>2211110</v>
      </c>
      <c r="AN163" s="88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hidden="1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4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9">
        <f>TABL123[[#This Row],[(A/B) AJD]]-TABL123[[#This Row],[BER_IN]]</f>
        <v>497</v>
      </c>
      <c r="AK164" s="68">
        <v>21</v>
      </c>
      <c r="AL164" s="88">
        <v>41.313499999999998</v>
      </c>
      <c r="AM164" s="88">
        <v>2206375</v>
      </c>
      <c r="AN164" s="88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hidden="1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4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9">
        <f>TABL123[[#This Row],[(A/B) AJD]]-TABL123[[#This Row],[BER_IN]]</f>
        <v>495</v>
      </c>
      <c r="AK165" s="68">
        <v>21</v>
      </c>
      <c r="AL165" s="88">
        <v>41.305799999999998</v>
      </c>
      <c r="AM165" s="88">
        <v>2202650</v>
      </c>
      <c r="AN165" s="88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hidden="1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4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9">
        <f>TABL123[[#This Row],[(A/B) AJD]]-TABL123[[#This Row],[BER_IN]]</f>
        <v>489</v>
      </c>
      <c r="AK166" s="68">
        <v>34</v>
      </c>
      <c r="AL166" s="88">
        <v>41.305100000000003</v>
      </c>
      <c r="AM166" s="88">
        <v>2202190</v>
      </c>
      <c r="AN166" s="88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hidden="1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4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9">
        <f>TABL123[[#This Row],[(A/B) AJD]]-TABL123[[#This Row],[BER_IN]]</f>
        <v>499</v>
      </c>
      <c r="AK167" s="68">
        <v>31</v>
      </c>
      <c r="AL167" s="88">
        <v>41.2988</v>
      </c>
      <c r="AM167" s="88">
        <v>2198960</v>
      </c>
      <c r="AN167" s="88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hidden="1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4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9">
        <f>TABL123[[#This Row],[(A/B) AJD]]-TABL123[[#This Row],[BER_IN]]</f>
        <v>495</v>
      </c>
      <c r="AK168" s="68">
        <v>27</v>
      </c>
      <c r="AL168" s="88">
        <v>41.288400000000003</v>
      </c>
      <c r="AM168" s="88">
        <v>2193170</v>
      </c>
      <c r="AN168" s="88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hidden="1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4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9">
        <f>TABL123[[#This Row],[(A/B) AJD]]-TABL123[[#This Row],[BER_IN]]</f>
        <v>480</v>
      </c>
      <c r="AK169" s="68">
        <v>28</v>
      </c>
      <c r="AL169" s="88">
        <v>41.29</v>
      </c>
      <c r="AM169" s="88">
        <v>2194210</v>
      </c>
      <c r="AN169" s="88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hidden="1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4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9">
        <f>TABL123[[#This Row],[(A/B) AJD]]-TABL123[[#This Row],[BER_IN]]</f>
        <v>511</v>
      </c>
      <c r="AK170" s="68">
        <v>30</v>
      </c>
      <c r="AL170" s="88">
        <v>41.296999999999997</v>
      </c>
      <c r="AM170" s="88">
        <v>2197980</v>
      </c>
      <c r="AN170" s="88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hidden="1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4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9">
        <f>TABL123[[#This Row],[(A/B) AJD]]-TABL123[[#This Row],[BER_IN]]</f>
        <v>506</v>
      </c>
      <c r="AK171" s="68">
        <v>30</v>
      </c>
      <c r="AL171" s="88">
        <v>41.245199999999997</v>
      </c>
      <c r="AM171" s="88">
        <v>2170510</v>
      </c>
      <c r="AN171" s="88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hidden="1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4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9">
        <f>TABL123[[#This Row],[(A/B) AJD]]-TABL123[[#This Row],[BER_IN]]</f>
        <v>530</v>
      </c>
      <c r="AK172" s="68">
        <v>30</v>
      </c>
      <c r="AL172" s="88">
        <v>41.244999999999997</v>
      </c>
      <c r="AM172" s="88">
        <v>2170490</v>
      </c>
      <c r="AN172" s="88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hidden="1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4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9">
        <f>TABL123[[#This Row],[(A/B) AJD]]-TABL123[[#This Row],[BER_IN]]</f>
        <v>506</v>
      </c>
      <c r="AK173" s="68">
        <v>30</v>
      </c>
      <c r="AL173" s="88">
        <v>41.2286</v>
      </c>
      <c r="AM173" s="88">
        <v>2162020</v>
      </c>
      <c r="AN173" s="88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hidden="1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4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9">
        <f>TABL123[[#This Row],[(A/B) AJD]]-TABL123[[#This Row],[BER_IN]]</f>
        <v>505</v>
      </c>
      <c r="AK174" s="68">
        <v>30</v>
      </c>
      <c r="AL174" s="88">
        <v>41.183</v>
      </c>
      <c r="AM174" s="88">
        <v>2137770</v>
      </c>
      <c r="AN174" s="88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hidden="1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4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9">
        <f>TABL123[[#This Row],[(A/B) AJD]]-TABL123[[#This Row],[BER_IN]]</f>
        <v>498</v>
      </c>
      <c r="AK175" s="68">
        <v>30</v>
      </c>
      <c r="AL175" s="88">
        <v>41.145099999999999</v>
      </c>
      <c r="AM175" s="88">
        <v>2117740</v>
      </c>
      <c r="AN175" s="88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hidden="1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4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9">
        <f>TABL123[[#This Row],[(A/B) AJD]]-TABL123[[#This Row],[BER_IN]]</f>
        <v>487</v>
      </c>
      <c r="AK176" s="68">
        <v>30</v>
      </c>
      <c r="AL176" s="88">
        <v>41.128399999999999</v>
      </c>
      <c r="AM176" s="88">
        <v>2109030</v>
      </c>
      <c r="AN176" s="88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hidden="1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4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9">
        <f>TABL123[[#This Row],[(A/B) AJD]]-TABL123[[#This Row],[BER_IN]]</f>
        <v>466</v>
      </c>
      <c r="AK177" s="68">
        <v>16</v>
      </c>
      <c r="AL177" s="88">
        <v>41.130899999999997</v>
      </c>
      <c r="AM177" s="88">
        <v>2110370</v>
      </c>
      <c r="AN177" s="88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hidden="1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4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9">
        <f>TABL123[[#This Row],[(A/B) AJD]]-TABL123[[#This Row],[BER_IN]]</f>
        <v>513</v>
      </c>
      <c r="AK178" s="68">
        <v>13</v>
      </c>
      <c r="AL178" s="88">
        <v>41.135800000000003</v>
      </c>
      <c r="AM178" s="88">
        <v>2113010</v>
      </c>
      <c r="AN178" s="88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hidden="1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4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9">
        <f>TABL123[[#This Row],[(A/B) AJD]]-TABL123[[#This Row],[BER_IN]]</f>
        <v>515</v>
      </c>
      <c r="AK179" s="68">
        <v>13</v>
      </c>
      <c r="AL179" s="88">
        <v>41.137999999999998</v>
      </c>
      <c r="AM179" s="88">
        <v>2114640</v>
      </c>
      <c r="AN179" s="88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hidden="1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4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9">
        <f>TABL123[[#This Row],[(A/B) AJD]]-TABL123[[#This Row],[BER_IN]]</f>
        <v>512</v>
      </c>
      <c r="AK180" s="68">
        <v>14</v>
      </c>
      <c r="AL180" s="88">
        <v>41.145000000000003</v>
      </c>
      <c r="AM180" s="88">
        <v>2114380</v>
      </c>
      <c r="AN180" s="88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hidden="1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4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9">
        <f>TABL123[[#This Row],[(A/B) AJD]]-TABL123[[#This Row],[BER_IN]]</f>
        <v>510</v>
      </c>
      <c r="AK181" s="68">
        <v>13</v>
      </c>
      <c r="AL181" s="88">
        <v>41.118600000000001</v>
      </c>
      <c r="AM181" s="88">
        <v>2103570</v>
      </c>
      <c r="AN181" s="88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hidden="1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4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9">
        <f>TABL123[[#This Row],[(A/B) AJD]]-TABL123[[#This Row],[BER_IN]]</f>
        <v>518</v>
      </c>
      <c r="AK182" s="68">
        <v>14</v>
      </c>
      <c r="AL182" s="88">
        <v>41.096400000000003</v>
      </c>
      <c r="AM182" s="88">
        <v>2092440</v>
      </c>
      <c r="AN182" s="88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hidden="1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4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9">
        <f>TABL123[[#This Row],[(A/B) AJD]]-TABL123[[#This Row],[BER_IN]]</f>
        <v>515</v>
      </c>
      <c r="AK183" s="68">
        <v>13</v>
      </c>
      <c r="AL183" s="88">
        <v>41.068199999999997</v>
      </c>
      <c r="AM183" s="88">
        <v>2077210</v>
      </c>
      <c r="AN183" s="88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hidden="1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4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9">
        <f>TABL123[[#This Row],[(A/B) AJD]]-TABL123[[#This Row],[BER_IN]]</f>
        <v>491</v>
      </c>
      <c r="AK184" s="68">
        <v>13</v>
      </c>
      <c r="AL184" s="88">
        <v>41.0381</v>
      </c>
      <c r="AM184" s="88">
        <v>2061430</v>
      </c>
      <c r="AN184" s="88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hidden="1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4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9">
        <f>TABL123[[#This Row],[(A/B) AJD]]-TABL123[[#This Row],[BER_IN]]</f>
        <v>474</v>
      </c>
      <c r="AK185" s="68">
        <v>13</v>
      </c>
      <c r="AL185" s="88">
        <v>41.0015</v>
      </c>
      <c r="AM185" s="88">
        <v>2042032</v>
      </c>
      <c r="AN185" s="88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hidden="1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4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9">
        <f>TABL123[[#This Row],[(A/B) AJD]]-TABL123[[#This Row],[BER_IN]]</f>
        <v>521</v>
      </c>
      <c r="AK186" s="68">
        <v>14</v>
      </c>
      <c r="AL186" s="88">
        <v>41.000700000000002</v>
      </c>
      <c r="AM186" s="88">
        <v>2041850</v>
      </c>
      <c r="AN186" s="88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hidden="1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4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9">
        <f>TABL123[[#This Row],[(A/B) AJD]]-TABL123[[#This Row],[BER_IN]]</f>
        <v>517</v>
      </c>
      <c r="AK187" s="68">
        <v>13</v>
      </c>
      <c r="AL187" s="88">
        <v>40.9925</v>
      </c>
      <c r="AM187" s="88">
        <v>2037770</v>
      </c>
      <c r="AN187" s="88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hidden="1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4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9">
        <f>TABL123[[#This Row],[(A/B) AJD]]-TABL123[[#This Row],[BER_IN]]</f>
        <v>529</v>
      </c>
      <c r="AK188" s="68">
        <v>14</v>
      </c>
      <c r="AL188" s="88">
        <v>40.979300000000002</v>
      </c>
      <c r="AM188" s="88">
        <v>2030920</v>
      </c>
      <c r="AN188" s="88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hidden="1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4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9">
        <f>TABL123[[#This Row],[(A/B) AJD]]-TABL123[[#This Row],[BER_IN]]</f>
        <v>517</v>
      </c>
      <c r="AK189" s="68">
        <v>22</v>
      </c>
      <c r="AL189" s="88">
        <v>40.976100000000002</v>
      </c>
      <c r="AM189" s="88">
        <v>2028840</v>
      </c>
      <c r="AN189" s="88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hidden="1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4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9">
        <f>TABL123[[#This Row],[(A/B) AJD]]-TABL123[[#This Row],[BER_IN]]</f>
        <v>509</v>
      </c>
      <c r="AK190" s="68">
        <v>23</v>
      </c>
      <c r="AL190" s="88">
        <v>40.973399999999998</v>
      </c>
      <c r="AM190" s="88">
        <v>2027130</v>
      </c>
      <c r="AN190" s="88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hidden="1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4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9">
        <f>TABL123[[#This Row],[(A/B) AJD]]-TABL123[[#This Row],[BER_IN]]</f>
        <v>503</v>
      </c>
      <c r="AK191" s="68">
        <v>32</v>
      </c>
      <c r="AL191" s="88">
        <v>40.979100000000003</v>
      </c>
      <c r="AM191" s="88">
        <v>2028840</v>
      </c>
      <c r="AN191" s="88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hidden="1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4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9">
        <f>TABL123[[#This Row],[(A/B) AJD]]-TABL123[[#This Row],[BER_IN]]</f>
        <v>482</v>
      </c>
      <c r="AK192" s="68">
        <v>41</v>
      </c>
      <c r="AL192" s="88">
        <v>40.978700000000003</v>
      </c>
      <c r="AM192" s="88">
        <v>2030220</v>
      </c>
      <c r="AN192" s="88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hidden="1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4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9">
        <f>TABL123[[#This Row],[(A/B) AJD]]-TABL123[[#This Row],[BER_IN]]</f>
        <v>490</v>
      </c>
      <c r="AK193" s="68">
        <v>42</v>
      </c>
      <c r="AL193" s="88">
        <v>40.9848</v>
      </c>
      <c r="AM193" s="88">
        <v>2033560</v>
      </c>
      <c r="AN193" s="88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hidden="1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4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9">
        <f>TABL123[[#This Row],[(A/B) AJD]]-TABL123[[#This Row],[BER_IN]]</f>
        <v>502</v>
      </c>
      <c r="AK194" s="68">
        <v>60</v>
      </c>
      <c r="AL194" s="88">
        <v>41.0366</v>
      </c>
      <c r="AM194" s="88">
        <v>2060900</v>
      </c>
      <c r="AN194" s="88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hidden="1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4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9">
        <f>TABL123[[#This Row],[(A/B) AJD]]-TABL123[[#This Row],[BER_IN]]</f>
        <v>501</v>
      </c>
      <c r="AK195" s="68">
        <v>68</v>
      </c>
      <c r="AL195" s="88">
        <v>41.119100000000003</v>
      </c>
      <c r="AM195" s="88">
        <v>2104220</v>
      </c>
      <c r="AN195" s="88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hidden="1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84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9">
        <f>TABL123[[#This Row],[(A/B) AJD]]-TABL123[[#This Row],[BER_IN]]</f>
        <v>500</v>
      </c>
      <c r="AK196" s="68">
        <v>70</v>
      </c>
      <c r="AL196" s="88">
        <v>41.213700000000003</v>
      </c>
      <c r="AM196" s="88">
        <v>2154110</v>
      </c>
      <c r="AN196" s="88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hidden="1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4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9">
        <f>TABL123[[#This Row],[(A/B) AJD]]-TABL123[[#This Row],[BER_IN]]</f>
        <v>491</v>
      </c>
      <c r="AK197" s="68">
        <v>71</v>
      </c>
      <c r="AL197" s="88">
        <v>41.320300000000003</v>
      </c>
      <c r="AM197" s="88">
        <v>2210540</v>
      </c>
      <c r="AN197" s="88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hidden="1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4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9">
        <f>TABL123[[#This Row],[(A/B) AJD]]-TABL123[[#This Row],[BER_IN]]</f>
        <v>494</v>
      </c>
      <c r="AK198" s="68">
        <v>70</v>
      </c>
      <c r="AL198" s="88">
        <v>41.420499999999997</v>
      </c>
      <c r="AM198" s="88">
        <v>2263420</v>
      </c>
      <c r="AN198" s="88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hidden="1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4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9">
        <f>TABL123[[#This Row],[(A/B) AJD]]-TABL123[[#This Row],[BER_IN]]</f>
        <v>489</v>
      </c>
      <c r="AK199" s="68">
        <v>51</v>
      </c>
      <c r="AL199" s="88">
        <v>41.489100000000001</v>
      </c>
      <c r="AM199" s="88">
        <v>2299400</v>
      </c>
      <c r="AN199" s="88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hidden="1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4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9">
        <f>TABL123[[#This Row],[(A/B) AJD]]-TABL123[[#This Row],[BER_IN]]</f>
        <v>436</v>
      </c>
      <c r="AK200" s="68">
        <v>42</v>
      </c>
      <c r="AL200" s="88">
        <v>41.5</v>
      </c>
      <c r="AM200" s="88">
        <v>2304060</v>
      </c>
      <c r="AN200" s="88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hidden="1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4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9">
        <f>TABL123[[#This Row],[(A/B) AJD]]-TABL123[[#This Row],[BER_IN]]</f>
        <v>403</v>
      </c>
      <c r="AK201" s="68">
        <v>21</v>
      </c>
      <c r="AL201" s="88">
        <v>41.534999999999997</v>
      </c>
      <c r="AM201" s="88">
        <v>2322990</v>
      </c>
      <c r="AN201" s="88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hidden="1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4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9">
        <f>TABL123[[#This Row],[(A/B) AJD]]-TABL123[[#This Row],[BER_IN]]</f>
        <v>429</v>
      </c>
      <c r="AK202" s="68">
        <v>0</v>
      </c>
      <c r="AL202" s="88">
        <v>41.502800000000001</v>
      </c>
      <c r="AM202" s="88">
        <v>2306820</v>
      </c>
      <c r="AN202" s="88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hidden="1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4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9">
        <f>TABL123[[#This Row],[(A/B) AJD]]-TABL123[[#This Row],[BER_IN]]</f>
        <v>475</v>
      </c>
      <c r="AK203" s="68">
        <v>0</v>
      </c>
      <c r="AL203" s="88">
        <v>41.482100000000003</v>
      </c>
      <c r="AM203" s="88">
        <v>2295170</v>
      </c>
      <c r="AN203" s="88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hidden="1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4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9">
        <f>TABL123[[#This Row],[(A/B) AJD]]-TABL123[[#This Row],[BER_IN]]</f>
        <v>502</v>
      </c>
      <c r="AK204" s="68">
        <v>0</v>
      </c>
      <c r="AL204" s="88">
        <v>41.4664</v>
      </c>
      <c r="AM204" s="88">
        <v>2287280</v>
      </c>
      <c r="AN204" s="88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hidden="1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4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9">
        <f>TABL123[[#This Row],[(A/B) AJD]]-TABL123[[#This Row],[BER_IN]]</f>
        <v>509</v>
      </c>
      <c r="AK205" s="68">
        <v>0</v>
      </c>
      <c r="AL205" s="88">
        <v>41.449399999999997</v>
      </c>
      <c r="AM205" s="88">
        <v>2278040</v>
      </c>
      <c r="AN205" s="88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hidden="1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4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9">
        <f>TABL123[[#This Row],[(A/B) AJD]]-TABL123[[#This Row],[BER_IN]]</f>
        <v>447</v>
      </c>
      <c r="AK206" s="68">
        <v>0</v>
      </c>
      <c r="AL206" s="88">
        <v>41.427700000000002</v>
      </c>
      <c r="AM206" s="88">
        <v>2267130</v>
      </c>
      <c r="AN206" s="88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hidden="1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4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9">
        <f>TABL123[[#This Row],[(A/B) AJD]]-TABL123[[#This Row],[BER_IN]]</f>
        <v>399</v>
      </c>
      <c r="AK207" s="68">
        <v>0</v>
      </c>
      <c r="AL207" s="88">
        <v>41.4176</v>
      </c>
      <c r="AM207" s="88">
        <v>2261480</v>
      </c>
      <c r="AN207" s="88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hidden="1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4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9">
        <f>TABL123[[#This Row],[(A/B) AJD]]-TABL123[[#This Row],[BER_IN]]</f>
        <v>413</v>
      </c>
      <c r="AK208" s="68">
        <v>0</v>
      </c>
      <c r="AL208" s="88">
        <v>41.412799999999997</v>
      </c>
      <c r="AM208" s="88">
        <v>2259190</v>
      </c>
      <c r="AN208" s="88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hidden="1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4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9">
        <f>TABL123[[#This Row],[(A/B) AJD]]-TABL123[[#This Row],[BER_IN]]</f>
        <v>448</v>
      </c>
      <c r="AK209" s="68">
        <v>0</v>
      </c>
      <c r="AL209" s="88">
        <v>41.380200000000002</v>
      </c>
      <c r="AM209" s="88">
        <v>2241950</v>
      </c>
      <c r="AN209" s="88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hidden="1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4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9">
        <f>TABL123[[#This Row],[(A/B) AJD]]-TABL123[[#This Row],[BER_IN]]</f>
        <v>479</v>
      </c>
      <c r="AK210" s="68">
        <v>0</v>
      </c>
      <c r="AL210" s="88">
        <v>41.343600000000002</v>
      </c>
      <c r="AM210" s="88">
        <v>2222630</v>
      </c>
      <c r="AN210" s="88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hidden="1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4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9">
        <f>TABL123[[#This Row],[(A/B) AJD]]-TABL123[[#This Row],[BER_IN]]</f>
        <v>505</v>
      </c>
      <c r="AK211" s="68">
        <v>15</v>
      </c>
      <c r="AL211" s="88">
        <v>41.328699999999998</v>
      </c>
      <c r="AM211" s="88">
        <v>2214800</v>
      </c>
      <c r="AN211" s="88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hidden="1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4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9">
        <f>TABL123[[#This Row],[(A/B) AJD]]-TABL123[[#This Row],[BER_IN]]</f>
        <v>452</v>
      </c>
      <c r="AK212" s="68">
        <v>20</v>
      </c>
      <c r="AL212" s="88">
        <v>41.328600000000002</v>
      </c>
      <c r="AM212" s="88">
        <v>2213500</v>
      </c>
      <c r="AN212" s="88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hidden="1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4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9">
        <f>TABL123[[#This Row],[(A/B) AJD]]-TABL123[[#This Row],[BER_IN]]</f>
        <v>494</v>
      </c>
      <c r="AK213" s="68">
        <v>22</v>
      </c>
      <c r="AL213" s="88">
        <v>41.319699999999997</v>
      </c>
      <c r="AM213" s="88">
        <v>2210030</v>
      </c>
      <c r="AN213" s="88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hidden="1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4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9">
        <f>TABL123[[#This Row],[(A/B) AJD]]-TABL123[[#This Row],[BER_IN]]</f>
        <v>427</v>
      </c>
      <c r="AK214" s="68">
        <v>23</v>
      </c>
      <c r="AL214" s="88">
        <v>41.328699999999998</v>
      </c>
      <c r="AM214" s="88">
        <v>2214800</v>
      </c>
      <c r="AN214" s="88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hidden="1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4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9">
        <f>TABL123[[#This Row],[(A/B) AJD]]-TABL123[[#This Row],[BER_IN]]</f>
        <v>476</v>
      </c>
      <c r="AK215" s="68">
        <v>21</v>
      </c>
      <c r="AL215" s="88">
        <v>41.271799999999999</v>
      </c>
      <c r="AM215" s="88">
        <v>2184700</v>
      </c>
      <c r="AN215" s="88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hidden="1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4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9">
        <f>TABL123[[#This Row],[(A/B) AJD]]-TABL123[[#This Row],[BER_IN]]</f>
        <v>494</v>
      </c>
      <c r="AK216" s="68">
        <v>41</v>
      </c>
      <c r="AL216" s="88">
        <v>41.247999999999998</v>
      </c>
      <c r="AM216" s="88">
        <v>2171750</v>
      </c>
      <c r="AN216" s="88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hidden="1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4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9">
        <f>TABL123[[#This Row],[(A/B) AJD]]-TABL123[[#This Row],[BER_IN]]</f>
        <v>502</v>
      </c>
      <c r="AK217" s="68">
        <v>45</v>
      </c>
      <c r="AL217" s="88">
        <v>41.244999999999997</v>
      </c>
      <c r="AM217" s="88">
        <v>2170460</v>
      </c>
      <c r="AN217" s="88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hidden="1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4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9">
        <f>TABL123[[#This Row],[(A/B) AJD]]-TABL123[[#This Row],[BER_IN]]</f>
        <v>487</v>
      </c>
      <c r="AK218" s="68">
        <v>50</v>
      </c>
      <c r="AL218" s="88">
        <v>41.2986</v>
      </c>
      <c r="AM218" s="88">
        <v>2198960</v>
      </c>
      <c r="AN218" s="88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hidden="1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4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9">
        <f>TABL123[[#This Row],[(A/B) AJD]]-TABL123[[#This Row],[BER_IN]]</f>
        <v>471</v>
      </c>
      <c r="AK219" s="68">
        <v>58</v>
      </c>
      <c r="AL219" s="88">
        <v>41.331000000000003</v>
      </c>
      <c r="AM219" s="88">
        <v>2215980</v>
      </c>
      <c r="AN219" s="88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hidden="1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4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9">
        <f>TABL123[[#This Row],[(A/B) AJD]]-TABL123[[#This Row],[BER_IN]]</f>
        <v>455</v>
      </c>
      <c r="AK220" s="68">
        <v>80</v>
      </c>
      <c r="AL220" s="88">
        <v>41.331000000000003</v>
      </c>
      <c r="AM220" s="88">
        <v>2280368</v>
      </c>
      <c r="AN220" s="88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hidden="1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4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9">
        <f>TABL123[[#This Row],[(A/B) AJD]]-TABL123[[#This Row],[BER_IN]]</f>
        <v>430</v>
      </c>
      <c r="AK221" s="68">
        <v>87</v>
      </c>
      <c r="AL221" s="88">
        <v>41.453600000000002</v>
      </c>
      <c r="AM221" s="88">
        <v>2343099</v>
      </c>
      <c r="AN221" s="88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hidden="1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4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9">
        <f>TABL123[[#This Row],[(A/B) AJD]]-TABL123[[#This Row],[BER_IN]]</f>
        <v>395</v>
      </c>
      <c r="AK222" s="68">
        <v>93</v>
      </c>
      <c r="AL222" s="88">
        <v>41.688200000000002</v>
      </c>
      <c r="AM222" s="88">
        <v>2404913</v>
      </c>
      <c r="AN222" s="88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hidden="1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4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9">
        <f>TABL123[[#This Row],[(A/B) AJD]]-TABL123[[#This Row],[BER_IN]]</f>
        <v>383</v>
      </c>
      <c r="AK223" s="68">
        <v>120</v>
      </c>
      <c r="AL223" s="88">
        <v>41.848799999999997</v>
      </c>
      <c r="AM223" s="88">
        <v>2490499</v>
      </c>
      <c r="AN223" s="88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hidden="1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4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9">
        <f>TABL123[[#This Row],[(A/B) AJD]]-TABL123[[#This Row],[BER_IN]]</f>
        <v>409</v>
      </c>
      <c r="AK224" s="68">
        <v>141</v>
      </c>
      <c r="AL224" s="88">
        <v>42.0854</v>
      </c>
      <c r="AM224" s="88">
        <v>2616840</v>
      </c>
      <c r="AN224" s="88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hidden="1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4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9">
        <f>TABL123[[#This Row],[(A/B) AJD]]-TABL123[[#This Row],[BER_IN]]</f>
        <v>446</v>
      </c>
      <c r="AK225" s="68">
        <v>153</v>
      </c>
      <c r="AL225" s="88">
        <v>42.323300000000003</v>
      </c>
      <c r="AM225" s="88">
        <v>2743630</v>
      </c>
      <c r="AN225" s="88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hidden="1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4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9">
        <f>TABL123[[#This Row],[(A/B) AJD]]-TABL123[[#This Row],[BER_IN]]</f>
        <v>464</v>
      </c>
      <c r="AK226" s="68">
        <v>151</v>
      </c>
      <c r="AL226" s="88">
        <v>42.583199999999998</v>
      </c>
      <c r="AM226" s="88">
        <v>2883220</v>
      </c>
      <c r="AN226" s="88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hidden="1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4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9">
        <f>TABL123[[#This Row],[(A/B) AJD]]-TABL123[[#This Row],[BER_IN]]</f>
        <v>465</v>
      </c>
      <c r="AK227" s="68">
        <v>153</v>
      </c>
      <c r="AL227" s="88">
        <v>42.850900000000003</v>
      </c>
      <c r="AM227" s="88">
        <v>3027660</v>
      </c>
      <c r="AN227" s="88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hidden="1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4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9">
        <f>TABL123[[#This Row],[(A/B) AJD]]-TABL123[[#This Row],[BER_IN]]</f>
        <v>482</v>
      </c>
      <c r="AK228" s="68">
        <v>132</v>
      </c>
      <c r="AL228" s="88">
        <v>43.091700000000003</v>
      </c>
      <c r="AM228" s="88">
        <v>3157820</v>
      </c>
      <c r="AN228" s="88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hidden="1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4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9">
        <f>TABL123[[#This Row],[(A/B) AJD]]-TABL123[[#This Row],[BER_IN]]</f>
        <v>475</v>
      </c>
      <c r="AK229" s="68">
        <v>122</v>
      </c>
      <c r="AL229" s="88">
        <v>43.300600000000003</v>
      </c>
      <c r="AM229" s="88">
        <v>3271450</v>
      </c>
      <c r="AN229" s="88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hidden="1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4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9">
        <f>TABL123[[#This Row],[(A/B) AJD]]-TABL123[[#This Row],[BER_IN]]</f>
        <v>480</v>
      </c>
      <c r="AK230" s="68">
        <v>92</v>
      </c>
      <c r="AL230" s="88">
        <v>43.420900000000003</v>
      </c>
      <c r="AM230" s="88">
        <v>3334980</v>
      </c>
      <c r="AN230" s="88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hidden="1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4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9">
        <f>TABL123[[#This Row],[(A/B) AJD]]-TABL123[[#This Row],[BER_IN]]</f>
        <v>503</v>
      </c>
      <c r="AK231" s="68">
        <v>82</v>
      </c>
      <c r="AL231" s="88">
        <v>43.521999999999998</v>
      </c>
      <c r="AM231" s="88">
        <v>3390043</v>
      </c>
      <c r="AN231" s="88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hidden="1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2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4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9">
        <f>TABL123[[#This Row],[(A/B) AJD]]-TABL123[[#This Row],[BER_IN]]</f>
        <v>504</v>
      </c>
      <c r="AK232" s="68">
        <v>70</v>
      </c>
      <c r="AL232" s="88">
        <v>43.555</v>
      </c>
      <c r="AM232" s="88">
        <v>3408031</v>
      </c>
      <c r="AN232" s="88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hidden="1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4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9">
        <f>TABL123[[#This Row],[(A/B) AJD]]-TABL123[[#This Row],[BER_IN]]</f>
        <v>497</v>
      </c>
      <c r="AK233" s="68">
        <v>74</v>
      </c>
      <c r="AL233" s="88">
        <v>43.512</v>
      </c>
      <c r="AM233" s="88">
        <v>3384593</v>
      </c>
      <c r="AN233" s="88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hidden="1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4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9">
        <f>TABL123[[#This Row],[(A/B) AJD]]-TABL123[[#This Row],[BER_IN]]</f>
        <v>439</v>
      </c>
      <c r="AK234" s="68">
        <v>45</v>
      </c>
      <c r="AL234" s="88">
        <v>43.3795</v>
      </c>
      <c r="AM234" s="88">
        <v>3313880</v>
      </c>
      <c r="AN234" s="88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hidden="1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4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9">
        <f>TABL123[[#This Row],[(A/B) AJD]]-TABL123[[#This Row],[BER_IN]]</f>
        <v>444</v>
      </c>
      <c r="AK235" s="68">
        <v>0</v>
      </c>
      <c r="AL235" s="88">
        <v>43.203299999999999</v>
      </c>
      <c r="AM235" s="88">
        <v>3218240</v>
      </c>
      <c r="AN235" s="88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hidden="1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4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9">
        <f>TABL123[[#This Row],[(A/B) AJD]]-TABL123[[#This Row],[BER_IN]]</f>
        <v>419</v>
      </c>
      <c r="AK236" s="68">
        <v>0</v>
      </c>
      <c r="AL236" s="88">
        <v>43.134099999999997</v>
      </c>
      <c r="AM236" s="88">
        <v>3180790</v>
      </c>
      <c r="AN236" s="88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hidden="1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4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9">
        <f>TABL123[[#This Row],[(A/B) AJD]]-TABL123[[#This Row],[BER_IN]]</f>
        <v>472</v>
      </c>
      <c r="AK237" s="68">
        <v>0</v>
      </c>
      <c r="AL237" s="88">
        <v>43.095599999999997</v>
      </c>
      <c r="AM237" s="88">
        <v>3160200</v>
      </c>
      <c r="AN237" s="88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hidden="1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4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9">
        <f>TABL123[[#This Row],[(A/B) AJD]]-TABL123[[#This Row],[BER_IN]]</f>
        <v>419</v>
      </c>
      <c r="AK238" s="68">
        <v>0</v>
      </c>
      <c r="AL238" s="88">
        <v>43.050199999999997</v>
      </c>
      <c r="AM238" s="88">
        <v>3134740</v>
      </c>
      <c r="AN238" s="88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hidden="1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4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9">
        <f>TABL123[[#This Row],[(A/B) AJD]]-TABL123[[#This Row],[BER_IN]]</f>
        <v>469</v>
      </c>
      <c r="AK239" s="68">
        <v>0</v>
      </c>
      <c r="AL239" s="88">
        <v>43.0426</v>
      </c>
      <c r="AM239" s="88">
        <v>3131220</v>
      </c>
      <c r="AN239" s="88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hidden="1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4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9">
        <f>TABL123[[#This Row],[(A/B) AJD]]-TABL123[[#This Row],[BER_IN]]</f>
        <v>492</v>
      </c>
      <c r="AK240" s="68">
        <v>12</v>
      </c>
      <c r="AL240" s="88">
        <v>43.049399999999999</v>
      </c>
      <c r="AM240" s="88">
        <v>3134730</v>
      </c>
      <c r="AN240" s="88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hidden="1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4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9">
        <f>TABL123[[#This Row],[(A/B) AJD]]-TABL123[[#This Row],[BER_IN]]</f>
        <v>497</v>
      </c>
      <c r="AK241" s="68">
        <v>0</v>
      </c>
      <c r="AL241" s="88">
        <v>43.0077</v>
      </c>
      <c r="AM241" s="88">
        <v>3112500</v>
      </c>
      <c r="AN241" s="88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hidden="1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4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9">
        <f>TABL123[[#This Row],[(A/B) AJD]]-TABL123[[#This Row],[BER_IN]]</f>
        <v>476</v>
      </c>
      <c r="AK242" s="68">
        <v>0</v>
      </c>
      <c r="AL242" s="88">
        <v>43.002699999999997</v>
      </c>
      <c r="AM242" s="88">
        <v>3108990</v>
      </c>
      <c r="AN242" s="88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hidden="1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4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9">
        <f>TABL123[[#This Row],[(A/B) AJD]]-TABL123[[#This Row],[BER_IN]]</f>
        <v>483</v>
      </c>
      <c r="AK243" s="68">
        <v>28</v>
      </c>
      <c r="AL243" s="88">
        <v>42.983499999999999</v>
      </c>
      <c r="AM243" s="88">
        <v>3099020</v>
      </c>
      <c r="AN243" s="88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hidden="1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4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9">
        <f>TABL123[[#This Row],[(A/B) AJD]]-TABL123[[#This Row],[BER_IN]]</f>
        <v>483</v>
      </c>
      <c r="AK244" s="68">
        <v>43</v>
      </c>
      <c r="AL244" s="88">
        <v>43.018900000000002</v>
      </c>
      <c r="AM244" s="88">
        <v>3118490</v>
      </c>
      <c r="AN244" s="88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hidden="1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4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9">
        <f>TABL123[[#This Row],[(A/B) AJD]]-TABL123[[#This Row],[BER_IN]]</f>
        <v>491</v>
      </c>
      <c r="AK245" s="68">
        <v>43</v>
      </c>
      <c r="AL245" s="88">
        <v>43.018900000000002</v>
      </c>
      <c r="AM245" s="88">
        <v>3118490</v>
      </c>
      <c r="AN245" s="88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hidden="1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4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9">
        <f>TABL123[[#This Row],[(A/B) AJD]]-TABL123[[#This Row],[BER_IN]]</f>
        <v>494</v>
      </c>
      <c r="AK246" s="68">
        <v>42</v>
      </c>
      <c r="AL246" s="88">
        <v>43.122999999999998</v>
      </c>
      <c r="AM246" s="88">
        <v>3175280</v>
      </c>
      <c r="AN246" s="88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hidden="1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4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9">
        <f>TABL123[[#This Row],[(A/B) AJD]]-TABL123[[#This Row],[BER_IN]]</f>
        <v>520</v>
      </c>
      <c r="AK247" s="68">
        <v>16</v>
      </c>
      <c r="AL247" s="88">
        <v>43.104399999999998</v>
      </c>
      <c r="AM247" s="88">
        <v>3166401</v>
      </c>
      <c r="AN247" s="88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hidden="1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4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9">
        <f>TABL123[[#This Row],[(A/B) AJD]]-TABL123[[#This Row],[BER_IN]]</f>
        <v>520</v>
      </c>
      <c r="AK248" s="68">
        <v>0</v>
      </c>
      <c r="AL248" s="88">
        <v>43.0627</v>
      </c>
      <c r="AM248" s="88">
        <v>3142146</v>
      </c>
      <c r="AN248" s="88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hidden="1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4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9">
        <f>TABL123[[#This Row],[(A/B) AJD]]-TABL123[[#This Row],[BER_IN]]</f>
        <v>518</v>
      </c>
      <c r="AK249" s="68">
        <v>0</v>
      </c>
      <c r="AL249" s="88">
        <v>43.034500000000001</v>
      </c>
      <c r="AM249" s="88">
        <v>3126610</v>
      </c>
      <c r="AN249" s="88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hidden="1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4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9">
        <f>TABL123[[#This Row],[(A/B) AJD]]-TABL123[[#This Row],[BER_IN]]</f>
        <v>508</v>
      </c>
      <c r="AK250" s="68">
        <v>0</v>
      </c>
      <c r="AL250" s="88">
        <v>42.995699999999999</v>
      </c>
      <c r="AM250" s="88">
        <v>3106040</v>
      </c>
      <c r="AN250" s="88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hidden="1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4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9">
        <f>TABL123[[#This Row],[(A/B) AJD]]-TABL123[[#This Row],[BER_IN]]</f>
        <v>513</v>
      </c>
      <c r="AK251" s="68">
        <v>0</v>
      </c>
      <c r="AL251" s="88">
        <v>42.906399999999998</v>
      </c>
      <c r="AM251" s="88">
        <v>3057400</v>
      </c>
      <c r="AN251" s="88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hidden="1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4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9">
        <f>TABL123[[#This Row],[(A/B) AJD]]-TABL123[[#This Row],[BER_IN]]</f>
        <v>531</v>
      </c>
      <c r="AK252" s="68">
        <v>0</v>
      </c>
      <c r="AL252" s="88">
        <v>42.828499999999998</v>
      </c>
      <c r="AM252" s="88">
        <v>3015620</v>
      </c>
      <c r="AN252" s="88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hidden="1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4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9">
        <f>TABL123[[#This Row],[(A/B) AJD]]-TABL123[[#This Row],[BER_IN]]</f>
        <v>508</v>
      </c>
      <c r="AK253" s="68">
        <v>0</v>
      </c>
      <c r="AL253" s="88">
        <v>42.805300000000003</v>
      </c>
      <c r="AM253" s="88">
        <v>3002832</v>
      </c>
      <c r="AN253" s="88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hidden="1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4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9">
        <f>TABL123[[#This Row],[(A/B) AJD]]-TABL123[[#This Row],[BER_IN]]</f>
        <v>507</v>
      </c>
      <c r="AK254" s="68">
        <v>0</v>
      </c>
      <c r="AL254" s="88">
        <v>42.728099999999998</v>
      </c>
      <c r="AM254" s="88">
        <v>2961303</v>
      </c>
      <c r="AN254" s="88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hidden="1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4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9">
        <f>TABL123[[#This Row],[(A/B) AJD]]-TABL123[[#This Row],[BER_IN]]</f>
        <v>523</v>
      </c>
      <c r="AK255" s="68">
        <v>0</v>
      </c>
      <c r="AL255" s="88">
        <v>42.695999999999998</v>
      </c>
      <c r="AM255" s="88">
        <v>2945137</v>
      </c>
      <c r="AN255" s="88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hidden="1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4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9">
        <f>TABL123[[#This Row],[(A/B) AJD]]-TABL123[[#This Row],[BER_IN]]</f>
        <v>514</v>
      </c>
      <c r="AK256" s="68">
        <v>0</v>
      </c>
      <c r="AL256" s="88">
        <v>42.651800000000001</v>
      </c>
      <c r="AM256" s="88">
        <v>2920698</v>
      </c>
      <c r="AN256" s="88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hidden="1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4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9">
        <f>TABL123[[#This Row],[(A/B) AJD]]-TABL123[[#This Row],[BER_IN]]</f>
        <v>484</v>
      </c>
      <c r="AK257" s="68">
        <v>0</v>
      </c>
      <c r="AL257" s="88">
        <v>42.598100000000002</v>
      </c>
      <c r="AM257" s="88">
        <v>2891290</v>
      </c>
      <c r="AN257" s="88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hidden="1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4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9">
        <f>TABL123[[#This Row],[(A/B) AJD]]-TABL123[[#This Row],[BER_IN]]</f>
        <v>520</v>
      </c>
      <c r="AK258" s="68">
        <v>0</v>
      </c>
      <c r="AL258" s="88">
        <v>42.539400000000001</v>
      </c>
      <c r="AM258" s="88">
        <v>2860540</v>
      </c>
      <c r="AN258" s="88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hidden="1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4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9">
        <f>TABL123[[#This Row],[(A/B) AJD]]-TABL123[[#This Row],[BER_IN]]</f>
        <v>472</v>
      </c>
      <c r="AK259" s="68">
        <v>0</v>
      </c>
      <c r="AL259" s="88">
        <v>42.4998</v>
      </c>
      <c r="AM259" s="88">
        <v>2838760</v>
      </c>
      <c r="AN259" s="88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hidden="1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84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9">
        <f>TABL123[[#This Row],[(A/B) AJD]]-TABL123[[#This Row],[BER_IN]]</f>
        <v>486</v>
      </c>
      <c r="AK260" s="68">
        <v>0</v>
      </c>
      <c r="AL260" s="88">
        <v>42.476199999999999</v>
      </c>
      <c r="AM260" s="88">
        <v>2825714</v>
      </c>
      <c r="AN260" s="88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hidden="1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4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9">
        <f>TABL123[[#This Row],[(A/B) AJD]]-TABL123[[#This Row],[BER_IN]]</f>
        <v>520</v>
      </c>
      <c r="AK261" s="68">
        <v>8</v>
      </c>
      <c r="AL261" s="88">
        <v>42.4602</v>
      </c>
      <c r="AM261" s="88">
        <v>2817110</v>
      </c>
      <c r="AN261" s="88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hidden="1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4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9">
        <f>TABL123[[#This Row],[(A/B) AJD]]-TABL123[[#This Row],[BER_IN]]</f>
        <v>516</v>
      </c>
      <c r="AK262" s="68">
        <v>48</v>
      </c>
      <c r="AL262" s="88">
        <v>42.494900000000001</v>
      </c>
      <c r="AM262" s="88">
        <v>2835450</v>
      </c>
      <c r="AN262" s="88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hidden="1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4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9">
        <f>TABL123[[#This Row],[(A/B) AJD]]-TABL123[[#This Row],[BER_IN]]</f>
        <v>521</v>
      </c>
      <c r="AK263" s="68">
        <v>27</v>
      </c>
      <c r="AL263" s="88">
        <v>42.5002</v>
      </c>
      <c r="AM263" s="88">
        <v>2839080</v>
      </c>
      <c r="AN263" s="88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hidden="1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4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9">
        <f>TABL123[[#This Row],[(A/B) AJD]]-TABL123[[#This Row],[BER_IN]]</f>
        <v>518</v>
      </c>
      <c r="AK264" s="68">
        <v>0</v>
      </c>
      <c r="AL264" s="88">
        <v>42.4604</v>
      </c>
      <c r="AM264" s="88">
        <v>2817120</v>
      </c>
      <c r="AN264" s="88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hidden="1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4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9">
        <f>TABL123[[#This Row],[(A/B) AJD]]-TABL123[[#This Row],[BER_IN]]</f>
        <v>518</v>
      </c>
      <c r="AK265" s="68">
        <v>0</v>
      </c>
      <c r="AL265" s="88">
        <v>42.416400000000003</v>
      </c>
      <c r="AM265" s="88">
        <v>2793280</v>
      </c>
      <c r="AN265" s="88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hidden="1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4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9">
        <f>TABL123[[#This Row],[(A/B) AJD]]-TABL123[[#This Row],[BER_IN]]</f>
        <v>513</v>
      </c>
      <c r="AK266" s="68">
        <v>0</v>
      </c>
      <c r="AL266" s="88">
        <v>42.380800000000001</v>
      </c>
      <c r="AM266" s="88">
        <v>2774470</v>
      </c>
      <c r="AN266" s="88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hidden="1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4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9">
        <f>TABL123[[#This Row],[(A/B) AJD]]-TABL123[[#This Row],[BER_IN]]</f>
        <v>514</v>
      </c>
      <c r="AK267" s="68">
        <v>0</v>
      </c>
      <c r="AL267" s="88">
        <v>42.315600000000003</v>
      </c>
      <c r="AM267" s="88">
        <v>2739880</v>
      </c>
      <c r="AN267" s="88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hidden="1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4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9">
        <f>TABL123[[#This Row],[(A/B) AJD]]-TABL123[[#This Row],[BER_IN]]</f>
        <v>521</v>
      </c>
      <c r="AK268" s="68">
        <v>0</v>
      </c>
      <c r="AL268" s="88">
        <v>42.254800000000003</v>
      </c>
      <c r="AM268" s="88">
        <v>2707210</v>
      </c>
      <c r="AN268" s="88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hidden="1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4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43"/>
      <c r="AI269" s="79"/>
      <c r="AJ269" s="79">
        <f>TABL123[[#This Row],[(A/B) AJD]]-TABL123[[#This Row],[BER_IN]]</f>
        <v>570</v>
      </c>
      <c r="AK269" s="79"/>
      <c r="AL269" s="68"/>
      <c r="AM269" s="88"/>
      <c r="AN269" s="88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hidden="1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4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45"/>
      <c r="AI270" s="79"/>
      <c r="AJ270" s="79">
        <f>TABL123[[#This Row],[(A/B) AJD]]-TABL123[[#This Row],[BER_IN]]</f>
        <v>549</v>
      </c>
      <c r="AK270" s="79"/>
      <c r="AL270" s="68"/>
      <c r="AM270" s="88"/>
      <c r="AN270" s="88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hidden="1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4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43"/>
      <c r="AI271" s="79"/>
      <c r="AJ271" s="79">
        <f>TABL123[[#This Row],[(A/B) AJD]]-TABL123[[#This Row],[BER_IN]]</f>
        <v>543</v>
      </c>
      <c r="AK271" s="79"/>
      <c r="AL271" s="68"/>
      <c r="AM271" s="88"/>
      <c r="AN271" s="88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hidden="1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4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45"/>
      <c r="AI272" s="79"/>
      <c r="AJ272" s="79">
        <f>TABL123[[#This Row],[(A/B) AJD]]-TABL123[[#This Row],[BER_IN]]</f>
        <v>545</v>
      </c>
      <c r="AK272" s="79"/>
      <c r="AL272" s="68"/>
      <c r="AM272" s="88"/>
      <c r="AN272" s="88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hidden="1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4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43"/>
      <c r="AI273" s="79"/>
      <c r="AJ273" s="79">
        <f>TABL123[[#This Row],[(A/B) AJD]]-TABL123[[#This Row],[BER_IN]]</f>
        <v>538</v>
      </c>
      <c r="AK273" s="79"/>
      <c r="AL273" s="68"/>
      <c r="AM273" s="88"/>
      <c r="AN273" s="88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hidden="1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8">
        <v>395</v>
      </c>
      <c r="P274" s="9">
        <f>TABL123[[#This Row],[ (S/S) SAR]]-TABL123[[#This Row],[(S/S) AJD]]</f>
        <v>-395</v>
      </c>
      <c r="Q274" s="78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8">
        <v>536</v>
      </c>
      <c r="V274" s="78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6">
        <v>92.617000000000004</v>
      </c>
      <c r="Z274" s="87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4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6"/>
      <c r="AI274" s="79"/>
      <c r="AJ274" s="79">
        <f>TABL123[[#This Row],[(A/B) AJD]]-TABL123[[#This Row],[BER_IN]]</f>
        <v>536</v>
      </c>
      <c r="AK274" s="79"/>
      <c r="AL274" s="68"/>
      <c r="AM274" s="88"/>
      <c r="AN274" s="88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 (T/B) SAR]]+TABL123[[#This Row],[ (S/S) SAR]]</f>
        <v>0</v>
      </c>
      <c r="L275" s="28"/>
      <c r="M275" s="29"/>
      <c r="N275" s="30"/>
      <c r="O275" s="14">
        <v>395</v>
      </c>
      <c r="P275" s="9">
        <f>TABL123[[#This Row],[ (S/S) SAR]]-TABL123[[#This Row],[(S/S) AJD]]</f>
        <v>-395</v>
      </c>
      <c r="Q275" s="14">
        <v>427</v>
      </c>
      <c r="R275" s="9">
        <f>TABL123[[#This Row],[ (T/B) SAR]]-TABL123[[#This Row],[(T/B) AJD]]</f>
        <v>-427</v>
      </c>
      <c r="S275" s="9">
        <f>TABL123[[#This Row],[T/B-CON.]]+TABL123[[#This Row],[S/S_CON.]]</f>
        <v>-822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4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6"/>
      <c r="AI275" s="79"/>
      <c r="AJ275" s="79">
        <f>TABL123[[#This Row],[(A/B) AJD]]-TABL123[[#This Row],[BER_IN]]</f>
        <v>538</v>
      </c>
      <c r="AK275" s="79"/>
      <c r="AL275" s="68"/>
      <c r="AM275" s="88"/>
      <c r="AN275" s="88">
        <f>TABL123[[#This Row],[ (RESV. STORGE) SER]]/10</f>
        <v>0</v>
      </c>
      <c r="AO275" s="6"/>
      <c r="AP275" s="32">
        <f>TABL123[[#This Row],[(A/S) AJD]]-TABL123[[#This Row],[SER_IN]]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 (T/B) SAR]]+TABL123[[#This Row],[ (S/S) SAR]]</f>
        <v>0</v>
      </c>
      <c r="L276" s="28"/>
      <c r="M276" s="29"/>
      <c r="N276" s="30"/>
      <c r="O276" s="14">
        <v>396</v>
      </c>
      <c r="P276" s="9">
        <f>TABL123[[#This Row],[ (S/S) SAR]]-TABL123[[#This Row],[(S/S) AJD]]</f>
        <v>-396</v>
      </c>
      <c r="Q276" s="14">
        <v>427</v>
      </c>
      <c r="R276" s="9">
        <f>TABL123[[#This Row],[ (T/B) SAR]]-TABL123[[#This Row],[(T/B) AJD]]</f>
        <v>-427</v>
      </c>
      <c r="S276" s="9">
        <f>TABL123[[#This Row],[T/B-CON.]]+TABL123[[#This Row],[S/S_CON.]]</f>
        <v>-823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4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6"/>
      <c r="AI276" s="79"/>
      <c r="AJ276" s="79">
        <f>TABL123[[#This Row],[(A/B) AJD]]-TABL123[[#This Row],[BER_IN]]</f>
        <v>529</v>
      </c>
      <c r="AK276" s="79"/>
      <c r="AL276" s="68"/>
      <c r="AM276" s="88"/>
      <c r="AN276" s="88">
        <f>TABL123[[#This Row],[ (RESV. STORGE) SER]]/10</f>
        <v>0</v>
      </c>
      <c r="AO276" s="6"/>
      <c r="AP276" s="32">
        <f>TABL123[[#This Row],[(A/S) AJD]]-TABL123[[#This Row],[SER_IN]]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 (T/B) SAR]]+TABL123[[#This Row],[ (S/S) SAR]]</f>
        <v>0</v>
      </c>
      <c r="L277" s="28"/>
      <c r="M277" s="29"/>
      <c r="N277" s="30"/>
      <c r="O277" s="14">
        <v>397</v>
      </c>
      <c r="P277" s="9">
        <f>TABL123[[#This Row],[ (S/S) SAR]]-TABL123[[#This Row],[(S/S) AJD]]</f>
        <v>-397</v>
      </c>
      <c r="Q277" s="14">
        <v>431</v>
      </c>
      <c r="R277" s="9">
        <f>TABL123[[#This Row],[ (T/B) SAR]]-TABL123[[#This Row],[(T/B) AJD]]</f>
        <v>-431</v>
      </c>
      <c r="S277" s="9">
        <f>TABL123[[#This Row],[T/B-CON.]]+TABL123[[#This Row],[S/S_CON.]]</f>
        <v>-828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4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6"/>
      <c r="AI277" s="79"/>
      <c r="AJ277" s="79">
        <f>TABL123[[#This Row],[(A/B) AJD]]-TABL123[[#This Row],[BER_IN]]</f>
        <v>538</v>
      </c>
      <c r="AK277" s="79"/>
      <c r="AL277" s="68"/>
      <c r="AM277" s="88"/>
      <c r="AN277" s="88">
        <f>TABL123[[#This Row],[ (RESV. STORGE) SER]]/10</f>
        <v>0</v>
      </c>
      <c r="AO277" s="6"/>
      <c r="AP277" s="32">
        <f>TABL123[[#This Row],[(A/S) AJD]]-TABL123[[#This Row],[SER_IN]]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 (T/B) SAR]]+TABL123[[#This Row],[ (S/S) SAR]]</f>
        <v>0</v>
      </c>
      <c r="L278" s="28"/>
      <c r="M278" s="29"/>
      <c r="N278" s="30"/>
      <c r="O278" s="14">
        <v>402</v>
      </c>
      <c r="P278" s="9">
        <f>TABL123[[#This Row],[ (S/S) SAR]]-TABL123[[#This Row],[(S/S) AJD]]</f>
        <v>-402</v>
      </c>
      <c r="Q278" s="14">
        <v>436</v>
      </c>
      <c r="R278" s="9">
        <f>TABL123[[#This Row],[ (T/B) SAR]]-TABL123[[#This Row],[(T/B) AJD]]</f>
        <v>-436</v>
      </c>
      <c r="S278" s="9">
        <f>TABL123[[#This Row],[T/B-CON.]]+TABL123[[#This Row],[S/S_CON.]]</f>
        <v>-838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4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6"/>
      <c r="AI278" s="79"/>
      <c r="AJ278" s="79">
        <f>TABL123[[#This Row],[(A/B) AJD]]-TABL123[[#This Row],[BER_IN]]</f>
        <v>539</v>
      </c>
      <c r="AK278" s="79"/>
      <c r="AL278" s="68"/>
      <c r="AM278" s="88"/>
      <c r="AN278" s="88">
        <f>TABL123[[#This Row],[ (RESV. STORGE) SER]]/10</f>
        <v>0</v>
      </c>
      <c r="AO278" s="6"/>
      <c r="AP278" s="32">
        <f>TABL123[[#This Row],[(A/S) AJD]]-TABL123[[#This Row],[SER_IN]]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 (T/B) SAR]]+TABL123[[#This Row],[ (S/S) SAR]]</f>
        <v>0</v>
      </c>
      <c r="L279" s="28"/>
      <c r="M279" s="29"/>
      <c r="N279" s="30"/>
      <c r="O279" s="14">
        <v>406</v>
      </c>
      <c r="P279" s="9">
        <f>TABL123[[#This Row],[ (S/S) SAR]]-TABL123[[#This Row],[(S/S) AJD]]</f>
        <v>-406</v>
      </c>
      <c r="Q279" s="14">
        <v>440</v>
      </c>
      <c r="R279" s="9">
        <f>TABL123[[#This Row],[ (T/B) SAR]]-TABL123[[#This Row],[(T/B) AJD]]</f>
        <v>-440</v>
      </c>
      <c r="S279" s="9">
        <f>TABL123[[#This Row],[T/B-CON.]]+TABL123[[#This Row],[S/S_CON.]]</f>
        <v>-846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4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6"/>
      <c r="AI279" s="79"/>
      <c r="AJ279" s="79">
        <f>TABL123[[#This Row],[(A/B) AJD]]-TABL123[[#This Row],[BER_IN]]</f>
        <v>542</v>
      </c>
      <c r="AK279" s="79"/>
      <c r="AL279" s="68"/>
      <c r="AM279" s="88"/>
      <c r="AN279" s="88">
        <f>TABL123[[#This Row],[ (RESV. STORGE) SER]]/10</f>
        <v>0</v>
      </c>
      <c r="AO279" s="6"/>
      <c r="AP279" s="32">
        <f>TABL123[[#This Row],[(A/S) AJD]]-TABL123[[#This Row],[SER_IN]]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 (T/B) SAR]]+TABL123[[#This Row],[ (S/S) SAR]]</f>
        <v>0</v>
      </c>
      <c r="L280" s="28"/>
      <c r="M280" s="29"/>
      <c r="N280" s="30"/>
      <c r="O280" s="14">
        <v>404</v>
      </c>
      <c r="P280" s="9">
        <f>TABL123[[#This Row],[ (S/S) SAR]]-TABL123[[#This Row],[(S/S) AJD]]</f>
        <v>-404</v>
      </c>
      <c r="Q280" s="14">
        <v>437</v>
      </c>
      <c r="R280" s="9">
        <f>TABL123[[#This Row],[ (T/B) SAR]]-TABL123[[#This Row],[(T/B) AJD]]</f>
        <v>-437</v>
      </c>
      <c r="S280" s="9">
        <f>TABL123[[#This Row],[T/B-CON.]]+TABL123[[#This Row],[S/S_CON.]]</f>
        <v>-841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4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6"/>
      <c r="AI280" s="79"/>
      <c r="AJ280" s="79">
        <f>TABL123[[#This Row],[(A/B) AJD]]-TABL123[[#This Row],[BER_IN]]</f>
        <v>551</v>
      </c>
      <c r="AK280" s="79"/>
      <c r="AL280" s="68"/>
      <c r="AM280" s="88"/>
      <c r="AN280" s="88">
        <f>TABL123[[#This Row],[ (RESV. STORGE) SER]]/10</f>
        <v>0</v>
      </c>
      <c r="AO280" s="6"/>
      <c r="AP280" s="32">
        <f>TABL123[[#This Row],[(A/S) AJD]]-TABL123[[#This Row],[SER_IN]]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 (T/B) SAR]]+TABL123[[#This Row],[ (S/S) SAR]]</f>
        <v>0</v>
      </c>
      <c r="L281" s="28"/>
      <c r="M281" s="29"/>
      <c r="N281" s="30"/>
      <c r="O281" s="14">
        <v>402</v>
      </c>
      <c r="P281" s="9">
        <f>TABL123[[#This Row],[ (S/S) SAR]]-TABL123[[#This Row],[(S/S) AJD]]</f>
        <v>-402</v>
      </c>
      <c r="Q281" s="14">
        <v>435</v>
      </c>
      <c r="R281" s="9">
        <f>TABL123[[#This Row],[ (T/B) SAR]]-TABL123[[#This Row],[(T/B) AJD]]</f>
        <v>-435</v>
      </c>
      <c r="S281" s="9">
        <f>TABL123[[#This Row],[T/B-CON.]]+TABL123[[#This Row],[S/S_CON.]]</f>
        <v>-837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4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6"/>
      <c r="AI281" s="79"/>
      <c r="AJ281" s="79">
        <f>TABL123[[#This Row],[(A/B) AJD]]-TABL123[[#This Row],[BER_IN]]</f>
        <v>545</v>
      </c>
      <c r="AK281" s="79"/>
      <c r="AL281" s="68"/>
      <c r="AM281" s="88"/>
      <c r="AN281" s="88">
        <f>TABL123[[#This Row],[ (RESV. STORGE) SER]]/10</f>
        <v>0</v>
      </c>
      <c r="AO281" s="6"/>
      <c r="AP281" s="32">
        <f>TABL123[[#This Row],[(A/S) AJD]]-TABL123[[#This Row],[SER_IN]]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 (T/B) SAR]]+TABL123[[#This Row],[ (S/S) SAR]]</f>
        <v>0</v>
      </c>
      <c r="L282" s="28"/>
      <c r="M282" s="29"/>
      <c r="N282" s="30"/>
      <c r="O282" s="14">
        <v>402</v>
      </c>
      <c r="P282" s="9">
        <f>TABL123[[#This Row],[ (S/S) SAR]]-TABL123[[#This Row],[(S/S) AJD]]</f>
        <v>-402</v>
      </c>
      <c r="Q282" s="14">
        <v>433</v>
      </c>
      <c r="R282" s="9">
        <f>TABL123[[#This Row],[ (T/B) SAR]]-TABL123[[#This Row],[(T/B) AJD]]</f>
        <v>-433</v>
      </c>
      <c r="S282" s="9">
        <f>TABL123[[#This Row],[T/B-CON.]]+TABL123[[#This Row],[S/S_CON.]]</f>
        <v>-835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4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6"/>
      <c r="AI282" s="79"/>
      <c r="AJ282" s="79">
        <f>TABL123[[#This Row],[(A/B) AJD]]-TABL123[[#This Row],[BER_IN]]</f>
        <v>543</v>
      </c>
      <c r="AK282" s="79"/>
      <c r="AL282" s="68"/>
      <c r="AM282" s="88"/>
      <c r="AN282" s="88">
        <f>TABL123[[#This Row],[ (RESV. STORGE) SER]]/10</f>
        <v>0</v>
      </c>
      <c r="AO282" s="6"/>
      <c r="AP282" s="32">
        <f>TABL123[[#This Row],[(A/S) AJD]]-TABL123[[#This Row],[SER_IN]]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 (T/B) SAR]]+TABL123[[#This Row],[ (S/S) SAR]]</f>
        <v>0</v>
      </c>
      <c r="L283" s="28"/>
      <c r="M283" s="29"/>
      <c r="N283" s="30"/>
      <c r="O283" s="14">
        <v>401</v>
      </c>
      <c r="P283" s="9">
        <f>TABL123[[#This Row],[ (S/S) SAR]]-TABL123[[#This Row],[(S/S) AJD]]</f>
        <v>-401</v>
      </c>
      <c r="Q283" s="14">
        <v>432</v>
      </c>
      <c r="R283" s="9">
        <f>TABL123[[#This Row],[ (T/B) SAR]]-TABL123[[#This Row],[(T/B) AJD]]</f>
        <v>-432</v>
      </c>
      <c r="S283" s="9">
        <f>TABL123[[#This Row],[T/B-CON.]]+TABL123[[#This Row],[S/S_CON.]]</f>
        <v>-833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4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6"/>
      <c r="AI283" s="79"/>
      <c r="AJ283" s="79">
        <f>TABL123[[#This Row],[(A/B) AJD]]-TABL123[[#This Row],[BER_IN]]</f>
        <v>552</v>
      </c>
      <c r="AK283" s="79"/>
      <c r="AL283" s="68"/>
      <c r="AM283" s="88"/>
      <c r="AN283" s="88">
        <f>TABL123[[#This Row],[ (RESV. STORGE) SER]]/10</f>
        <v>0</v>
      </c>
      <c r="AO283" s="6"/>
      <c r="AP283" s="32">
        <f>TABL123[[#This Row],[(A/S) AJD]]-TABL123[[#This Row],[SER_IN]]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 (T/B) SAR]]+TABL123[[#This Row],[ (S/S) SAR]]</f>
        <v>0</v>
      </c>
      <c r="L284" s="28"/>
      <c r="M284" s="29"/>
      <c r="N284" s="30"/>
      <c r="O284" s="14">
        <v>399</v>
      </c>
      <c r="P284" s="9">
        <f>TABL123[[#This Row],[ (S/S) SAR]]-TABL123[[#This Row],[(S/S) AJD]]</f>
        <v>-399</v>
      </c>
      <c r="Q284" s="14">
        <v>432</v>
      </c>
      <c r="R284" s="9">
        <f>TABL123[[#This Row],[ (T/B) SAR]]-TABL123[[#This Row],[(T/B) AJD]]</f>
        <v>-432</v>
      </c>
      <c r="S284" s="9">
        <f>TABL123[[#This Row],[T/B-CON.]]+TABL123[[#This Row],[S/S_CON.]]</f>
        <v>-831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4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6"/>
      <c r="AI284" s="79"/>
      <c r="AJ284" s="79">
        <f>TABL123[[#This Row],[(A/B) AJD]]-TABL123[[#This Row],[BER_IN]]</f>
        <v>549</v>
      </c>
      <c r="AK284" s="79"/>
      <c r="AL284" s="68"/>
      <c r="AM284" s="88"/>
      <c r="AN284" s="88">
        <f>TABL123[[#This Row],[ (RESV. STORGE) SER]]/10</f>
        <v>0</v>
      </c>
      <c r="AO284" s="6"/>
      <c r="AP284" s="32">
        <f>TABL123[[#This Row],[(A/S) AJD]]-TABL123[[#This Row],[SER_IN]]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 (T/B) SAR]]+TABL123[[#This Row],[ (S/S) SAR]]</f>
        <v>0</v>
      </c>
      <c r="L285" s="28"/>
      <c r="M285" s="29"/>
      <c r="N285" s="30"/>
      <c r="O285" s="14">
        <v>395</v>
      </c>
      <c r="P285" s="9">
        <f>TABL123[[#This Row],[ (S/S) SAR]]-TABL123[[#This Row],[(S/S) AJD]]</f>
        <v>-395</v>
      </c>
      <c r="Q285" s="14">
        <v>429</v>
      </c>
      <c r="R285" s="9">
        <f>TABL123[[#This Row],[ (T/B) SAR]]-TABL123[[#This Row],[(T/B) AJD]]</f>
        <v>-429</v>
      </c>
      <c r="S285" s="9">
        <f>TABL123[[#This Row],[T/B-CON.]]+TABL123[[#This Row],[S/S_CON.]]</f>
        <v>-824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4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6"/>
      <c r="AI285" s="79"/>
      <c r="AJ285" s="79">
        <f>TABL123[[#This Row],[(A/B) AJD]]-TABL123[[#This Row],[BER_IN]]</f>
        <v>548</v>
      </c>
      <c r="AK285" s="79"/>
      <c r="AL285" s="68"/>
      <c r="AM285" s="88"/>
      <c r="AN285" s="88">
        <f>TABL123[[#This Row],[ (RESV. STORGE) SER]]/10</f>
        <v>0</v>
      </c>
      <c r="AO285" s="6"/>
      <c r="AP285" s="32">
        <f>TABL123[[#This Row],[(A/S) AJD]]-TABL123[[#This Row],[SER_IN]]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 (T/B) SAR]]+TABL123[[#This Row],[ (S/S) SAR]]</f>
        <v>0</v>
      </c>
      <c r="L286" s="28"/>
      <c r="M286" s="29"/>
      <c r="N286" s="30"/>
      <c r="O286" s="14">
        <v>395</v>
      </c>
      <c r="P286" s="9">
        <f>TABL123[[#This Row],[ (S/S) SAR]]-TABL123[[#This Row],[(S/S) AJD]]</f>
        <v>-395</v>
      </c>
      <c r="Q286" s="14">
        <v>428</v>
      </c>
      <c r="R286" s="9">
        <f>TABL123[[#This Row],[ (T/B) SAR]]-TABL123[[#This Row],[(T/B) AJD]]</f>
        <v>-428</v>
      </c>
      <c r="S286" s="9">
        <f>TABL123[[#This Row],[T/B-CON.]]+TABL123[[#This Row],[S/S_CON.]]</f>
        <v>-823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4">
        <f>TABL123[[#This Row],[( S/S+T/B) AJD]]-(TABL123[[#This Row],[(A/B + A/S) AJD]]+TABL123[[#This Row],[(STORGE DIFF.) AJD]]+(TABL123[[#This Row],[AJD_Evaporation]])/1000)</f>
        <v>25.019000000000005</v>
      </c>
      <c r="AE286" s="68"/>
      <c r="AF286" s="68"/>
      <c r="AG286" s="68"/>
      <c r="AH286" s="6"/>
      <c r="AI286" s="79"/>
      <c r="AJ286" s="79">
        <f>TABL123[[#This Row],[(A/B) AJD]]-TABL123[[#This Row],[BER_IN]]</f>
        <v>548</v>
      </c>
      <c r="AK286" s="79"/>
      <c r="AL286" s="68"/>
      <c r="AM286" s="88"/>
      <c r="AN286" s="88">
        <f>TABL123[[#This Row],[ (RESV. STORGE) SER]]/10</f>
        <v>0</v>
      </c>
      <c r="AO286" s="6"/>
      <c r="AP286" s="32">
        <f>TABL123[[#This Row],[(A/S) AJD]]-TABL123[[#This Row],[SER_IN]]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 (T/B) SAR]]+TABL123[[#This Row],[ (S/S) SAR]]</f>
        <v>0</v>
      </c>
      <c r="L287" s="28"/>
      <c r="M287" s="29"/>
      <c r="N287" s="30"/>
      <c r="O287" s="14">
        <v>397</v>
      </c>
      <c r="P287" s="9">
        <f>TABL123[[#This Row],[ (S/S) SAR]]-TABL123[[#This Row],[(S/S) AJD]]</f>
        <v>-397</v>
      </c>
      <c r="Q287" s="14">
        <v>428</v>
      </c>
      <c r="R287" s="9">
        <f>TABL123[[#This Row],[ (T/B) SAR]]-TABL123[[#This Row],[(T/B) AJD]]</f>
        <v>-428</v>
      </c>
      <c r="S287" s="9">
        <f>TABL123[[#This Row],[T/B-CON.]]+TABL123[[#This Row],[S/S_CON.]]</f>
        <v>-825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4">
        <f>TABL123[[#This Row],[( S/S+T/B) AJD]]-(TABL123[[#This Row],[(A/B + A/S) AJD]]+TABL123[[#This Row],[(STORGE DIFF.) AJD]]+(TABL123[[#This Row],[AJD_Evaporation]])/1000)</f>
        <v>34.691000000000031</v>
      </c>
      <c r="AE287" s="68"/>
      <c r="AF287" s="68"/>
      <c r="AG287" s="68"/>
      <c r="AH287" s="6"/>
      <c r="AI287" s="79"/>
      <c r="AJ287" s="79">
        <f>TABL123[[#This Row],[(A/B) AJD]]-TABL123[[#This Row],[BER_IN]]</f>
        <v>561</v>
      </c>
      <c r="AK287" s="79"/>
      <c r="AL287" s="68"/>
      <c r="AM287" s="88"/>
      <c r="AN287" s="88">
        <f>TABL123[[#This Row],[ (RESV. STORGE) SER]]/10</f>
        <v>0</v>
      </c>
      <c r="AO287" s="6"/>
      <c r="AP287" s="32">
        <f>TABL123[[#This Row],[(A/S) AJD]]-TABL123[[#This Row],[SER_IN]]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 (T/B) SAR]]+TABL123[[#This Row],[ (S/S) SAR]]</f>
        <v>0</v>
      </c>
      <c r="L288" s="28"/>
      <c r="M288" s="29"/>
      <c r="N288" s="30"/>
      <c r="O288" s="14">
        <v>398</v>
      </c>
      <c r="P288" s="9">
        <f>TABL123[[#This Row],[ (S/S) SAR]]-TABL123[[#This Row],[(S/S) AJD]]</f>
        <v>-398</v>
      </c>
      <c r="Q288" s="14">
        <v>428</v>
      </c>
      <c r="R288" s="9">
        <f>TABL123[[#This Row],[ (T/B) SAR]]-TABL123[[#This Row],[(T/B) AJD]]</f>
        <v>-428</v>
      </c>
      <c r="S288" s="9">
        <f>TABL123[[#This Row],[T/B-CON.]]+TABL123[[#This Row],[S/S_CON.]]</f>
        <v>-826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4">
        <f>TABL123[[#This Row],[( S/S+T/B) AJD]]-(TABL123[[#This Row],[(A/B + A/S) AJD]]+TABL123[[#This Row],[(STORGE DIFF.) AJD]]+(TABL123[[#This Row],[AJD_Evaporation]])/1000)</f>
        <v>15.129999999999995</v>
      </c>
      <c r="AE288" s="68"/>
      <c r="AF288" s="68"/>
      <c r="AG288" s="68"/>
      <c r="AH288" s="6"/>
      <c r="AI288" s="79"/>
      <c r="AJ288" s="79">
        <f>TABL123[[#This Row],[(A/B) AJD]]-TABL123[[#This Row],[BER_IN]]</f>
        <v>561</v>
      </c>
      <c r="AK288" s="79"/>
      <c r="AL288" s="68"/>
      <c r="AM288" s="88"/>
      <c r="AN288" s="88">
        <f>TABL123[[#This Row],[ (RESV. STORGE) SER]]/10</f>
        <v>0</v>
      </c>
      <c r="AO288" s="6"/>
      <c r="AP288" s="32">
        <f>TABL123[[#This Row],[(A/S) AJD]]-TABL123[[#This Row],[SER_IN]]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 (T/B) SAR]]+TABL123[[#This Row],[ (S/S) SAR]]</f>
        <v>0</v>
      </c>
      <c r="L289" s="28"/>
      <c r="M289" s="29"/>
      <c r="N289" s="30"/>
      <c r="O289" s="14">
        <v>402</v>
      </c>
      <c r="P289" s="9">
        <f>TABL123[[#This Row],[ (S/S) SAR]]-TABL123[[#This Row],[(S/S) AJD]]</f>
        <v>-402</v>
      </c>
      <c r="Q289" s="14">
        <v>430</v>
      </c>
      <c r="R289" s="9">
        <f>TABL123[[#This Row],[ (T/B) SAR]]-TABL123[[#This Row],[(T/B) AJD]]</f>
        <v>-430</v>
      </c>
      <c r="S289" s="9">
        <f>TABL123[[#This Row],[T/B-CON.]]+TABL123[[#This Row],[S/S_CON.]]</f>
        <v>-832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4">
        <f>TABL123[[#This Row],[( S/S+T/B) AJD]]-(TABL123[[#This Row],[(A/B + A/S) AJD]]+TABL123[[#This Row],[(STORGE DIFF.) AJD]]+(TABL123[[#This Row],[AJD_Evaporation]])/1000)</f>
        <v>38.749000000000024</v>
      </c>
      <c r="AE289" s="68"/>
      <c r="AF289" s="68"/>
      <c r="AG289" s="68"/>
      <c r="AH289" s="6"/>
      <c r="AI289" s="79"/>
      <c r="AJ289" s="79">
        <f>TABL123[[#This Row],[(A/B) AJD]]-TABL123[[#This Row],[BER_IN]]</f>
        <v>563</v>
      </c>
      <c r="AK289" s="79"/>
      <c r="AL289" s="68"/>
      <c r="AM289" s="88"/>
      <c r="AN289" s="88">
        <f>TABL123[[#This Row],[ (RESV. STORGE) SER]]/10</f>
        <v>0</v>
      </c>
      <c r="AO289" s="6"/>
      <c r="AP289" s="32">
        <f>TABL123[[#This Row],[(A/S) AJD]]-TABL123[[#This Row],[SER_IN]]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 (T/B) SAR]]+TABL123[[#This Row],[ (S/S) SAR]]</f>
        <v>0</v>
      </c>
      <c r="L290" s="28"/>
      <c r="M290" s="29"/>
      <c r="N290" s="30"/>
      <c r="O290" s="14">
        <v>398</v>
      </c>
      <c r="P290" s="9">
        <f>TABL123[[#This Row],[ (S/S) SAR]]-TABL123[[#This Row],[(S/S) AJD]]</f>
        <v>-398</v>
      </c>
      <c r="Q290" s="14">
        <v>429</v>
      </c>
      <c r="R290" s="9">
        <f>TABL123[[#This Row],[ (T/B) SAR]]-TABL123[[#This Row],[(T/B) AJD]]</f>
        <v>-429</v>
      </c>
      <c r="S290" s="9">
        <f>TABL123[[#This Row],[T/B-CON.]]+TABL123[[#This Row],[S/S_CON.]]</f>
        <v>-827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4">
        <f>TABL123[[#This Row],[( S/S+T/B) AJD]]-(TABL123[[#This Row],[(A/B + A/S) AJD]]+TABL123[[#This Row],[(STORGE DIFF.) AJD]]+(TABL123[[#This Row],[AJD_Evaporation]])/1000)</f>
        <v>21.962999999999965</v>
      </c>
      <c r="AE290" s="68"/>
      <c r="AF290" s="68"/>
      <c r="AG290" s="68"/>
      <c r="AH290" s="6"/>
      <c r="AI290" s="79"/>
      <c r="AJ290" s="79">
        <f>TABL123[[#This Row],[(A/B) AJD]]-TABL123[[#This Row],[BER_IN]]</f>
        <v>558</v>
      </c>
      <c r="AK290" s="79"/>
      <c r="AL290" s="68"/>
      <c r="AM290" s="88"/>
      <c r="AN290" s="88">
        <f>TABL123[[#This Row],[ (RESV. STORGE) SER]]/10</f>
        <v>0</v>
      </c>
      <c r="AO290" s="6"/>
      <c r="AP290" s="32">
        <f>TABL123[[#This Row],[(A/S) AJD]]-TABL123[[#This Row],[SER_IN]]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 (T/B) SAR]]+TABL123[[#This Row],[ (S/S) SAR]]</f>
        <v>0</v>
      </c>
      <c r="L291" s="28"/>
      <c r="M291" s="29"/>
      <c r="N291" s="30"/>
      <c r="O291" s="14">
        <v>397</v>
      </c>
      <c r="P291" s="9">
        <f>TABL123[[#This Row],[ (S/S) SAR]]-TABL123[[#This Row],[(S/S) AJD]]</f>
        <v>-397</v>
      </c>
      <c r="Q291" s="14">
        <v>428</v>
      </c>
      <c r="R291" s="9">
        <f>TABL123[[#This Row],[ (T/B) SAR]]-TABL123[[#This Row],[(T/B) AJD]]</f>
        <v>-428</v>
      </c>
      <c r="S291" s="9">
        <f>TABL123[[#This Row],[T/B-CON.]]+TABL123[[#This Row],[S/S_CON.]]</f>
        <v>-825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4">
        <f>TABL123[[#This Row],[( S/S+T/B) AJD]]-(TABL123[[#This Row],[(A/B + A/S) AJD]]+TABL123[[#This Row],[(STORGE DIFF.) AJD]]+(TABL123[[#This Row],[AJD_Evaporation]])/1000)</f>
        <v>32.857999999999947</v>
      </c>
      <c r="AE291" s="68"/>
      <c r="AF291" s="68"/>
      <c r="AG291" s="68"/>
      <c r="AH291" s="6"/>
      <c r="AI291" s="79"/>
      <c r="AJ291" s="79">
        <f>TABL123[[#This Row],[(A/B) AJD]]-TABL123[[#This Row],[BER_IN]]</f>
        <v>558</v>
      </c>
      <c r="AK291" s="79"/>
      <c r="AL291" s="68"/>
      <c r="AM291" s="88"/>
      <c r="AN291" s="88">
        <f>TABL123[[#This Row],[ (RESV. STORGE) SER]]/10</f>
        <v>0</v>
      </c>
      <c r="AO291" s="6"/>
      <c r="AP291" s="32">
        <f>TABL123[[#This Row],[(A/S) AJD]]-TABL123[[#This Row],[SER_IN]]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 (T/B) SAR]]+TABL123[[#This Row],[ (S/S) SAR]]</f>
        <v>0</v>
      </c>
      <c r="L292" s="28"/>
      <c r="M292" s="29"/>
      <c r="N292" s="30"/>
      <c r="O292" s="14">
        <v>393</v>
      </c>
      <c r="P292" s="9">
        <f>TABL123[[#This Row],[ (S/S) SAR]]-TABL123[[#This Row],[(S/S) AJD]]</f>
        <v>-393</v>
      </c>
      <c r="Q292" s="14">
        <v>426</v>
      </c>
      <c r="R292" s="9">
        <f>TABL123[[#This Row],[ (T/B) SAR]]-TABL123[[#This Row],[(T/B) AJD]]</f>
        <v>-426</v>
      </c>
      <c r="S292" s="9">
        <f>TABL123[[#This Row],[T/B-CON.]]+TABL123[[#This Row],[S/S_CON.]]</f>
        <v>-819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4">
        <f>TABL123[[#This Row],[( S/S+T/B) AJD]]-(TABL123[[#This Row],[(A/B + A/S) AJD]]+TABL123[[#This Row],[(STORGE DIFF.) AJD]]+(TABL123[[#This Row],[AJD_Evaporation]])/1000)</f>
        <v>20.289999999999964</v>
      </c>
      <c r="AE292" s="68"/>
      <c r="AF292" s="68"/>
      <c r="AG292" s="68"/>
      <c r="AH292" s="6"/>
      <c r="AI292" s="79"/>
      <c r="AJ292" s="79">
        <f>TABL123[[#This Row],[(A/B) AJD]]-TABL123[[#This Row],[BER_IN]]</f>
        <v>565</v>
      </c>
      <c r="AK292" s="79"/>
      <c r="AL292" s="68"/>
      <c r="AM292" s="88"/>
      <c r="AN292" s="88">
        <f>TABL123[[#This Row],[ (RESV. STORGE) SER]]/10</f>
        <v>0</v>
      </c>
      <c r="AO292" s="6"/>
      <c r="AP292" s="32">
        <f>TABL123[[#This Row],[(A/S) AJD]]-TABL123[[#This Row],[SER_IN]]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 (T/B) SAR]]+TABL123[[#This Row],[ (S/S) SAR]]</f>
        <v>0</v>
      </c>
      <c r="L293" s="28"/>
      <c r="M293" s="29"/>
      <c r="N293" s="30"/>
      <c r="O293" s="14">
        <v>387</v>
      </c>
      <c r="P293" s="9">
        <f>TABL123[[#This Row],[ (S/S) SAR]]-TABL123[[#This Row],[(S/S) AJD]]</f>
        <v>-387</v>
      </c>
      <c r="Q293" s="14">
        <v>417</v>
      </c>
      <c r="R293" s="9">
        <f>TABL123[[#This Row],[ (T/B) SAR]]-TABL123[[#This Row],[(T/B) AJD]]</f>
        <v>-417</v>
      </c>
      <c r="S293" s="9">
        <f>TABL123[[#This Row],[T/B-CON.]]+TABL123[[#This Row],[S/S_CON.]]</f>
        <v>-804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4">
        <f>TABL123[[#This Row],[( S/S+T/B) AJD]]-(TABL123[[#This Row],[(A/B + A/S) AJD]]+TABL123[[#This Row],[(STORGE DIFF.) AJD]]+(TABL123[[#This Row],[AJD_Evaporation]])/1000)</f>
        <v>30.740999999999985</v>
      </c>
      <c r="AE293" s="68"/>
      <c r="AF293" s="68"/>
      <c r="AG293" s="68"/>
      <c r="AH293" s="6"/>
      <c r="AI293" s="79"/>
      <c r="AJ293" s="79">
        <f>TABL123[[#This Row],[(A/B) AJD]]-TABL123[[#This Row],[BER_IN]]</f>
        <v>568</v>
      </c>
      <c r="AK293" s="79"/>
      <c r="AL293" s="68"/>
      <c r="AM293" s="88"/>
      <c r="AN293" s="88">
        <f>TABL123[[#This Row],[ (RESV. STORGE) SER]]/10</f>
        <v>0</v>
      </c>
      <c r="AO293" s="6"/>
      <c r="AP293" s="32">
        <f>TABL123[[#This Row],[(A/S) AJD]]-TABL123[[#This Row],[SER_IN]]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 (T/B) SAR]]+TABL123[[#This Row],[ (S/S) SAR]]</f>
        <v>0</v>
      </c>
      <c r="L294" s="28"/>
      <c r="M294" s="29"/>
      <c r="N294" s="30"/>
      <c r="O294" s="14">
        <v>379</v>
      </c>
      <c r="P294" s="9">
        <f>TABL123[[#This Row],[ (S/S) SAR]]-TABL123[[#This Row],[(S/S) AJD]]</f>
        <v>-379</v>
      </c>
      <c r="Q294" s="14">
        <v>409</v>
      </c>
      <c r="R294" s="9">
        <f>TABL123[[#This Row],[ (T/B) SAR]]-TABL123[[#This Row],[(T/B) AJD]]</f>
        <v>-409</v>
      </c>
      <c r="S294" s="9">
        <f>TABL123[[#This Row],[T/B-CON.]]+TABL123[[#This Row],[S/S_CON.]]</f>
        <v>-788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4">
        <f>TABL123[[#This Row],[( S/S+T/B) AJD]]-(TABL123[[#This Row],[(A/B + A/S) AJD]]+TABL123[[#This Row],[(STORGE DIFF.) AJD]]+(TABL123[[#This Row],[AJD_Evaporation]])/1000)</f>
        <v>29.811000000000035</v>
      </c>
      <c r="AE294" s="68"/>
      <c r="AF294" s="68"/>
      <c r="AG294" s="68"/>
      <c r="AH294" s="6"/>
      <c r="AI294" s="79"/>
      <c r="AJ294" s="79">
        <f>TABL123[[#This Row],[(A/B) AJD]]-TABL123[[#This Row],[BER_IN]]</f>
        <v>564</v>
      </c>
      <c r="AK294" s="79"/>
      <c r="AL294" s="68"/>
      <c r="AM294" s="88"/>
      <c r="AN294" s="88">
        <f>TABL123[[#This Row],[ (RESV. STORGE) SER]]/10</f>
        <v>0</v>
      </c>
      <c r="AO294" s="6"/>
      <c r="AP294" s="32">
        <f>TABL123[[#This Row],[(A/S) AJD]]-TABL123[[#This Row],[SER_IN]]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 (T/B) SAR]]+TABL123[[#This Row],[ (S/S) SAR]]</f>
        <v>0</v>
      </c>
      <c r="L295" s="28"/>
      <c r="M295" s="29"/>
      <c r="N295" s="30"/>
      <c r="O295" s="14">
        <v>381</v>
      </c>
      <c r="P295" s="9">
        <f>TABL123[[#This Row],[ (S/S) SAR]]-TABL123[[#This Row],[(S/S) AJD]]</f>
        <v>-381</v>
      </c>
      <c r="Q295" s="14">
        <v>412</v>
      </c>
      <c r="R295" s="9">
        <f>TABL123[[#This Row],[ (T/B) SAR]]-TABL123[[#This Row],[(T/B) AJD]]</f>
        <v>-412</v>
      </c>
      <c r="S295" s="9">
        <f>TABL123[[#This Row],[T/B-CON.]]+TABL123[[#This Row],[S/S_CON.]]</f>
        <v>-793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4">
        <f>TABL123[[#This Row],[( S/S+T/B) AJD]]-(TABL123[[#This Row],[(A/B + A/S) AJD]]+TABL123[[#This Row],[(STORGE DIFF.) AJD]]+(TABL123[[#This Row],[AJD_Evaporation]])/1000)</f>
        <v>33.999000000000024</v>
      </c>
      <c r="AE295" s="68"/>
      <c r="AF295" s="68"/>
      <c r="AG295" s="68"/>
      <c r="AH295" s="6"/>
      <c r="AI295" s="79"/>
      <c r="AJ295" s="79">
        <f>TABL123[[#This Row],[(A/B) AJD]]-TABL123[[#This Row],[BER_IN]]</f>
        <v>565</v>
      </c>
      <c r="AK295" s="79"/>
      <c r="AL295" s="68"/>
      <c r="AM295" s="88"/>
      <c r="AN295" s="88">
        <f>TABL123[[#This Row],[ (RESV. STORGE) SER]]/10</f>
        <v>0</v>
      </c>
      <c r="AO295" s="6"/>
      <c r="AP295" s="32">
        <f>TABL123[[#This Row],[(A/S) AJD]]-TABL123[[#This Row],[SER_IN]]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 (T/B) SAR]]+TABL123[[#This Row],[ (S/S) SAR]]</f>
        <v>0</v>
      </c>
      <c r="L296" s="28"/>
      <c r="M296" s="29"/>
      <c r="N296" s="30"/>
      <c r="O296" s="14">
        <v>382</v>
      </c>
      <c r="P296" s="9">
        <f>TABL123[[#This Row],[ (S/S) SAR]]-TABL123[[#This Row],[(S/S) AJD]]</f>
        <v>-382</v>
      </c>
      <c r="Q296" s="14">
        <v>412</v>
      </c>
      <c r="R296" s="9">
        <f>TABL123[[#This Row],[ (T/B) SAR]]-TABL123[[#This Row],[(T/B) AJD]]</f>
        <v>-412</v>
      </c>
      <c r="S296" s="9">
        <f>TABL123[[#This Row],[T/B-CON.]]+TABL123[[#This Row],[S/S_CON.]]</f>
        <v>-794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4">
        <f>TABL123[[#This Row],[( S/S+T/B) AJD]]-(TABL123[[#This Row],[(A/B + A/S) AJD]]+TABL123[[#This Row],[(STORGE DIFF.) AJD]]+(TABL123[[#This Row],[AJD_Evaporation]])/1000)</f>
        <v>20.647000000000048</v>
      </c>
      <c r="AE296" s="68"/>
      <c r="AF296" s="68"/>
      <c r="AG296" s="68"/>
      <c r="AH296" s="6"/>
      <c r="AI296" s="79"/>
      <c r="AJ296" s="79">
        <f>TABL123[[#This Row],[(A/B) AJD]]-TABL123[[#This Row],[BER_IN]]</f>
        <v>558</v>
      </c>
      <c r="AK296" s="79"/>
      <c r="AL296" s="68"/>
      <c r="AM296" s="88"/>
      <c r="AN296" s="88">
        <f>TABL123[[#This Row],[ (RESV. STORGE) SER]]/10</f>
        <v>0</v>
      </c>
      <c r="AO296" s="6"/>
      <c r="AP296" s="32">
        <f>TABL123[[#This Row],[(A/S) AJD]]-TABL123[[#This Row],[SER_IN]]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 (T/B) SAR]]+TABL123[[#This Row],[ (S/S) SAR]]</f>
        <v>0</v>
      </c>
      <c r="L297" s="28"/>
      <c r="M297" s="29"/>
      <c r="N297" s="30"/>
      <c r="O297" s="14">
        <v>383</v>
      </c>
      <c r="P297" s="9">
        <f>TABL123[[#This Row],[ (S/S) SAR]]-TABL123[[#This Row],[(S/S) AJD]]</f>
        <v>-383</v>
      </c>
      <c r="Q297" s="14">
        <v>411</v>
      </c>
      <c r="R297" s="9">
        <f>TABL123[[#This Row],[ (T/B) SAR]]-TABL123[[#This Row],[(T/B) AJD]]</f>
        <v>-411</v>
      </c>
      <c r="S297" s="9">
        <f>TABL123[[#This Row],[T/B-CON.]]+TABL123[[#This Row],[S/S_CON.]]</f>
        <v>-794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422229</v>
      </c>
      <c r="AA297" s="3">
        <f>TABL123[[#This Row],[(RESV. STORGE) AJD]]/10</f>
        <v>42222.9</v>
      </c>
      <c r="AB297" s="45">
        <f t="shared" si="14"/>
        <v>-42.835000000000001</v>
      </c>
      <c r="AC297" s="5"/>
      <c r="AD297" s="84">
        <f>TABL123[[#This Row],[( S/S+T/B) AJD]]-(TABL123[[#This Row],[(A/B + A/S) AJD]]+TABL123[[#This Row],[(STORGE DIFF.) AJD]]+(TABL123[[#This Row],[AJD_Evaporation]])/1000)</f>
        <v>25.835000000000036</v>
      </c>
      <c r="AE297" s="68"/>
      <c r="AF297" s="68"/>
      <c r="AG297" s="68"/>
      <c r="AH297" s="6"/>
      <c r="AI297" s="79"/>
      <c r="AJ297" s="79">
        <f>TABL123[[#This Row],[(A/B) AJD]]-TABL123[[#This Row],[BER_IN]]</f>
        <v>551</v>
      </c>
      <c r="AK297" s="79"/>
      <c r="AL297" s="68"/>
      <c r="AM297" s="88"/>
      <c r="AN297" s="88">
        <f>TABL123[[#This Row],[ (RESV. STORGE) SER]]/10</f>
        <v>0</v>
      </c>
      <c r="AO297" s="6"/>
      <c r="AP297" s="32">
        <f>TABL123[[#This Row],[(A/S) AJD]]-TABL123[[#This Row],[SER_IN]]</f>
        <v>260</v>
      </c>
    </row>
    <row r="298" spans="1:42" ht="19.5" thickBot="1" x14ac:dyDescent="0.35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 (T/B) SAR]]+TABL123[[#This Row],[ (S/S) SAR]]</f>
        <v>0</v>
      </c>
      <c r="L298" s="28"/>
      <c r="M298" s="29"/>
      <c r="N298" s="30"/>
      <c r="O298" s="14">
        <v>404</v>
      </c>
      <c r="P298" s="9">
        <f>TABL123[[#This Row],[ (S/S) SAR]]-TABL123[[#This Row],[(S/S) AJD]]</f>
        <v>-404</v>
      </c>
      <c r="Q298" s="14">
        <v>436</v>
      </c>
      <c r="R298" s="9">
        <f>TABL123[[#This Row],[ (T/B) SAR]]-TABL123[[#This Row],[(T/B) AJD]]</f>
        <v>-436</v>
      </c>
      <c r="S298" s="9">
        <f>TABL123[[#This Row],[T/B-CON.]]+TABL123[[#This Row],[S/S_CON.]]</f>
        <v>-840</v>
      </c>
      <c r="T298" s="9">
        <f>TABL123[[#This Row],[(S/S) AJD]]+TABL123[[#This Row],[(T/B) AJD]]</f>
        <v>840</v>
      </c>
      <c r="U298" s="14">
        <v>543</v>
      </c>
      <c r="V298" s="14">
        <v>257</v>
      </c>
      <c r="W298" s="9">
        <f>TABL123[[#This Row],[(A/B) AJD]]+TABL123[[#This Row],[(A/S) AJD]]</f>
        <v>800</v>
      </c>
      <c r="X298" s="9">
        <f>TABL123[[#This Row],[( S/S+T/B) AJD]]-TABL123[[#This Row],[(A/B + A/S) AJD]]</f>
        <v>40</v>
      </c>
      <c r="Y298" s="15">
        <v>92.41</v>
      </c>
      <c r="Z298" s="16">
        <v>443049</v>
      </c>
      <c r="AA298" s="3">
        <f>TABL123[[#This Row],[(RESV. STORGE) AJD]]/10</f>
        <v>44304.9</v>
      </c>
      <c r="AB298" s="45">
        <f t="shared" si="14"/>
        <v>20.82</v>
      </c>
      <c r="AC298" s="5"/>
      <c r="AD298" s="84">
        <f>TABL123[[#This Row],[( S/S+T/B) AJD]]-(TABL123[[#This Row],[(A/B + A/S) AJD]]+TABL123[[#This Row],[(STORGE DIFF.) AJD]]+(TABL123[[#This Row],[AJD_Evaporation]])/1000)</f>
        <v>19.17999999999995</v>
      </c>
      <c r="AE298" s="68"/>
      <c r="AF298" s="68"/>
      <c r="AG298" s="68"/>
      <c r="AH298" s="6"/>
      <c r="AI298" s="79"/>
      <c r="AJ298" s="79">
        <f>TABL123[[#This Row],[(A/B) AJD]]-TABL123[[#This Row],[BER_IN]]</f>
        <v>543</v>
      </c>
      <c r="AK298" s="79"/>
      <c r="AL298" s="68"/>
      <c r="AM298" s="88"/>
      <c r="AN298" s="88">
        <f>TABL123[[#This Row],[ (RESV. STORGE) SER]]/10</f>
        <v>0</v>
      </c>
      <c r="AO298" s="6"/>
      <c r="AP298" s="32">
        <f>TABL123[[#This Row],[(A/S) AJD]]-TABL123[[#This Row],[SER_IN]]</f>
        <v>257</v>
      </c>
    </row>
    <row r="299" spans="1:42" ht="19.5" thickBot="1" x14ac:dyDescent="0.35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 (T/B) SAR]]+TABL123[[#This Row],[ (S/S) SAR]]</f>
        <v>0</v>
      </c>
      <c r="L299" s="28"/>
      <c r="M299" s="29"/>
      <c r="N299" s="30"/>
      <c r="O299" s="14">
        <v>413</v>
      </c>
      <c r="P299" s="9">
        <f>TABL123[[#This Row],[ (S/S) SAR]]-TABL123[[#This Row],[(S/S) AJD]]</f>
        <v>-413</v>
      </c>
      <c r="Q299" s="14">
        <v>446</v>
      </c>
      <c r="R299" s="9">
        <f>TABL123[[#This Row],[ (T/B) SAR]]-TABL123[[#This Row],[(T/B) AJD]]</f>
        <v>-446</v>
      </c>
      <c r="S299" s="9">
        <f>TABL123[[#This Row],[T/B-CON.]]+TABL123[[#This Row],[S/S_CON.]]</f>
        <v>-859</v>
      </c>
      <c r="T299" s="9">
        <f>TABL123[[#This Row],[(S/S) AJD]]+TABL123[[#This Row],[(T/B) AJD]]</f>
        <v>859</v>
      </c>
      <c r="U299" s="14">
        <v>527</v>
      </c>
      <c r="V299" s="14">
        <v>264</v>
      </c>
      <c r="W299" s="9">
        <f>TABL123[[#This Row],[(A/B) AJD]]+TABL123[[#This Row],[(A/S) AJD]]</f>
        <v>791</v>
      </c>
      <c r="X299" s="9">
        <f>TABL123[[#This Row],[( S/S+T/B) AJD]]-TABL123[[#This Row],[(A/B + A/S) AJD]]</f>
        <v>68</v>
      </c>
      <c r="Y299" s="15">
        <v>92.474999999999994</v>
      </c>
      <c r="Z299" s="16">
        <v>481734</v>
      </c>
      <c r="AA299" s="3">
        <f>TABL123[[#This Row],[(RESV. STORGE) AJD]]/10</f>
        <v>48173.4</v>
      </c>
      <c r="AB299" s="45">
        <f t="shared" si="14"/>
        <v>38.685000000000002</v>
      </c>
      <c r="AC299" s="5"/>
      <c r="AD299" s="84">
        <f>TABL123[[#This Row],[( S/S+T/B) AJD]]-(TABL123[[#This Row],[(A/B + A/S) AJD]]+TABL123[[#This Row],[(STORGE DIFF.) AJD]]+(TABL123[[#This Row],[AJD_Evaporation]])/1000)</f>
        <v>29.315000000000055</v>
      </c>
      <c r="AE299" s="68"/>
      <c r="AF299" s="68"/>
      <c r="AG299" s="68"/>
      <c r="AH299" s="6"/>
      <c r="AI299" s="79"/>
      <c r="AJ299" s="79">
        <f>TABL123[[#This Row],[(A/B) AJD]]-TABL123[[#This Row],[BER_IN]]</f>
        <v>527</v>
      </c>
      <c r="AK299" s="79"/>
      <c r="AL299" s="68"/>
      <c r="AM299" s="88"/>
      <c r="AN299" s="88">
        <f>TABL123[[#This Row],[ (RESV. STORGE) SER]]/10</f>
        <v>0</v>
      </c>
      <c r="AO299" s="6"/>
      <c r="AP299" s="32">
        <f>TABL123[[#This Row],[(A/S) AJD]]-TABL123[[#This Row],[SER_IN]]</f>
        <v>264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 (T/B) SAR]]+TABL123[[#This Row],[ (S/S) SAR]]</f>
        <v>0</v>
      </c>
      <c r="L300" s="28"/>
      <c r="M300" s="29"/>
      <c r="N300" s="30"/>
      <c r="O300" s="14"/>
      <c r="P300" s="9">
        <f>TABL123[[#This Row],[ (S/S) SAR]]-TABL123[[#This Row],[(S/S) AJD]]</f>
        <v>0</v>
      </c>
      <c r="Q300" s="14"/>
      <c r="R300" s="9">
        <f>TABL123[[#This Row],[ (T/B) SAR]]-TABL123[[#This Row],[(T/B) AJD]]</f>
        <v>0</v>
      </c>
      <c r="S300" s="9">
        <f>TABL123[[#This Row],[T/B-CON.]]+TABL123[[#This Row],[S/S_CON.]]</f>
        <v>0</v>
      </c>
      <c r="T300" s="9">
        <f>TABL123[[#This Row],[(S/S) AJD]]+TABL123[[#This Row],[(T/B) AJD]]</f>
        <v>0</v>
      </c>
      <c r="U300" s="14"/>
      <c r="V300" s="14"/>
      <c r="W300" s="9">
        <f>TABL123[[#This Row],[(A/B) AJD]]+TABL123[[#This Row],[(A/S)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-481.73399999999998</v>
      </c>
      <c r="AC300" s="5"/>
      <c r="AD300" s="84">
        <f>TABL123[[#This Row],[( S/S+T/B) AJD]]-(TABL123[[#This Row],[(A/B + A/S) AJD]]+TABL123[[#This Row],[(STORGE DIFF.) AJD]]+(TABL123[[#This Row],[AJD_Evaporation]])/1000)</f>
        <v>481.73399999999998</v>
      </c>
      <c r="AE300" s="68"/>
      <c r="AF300" s="68"/>
      <c r="AG300" s="68"/>
      <c r="AH300" s="6"/>
      <c r="AI300" s="79"/>
      <c r="AJ300" s="79">
        <f>TABL123[[#This Row],[(A/B) AJD]]-TABL123[[#This Row],[BER_IN]]</f>
        <v>0</v>
      </c>
      <c r="AK300" s="79"/>
      <c r="AL300" s="68"/>
      <c r="AM300" s="88"/>
      <c r="AN300" s="88">
        <f>TABL123[[#This Row],[ (RESV. STORGE) SER]]/10</f>
        <v>0</v>
      </c>
      <c r="AO300" s="6"/>
      <c r="AP300" s="32">
        <f>TABL123[[#This Row],[(A/S) AJD]]-TABL123[[#This Row],[SER_IN]]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 (T/B) SAR]]+TABL123[[#This Row],[ (S/S) SAR]]</f>
        <v>0</v>
      </c>
      <c r="L301" s="28"/>
      <c r="M301" s="29"/>
      <c r="N301" s="30"/>
      <c r="O301" s="14"/>
      <c r="P301" s="9">
        <f>TABL123[[#This Row],[ (S/S) SAR]]-TABL123[[#This Row],[(S/S) AJD]]</f>
        <v>0</v>
      </c>
      <c r="Q301" s="14"/>
      <c r="R301" s="9">
        <f>TABL123[[#This Row],[ (T/B) SAR]]-TABL123[[#This Row],[(T/B) AJD]]</f>
        <v>0</v>
      </c>
      <c r="S301" s="9">
        <f>TABL123[[#This Row],[T/B-CON.]]+TABL123[[#This Row],[S/S_CON.]]</f>
        <v>0</v>
      </c>
      <c r="T301" s="9">
        <f>TABL123[[#This Row],[(S/S) AJD]]+TABL123[[#This Row],[(T/B) AJD]]</f>
        <v>0</v>
      </c>
      <c r="U301" s="14"/>
      <c r="V301" s="14"/>
      <c r="W301" s="9">
        <f>TABL123[[#This Row],[(A/B) AJD]]+TABL123[[#This Row],[(A/S)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4">
        <f>TABL123[[#This Row],[( S/S+T/B) AJD]]-(TABL123[[#This Row],[(A/B + A/S) AJD]]+TABL123[[#This Row],[(STORGE DIFF.) AJD]]+(TABL123[[#This Row],[AJD_Evaporation]])/1000)</f>
        <v>0</v>
      </c>
      <c r="AE301" s="68"/>
      <c r="AF301" s="68"/>
      <c r="AG301" s="68"/>
      <c r="AH301" s="6"/>
      <c r="AI301" s="79"/>
      <c r="AJ301" s="79">
        <f>TABL123[[#This Row],[(A/B) AJD]]-TABL123[[#This Row],[BER_IN]]</f>
        <v>0</v>
      </c>
      <c r="AK301" s="79"/>
      <c r="AL301" s="68"/>
      <c r="AM301" s="88"/>
      <c r="AN301" s="88">
        <f>TABL123[[#This Row],[ (RESV. STORGE) SER]]/10</f>
        <v>0</v>
      </c>
      <c r="AO301" s="6"/>
      <c r="AP301" s="32">
        <f>TABL123[[#This Row],[(A/S) AJD]]-TABL123[[#This Row],[SER_IN]]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 (T/B) SAR]]+TABL123[[#This Row],[ (S/S) SAR]]</f>
        <v>0</v>
      </c>
      <c r="L302" s="28"/>
      <c r="M302" s="29"/>
      <c r="N302" s="30"/>
      <c r="O302" s="14"/>
      <c r="P302" s="9">
        <f>TABL123[[#This Row],[ (S/S) SAR]]-TABL123[[#This Row],[(S/S) AJD]]</f>
        <v>0</v>
      </c>
      <c r="Q302" s="14"/>
      <c r="R302" s="9">
        <f>TABL123[[#This Row],[ (T/B) SAR]]-TABL123[[#This Row],[(T/B) AJD]]</f>
        <v>0</v>
      </c>
      <c r="S302" s="9">
        <f>TABL123[[#This Row],[T/B-CON.]]+TABL123[[#This Row],[S/S_CON.]]</f>
        <v>0</v>
      </c>
      <c r="T302" s="9">
        <f>TABL123[[#This Row],[(S/S) AJD]]+TABL123[[#This Row],[(T/B) AJD]]</f>
        <v>0</v>
      </c>
      <c r="U302" s="14"/>
      <c r="V302" s="14"/>
      <c r="W302" s="9">
        <f>TABL123[[#This Row],[(A/B) AJD]]+TABL123[[#This Row],[(A/S)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4">
        <f>TABL123[[#This Row],[( S/S+T/B) AJD]]-(TABL123[[#This Row],[(A/B + A/S) AJD]]+TABL123[[#This Row],[(STORGE DIFF.) AJD]]+(TABL123[[#This Row],[AJD_Evaporation]])/1000)</f>
        <v>0</v>
      </c>
      <c r="AE302" s="68"/>
      <c r="AF302" s="68"/>
      <c r="AG302" s="68"/>
      <c r="AH302" s="6"/>
      <c r="AI302" s="79"/>
      <c r="AJ302" s="79">
        <f>TABL123[[#This Row],[(A/B) AJD]]-TABL123[[#This Row],[BER_IN]]</f>
        <v>0</v>
      </c>
      <c r="AK302" s="79"/>
      <c r="AL302" s="68"/>
      <c r="AM302" s="88"/>
      <c r="AN302" s="88">
        <f>TABL123[[#This Row],[ (RESV. STORGE) SER]]/10</f>
        <v>0</v>
      </c>
      <c r="AO302" s="6"/>
      <c r="AP302" s="32">
        <f>TABL123[[#This Row],[(A/S) AJD]]-TABL123[[#This Row],[SER_IN]]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14"/>
      <c r="P303" s="9">
        <f>TABL123[[#This Row],[ (S/S) SAR]]-TABL123[[#This Row],[(S/S) AJD]]</f>
        <v>0</v>
      </c>
      <c r="Q303" s="14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14"/>
      <c r="V303" s="14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4">
        <f>TABL123[[#This Row],[( S/S+T/B) AJD]]-(TABL123[[#This Row],[(A/B + A/S) AJD]]+TABL123[[#This Row],[(STORGE DIFF.) AJD]]+(TABL123[[#This Row],[AJD_Evaporation]])/1000)</f>
        <v>0</v>
      </c>
      <c r="AE303" s="68"/>
      <c r="AF303" s="68"/>
      <c r="AG303" s="68"/>
      <c r="AH303" s="6"/>
      <c r="AI303" s="79"/>
      <c r="AJ303" s="79">
        <f>TABL123[[#This Row],[(A/B) AJD]]-TABL123[[#This Row],[BER_IN]]</f>
        <v>0</v>
      </c>
      <c r="AK303" s="79"/>
      <c r="AL303" s="68"/>
      <c r="AM303" s="88"/>
      <c r="AN303" s="88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14"/>
      <c r="P304" s="9">
        <f>TABL123[[#This Row],[ (S/S) SAR]]-TABL123[[#This Row],[(S/S) AJD]]</f>
        <v>0</v>
      </c>
      <c r="Q304" s="14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14"/>
      <c r="V304" s="14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4">
        <f>TABL123[[#This Row],[( S/S+T/B) AJD]]-(TABL123[[#This Row],[(A/B + A/S) AJD]]+TABL123[[#This Row],[(STORGE DIFF.) AJD]]+(TABL123[[#This Row],[AJD_Evaporation]])/1000)</f>
        <v>0</v>
      </c>
      <c r="AE304" s="68"/>
      <c r="AF304" s="68"/>
      <c r="AG304" s="68"/>
      <c r="AH304" s="6"/>
      <c r="AI304" s="79"/>
      <c r="AJ304" s="79">
        <f>TABL123[[#This Row],[(A/B) AJD]]-TABL123[[#This Row],[BER_IN]]</f>
        <v>0</v>
      </c>
      <c r="AK304" s="79"/>
      <c r="AL304" s="68"/>
      <c r="AM304" s="88"/>
      <c r="AN304" s="88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14"/>
      <c r="P305" s="9">
        <f>TABL123[[#This Row],[ (S/S) SAR]]-TABL123[[#This Row],[(S/S) AJD]]</f>
        <v>0</v>
      </c>
      <c r="Q305" s="14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14"/>
      <c r="V305" s="14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4">
        <f>TABL123[[#This Row],[( S/S+T/B) AJD]]-(TABL123[[#This Row],[(A/B + A/S) AJD]]+TABL123[[#This Row],[(STORGE DIFF.) AJD]]+(TABL123[[#This Row],[AJD_Evaporation]])/1000)</f>
        <v>0</v>
      </c>
      <c r="AE305" s="68"/>
      <c r="AF305" s="68"/>
      <c r="AG305" s="68"/>
      <c r="AH305" s="6"/>
      <c r="AI305" s="79"/>
      <c r="AJ305" s="79">
        <f>TABL123[[#This Row],[(A/B) AJD]]-TABL123[[#This Row],[BER_IN]]</f>
        <v>0</v>
      </c>
      <c r="AK305" s="79"/>
      <c r="AL305" s="68"/>
      <c r="AM305" s="88"/>
      <c r="AN305" s="88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4">
        <f>TABL123[[#This Row],[( S/S+T/B) AJD]]-(TABL123[[#This Row],[(A/B + A/S) AJD]]+TABL123[[#This Row],[(STORGE DIFF.) AJD]]+(TABL123[[#This Row],[AJD_Evaporation]])/1000)</f>
        <v>0</v>
      </c>
      <c r="AE306" s="68"/>
      <c r="AF306" s="68"/>
      <c r="AG306" s="68"/>
      <c r="AH306" s="6"/>
      <c r="AI306" s="79"/>
      <c r="AJ306" s="79">
        <f>TABL123[[#This Row],[(A/B) AJD]]-TABL123[[#This Row],[BER_IN]]</f>
        <v>0</v>
      </c>
      <c r="AK306" s="79"/>
      <c r="AL306" s="68"/>
      <c r="AM306" s="88"/>
      <c r="AN306" s="88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4">
        <f>TABL123[[#This Row],[( S/S+T/B) AJD]]-(TABL123[[#This Row],[(A/B + A/S) AJD]]+TABL123[[#This Row],[(STORGE DIFF.) AJD]]+(TABL123[[#This Row],[AJD_Evaporation]])/1000)</f>
        <v>0</v>
      </c>
      <c r="AE307" s="68"/>
      <c r="AF307" s="68"/>
      <c r="AG307" s="68"/>
      <c r="AH307" s="6"/>
      <c r="AI307" s="79"/>
      <c r="AJ307" s="79">
        <f>TABL123[[#This Row],[(A/B) AJD]]-TABL123[[#This Row],[BER_IN]]</f>
        <v>0</v>
      </c>
      <c r="AK307" s="79"/>
      <c r="AL307" s="68"/>
      <c r="AM307" s="88"/>
      <c r="AN307" s="88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4">
        <f>TABL123[[#This Row],[( S/S+T/B) AJD]]-(TABL123[[#This Row],[(A/B + A/S) AJD]]+TABL123[[#This Row],[(STORGE DIFF.) AJD]]+(TABL123[[#This Row],[AJD_Evaporation]])/1000)</f>
        <v>0</v>
      </c>
      <c r="AE308" s="68"/>
      <c r="AF308" s="68"/>
      <c r="AG308" s="68"/>
      <c r="AH308" s="6"/>
      <c r="AI308" s="79"/>
      <c r="AJ308" s="79">
        <f>TABL123[[#This Row],[(A/B) AJD]]-TABL123[[#This Row],[BER_IN]]</f>
        <v>0</v>
      </c>
      <c r="AK308" s="79"/>
      <c r="AL308" s="68"/>
      <c r="AM308" s="88"/>
      <c r="AN308" s="88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4">
        <f>TABL123[[#This Row],[( S/S+T/B) AJD]]-(TABL123[[#This Row],[(A/B + A/S) AJD]]+TABL123[[#This Row],[(STORGE DIFF.) AJD]]+(TABL123[[#This Row],[AJD_Evaporation]])/1000)</f>
        <v>0</v>
      </c>
      <c r="AE309" s="68"/>
      <c r="AF309" s="68"/>
      <c r="AG309" s="68"/>
      <c r="AH309" s="6"/>
      <c r="AI309" s="79"/>
      <c r="AJ309" s="79">
        <f>TABL123[[#This Row],[(A/B) AJD]]-TABL123[[#This Row],[BER_IN]]</f>
        <v>0</v>
      </c>
      <c r="AK309" s="79"/>
      <c r="AL309" s="68"/>
      <c r="AM309" s="88"/>
      <c r="AN309" s="88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4">
        <f>TABL123[[#This Row],[( S/S+T/B) AJD]]-(TABL123[[#This Row],[(A/B + A/S) AJD]]+TABL123[[#This Row],[(STORGE DIFF.) AJD]]+(TABL123[[#This Row],[AJD_Evaporation]])/1000)</f>
        <v>0</v>
      </c>
      <c r="AE310" s="68"/>
      <c r="AF310" s="68"/>
      <c r="AG310" s="68"/>
      <c r="AH310" s="6"/>
      <c r="AI310" s="79"/>
      <c r="AJ310" s="79">
        <f>TABL123[[#This Row],[(A/B) AJD]]-TABL123[[#This Row],[BER_IN]]</f>
        <v>0</v>
      </c>
      <c r="AK310" s="79"/>
      <c r="AL310" s="68"/>
      <c r="AM310" s="88"/>
      <c r="AN310" s="88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4">
        <f>TABL123[[#This Row],[( S/S+T/B) AJD]]-(TABL123[[#This Row],[(A/B + A/S) AJD]]+TABL123[[#This Row],[(STORGE DIFF.) AJD]]+(TABL123[[#This Row],[AJD_Evaporation]])/1000)</f>
        <v>0</v>
      </c>
      <c r="AE311" s="68"/>
      <c r="AF311" s="68"/>
      <c r="AG311" s="68"/>
      <c r="AH311" s="6"/>
      <c r="AI311" s="79"/>
      <c r="AJ311" s="79">
        <f>TABL123[[#This Row],[(A/B) AJD]]-TABL123[[#This Row],[BER_IN]]</f>
        <v>0</v>
      </c>
      <c r="AK311" s="79"/>
      <c r="AL311" s="68"/>
      <c r="AM311" s="88"/>
      <c r="AN311" s="88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4">
        <f>TABL123[[#This Row],[( S/S+T/B) AJD]]-(TABL123[[#This Row],[(A/B + A/S) AJD]]+TABL123[[#This Row],[(STORGE DIFF.) AJD]]+(TABL123[[#This Row],[AJD_Evaporation]])/1000)</f>
        <v>0</v>
      </c>
      <c r="AE312" s="68"/>
      <c r="AF312" s="68"/>
      <c r="AG312" s="68"/>
      <c r="AH312" s="6"/>
      <c r="AI312" s="79"/>
      <c r="AJ312" s="79">
        <f>TABL123[[#This Row],[(A/B) AJD]]-TABL123[[#This Row],[BER_IN]]</f>
        <v>0</v>
      </c>
      <c r="AK312" s="79"/>
      <c r="AL312" s="68"/>
      <c r="AM312" s="88"/>
      <c r="AN312" s="88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4">
        <f>TABL123[[#This Row],[( S/S+T/B) AJD]]-(TABL123[[#This Row],[(A/B + A/S) AJD]]+TABL123[[#This Row],[(STORGE DIFF.) AJD]]+(TABL123[[#This Row],[AJD_Evaporation]])/1000)</f>
        <v>0</v>
      </c>
      <c r="AE313" s="68"/>
      <c r="AF313" s="68"/>
      <c r="AG313" s="68"/>
      <c r="AH313" s="6"/>
      <c r="AI313" s="79"/>
      <c r="AJ313" s="79">
        <f>TABL123[[#This Row],[(A/B) AJD]]-TABL123[[#This Row],[BER_IN]]</f>
        <v>0</v>
      </c>
      <c r="AK313" s="79"/>
      <c r="AL313" s="68"/>
      <c r="AM313" s="88"/>
      <c r="AN313" s="88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4">
        <f>TABL123[[#This Row],[( S/S+T/B) AJD]]-(TABL123[[#This Row],[(A/B + A/S) AJD]]+TABL123[[#This Row],[(STORGE DIFF.) AJD]]+(TABL123[[#This Row],[AJD_Evaporation]])/1000)</f>
        <v>0</v>
      </c>
      <c r="AE314" s="68"/>
      <c r="AF314" s="68"/>
      <c r="AG314" s="68"/>
      <c r="AH314" s="6"/>
      <c r="AI314" s="79"/>
      <c r="AJ314" s="79">
        <f>TABL123[[#This Row],[(A/B) AJD]]-TABL123[[#This Row],[BER_IN]]</f>
        <v>0</v>
      </c>
      <c r="AK314" s="79"/>
      <c r="AL314" s="68"/>
      <c r="AM314" s="88"/>
      <c r="AN314" s="88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4">
        <f>TABL123[[#This Row],[( S/S+T/B) AJD]]-(TABL123[[#This Row],[(A/B + A/S) AJD]]+TABL123[[#This Row],[(STORGE DIFF.) AJD]]+(TABL123[[#This Row],[AJD_Evaporation]])/1000)</f>
        <v>0</v>
      </c>
      <c r="AE315" s="68"/>
      <c r="AF315" s="68"/>
      <c r="AG315" s="68"/>
      <c r="AH315" s="6"/>
      <c r="AI315" s="79"/>
      <c r="AJ315" s="79">
        <f>TABL123[[#This Row],[(A/B) AJD]]-TABL123[[#This Row],[BER_IN]]</f>
        <v>0</v>
      </c>
      <c r="AK315" s="79"/>
      <c r="AL315" s="68"/>
      <c r="AM315" s="88"/>
      <c r="AN315" s="88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4">
        <f>TABL123[[#This Row],[( S/S+T/B) AJD]]-(TABL123[[#This Row],[(A/B + A/S) AJD]]+TABL123[[#This Row],[(STORGE DIFF.) AJD]]+(TABL123[[#This Row],[AJD_Evaporation]])/1000)</f>
        <v>0</v>
      </c>
      <c r="AE316" s="68"/>
      <c r="AF316" s="68"/>
      <c r="AG316" s="68"/>
      <c r="AH316" s="6"/>
      <c r="AI316" s="79"/>
      <c r="AJ316" s="79">
        <f>TABL123[[#This Row],[(A/B) AJD]]-TABL123[[#This Row],[BER_IN]]</f>
        <v>0</v>
      </c>
      <c r="AK316" s="79"/>
      <c r="AL316" s="68"/>
      <c r="AM316" s="88"/>
      <c r="AN316" s="88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4">
        <f>TABL123[[#This Row],[( S/S+T/B) AJD]]-(TABL123[[#This Row],[(A/B + A/S) AJD]]+TABL123[[#This Row],[(STORGE DIFF.) AJD]]+(TABL123[[#This Row],[AJD_Evaporation]])/1000)</f>
        <v>0</v>
      </c>
      <c r="AE317" s="68"/>
      <c r="AF317" s="68"/>
      <c r="AG317" s="68"/>
      <c r="AH317" s="6"/>
      <c r="AI317" s="79"/>
      <c r="AJ317" s="79">
        <f>TABL123[[#This Row],[(A/B) AJD]]-TABL123[[#This Row],[BER_IN]]</f>
        <v>0</v>
      </c>
      <c r="AK317" s="79"/>
      <c r="AL317" s="68"/>
      <c r="AM317" s="88"/>
      <c r="AN317" s="88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4">
        <f>TABL123[[#This Row],[( S/S+T/B) AJD]]-(TABL123[[#This Row],[(A/B + A/S) AJD]]+TABL123[[#This Row],[(STORGE DIFF.) AJD]]+(TABL123[[#This Row],[AJD_Evaporation]])/1000)</f>
        <v>0</v>
      </c>
      <c r="AE318" s="68"/>
      <c r="AF318" s="68"/>
      <c r="AG318" s="68"/>
      <c r="AH318" s="6"/>
      <c r="AI318" s="79"/>
      <c r="AJ318" s="79">
        <f>TABL123[[#This Row],[(A/B) AJD]]-TABL123[[#This Row],[BER_IN]]</f>
        <v>0</v>
      </c>
      <c r="AK318" s="79"/>
      <c r="AL318" s="68"/>
      <c r="AM318" s="88"/>
      <c r="AN318" s="88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4">
        <f>TABL123[[#This Row],[( S/S+T/B) AJD]]-(TABL123[[#This Row],[(A/B + A/S) AJD]]+TABL123[[#This Row],[(STORGE DIFF.) AJD]]+(TABL123[[#This Row],[AJD_Evaporation]])/1000)</f>
        <v>0</v>
      </c>
      <c r="AE319" s="68"/>
      <c r="AF319" s="68"/>
      <c r="AG319" s="68"/>
      <c r="AH319" s="6"/>
      <c r="AI319" s="79"/>
      <c r="AJ319" s="79">
        <f>TABL123[[#This Row],[(A/B) AJD]]-TABL123[[#This Row],[BER_IN]]</f>
        <v>0</v>
      </c>
      <c r="AK319" s="79"/>
      <c r="AL319" s="68"/>
      <c r="AM319" s="88"/>
      <c r="AN319" s="88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4">
        <f>TABL123[[#This Row],[( S/S+T/B) AJD]]-(TABL123[[#This Row],[(A/B + A/S) AJD]]+TABL123[[#This Row],[(STORGE DIFF.) AJD]]+(TABL123[[#This Row],[AJD_Evaporation]])/1000)</f>
        <v>0</v>
      </c>
      <c r="AE320" s="68"/>
      <c r="AF320" s="68"/>
      <c r="AG320" s="68"/>
      <c r="AH320" s="6"/>
      <c r="AI320" s="79"/>
      <c r="AJ320" s="79">
        <f>TABL123[[#This Row],[(A/B) AJD]]-TABL123[[#This Row],[BER_IN]]</f>
        <v>0</v>
      </c>
      <c r="AK320" s="79"/>
      <c r="AL320" s="68"/>
      <c r="AM320" s="88"/>
      <c r="AN320" s="88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4">
        <f>TABL123[[#This Row],[( S/S+T/B) AJD]]-(TABL123[[#This Row],[(A/B + A/S) AJD]]+TABL123[[#This Row],[(STORGE DIFF.) AJD]]+(TABL123[[#This Row],[AJD_Evaporation]])/1000)</f>
        <v>0</v>
      </c>
      <c r="AE321" s="68"/>
      <c r="AF321" s="68"/>
      <c r="AG321" s="68"/>
      <c r="AH321" s="6"/>
      <c r="AI321" s="79"/>
      <c r="AJ321" s="79">
        <f>TABL123[[#This Row],[(A/B) AJD]]-TABL123[[#This Row],[BER_IN]]</f>
        <v>0</v>
      </c>
      <c r="AK321" s="79"/>
      <c r="AL321" s="68"/>
      <c r="AM321" s="88"/>
      <c r="AN321" s="88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4">
        <f>TABL123[[#This Row],[( S/S+T/B) AJD]]-(TABL123[[#This Row],[(A/B + A/S) AJD]]+TABL123[[#This Row],[(STORGE DIFF.) AJD]]+(TABL123[[#This Row],[AJD_Evaporation]])/1000)</f>
        <v>0</v>
      </c>
      <c r="AE322" s="68"/>
      <c r="AF322" s="68"/>
      <c r="AG322" s="68"/>
      <c r="AH322" s="6"/>
      <c r="AI322" s="79"/>
      <c r="AJ322" s="79">
        <f>TABL123[[#This Row],[(A/B) AJD]]-TABL123[[#This Row],[BER_IN]]</f>
        <v>0</v>
      </c>
      <c r="AK322" s="79"/>
      <c r="AL322" s="68"/>
      <c r="AM322" s="88"/>
      <c r="AN322" s="88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4">
        <f>TABL123[[#This Row],[( S/S+T/B) AJD]]-(TABL123[[#This Row],[(A/B + A/S) AJD]]+TABL123[[#This Row],[(STORGE DIFF.) AJD]]+(TABL123[[#This Row],[AJD_Evaporation]])/1000)</f>
        <v>0</v>
      </c>
      <c r="AE323" s="68"/>
      <c r="AF323" s="68"/>
      <c r="AG323" s="68"/>
      <c r="AH323" s="6"/>
      <c r="AI323" s="79"/>
      <c r="AJ323" s="79">
        <f>TABL123[[#This Row],[(A/B) AJD]]-TABL123[[#This Row],[BER_IN]]</f>
        <v>0</v>
      </c>
      <c r="AK323" s="79"/>
      <c r="AL323" s="68"/>
      <c r="AM323" s="88"/>
      <c r="AN323" s="88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84">
        <f>TABL123[[#This Row],[( S/S+T/B) AJD]]-(TABL123[[#This Row],[(A/B + A/S) AJD]]+TABL123[[#This Row],[(STORGE DIFF.) AJD]]+(TABL123[[#This Row],[AJD_Evaporation]])/1000)</f>
        <v>0</v>
      </c>
      <c r="AE324" s="68"/>
      <c r="AF324" s="68"/>
      <c r="AG324" s="68"/>
      <c r="AH324" s="6"/>
      <c r="AI324" s="79"/>
      <c r="AJ324" s="79">
        <f>TABL123[[#This Row],[(A/B) AJD]]-TABL123[[#This Row],[BER_IN]]</f>
        <v>0</v>
      </c>
      <c r="AK324" s="79"/>
      <c r="AL324" s="68"/>
      <c r="AM324" s="88"/>
      <c r="AN324" s="88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4">
        <f>TABL123[[#This Row],[( S/S+T/B) AJD]]-(TABL123[[#This Row],[(A/B + A/S) AJD]]+TABL123[[#This Row],[(STORGE DIFF.) AJD]]+(TABL123[[#This Row],[AJD_Evaporation]])/1000)</f>
        <v>0</v>
      </c>
      <c r="AE325" s="68"/>
      <c r="AF325" s="68"/>
      <c r="AG325" s="68"/>
      <c r="AH325" s="6"/>
      <c r="AI325" s="79"/>
      <c r="AJ325" s="79">
        <f>TABL123[[#This Row],[(A/B) AJD]]-TABL123[[#This Row],[BER_IN]]</f>
        <v>0</v>
      </c>
      <c r="AK325" s="79"/>
      <c r="AL325" s="68"/>
      <c r="AM325" s="88"/>
      <c r="AN325" s="88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4">
        <f>TABL123[[#This Row],[( S/S+T/B) AJD]]-(TABL123[[#This Row],[(A/B + A/S) AJD]]+TABL123[[#This Row],[(STORGE DIFF.) AJD]]+(TABL123[[#This Row],[AJD_Evaporation]])/1000)</f>
        <v>0</v>
      </c>
      <c r="AE326" s="68"/>
      <c r="AF326" s="68"/>
      <c r="AG326" s="68"/>
      <c r="AH326" s="6"/>
      <c r="AI326" s="79"/>
      <c r="AJ326" s="79">
        <f>TABL123[[#This Row],[(A/B) AJD]]-TABL123[[#This Row],[BER_IN]]</f>
        <v>0</v>
      </c>
      <c r="AK326" s="79"/>
      <c r="AL326" s="68"/>
      <c r="AM326" s="88"/>
      <c r="AN326" s="88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4">
        <f>TABL123[[#This Row],[( S/S+T/B) AJD]]-(TABL123[[#This Row],[(A/B + A/S) AJD]]+TABL123[[#This Row],[(STORGE DIFF.) AJD]]+(TABL123[[#This Row],[AJD_Evaporation]])/1000)</f>
        <v>0</v>
      </c>
      <c r="AE327" s="68"/>
      <c r="AF327" s="68"/>
      <c r="AG327" s="68"/>
      <c r="AH327" s="6"/>
      <c r="AI327" s="79"/>
      <c r="AJ327" s="79">
        <f>TABL123[[#This Row],[(A/B) AJD]]-TABL123[[#This Row],[BER_IN]]</f>
        <v>0</v>
      </c>
      <c r="AK327" s="79"/>
      <c r="AL327" s="68"/>
      <c r="AM327" s="88"/>
      <c r="AN327" s="88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4">
        <f>TABL123[[#This Row],[( S/S+T/B) AJD]]-(TABL123[[#This Row],[(A/B + A/S) AJD]]+TABL123[[#This Row],[(STORGE DIFF.) AJD]]+(TABL123[[#This Row],[AJD_Evaporation]])/1000)</f>
        <v>0</v>
      </c>
      <c r="AE328" s="68"/>
      <c r="AF328" s="68"/>
      <c r="AG328" s="68"/>
      <c r="AH328" s="6"/>
      <c r="AI328" s="79"/>
      <c r="AJ328" s="79">
        <f>TABL123[[#This Row],[(A/B) AJD]]-TABL123[[#This Row],[BER_IN]]</f>
        <v>0</v>
      </c>
      <c r="AK328" s="79"/>
      <c r="AL328" s="68"/>
      <c r="AM328" s="88"/>
      <c r="AN328" s="88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4">
        <f>TABL123[[#This Row],[( S/S+T/B) AJD]]-(TABL123[[#This Row],[(A/B + A/S) AJD]]+TABL123[[#This Row],[(STORGE DIFF.) AJD]]+(TABL123[[#This Row],[AJD_Evaporation]])/1000)</f>
        <v>0</v>
      </c>
      <c r="AE329" s="68"/>
      <c r="AF329" s="68"/>
      <c r="AG329" s="68"/>
      <c r="AH329" s="6"/>
      <c r="AI329" s="79"/>
      <c r="AJ329" s="79">
        <f>TABL123[[#This Row],[(A/B) AJD]]-TABL123[[#This Row],[BER_IN]]</f>
        <v>0</v>
      </c>
      <c r="AK329" s="79"/>
      <c r="AL329" s="68"/>
      <c r="AM329" s="88"/>
      <c r="AN329" s="88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4">
        <f>TABL123[[#This Row],[( S/S+T/B) AJD]]-(TABL123[[#This Row],[(A/B + A/S) AJD]]+TABL123[[#This Row],[(STORGE DIFF.) AJD]]+(TABL123[[#This Row],[AJD_Evaporation]])/1000)</f>
        <v>0</v>
      </c>
      <c r="AE330" s="68"/>
      <c r="AF330" s="68"/>
      <c r="AG330" s="68"/>
      <c r="AH330" s="6"/>
      <c r="AI330" s="79"/>
      <c r="AJ330" s="79">
        <f>TABL123[[#This Row],[(A/B) AJD]]-TABL123[[#This Row],[BER_IN]]</f>
        <v>0</v>
      </c>
      <c r="AK330" s="79"/>
      <c r="AL330" s="68"/>
      <c r="AM330" s="88"/>
      <c r="AN330" s="88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4">
        <f>TABL123[[#This Row],[( S/S+T/B) AJD]]-(TABL123[[#This Row],[(A/B + A/S) AJD]]+TABL123[[#This Row],[(STORGE DIFF.) AJD]]+(TABL123[[#This Row],[AJD_Evaporation]])/1000)</f>
        <v>0</v>
      </c>
      <c r="AE331" s="68"/>
      <c r="AF331" s="68"/>
      <c r="AG331" s="68"/>
      <c r="AH331" s="6"/>
      <c r="AI331" s="79"/>
      <c r="AJ331" s="79">
        <f>TABL123[[#This Row],[(A/B) AJD]]-TABL123[[#This Row],[BER_IN]]</f>
        <v>0</v>
      </c>
      <c r="AK331" s="79"/>
      <c r="AL331" s="68"/>
      <c r="AM331" s="88"/>
      <c r="AN331" s="88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4">
        <f>TABL123[[#This Row],[( S/S+T/B) AJD]]-(TABL123[[#This Row],[(A/B + A/S) AJD]]+TABL123[[#This Row],[(STORGE DIFF.) AJD]]+(TABL123[[#This Row],[AJD_Evaporation]])/1000)</f>
        <v>0</v>
      </c>
      <c r="AE332" s="68"/>
      <c r="AF332" s="68"/>
      <c r="AG332" s="68"/>
      <c r="AH332" s="6"/>
      <c r="AI332" s="79"/>
      <c r="AJ332" s="79">
        <f>TABL123[[#This Row],[(A/B) AJD]]-TABL123[[#This Row],[BER_IN]]</f>
        <v>0</v>
      </c>
      <c r="AK332" s="79"/>
      <c r="AL332" s="68"/>
      <c r="AM332" s="88"/>
      <c r="AN332" s="88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4">
        <f>TABL123[[#This Row],[( S/S+T/B) AJD]]-(TABL123[[#This Row],[(A/B + A/S) AJD]]+TABL123[[#This Row],[(STORGE DIFF.) AJD]]+(TABL123[[#This Row],[AJD_Evaporation]])/1000)</f>
        <v>0</v>
      </c>
      <c r="AE333" s="68"/>
      <c r="AF333" s="68"/>
      <c r="AG333" s="68"/>
      <c r="AH333" s="6"/>
      <c r="AI333" s="79"/>
      <c r="AJ333" s="79">
        <f>TABL123[[#This Row],[(A/B) AJD]]-TABL123[[#This Row],[BER_IN]]</f>
        <v>0</v>
      </c>
      <c r="AK333" s="79"/>
      <c r="AL333" s="68"/>
      <c r="AM333" s="88"/>
      <c r="AN333" s="88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4">
        <f>TABL123[[#This Row],[( S/S+T/B) AJD]]-(TABL123[[#This Row],[(A/B + A/S) AJD]]+TABL123[[#This Row],[(STORGE DIFF.) AJD]]+(TABL123[[#This Row],[AJD_Evaporation]])/1000)</f>
        <v>0</v>
      </c>
      <c r="AE334" s="68"/>
      <c r="AF334" s="68"/>
      <c r="AG334" s="68"/>
      <c r="AH334" s="6"/>
      <c r="AI334" s="79"/>
      <c r="AJ334" s="79">
        <f>TABL123[[#This Row],[(A/B) AJD]]-TABL123[[#This Row],[BER_IN]]</f>
        <v>0</v>
      </c>
      <c r="AK334" s="79"/>
      <c r="AL334" s="68"/>
      <c r="AM334" s="88"/>
      <c r="AN334" s="88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4">
        <f>TABL123[[#This Row],[( S/S+T/B) AJD]]-(TABL123[[#This Row],[(A/B + A/S) AJD]]+TABL123[[#This Row],[(STORGE DIFF.) AJD]]+(TABL123[[#This Row],[AJD_Evaporation]])/1000)</f>
        <v>0</v>
      </c>
      <c r="AE335" s="68"/>
      <c r="AF335" s="68"/>
      <c r="AG335" s="68"/>
      <c r="AH335" s="6"/>
      <c r="AI335" s="79"/>
      <c r="AJ335" s="79">
        <f>TABL123[[#This Row],[(A/B) AJD]]-TABL123[[#This Row],[BER_IN]]</f>
        <v>0</v>
      </c>
      <c r="AK335" s="79"/>
      <c r="AL335" s="68"/>
      <c r="AM335" s="88"/>
      <c r="AN335" s="88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4">
        <f>TABL123[[#This Row],[( S/S+T/B) AJD]]-(TABL123[[#This Row],[(A/B + A/S) AJD]]+TABL123[[#This Row],[(STORGE DIFF.) AJD]]+(TABL123[[#This Row],[AJD_Evaporation]])/1000)</f>
        <v>0</v>
      </c>
      <c r="AE336" s="68"/>
      <c r="AF336" s="68"/>
      <c r="AG336" s="68"/>
      <c r="AH336" s="43"/>
      <c r="AI336" s="79"/>
      <c r="AJ336" s="79">
        <f>TABL123[[#This Row],[(A/B) AJD]]-TABL123[[#This Row],[BER_IN]]</f>
        <v>0</v>
      </c>
      <c r="AK336" s="79"/>
      <c r="AL336" s="68"/>
      <c r="AM336" s="88"/>
      <c r="AN336" s="88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4">
        <f>TABL123[[#This Row],[( S/S+T/B) AJD]]-(TABL123[[#This Row],[(A/B + A/S) AJD]]+TABL123[[#This Row],[(STORGE DIFF.) AJD]]+(TABL123[[#This Row],[AJD_Evaporation]])/1000)</f>
        <v>0</v>
      </c>
      <c r="AE337" s="68"/>
      <c r="AF337" s="68"/>
      <c r="AG337" s="68"/>
      <c r="AH337" s="45"/>
      <c r="AI337" s="79"/>
      <c r="AJ337" s="79">
        <f>TABL123[[#This Row],[(A/B) AJD]]-TABL123[[#This Row],[BER_IN]]</f>
        <v>0</v>
      </c>
      <c r="AK337" s="79"/>
      <c r="AL337" s="68"/>
      <c r="AM337" s="88"/>
      <c r="AN337" s="88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4">
        <f>TABL123[[#This Row],[( S/S+T/B) AJD]]-(TABL123[[#This Row],[(A/B + A/S) AJD]]+TABL123[[#This Row],[(STORGE DIFF.) AJD]]+(TABL123[[#This Row],[AJD_Evaporation]])/1000)</f>
        <v>0</v>
      </c>
      <c r="AE338" s="68"/>
      <c r="AF338" s="68"/>
      <c r="AG338" s="68"/>
      <c r="AH338" s="43"/>
      <c r="AI338" s="79"/>
      <c r="AJ338" s="79">
        <f>TABL123[[#This Row],[(A/B) AJD]]-TABL123[[#This Row],[BER_IN]]</f>
        <v>0</v>
      </c>
      <c r="AK338" s="79"/>
      <c r="AL338" s="68"/>
      <c r="AM338" s="88"/>
      <c r="AN338" s="88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4">
        <f>TABL123[[#This Row],[( S/S+T/B) AJD]]-(TABL123[[#This Row],[(A/B + A/S) AJD]]+TABL123[[#This Row],[(STORGE DIFF.) AJD]]+(TABL123[[#This Row],[AJD_Evaporation]])/1000)</f>
        <v>0</v>
      </c>
      <c r="AE339" s="68"/>
      <c r="AF339" s="68"/>
      <c r="AG339" s="68"/>
      <c r="AH339" s="45"/>
      <c r="AI339" s="79"/>
      <c r="AJ339" s="79">
        <f>TABL123[[#This Row],[(A/B) AJD]]-TABL123[[#This Row],[BER_IN]]</f>
        <v>0</v>
      </c>
      <c r="AK339" s="79"/>
      <c r="AL339" s="68"/>
      <c r="AM339" s="88"/>
      <c r="AN339" s="88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4">
        <f>TABL123[[#This Row],[( S/S+T/B) AJD]]-(TABL123[[#This Row],[(A/B + A/S) AJD]]+TABL123[[#This Row],[(STORGE DIFF.) AJD]]+(TABL123[[#This Row],[AJD_Evaporation]])/1000)</f>
        <v>0</v>
      </c>
      <c r="AE340" s="68"/>
      <c r="AF340" s="68"/>
      <c r="AG340" s="68"/>
      <c r="AH340" s="43"/>
      <c r="AI340" s="79"/>
      <c r="AJ340" s="79">
        <f>TABL123[[#This Row],[(A/B) AJD]]-TABL123[[#This Row],[BER_IN]]</f>
        <v>0</v>
      </c>
      <c r="AK340" s="79"/>
      <c r="AL340" s="68"/>
      <c r="AM340" s="88"/>
      <c r="AN340" s="88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4">
        <f>TABL123[[#This Row],[( S/S+T/B) AJD]]-(TABL123[[#This Row],[(A/B + A/S) AJD]]+TABL123[[#This Row],[(STORGE DIFF.) AJD]]+(TABL123[[#This Row],[AJD_Evaporation]])/1000)</f>
        <v>0</v>
      </c>
      <c r="AE341" s="68"/>
      <c r="AF341" s="68"/>
      <c r="AG341" s="68"/>
      <c r="AH341" s="45"/>
      <c r="AI341" s="79"/>
      <c r="AJ341" s="79">
        <f>TABL123[[#This Row],[(A/B) AJD]]-TABL123[[#This Row],[BER_IN]]</f>
        <v>0</v>
      </c>
      <c r="AK341" s="79"/>
      <c r="AL341" s="68"/>
      <c r="AM341" s="88"/>
      <c r="AN341" s="88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4">
        <f>TABL123[[#This Row],[( S/S+T/B) AJD]]-(TABL123[[#This Row],[(A/B + A/S) AJD]]+TABL123[[#This Row],[(STORGE DIFF.) AJD]]+(TABL123[[#This Row],[AJD_Evaporation]])/1000)</f>
        <v>0</v>
      </c>
      <c r="AE342" s="68"/>
      <c r="AF342" s="68"/>
      <c r="AG342" s="68"/>
      <c r="AH342" s="43"/>
      <c r="AI342" s="79"/>
      <c r="AJ342" s="79">
        <f>TABL123[[#This Row],[(A/B) AJD]]-TABL123[[#This Row],[BER_IN]]</f>
        <v>0</v>
      </c>
      <c r="AK342" s="79"/>
      <c r="AL342" s="68"/>
      <c r="AM342" s="88"/>
      <c r="AN342" s="88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4">
        <f>TABL123[[#This Row],[( S/S+T/B) AJD]]-(TABL123[[#This Row],[(A/B + A/S) AJD]]+TABL123[[#This Row],[(STORGE DIFF.) AJD]]+(TABL123[[#This Row],[AJD_Evaporation]])/1000)</f>
        <v>0</v>
      </c>
      <c r="AE343" s="68"/>
      <c r="AF343" s="68"/>
      <c r="AG343" s="68"/>
      <c r="AH343" s="45"/>
      <c r="AI343" s="79"/>
      <c r="AJ343" s="79">
        <f>TABL123[[#This Row],[(A/B) AJD]]-TABL123[[#This Row],[BER_IN]]</f>
        <v>0</v>
      </c>
      <c r="AK343" s="79"/>
      <c r="AL343" s="68"/>
      <c r="AM343" s="88"/>
      <c r="AN343" s="88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4">
        <f>TABL123[[#This Row],[( S/S+T/B) AJD]]-(TABL123[[#This Row],[(A/B + A/S) AJD]]+TABL123[[#This Row],[(STORGE DIFF.) AJD]]+(TABL123[[#This Row],[AJD_Evaporation]])/1000)</f>
        <v>0</v>
      </c>
      <c r="AE344" s="68"/>
      <c r="AF344" s="68"/>
      <c r="AG344" s="68"/>
      <c r="AH344" s="43"/>
      <c r="AI344" s="79"/>
      <c r="AJ344" s="79">
        <f>TABL123[[#This Row],[(A/B) AJD]]-TABL123[[#This Row],[BER_IN]]</f>
        <v>0</v>
      </c>
      <c r="AK344" s="79"/>
      <c r="AL344" s="68"/>
      <c r="AM344" s="88"/>
      <c r="AN344" s="88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4">
        <f>TABL123[[#This Row],[( S/S+T/B) AJD]]-(TABL123[[#This Row],[(A/B + A/S) AJD]]+TABL123[[#This Row],[(STORGE DIFF.) AJD]]+(TABL123[[#This Row],[AJD_Evaporation]])/1000)</f>
        <v>0</v>
      </c>
      <c r="AE345" s="68"/>
      <c r="AF345" s="68"/>
      <c r="AG345" s="68"/>
      <c r="AH345" s="45"/>
      <c r="AI345" s="79"/>
      <c r="AJ345" s="79">
        <f>TABL123[[#This Row],[(A/B) AJD]]-TABL123[[#This Row],[BER_IN]]</f>
        <v>0</v>
      </c>
      <c r="AK345" s="79"/>
      <c r="AL345" s="68"/>
      <c r="AM345" s="88"/>
      <c r="AN345" s="88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4">
        <f>TABL123[[#This Row],[( S/S+T/B) AJD]]-(TABL123[[#This Row],[(A/B + A/S) AJD]]+TABL123[[#This Row],[(STORGE DIFF.) AJD]]+(TABL123[[#This Row],[AJD_Evaporation]])/1000)</f>
        <v>0</v>
      </c>
      <c r="AE346" s="68"/>
      <c r="AF346" s="68"/>
      <c r="AG346" s="68"/>
      <c r="AH346" s="48"/>
      <c r="AI346" s="79"/>
      <c r="AJ346" s="79">
        <f>TABL123[[#This Row],[(A/B) AJD]]-TABL123[[#This Row],[BER_IN]]</f>
        <v>0</v>
      </c>
      <c r="AK346" s="79"/>
      <c r="AL346" s="68"/>
      <c r="AM346" s="88"/>
      <c r="AN346" s="88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4">
        <f>TABL123[[#This Row],[( S/S+T/B) AJD]]-(TABL123[[#This Row],[(A/B + A/S) AJD]]+TABL123[[#This Row],[(STORGE DIFF.) AJD]]+(TABL123[[#This Row],[AJD_Evaporation]])/1000)</f>
        <v>0</v>
      </c>
      <c r="AE347" s="68"/>
      <c r="AF347" s="68"/>
      <c r="AG347" s="68"/>
      <c r="AH347" s="45"/>
      <c r="AI347" s="79"/>
      <c r="AJ347" s="79">
        <f>TABL123[[#This Row],[(A/B) AJD]]-TABL123[[#This Row],[BER_IN]]</f>
        <v>0</v>
      </c>
      <c r="AK347" s="79"/>
      <c r="AL347" s="68"/>
      <c r="AM347" s="88"/>
      <c r="AN347" s="88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4">
        <f>TABL123[[#This Row],[( S/S+T/B) AJD]]-(TABL123[[#This Row],[(A/B + A/S) AJD]]+TABL123[[#This Row],[(STORGE DIFF.) AJD]]+(TABL123[[#This Row],[AJD_Evaporation]])/1000)</f>
        <v>0</v>
      </c>
      <c r="AE348" s="68"/>
      <c r="AF348" s="68"/>
      <c r="AG348" s="68"/>
      <c r="AH348" s="43"/>
      <c r="AI348" s="79"/>
      <c r="AJ348" s="79">
        <f>TABL123[[#This Row],[(A/B) AJD]]-TABL123[[#This Row],[BER_IN]]</f>
        <v>0</v>
      </c>
      <c r="AK348" s="79"/>
      <c r="AL348" s="68"/>
      <c r="AM348" s="88"/>
      <c r="AN348" s="88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4">
        <f>TABL123[[#This Row],[( S/S+T/B) AJD]]-(TABL123[[#This Row],[(A/B + A/S) AJD]]+TABL123[[#This Row],[(STORGE DIFF.) AJD]]+(TABL123[[#This Row],[AJD_Evaporation]])/1000)</f>
        <v>0</v>
      </c>
      <c r="AE349" s="68"/>
      <c r="AF349" s="68"/>
      <c r="AG349" s="68"/>
      <c r="AH349" s="45"/>
      <c r="AI349" s="79"/>
      <c r="AJ349" s="79">
        <f>TABL123[[#This Row],[(A/B) AJD]]-TABL123[[#This Row],[BER_IN]]</f>
        <v>0</v>
      </c>
      <c r="AK349" s="79"/>
      <c r="AL349" s="68"/>
      <c r="AM349" s="88"/>
      <c r="AN349" s="88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4">
        <f>TABL123[[#This Row],[( S/S+T/B) AJD]]-(TABL123[[#This Row],[(A/B + A/S) AJD]]+TABL123[[#This Row],[(STORGE DIFF.) AJD]]+(TABL123[[#This Row],[AJD_Evaporation]])/1000)</f>
        <v>0</v>
      </c>
      <c r="AE350" s="68"/>
      <c r="AF350" s="68"/>
      <c r="AG350" s="68"/>
      <c r="AH350" s="43"/>
      <c r="AI350" s="79"/>
      <c r="AJ350" s="79">
        <f>TABL123[[#This Row],[(A/B) AJD]]-TABL123[[#This Row],[BER_IN]]</f>
        <v>0</v>
      </c>
      <c r="AK350" s="79"/>
      <c r="AL350" s="68"/>
      <c r="AM350" s="88"/>
      <c r="AN350" s="88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4">
        <f>TABL123[[#This Row],[( S/S+T/B) AJD]]-(TABL123[[#This Row],[(A/B + A/S) AJD]]+TABL123[[#This Row],[(STORGE DIFF.) AJD]]+(TABL123[[#This Row],[AJD_Evaporation]])/1000)</f>
        <v>0</v>
      </c>
      <c r="AE351" s="68"/>
      <c r="AF351" s="68"/>
      <c r="AG351" s="68"/>
      <c r="AH351" s="45"/>
      <c r="AI351" s="79"/>
      <c r="AJ351" s="79">
        <f>TABL123[[#This Row],[(A/B) AJD]]-TABL123[[#This Row],[BER_IN]]</f>
        <v>0</v>
      </c>
      <c r="AK351" s="79"/>
      <c r="AL351" s="68"/>
      <c r="AM351" s="88"/>
      <c r="AN351" s="88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4">
        <f>TABL123[[#This Row],[( S/S+T/B) AJD]]-(TABL123[[#This Row],[(A/B + A/S) AJD]]+TABL123[[#This Row],[(STORGE DIFF.) AJD]]+(TABL123[[#This Row],[AJD_Evaporation]])/1000)</f>
        <v>0</v>
      </c>
      <c r="AE352" s="68"/>
      <c r="AF352" s="68"/>
      <c r="AG352" s="68"/>
      <c r="AH352" s="43"/>
      <c r="AI352" s="79"/>
      <c r="AJ352" s="79">
        <f>TABL123[[#This Row],[(A/B) AJD]]-TABL123[[#This Row],[BER_IN]]</f>
        <v>0</v>
      </c>
      <c r="AK352" s="79"/>
      <c r="AL352" s="68"/>
      <c r="AM352" s="88"/>
      <c r="AN352" s="88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4">
        <f>TABL123[[#This Row],[( S/S+T/B) AJD]]-(TABL123[[#This Row],[(A/B + A/S) AJD]]+TABL123[[#This Row],[(STORGE DIFF.) AJD]]+(TABL123[[#This Row],[AJD_Evaporation]])/1000)</f>
        <v>0</v>
      </c>
      <c r="AE353" s="68"/>
      <c r="AF353" s="68"/>
      <c r="AG353" s="68"/>
      <c r="AH353" s="45"/>
      <c r="AI353" s="79"/>
      <c r="AJ353" s="79">
        <f>TABL123[[#This Row],[(A/B) AJD]]-TABL123[[#This Row],[BER_IN]]</f>
        <v>0</v>
      </c>
      <c r="AK353" s="79"/>
      <c r="AL353" s="68"/>
      <c r="AM353" s="88"/>
      <c r="AN353" s="88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4">
        <f>TABL123[[#This Row],[( S/S+T/B) AJD]]-(TABL123[[#This Row],[(A/B + A/S) AJD]]+TABL123[[#This Row],[(STORGE DIFF.) AJD]]+(TABL123[[#This Row],[AJD_Evaporation]])/1000)</f>
        <v>0</v>
      </c>
      <c r="AE354" s="68"/>
      <c r="AF354" s="68"/>
      <c r="AG354" s="68"/>
      <c r="AH354" s="43"/>
      <c r="AI354" s="79"/>
      <c r="AJ354" s="79">
        <f>TABL123[[#This Row],[(A/B) AJD]]-TABL123[[#This Row],[BER_IN]]</f>
        <v>0</v>
      </c>
      <c r="AK354" s="79"/>
      <c r="AL354" s="68"/>
      <c r="AM354" s="88"/>
      <c r="AN354" s="88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4">
        <f>TABL123[[#This Row],[( S/S+T/B) AJD]]-(TABL123[[#This Row],[(A/B + A/S) AJD]]+TABL123[[#This Row],[(STORGE DIFF.) AJD]]+(TABL123[[#This Row],[AJD_Evaporation]])/1000)</f>
        <v>0</v>
      </c>
      <c r="AE355" s="68"/>
      <c r="AF355" s="68"/>
      <c r="AG355" s="68"/>
      <c r="AH355" s="45"/>
      <c r="AI355" s="79"/>
      <c r="AJ355" s="79">
        <f>TABL123[[#This Row],[(A/B) AJD]]-TABL123[[#This Row],[BER_IN]]</f>
        <v>0</v>
      </c>
      <c r="AK355" s="79"/>
      <c r="AL355" s="68"/>
      <c r="AM355" s="88"/>
      <c r="AN355" s="88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4">
        <f>TABL123[[#This Row],[( S/S+T/B) AJD]]-(TABL123[[#This Row],[(A/B + A/S) AJD]]+TABL123[[#This Row],[(STORGE DIFF.) AJD]]+(TABL123[[#This Row],[AJD_Evaporation]])/1000)</f>
        <v>0</v>
      </c>
      <c r="AE356" s="68"/>
      <c r="AF356" s="68"/>
      <c r="AG356" s="68"/>
      <c r="AH356" s="43"/>
      <c r="AI356" s="79"/>
      <c r="AJ356" s="79">
        <f>TABL123[[#This Row],[(A/B) AJD]]-TABL123[[#This Row],[BER_IN]]</f>
        <v>0</v>
      </c>
      <c r="AK356" s="79"/>
      <c r="AL356" s="68"/>
      <c r="AM356" s="88"/>
      <c r="AN356" s="88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4">
        <f>TABL123[[#This Row],[( S/S+T/B) AJD]]-(TABL123[[#This Row],[(A/B + A/S) AJD]]+TABL123[[#This Row],[(STORGE DIFF.) AJD]]+(TABL123[[#This Row],[AJD_Evaporation]])/1000)</f>
        <v>0</v>
      </c>
      <c r="AE357" s="68"/>
      <c r="AF357" s="68"/>
      <c r="AG357" s="68"/>
      <c r="AH357" s="45"/>
      <c r="AI357" s="79"/>
      <c r="AJ357" s="79">
        <f>TABL123[[#This Row],[(A/B) AJD]]-TABL123[[#This Row],[BER_IN]]</f>
        <v>0</v>
      </c>
      <c r="AK357" s="79"/>
      <c r="AL357" s="68"/>
      <c r="AM357" s="88"/>
      <c r="AN357" s="88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4">
        <f>TABL123[[#This Row],[( S/S+T/B) AJD]]-(TABL123[[#This Row],[(A/B + A/S) AJD]]+TABL123[[#This Row],[(STORGE DIFF.) AJD]]+(TABL123[[#This Row],[AJD_Evaporation]])/1000)</f>
        <v>0</v>
      </c>
      <c r="AE358" s="68"/>
      <c r="AF358" s="68"/>
      <c r="AG358" s="68"/>
      <c r="AH358" s="43"/>
      <c r="AI358" s="79"/>
      <c r="AJ358" s="79">
        <f>TABL123[[#This Row],[(A/B) AJD]]-TABL123[[#This Row],[BER_IN]]</f>
        <v>0</v>
      </c>
      <c r="AK358" s="79"/>
      <c r="AL358" s="68"/>
      <c r="AM358" s="88"/>
      <c r="AN358" s="88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4">
        <f>TABL123[[#This Row],[( S/S+T/B) AJD]]-(TABL123[[#This Row],[(A/B + A/S) AJD]]+TABL123[[#This Row],[(STORGE DIFF.) AJD]]+(TABL123[[#This Row],[AJD_Evaporation]])/1000)</f>
        <v>0</v>
      </c>
      <c r="AE359" s="68"/>
      <c r="AF359" s="68"/>
      <c r="AG359" s="68"/>
      <c r="AH359" s="45"/>
      <c r="AI359" s="79"/>
      <c r="AJ359" s="79">
        <f>TABL123[[#This Row],[(A/B) AJD]]-TABL123[[#This Row],[BER_IN]]</f>
        <v>0</v>
      </c>
      <c r="AK359" s="79"/>
      <c r="AL359" s="68"/>
      <c r="AM359" s="88"/>
      <c r="AN359" s="88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4">
        <f>TABL123[[#This Row],[( S/S+T/B) AJD]]-(TABL123[[#This Row],[(A/B + A/S) AJD]]+TABL123[[#This Row],[(STORGE DIFF.) AJD]]+(TABL123[[#This Row],[AJD_Evaporation]])/1000)</f>
        <v>0</v>
      </c>
      <c r="AE360" s="68"/>
      <c r="AF360" s="68"/>
      <c r="AG360" s="68"/>
      <c r="AH360" s="43"/>
      <c r="AI360" s="79"/>
      <c r="AJ360" s="79">
        <f>TABL123[[#This Row],[(A/B) AJD]]-TABL123[[#This Row],[BER_IN]]</f>
        <v>0</v>
      </c>
      <c r="AK360" s="79"/>
      <c r="AL360" s="68"/>
      <c r="AM360" s="88"/>
      <c r="AN360" s="88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4">
        <f>TABL123[[#This Row],[( S/S+T/B) AJD]]-(TABL123[[#This Row],[(A/B + A/S) AJD]]+TABL123[[#This Row],[(STORGE DIFF.) AJD]]+(TABL123[[#This Row],[AJD_Evaporation]])/1000)</f>
        <v>0</v>
      </c>
      <c r="AE361" s="68"/>
      <c r="AF361" s="68"/>
      <c r="AG361" s="68"/>
      <c r="AH361" s="45"/>
      <c r="AI361" s="79"/>
      <c r="AJ361" s="79">
        <f>TABL123[[#This Row],[(A/B) AJD]]-TABL123[[#This Row],[BER_IN]]</f>
        <v>0</v>
      </c>
      <c r="AK361" s="79"/>
      <c r="AL361" s="68"/>
      <c r="AM361" s="88"/>
      <c r="AN361" s="88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4">
        <f>TABL123[[#This Row],[( S/S+T/B) AJD]]-(TABL123[[#This Row],[(A/B + A/S) AJD]]+TABL123[[#This Row],[(STORGE DIFF.) AJD]]+(TABL123[[#This Row],[AJD_Evaporation]])/1000)</f>
        <v>0</v>
      </c>
      <c r="AE362" s="68"/>
      <c r="AF362" s="68"/>
      <c r="AG362" s="68"/>
      <c r="AH362" s="43"/>
      <c r="AI362" s="79"/>
      <c r="AJ362" s="79">
        <f>TABL123[[#This Row],[(A/B) AJD]]-TABL123[[#This Row],[BER_IN]]</f>
        <v>0</v>
      </c>
      <c r="AK362" s="79"/>
      <c r="AL362" s="68"/>
      <c r="AM362" s="88"/>
      <c r="AN362" s="88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4">
        <f>TABL123[[#This Row],[( S/S+T/B) AJD]]-(TABL123[[#This Row],[(A/B + A/S) AJD]]+TABL123[[#This Row],[(STORGE DIFF.) AJD]]+(TABL123[[#This Row],[AJD_Evaporation]])/1000)</f>
        <v>0</v>
      </c>
      <c r="AE363" s="68"/>
      <c r="AF363" s="68"/>
      <c r="AG363" s="68"/>
      <c r="AH363" s="45"/>
      <c r="AI363" s="79"/>
      <c r="AJ363" s="79">
        <f>TABL123[[#This Row],[(A/B) AJD]]-TABL123[[#This Row],[BER_IN]]</f>
        <v>0</v>
      </c>
      <c r="AK363" s="79"/>
      <c r="AL363" s="68"/>
      <c r="AM363" s="88"/>
      <c r="AN363" s="88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4">
        <f>TABL123[[#This Row],[( S/S+T/B) AJD]]-(TABL123[[#This Row],[(A/B + A/S) AJD]]+TABL123[[#This Row],[(STORGE DIFF.) AJD]]+(TABL123[[#This Row],[AJD_Evaporation]])/1000)</f>
        <v>0</v>
      </c>
      <c r="AE364" s="68"/>
      <c r="AF364" s="68"/>
      <c r="AG364" s="68"/>
      <c r="AH364" s="43"/>
      <c r="AI364" s="79"/>
      <c r="AJ364" s="79">
        <f>TABL123[[#This Row],[(A/B) AJD]]-TABL123[[#This Row],[BER_IN]]</f>
        <v>0</v>
      </c>
      <c r="AK364" s="79"/>
      <c r="AL364" s="68"/>
      <c r="AM364" s="88"/>
      <c r="AN364" s="88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4">
        <f>TABL123[[#This Row],[( S/S+T/B) AJD]]-(TABL123[[#This Row],[(A/B + A/S) AJD]]+TABL123[[#This Row],[(STORGE DIFF.) AJD]]+(TABL123[[#This Row],[AJD_Evaporation]])/1000)</f>
        <v>0</v>
      </c>
      <c r="AE365" s="68"/>
      <c r="AF365" s="68"/>
      <c r="AG365" s="68"/>
      <c r="AH365" s="45"/>
      <c r="AI365" s="79"/>
      <c r="AJ365" s="79">
        <f>TABL123[[#This Row],[(A/B) AJD]]-TABL123[[#This Row],[BER_IN]]</f>
        <v>0</v>
      </c>
      <c r="AK365" s="79"/>
      <c r="AL365" s="68"/>
      <c r="AM365" s="88"/>
      <c r="AN365" s="88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AJD]]+TABL123[[#This Row],[(STORGE DIFF.) AJD]]+(TABL123[[#This Row],[AJD_Evaporation]])/1000)</f>
        <v>0</v>
      </c>
      <c r="AE366" s="83"/>
      <c r="AF366" s="83"/>
      <c r="AG366" s="83"/>
      <c r="AH366" s="43"/>
      <c r="AI366" s="81"/>
      <c r="AJ366" s="81">
        <f>TABL123[[#This Row],[(A/B) AJD]]-TABL123[[#This Row],[BER_IN]]</f>
        <v>0</v>
      </c>
      <c r="AK366" s="81"/>
      <c r="AL366" s="83"/>
      <c r="AM366" s="90"/>
      <c r="AN366" s="90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Q1" workbookViewId="0">
      <selection activeCell="Z8" sqref="Z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85">
        <v>0</v>
      </c>
      <c r="AE2" s="82"/>
      <c r="AF2" s="82"/>
      <c r="AG2" s="82"/>
      <c r="AH2" s="43"/>
      <c r="AI2" s="43"/>
      <c r="AJ2" s="80">
        <f>TABL1234[[#This Row],[(A/B) AJD]]-TABL1234[[#This Row],[BER_IN]]</f>
        <v>0</v>
      </c>
      <c r="AK2" s="82"/>
      <c r="AL2" s="89"/>
      <c r="AM2" s="89"/>
      <c r="AN2" s="89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1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1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1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2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1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2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3"/>
      <c r="AP366" s="83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workbookViewId="0">
      <selection activeCell="G18" sqref="G1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1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1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1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1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1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2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Row],[(A/S) AJD]]-TABL12345[[#This Row],[SER_IN]]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workbookViewId="0">
      <selection activeCell="H15" sqref="H15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 (T/B) SAR]]+TABL12345[[#This Row],[ (S/S) SAR]]</f>
        <v>0</v>
      </c>
      <c r="L2" s="41"/>
      <c r="M2" s="42"/>
      <c r="N2" s="42"/>
      <c r="O2" s="39"/>
      <c r="P2" s="3">
        <f>TABL12345[[#This Row],[ (S/S) SAR]]-TABL12345[[#This Row],[(S/S) AJD]]</f>
        <v>0</v>
      </c>
      <c r="Q2" s="39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Row],[AJD_Evaporation]]+(TABL12345[[#This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Row],[(A/B) AJD]]-TABL12345[[#This Row],[BER_IN]]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Row],[(A/S) AJD]]-TABL12345[[#This Row],[SER_IN]]</f>
        <v>0</v>
      </c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x14ac:dyDescent="0.25">
      <c r="A117" s="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Row],[(A/S) AJD]]-TABL12345[[#This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workbookViewId="0">
      <selection activeCell="H12" sqref="H1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 (T/B) SAR]]+TABL12345[[#This Row],[ (S/S) SAR]]</f>
        <v>0</v>
      </c>
      <c r="L2" s="41"/>
      <c r="M2" s="42"/>
      <c r="N2" s="42"/>
      <c r="O2" s="39"/>
      <c r="P2" s="3">
        <f>TABL12345[[#This Row],[ (S/S) SAR]]-TABL12345[[#This Row],[(S/S) AJD]]</f>
        <v>0</v>
      </c>
      <c r="Q2" s="39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0</v>
      </c>
      <c r="AC2" s="5"/>
      <c r="AD2" s="39">
        <f>(TABL12345[[#This Row],[( S/S+T/B) AJD]]*1000)-((TABL12345[[#This Row],[(STORGE DIFF.) AJD]]*1000)+TABL12345[[#This Row],[AJD_Evaporation]]+(TABL12345[[#This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Row],[(A/B) AJD]]-TABL12345[[#This Row],[BER_IN]]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Row],[(A/S) AJD]]-TABL12345[[#This Row],[SER_IN]]</f>
        <v>0</v>
      </c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x14ac:dyDescent="0.25">
      <c r="A117" s="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Row],[(A/S) AJD]]-TABL12345[[#This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2026-10-25T18:22:22Z</dcterms:modified>
</cp:coreProperties>
</file>