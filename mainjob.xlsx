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428" totalsRowDxfId="39" dataCellStyle="Normal 2"/>
    <tableColumn id="19" name="آبار منتجة TAZ" dataDxfId="427" totalsRowDxfId="38" dataCellStyle="Normal 2"/>
    <tableColumn id="18" name="الانتاج 1000 (م3) TAZ" dataDxfId="426" totalsRowDxfId="37" dataCellStyle="Normal 2"/>
    <tableColumn id="17" name="آبار عاملة TAZ" dataDxfId="425" totalsRowDxfId="36" dataCellStyle="Normal 2"/>
    <tableColumn id="16" name="آبار احتياطية" dataDxfId="424" totalsRowDxfId="35" dataCellStyle="Normal 2"/>
    <tableColumn id="26" name="آبار منتجة SAR" dataDxfId="423" totalsRowDxfId="34" dataCellStyle="Normal 2"/>
    <tableColumn id="25" name="إنتاج آبار  SAR" dataDxfId="422" totalsRowDxfId="33" dataCellStyle="Normal 2"/>
    <tableColumn id="24" name="آبار احتياطية  SAR" dataDxfId="421" totalsRowDxfId="32" dataCellStyle="Normal 2">
      <calculatedColumnFormula>103-F2</calculatedColumnFormula>
    </tableColumn>
    <tableColumn id="8" name=" (T/B) SAR" dataDxfId="420" totalsRowDxfId="31" dataCellStyle="Normal 2"/>
    <tableColumn id="22" name=" (S/S) SAR" dataDxfId="419" totalsRowDxfId="30" dataCellStyle="Normal 2"/>
    <tableColumn id="38" name="(S/S+TB)SAR" dataDxfId="418" totalsRowDxfId="29" dataCellStyle="Normal 2">
      <calculatedColumnFormula>TABL123[[#This Row],[ (T/B) SAR]]+TABL123[[#This Row],[ (S/S) SAR]]</calculatedColumnFormula>
    </tableColumn>
    <tableColumn id="21" name="TAZ/SAR" dataDxfId="417" totalsRowDxfId="28" dataCellStyle="Normal 2"/>
    <tableColumn id="20" name=" % ECV SAR" dataDxfId="416" totalsRowDxfId="27" dataCellStyle="Normal 2"/>
    <tableColumn id="6" name="ECV (bar) SAR" dataDxfId="415" totalsRowDxfId="26" dataCellStyle="Normal 2"/>
    <tableColumn id="3" name="(S/S) AJD" dataDxfId="414" totalsRowDxfId="25"/>
    <tableColumn id="36" name="S/S_CON." dataDxfId="413" totalsRowDxfId="24">
      <calculatedColumnFormula>TABL123[[#This Row],[ (S/S) SAR]]-TABL123[[#This Row],[(S/S) AJD]]</calculatedColumnFormula>
    </tableColumn>
    <tableColumn id="5" name="(T/B) AJD" dataDxfId="412" totalsRowDxfId="23"/>
    <tableColumn id="35" name="T/B-CON." dataDxfId="411" totalsRowDxfId="22">
      <calculatedColumnFormula>TABL123[[#This Row],[ (T/B) SAR]]-TABL123[[#This Row],[(T/B) AJD]]</calculatedColumnFormula>
    </tableColumn>
    <tableColumn id="37" name="(S/S-T/B)-CON." dataDxfId="410" totalsRowDxfId="21">
      <calculatedColumnFormula>TABL123[[#This Row],[T/B-CON.]]+TABL123[[#This Row],[S/S_CON.]]</calculatedColumnFormula>
    </tableColumn>
    <tableColumn id="13" name="( S/S+T/B) AJD" dataDxfId="409" totalsRowDxfId="20">
      <calculatedColumnFormula>TABL123[[#This Row],[(S/S) AJD]]+TABL123[[#This Row],[(T/B) AJD]]</calculatedColumnFormula>
    </tableColumn>
    <tableColumn id="7" name="(A/B) AJD" dataDxfId="408" totalsRowDxfId="19"/>
    <tableColumn id="9" name="(A/S) AJD" dataDxfId="407" totalsRowDxfId="18"/>
    <tableColumn id="14" name="(A/B + A/S) AJD" dataDxfId="406" totalsRowDxfId="17">
      <calculatedColumnFormula>TABL123[[#This Row],[(A/B) AJD]]+TABL123[[#This Row],[(A/S) AJD]]</calculatedColumnFormula>
    </tableColumn>
    <tableColumn id="15" name="(IN-OUT) AJD" dataDxfId="405" totalsRowDxfId="16">
      <calculatedColumnFormula>TABL123[[#This Row],[( S/S+T/B) AJD]]-TABL123[[#This Row],[(A/B + A/S) AJD]]</calculatedColumnFormula>
    </tableColumn>
    <tableColumn id="10" name="(RES. LEVEL) AJD" dataDxfId="404" totalsRowDxfId="15"/>
    <tableColumn id="11" name="(RESV. STORGE) AJD" dataDxfId="403" totalsRowDxfId="14"/>
    <tableColumn id="40" name="AJD_STORG.* 10" dataDxfId="402" totalsRowDxfId="13" dataCellStyle="Normal 2">
      <calculatedColumnFormula>TABL123[[#This Row],[(RESV. STORGE) AJD]]/10</calculatedColumnFormula>
    </tableColumn>
    <tableColumn id="4" name="(STORGE DIFF.) AJD" dataDxfId="401" totalsRowDxfId="12"/>
    <tableColumn id="12" name="AJD_Evaporation" dataDxfId="400" totalsRowDxfId="11" dataCellStyle="Normal 2"/>
    <tableColumn id="39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98" totalsRowDxfId="9"/>
    <tableColumn id="31" name="(RES. LEVEL) BER" dataDxfId="397" totalsRowDxfId="8"/>
    <tableColumn id="28" name=" (RESV. STORGE) BER" dataDxfId="396" totalsRowDxfId="7"/>
    <tableColumn id="29" name="BER_STORG. * 10" dataDxfId="395" totalsRowDxfId="6"/>
    <tableColumn id="34" name="BER_Evap." dataDxfId="394" totalsRowDxfId="5"/>
    <tableColumn id="32" name="A/B_CON." dataDxfId="393" totalsRowDxfId="4">
      <calculatedColumnFormula>TABL123[[#This Row],[(A/B) AJD]]-TABL123[[#This Row],[BER_IN]]</calculatedColumnFormula>
    </tableColumn>
    <tableColumn id="33" name="SER_IN" dataDxfId="392" totalsRowDxfId="3"/>
    <tableColumn id="27" name="(RES. LEVEL) SER " dataDxfId="391" totalsRowDxfId="2"/>
    <tableColumn id="2" name=" (RESV. STORGE) SER" dataDxfId="390" totalsRowDxfId="1" dataCellStyle="Normal 2"/>
    <tableColumn id="23" name="SER_STORG.* 10" dataDxfId="389" totalsRowDxfId="0" dataCellStyle="Normal 2">
      <calculatedColumnFormula>TABL123[[#This Row],[ (RESV. STORGE) SER]]/10</calculatedColumnFormula>
    </tableColumn>
    <tableColumn id="42" name="SER_Evap." dataDxfId="388"/>
    <tableColumn id="43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99" headerRowBorderDxfId="298" tableBorderDxfId="297">
  <autoFilter ref="A1:AP366"/>
  <tableColumns count="42">
    <tableColumn id="1" name=" اليوم" dataDxfId="296" totalsRowDxfId="295" dataCellStyle="Normal 2"/>
    <tableColumn id="19" name="آبار منتجة TAZ" dataDxfId="294" totalsRowDxfId="293" dataCellStyle="Normal 2"/>
    <tableColumn id="18" name="الانتاج 1000 (م3) TAZ" dataDxfId="292" totalsRowDxfId="291" dataCellStyle="Normal 2"/>
    <tableColumn id="17" name="آبار عاملة TAZ" dataDxfId="290" totalsRowDxfId="289" dataCellStyle="Normal 2"/>
    <tableColumn id="16" name="آبار احتياطية" dataDxfId="288" totalsRowDxfId="287" dataCellStyle="Normal 2"/>
    <tableColumn id="26" name="آبار منتجة SAR" dataDxfId="286" totalsRowDxfId="285" dataCellStyle="Normal 2"/>
    <tableColumn id="25" name="إنتاج آبار  SAR" dataDxfId="284" totalsRowDxfId="283" dataCellStyle="Normal 2"/>
    <tableColumn id="24" name="آبار احتياطية  SAR" dataDxfId="282" totalsRowDxfId="281" dataCellStyle="Normal 2">
      <calculatedColumnFormula>103-F2</calculatedColumnFormula>
    </tableColumn>
    <tableColumn id="8" name=" (T/B) SAR" dataDxfId="280" totalsRowDxfId="279" dataCellStyle="Normal 2"/>
    <tableColumn id="22" name=" (S/S) SAR" dataDxfId="278" totalsRowDxfId="277" dataCellStyle="Normal 2"/>
    <tableColumn id="38" name="(S/S+TB)SAR" dataDxfId="276" totalsRowDxfId="275" dataCellStyle="Normal 2">
      <calculatedColumnFormula>TABL1234[[#This Row],[ (T/B) SAR]]+TABL1234[[#This Row],[ (S/S) SAR]]</calculatedColumnFormula>
    </tableColumn>
    <tableColumn id="21" name="TAZ/SAR" dataDxfId="274" totalsRowDxfId="273" dataCellStyle="Normal 2"/>
    <tableColumn id="20" name=" % ECV SAR" dataDxfId="272" totalsRowDxfId="271" dataCellStyle="Normal 2"/>
    <tableColumn id="6" name="ECV (bar) SAR" dataDxfId="270" totalsRowDxfId="269" dataCellStyle="Normal 2"/>
    <tableColumn id="3" name="(S/S) AJD" dataDxfId="268" totalsRowDxfId="267"/>
    <tableColumn id="36" name="S/S_CON." dataDxfId="266" totalsRowDxfId="265">
      <calculatedColumnFormula>TABL1234[[#This Row],[ (S/S) SAR]]-TABL1234[[#This Row],[(S/S) AJD]]</calculatedColumnFormula>
    </tableColumn>
    <tableColumn id="5" name="(T/B) AJD" dataDxfId="264" totalsRowDxfId="263"/>
    <tableColumn id="35" name="T/B-CON." dataDxfId="262" totalsRowDxfId="261">
      <calculatedColumnFormula>TABL1234[[#This Row],[ (T/B) SAR]]-TABL1234[[#This Row],[(T/B) AJD]]</calculatedColumnFormula>
    </tableColumn>
    <tableColumn id="37" name="(S/S-T/B)-CON." dataDxfId="260" totalsRowDxfId="259">
      <calculatedColumnFormula>TABL1234[[#This Row],[T/B-CON.]]+TABL1234[[#This Row],[S/S_CON.]]</calculatedColumnFormula>
    </tableColumn>
    <tableColumn id="13" name="( S/S+T/B) AJD" dataDxfId="258" totalsRowDxfId="257">
      <calculatedColumnFormula>TABL1234[[#This Row],[(S/S) AJD]]+TABL1234[[#This Row],[(T/B) AJD]]</calculatedColumnFormula>
    </tableColumn>
    <tableColumn id="7" name="(A/B) AJD" dataDxfId="256" totalsRowDxfId="255"/>
    <tableColumn id="9" name="(A/S) AJD" dataDxfId="254" totalsRowDxfId="253"/>
    <tableColumn id="14" name="(A/B + A/S) AJD" dataDxfId="252" totalsRowDxfId="251">
      <calculatedColumnFormula>TABL1234[[#This Row],[(A/B) AJD]]+TABL1234[[#This Row],[(A/S) AJD]]</calculatedColumnFormula>
    </tableColumn>
    <tableColumn id="15" name="(IN-OUT) AJD" dataDxfId="250" totalsRowDxfId="249">
      <calculatedColumnFormula>TABL1234[[#This Row],[( S/S+T/B) AJD]]-TABL1234[[#This Row],[(A/B + A/S) AJD]]</calculatedColumnFormula>
    </tableColumn>
    <tableColumn id="10" name="(RES. LEVEL) AJD" dataDxfId="248" totalsRowDxfId="247"/>
    <tableColumn id="11" name="(RESV. STORGE) AJD" dataDxfId="246" totalsRowDxfId="245"/>
    <tableColumn id="40" name="AJD_STORG.* 10" dataDxfId="244" totalsRowDxfId="243" dataCellStyle="Normal 2">
      <calculatedColumnFormula>TABL1234[[#This Row],[(RESV. STORGE) AJD]]/10</calculatedColumnFormula>
    </tableColumn>
    <tableColumn id="4" name="(STORGE DIFF.) AJD" dataDxfId="242" totalsRowDxfId="241">
      <calculatedColumnFormula>(TABL123[[#This Row],[(RESV. STORGE) AJD]]-500797)/1000</calculatedColumnFormula>
    </tableColumn>
    <tableColumn id="12" name="AJD_Evaporation" dataDxfId="240" totalsRowDxfId="239" dataCellStyle="Normal 2"/>
    <tableColumn id="39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36" totalsRowDxfId="235"/>
    <tableColumn id="31" name="(RES. LEVEL) BER" dataDxfId="234" totalsRowDxfId="233"/>
    <tableColumn id="28" name=" (RESV. STORGE) BER" dataDxfId="232" totalsRowDxfId="231"/>
    <tableColumn id="29" name="BER_STORG. * 10" dataDxfId="230" totalsRowDxfId="229"/>
    <tableColumn id="34" name="BER_Evap." dataDxfId="228" totalsRowDxfId="227"/>
    <tableColumn id="32" name="A/B_CON." dataDxfId="226" totalsRowDxfId="225">
      <calculatedColumnFormula>TABL1234[[#This Row],[(A/B) AJD]]-TABL1234[[#This Row],[BER_IN]]</calculatedColumnFormula>
    </tableColumn>
    <tableColumn id="33" name="SER_IN" dataDxfId="224" totalsRowDxfId="223"/>
    <tableColumn id="27" name="(RES. LEVEL) SER " dataDxfId="222" totalsRowDxfId="221"/>
    <tableColumn id="2" name=" (RESV. STORGE) SER" dataDxfId="220" totalsRowDxfId="219" dataCellStyle="Normal 2"/>
    <tableColumn id="23" name="SER_STORG.* 10" dataDxfId="218" totalsRowDxfId="217" dataCellStyle="Normal 2">
      <calculatedColumnFormula>TABL1234[[#This Row],[ (RESV. STORGE) SER]]/10</calculatedColumnFormula>
    </tableColumn>
    <tableColumn id="41" name="SER_Evap." dataDxfId="216"/>
    <tableColumn id="42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14" headerRowBorderDxfId="213" tableBorderDxfId="212">
  <autoFilter ref="A1:AP367"/>
  <tableColumns count="42">
    <tableColumn id="1" name=" اليوم" dataDxfId="211" totalsRowDxfId="210" dataCellStyle="Normal 2"/>
    <tableColumn id="19" name="آبار منتجة TAZ" dataDxfId="209" totalsRowDxfId="208" dataCellStyle="Normal 2"/>
    <tableColumn id="18" name="الانتاج 1000 (م3) TAZ" dataDxfId="207" totalsRowDxfId="206" dataCellStyle="Normal 2"/>
    <tableColumn id="17" name="آبار عاملة TAZ" dataDxfId="205" totalsRowDxfId="204" dataCellStyle="Normal 2"/>
    <tableColumn id="16" name="آبار احتياطية" dataDxfId="203" totalsRowDxfId="202" dataCellStyle="Normal 2"/>
    <tableColumn id="26" name="آبار منتجة SAR" dataDxfId="201" totalsRowDxfId="200" dataCellStyle="Normal 2"/>
    <tableColumn id="25" name="إنتاج آبار  SAR" dataDxfId="199" totalsRowDxfId="198" dataCellStyle="Normal 2"/>
    <tableColumn id="24" name="آبار احتياطية  SAR" dataDxfId="197" totalsRowDxfId="196" dataCellStyle="Normal 2"/>
    <tableColumn id="8" name=" (T/B) SAR" dataDxfId="195" totalsRowDxfId="194" dataCellStyle="Normal 2"/>
    <tableColumn id="22" name=" (S/S) SAR" dataDxfId="193" totalsRowDxfId="192" dataCellStyle="Normal 2"/>
    <tableColumn id="38" name="(S/S+TB)SAR" dataDxfId="191" totalsRowDxfId="190" dataCellStyle="Normal 2">
      <calculatedColumnFormula>TABL12345[[#This Row],[ (T/B) SAR]]+TABL12345[[#This Row],[ (S/S) SAR]]</calculatedColumnFormula>
    </tableColumn>
    <tableColumn id="21" name="TAZ/SAR" dataDxfId="189" totalsRowDxfId="188" dataCellStyle="Normal 2"/>
    <tableColumn id="20" name=" % ECV SAR" dataDxfId="187" totalsRowDxfId="186" dataCellStyle="Normal 2"/>
    <tableColumn id="6" name="ECV (bar) SAR" dataDxfId="185" totalsRowDxfId="184" dataCellStyle="Normal 2"/>
    <tableColumn id="3" name="(S/S) AJD" dataDxfId="183" totalsRowDxfId="182"/>
    <tableColumn id="36" name="S/S_CON." dataDxfId="181" totalsRowDxfId="180">
      <calculatedColumnFormula>TABL12345[[#This Row],[ (S/S) SAR]]-TABL12345[[#This Row],[(S/S) AJD]]</calculatedColumnFormula>
    </tableColumn>
    <tableColumn id="5" name="(T/B) AJD" dataDxfId="179" totalsRowDxfId="178"/>
    <tableColumn id="35" name="T/B-CON." dataDxfId="177" totalsRowDxfId="176">
      <calculatedColumnFormula>TABL12345[[#This Row],[ (T/B) SAR]]-TABL12345[[#This Row],[(T/B) AJD]]</calculatedColumnFormula>
    </tableColumn>
    <tableColumn id="37" name="(S/S-T/B)-CON." dataDxfId="175" totalsRowDxfId="174">
      <calculatedColumnFormula>TABL12345[[#This Row],[S/S_CON.]]+TABL12345[[#This Row],[T/B-CON.]]</calculatedColumnFormula>
    </tableColumn>
    <tableColumn id="13" name="( S/S+T/B) AJD" dataDxfId="173" totalsRowDxfId="172">
      <calculatedColumnFormula>O2+Q2</calculatedColumnFormula>
    </tableColumn>
    <tableColumn id="7" name="(A/B) AJD" dataDxfId="171" totalsRowDxfId="170"/>
    <tableColumn id="9" name="(A/S) AJD" dataDxfId="169" totalsRowDxfId="168"/>
    <tableColumn id="14" name="(A/B + A/S) AJD" dataDxfId="167" totalsRowDxfId="166">
      <calculatedColumnFormula>U2+V2</calculatedColumnFormula>
    </tableColumn>
    <tableColumn id="15" name="(IN-OUT) AJD" dataDxfId="165" totalsRowDxfId="164">
      <calculatedColumnFormula>T2-W2</calculatedColumnFormula>
    </tableColumn>
    <tableColumn id="10" name="(RES. LEVEL) AJD" dataDxfId="163" totalsRowDxfId="162"/>
    <tableColumn id="11" name="(RESV. STORGE) AJD" dataDxfId="161" totalsRowDxfId="160"/>
    <tableColumn id="40" name="AJD_STORG.* 10" dataDxfId="159" totalsRowDxfId="158" dataCellStyle="Normal 2">
      <calculatedColumnFormula>TABL12345[[#This Row],[(RESV. STORGE) AJD]]/10</calculatedColumnFormula>
    </tableColumn>
    <tableColumn id="4" name="(STORGE DIFF.) AJD" dataDxfId="157" totalsRowDxfId="156"/>
    <tableColumn id="12" name="AJD_Evaporation" dataDxfId="155" totalsRowDxfId="154" dataCellStyle="Normal 2"/>
    <tableColumn id="39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51" totalsRowDxfId="150"/>
    <tableColumn id="31" name="(RES. LEVEL) BER" dataDxfId="149" totalsRowDxfId="148"/>
    <tableColumn id="28" name=" (RESV. STORGE) BER" dataDxfId="147" totalsRowDxfId="146"/>
    <tableColumn id="29" name="BER_STORG. * 10" dataDxfId="145" totalsRowDxfId="144">
      <calculatedColumnFormula>TABL12345[[#This Row],[ (RESV. STORGE) BER]]/10</calculatedColumnFormula>
    </tableColumn>
    <tableColumn id="34" name="BER_Evap." dataDxfId="143" totalsRowDxfId="142"/>
    <tableColumn id="32" name="A/B_CON." dataDxfId="141" totalsRowDxfId="140">
      <calculatedColumnFormula>TABL12345[[#This Row],[(A/B) AJD]]-TABL12345[[#This Row],[BER_IN]]</calculatedColumnFormula>
    </tableColumn>
    <tableColumn id="33" name="SER_IN" dataDxfId="139" totalsRowDxfId="138"/>
    <tableColumn id="27" name="(RES. LEVEL) SER " dataDxfId="137" totalsRowDxfId="136"/>
    <tableColumn id="2" name=" (RESV. STORGE) SER" dataDxfId="135" totalsRowDxfId="134" dataCellStyle="Normal 2"/>
    <tableColumn id="23" name="SER_STORG.* 10" dataDxfId="133" totalsRowDxfId="132" dataCellStyle="Normal 2">
      <calculatedColumnFormula>TABL12345[[#This Row],[ (RESV. STORGE) SER]]/10</calculatedColumnFormula>
    </tableColumn>
    <tableColumn id="41" name="SER_Evap." dataDxfId="131"/>
    <tableColumn id="42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29" headerRowBorderDxfId="128" tableBorderDxfId="127">
  <autoFilter ref="A1:AP366"/>
  <tableColumns count="42">
    <tableColumn id="1" name=" اليوم" dataDxfId="126" dataCellStyle="Normal 2"/>
    <tableColumn id="2" name="آبار منتجة TAZ" dataDxfId="125"/>
    <tableColumn id="3" name="الانتاج 1000 (م3) TAZ" dataDxfId="124"/>
    <tableColumn id="4" name="آبار عاملة TAZ" dataDxfId="123"/>
    <tableColumn id="5" name="آبار احتياطية" dataDxfId="122"/>
    <tableColumn id="6" name="آبار منتجة SAR" dataDxfId="121"/>
    <tableColumn id="7" name="إنتاج آبار  SAR" dataDxfId="120"/>
    <tableColumn id="8" name="آبار احتياطية  SAR" dataDxfId="119"/>
    <tableColumn id="9" name=" (T/B) SAR" dataDxfId="118"/>
    <tableColumn id="10" name=" (S/S) SAR" dataDxfId="117"/>
    <tableColumn id="11" name="(S/S+TB)SAR" dataDxfId="116" dataCellStyle="Normal 2">
      <calculatedColumnFormula>Table5[[#This Row],[ (T/B) SAR]]+Table5[[#This Row],[ (S/S) SAR]]</calculatedColumnFormula>
    </tableColumn>
    <tableColumn id="12" name="TAZ/SAR" dataDxfId="115"/>
    <tableColumn id="13" name=" % ECV SAR" dataDxfId="114"/>
    <tableColumn id="14" name="ECV (bar) SAR" dataDxfId="113"/>
    <tableColumn id="15" name="(S/S) AJD" dataDxfId="112"/>
    <tableColumn id="16" name="S/S_CON." dataDxfId="111">
      <calculatedColumnFormula>Table5[[#This Row],[ (S/S) SAR]]-Table5[[#This Row],[(S/S) AJD]]</calculatedColumnFormula>
    </tableColumn>
    <tableColumn id="17" name="(T/B) AJD" dataDxfId="110"/>
    <tableColumn id="18" name="T/B-CON." dataDxfId="109">
      <calculatedColumnFormula>Table5[[#This Row],[ (T/B) SAR]]-Table5[[#This Row],[(T/B) AJD]]</calculatedColumnFormula>
    </tableColumn>
    <tableColumn id="19" name="(S/S-T/B)-CON." dataDxfId="108">
      <calculatedColumnFormula>Table5[[#This Row],[S/S_CON.]]+Table5[[#This Row],[T/B-CON.]]</calculatedColumnFormula>
    </tableColumn>
    <tableColumn id="20" name="( S/S+T/B) AJD" dataDxfId="107">
      <calculatedColumnFormula>O2+Q2</calculatedColumnFormula>
    </tableColumn>
    <tableColumn id="21" name="(A/B) AJD" dataDxfId="106"/>
    <tableColumn id="22" name="(A/S) AJD" dataDxfId="105"/>
    <tableColumn id="23" name="(A/B + A/S) AJD" dataDxfId="104">
      <calculatedColumnFormula>U2+V2</calculatedColumnFormula>
    </tableColumn>
    <tableColumn id="24" name="(IN-OUT) AJD" dataDxfId="103">
      <calculatedColumnFormula>T2-W2</calculatedColumnFormula>
    </tableColumn>
    <tableColumn id="25" name="(RES. LEVEL) AJD" dataDxfId="102"/>
    <tableColumn id="26" name="(RESV. STORGE) AJD" dataDxfId="101"/>
    <tableColumn id="27" name="AJD_STORG.* 10" dataDxfId="100" dataCellStyle="Normal 2">
      <calculatedColumnFormula>Table5[[#This Row],[(RESV. STORGE) AJD]]/10</calculatedColumnFormula>
    </tableColumn>
    <tableColumn id="28" name="(STORGE DIFF.) AJD" dataDxfId="99" dataCellStyle="Normal 2">
      <calculatedColumnFormula>IF(TRIM(Z2)="",,(Z2-Z1)/1000)</calculatedColumnFormula>
    </tableColumn>
    <tableColumn id="29" name="AJD_Evaporation" dataDxfId="98"/>
    <tableColumn id="30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96"/>
    <tableColumn id="32" name="(RES. LEVEL) BER" dataDxfId="95"/>
    <tableColumn id="33" name=" (RESV. STORGE) BER" dataDxfId="94"/>
    <tableColumn id="34" name="BER_STORG. * 10" dataDxfId="93">
      <calculatedColumnFormula>Table5[[#This Row],[ (RESV. STORGE) BER]]/10</calculatedColumnFormula>
    </tableColumn>
    <tableColumn id="35" name="BER_Evap." dataDxfId="92"/>
    <tableColumn id="36" name="A/B_CON." dataDxfId="91">
      <calculatedColumnFormula>Table5[[#This Row],[(A/B) AJD]]-Table5[[#This Row],[BER_IN]]</calculatedColumnFormula>
    </tableColumn>
    <tableColumn id="37" name="SER_IN" dataDxfId="90"/>
    <tableColumn id="38" name="(RES. LEVEL) SER " dataDxfId="89"/>
    <tableColumn id="39" name=" (RESV. STORGE) SER" dataDxfId="88" dataCellStyle="Normal 2"/>
    <tableColumn id="40" name="SER_STORG.* 10" dataDxfId="87" dataCellStyle="Normal 2">
      <calculatedColumnFormula>Table5[[#This Row],[ (RESV. STORGE) SER]]/10</calculatedColumnFormula>
    </tableColumn>
    <tableColumn id="41" name="SER_Evap." dataDxfId="86"/>
    <tableColumn id="42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Table6[[#This Row],[ (T/B) SAR]]+Table6[[#This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Table6[[#This Row],[ (S/S) SAR]]-Table6[[#This Row],[(S/S) AJD]]</calculatedColumnFormula>
    </tableColumn>
    <tableColumn id="17" name="(T/B) AJD" dataDxfId="65"/>
    <tableColumn id="18" name="T/B-CON." dataDxfId="64">
      <calculatedColumnFormula>Table6[[#This Row],[ (T/B) SAR]]-Table6[[#This Row],[(T/B) AJD]]</calculatedColumnFormula>
    </tableColumn>
    <tableColumn id="19" name="(S/S-T/B)-CON." dataDxfId="63">
      <calculatedColumnFormula>Table6[[#This Row],[S/S_CON.]]+Table6[[#This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Table6[[#This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Table6[[#This Row],[ (RESV. STORGE) BER]]/10</calculatedColumnFormula>
    </tableColumn>
    <tableColumn id="35" name="BER_Evap." dataDxfId="47"/>
    <tableColumn id="36" name="A/B_CON." dataDxfId="46">
      <calculatedColumnFormula>Table6[[#This Row],[(A/B) AJD]]-TABL12345[[#This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Table6[[#This Row],[ (RESV. STORGE) SER]]/10</calculatedColumnFormula>
    </tableColumn>
    <tableColumn id="41" name="SER_Evap." dataDxfId="41"/>
    <tableColumn id="42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O1" zoomScaleNormal="100" workbookViewId="0">
      <selection activeCell="AK263" sqref="AK26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6" t="n"/>
      <c r="AI295" s="78" t="n">
        <v>2323</v>
      </c>
      <c r="AJ295" s="78">
        <f>TABL123[[#This Row],[(A/B) AJD]]-TABL123[[#This Row],[BER_IN]]</f>
        <v/>
      </c>
      <c r="AK295" s="78" t="n">
        <v>28</v>
      </c>
      <c r="AL295" s="109" t="n">
        <v>42.4071</v>
      </c>
      <c r="AM295" s="87" t="n">
        <v>2788670</v>
      </c>
      <c r="AN295" s="87">
        <f>TABL123[[#This Row],[ (RESV. STORGE) SER]]/10</f>
        <v/>
      </c>
      <c r="AO295" s="6" t="n">
        <v>1810</v>
      </c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6" t="n"/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>
        <f>TABL123[[#This Row],[ (RESV. STORGE) SER]]/10</f>
        <v/>
      </c>
      <c r="AO300" s="6" t="n">
        <v>1810</v>
      </c>
      <c r="AP300" s="32" t="n"/>
    </row>
    <row r="301" ht="18.75" customHeight="1">
      <c r="A301" s="2" t="n">
        <v>46322</v>
      </c>
      <c r="B301" s="28" t="n">
        <v>35</v>
      </c>
      <c r="C301" s="28" t="n">
        <v>267</v>
      </c>
      <c r="D301" s="28" t="n">
        <v>35</v>
      </c>
      <c r="E301" s="28" t="n">
        <v>0</v>
      </c>
      <c r="F301" s="28" t="n">
        <v>93</v>
      </c>
      <c r="G301" s="28" t="n">
        <v>617</v>
      </c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>
        <v>301</v>
      </c>
      <c r="M301" s="29" t="n">
        <v>23.5</v>
      </c>
      <c r="N301" s="30" t="n">
        <v>6.45</v>
      </c>
      <c r="O301" s="14" t="n">
        <v>399</v>
      </c>
      <c r="P301" s="9">
        <f>TABL123[[#This Row],[ (S/S) SAR]]-TABL123[[#This Row],[(S/S) AJD]]</f>
        <v/>
      </c>
      <c r="Q301" s="14" t="n">
        <v>429</v>
      </c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>
        <v>515</v>
      </c>
      <c r="V301" s="14" t="n">
        <v>229</v>
      </c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>
        <v>92.684</v>
      </c>
      <c r="Z301" s="9" t="n">
        <v>606367</v>
      </c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>
        <v>60</v>
      </c>
      <c r="AF301" s="68" t="n">
        <v>58.867</v>
      </c>
      <c r="AG301" s="68" t="n">
        <v>1535919</v>
      </c>
      <c r="AH301" s="6" t="n"/>
      <c r="AI301" s="78" t="n">
        <v>752</v>
      </c>
      <c r="AJ301" s="78" t="n"/>
      <c r="AK301" s="78" t="n">
        <v>28</v>
      </c>
      <c r="AL301" s="109" t="n">
        <v>42.5454</v>
      </c>
      <c r="AM301" s="87" t="n">
        <v>2862800</v>
      </c>
      <c r="AN301" s="87">
        <f>TABL123[[#This Row],[ (RESV. STORGE) SER]]/10</f>
        <v/>
      </c>
      <c r="AO301" s="6" t="n">
        <v>500</v>
      </c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7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2026-10-27T08:28:07Z</dcterms:modified>
  <cp:lastModifiedBy>nasserab965@gmail.com</cp:lastModifiedBy>
</cp:coreProperties>
</file>