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0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386" headerRowBorderDxfId="385" tableBorderDxfId="384">
  <autoFilter ref="A1:AP366"/>
  <tableColumns count="42">
    <tableColumn id="1" name=" اليوم" dataDxfId="383" totalsRowDxfId="382" dataCellStyle="Normal 2"/>
    <tableColumn id="19" name="آبار منتجة TAZ" dataDxfId="381" totalsRowDxfId="380" dataCellStyle="Normal 2"/>
    <tableColumn id="18" name="الانتاج 1000 (م3) TAZ" dataDxfId="379" totalsRowDxfId="378" dataCellStyle="Normal 2"/>
    <tableColumn id="17" name="آبار عاملة TAZ" dataDxfId="377" totalsRowDxfId="376" dataCellStyle="Normal 2"/>
    <tableColumn id="16" name="آبار احتياطية" dataDxfId="375" totalsRowDxfId="374" dataCellStyle="Normal 2"/>
    <tableColumn id="26" name="آبار منتجة SAR" dataDxfId="373" totalsRowDxfId="372" dataCellStyle="Normal 2"/>
    <tableColumn id="25" name="إنتاج آبار  SAR" dataDxfId="371" totalsRowDxfId="370" dataCellStyle="Normal 2"/>
    <tableColumn id="24" name="آبار احتياطية  SAR" dataDxfId="369" totalsRowDxfId="368" dataCellStyle="Normal 2"/>
    <tableColumn id="8" name=" (T/B) SAR" dataDxfId="367" totalsRowDxfId="366" dataCellStyle="Normal 2"/>
    <tableColumn id="22" name=" (S/S) SAR" dataDxfId="365" totalsRowDxfId="364" dataCellStyle="Normal 2"/>
    <tableColumn id="38" name="(S/S+TB)SAR" dataDxfId="363" totalsRowDxfId="362" dataCellStyle="Normal 2">
      <calculatedColumnFormula>TABL12[[#This Row],[ (T/B) SAR]]+TABL12[[#This Row],[ (S/S) SAR]]</calculatedColumnFormula>
    </tableColumn>
    <tableColumn id="21" name="TAZ/SAR" dataDxfId="361" totalsRowDxfId="360" dataCellStyle="Normal 2"/>
    <tableColumn id="20" name=" % ECV SAR" dataDxfId="359" totalsRowDxfId="358" dataCellStyle="Normal 2"/>
    <tableColumn id="6" name="ECV (bar) SAR" dataDxfId="357" totalsRowDxfId="356" dataCellStyle="Normal 2"/>
    <tableColumn id="3" name="(S/S) AJD" dataDxfId="355" totalsRowDxfId="354"/>
    <tableColumn id="36" name="S/S_CON." dataDxfId="353" totalsRowDxfId="352">
      <calculatedColumnFormula>TABL12[[#This Row],[ (S/S) SAR]]-TABL12[[#This Row],[(S/S) AJD]]</calculatedColumnFormula>
    </tableColumn>
    <tableColumn id="5" name="(T/B) AJD" dataDxfId="351" totalsRowDxfId="350"/>
    <tableColumn id="35" name="T/B-CON." dataDxfId="349" totalsRowDxfId="348">
      <calculatedColumnFormula>TABL12[[#This Row],[ (T/B) SAR]]-TABL12[[#This Row],[(T/B) AJD]]</calculatedColumnFormula>
    </tableColumn>
    <tableColumn id="37" name="(S/S-T/B)-CON." dataDxfId="347" totalsRowDxfId="346">
      <calculatedColumnFormula>TABL12[[#This Row],[S/S_CON.]]+TABL12[[#This Row],[T/B-CON.]]</calculatedColumnFormula>
    </tableColumn>
    <tableColumn id="13" name="( S/S+T/B) AJD" dataDxfId="345" totalsRowDxfId="344">
      <calculatedColumnFormula>O2+Q2</calculatedColumnFormula>
    </tableColumn>
    <tableColumn id="7" name="(A/B) AJD" dataDxfId="343" totalsRowDxfId="342"/>
    <tableColumn id="9" name="(A/S) AJD" dataDxfId="341" totalsRowDxfId="340"/>
    <tableColumn id="14" name="(A/B + A/S) AJD" dataDxfId="339" totalsRowDxfId="338">
      <calculatedColumnFormula>U2+V2</calculatedColumnFormula>
    </tableColumn>
    <tableColumn id="15" name="(IN-OUT) AJD" dataDxfId="337" totalsRowDxfId="336">
      <calculatedColumnFormula>T2-W2</calculatedColumnFormula>
    </tableColumn>
    <tableColumn id="10" name="(RES. LEVEL) AJD" dataDxfId="335" totalsRowDxfId="334"/>
    <tableColumn id="11" name="(RESV. STORGE) AJD" dataDxfId="333" totalsRowDxfId="332"/>
    <tableColumn id="40" name="AJD_STORG.* 10" dataDxfId="331" totalsRowDxfId="330">
      <calculatedColumnFormula>TABL12[[#This Row],[(RESV. STORGE) AJD]]/10</calculatedColumnFormula>
    </tableColumn>
    <tableColumn id="4" name="(STORGE DIFF.) AJD" dataDxfId="329" totalsRowDxfId="328"/>
    <tableColumn id="12" name="AJD_Evaporation" dataDxfId="327" totalsRowDxfId="326" dataCellStyle="Normal 2">
      <calculatedColumnFormula>(Z2-Z1)/1000</calculatedColumnFormula>
    </tableColumn>
    <tableColumn id="39" name="AJD_LOSES" dataDxfId="325" totalsRowDxfId="32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23" totalsRowDxfId="322"/>
    <tableColumn id="31" name="(RES. LEVEL) BER" dataDxfId="321" totalsRowDxfId="320"/>
    <tableColumn id="28" name=" (RESV. STORGE) BER" dataDxfId="319" totalsRowDxfId="318"/>
    <tableColumn id="41" name="BER_STORG. * 10" dataDxfId="317" totalsRowDxfId="316">
      <calculatedColumnFormula>TABL12[[#This Row],[ (RESV. STORGE) BER]]/10</calculatedColumnFormula>
    </tableColumn>
    <tableColumn id="29" name="BER_Evap." dataDxfId="315" totalsRowDxfId="314"/>
    <tableColumn id="34" name="A/B_CON." totalsRowFunction="custom" dataDxfId="313" totalsRowDxfId="312">
      <calculatedColumnFormula>TABL12[[#This Row],[(A/B) AJD]]-TABL12[[#This Row],[BER_IN]]</calculatedColumnFormula>
      <totalsRowFormula>SUBTOTAL(109,TABL12[] TABL12[A/B_CON.] )</totalsRowFormula>
    </tableColumn>
    <tableColumn id="32" name="SER_IN" dataDxfId="311" totalsRowDxfId="310"/>
    <tableColumn id="33" name="(RES. LEVEL) SER " dataDxfId="309" totalsRowDxfId="308"/>
    <tableColumn id="27" name=" (RESV. STORGE) SER" dataDxfId="307" totalsRowDxfId="306"/>
    <tableColumn id="42" name="SER_STORG.* 10" dataDxfId="305" totalsRowDxfId="304">
      <calculatedColumnFormula>TABL12[[#This Row],[ (RESV. STORGE) SER]]/10</calculatedColumnFormula>
    </tableColumn>
    <tableColumn id="2" name="SER_Evap." dataDxfId="303" totalsRowDxfId="302"/>
    <tableColumn id="23" name="A/S_CON." dataDxfId="301" totalsRowDxfId="30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299" headerRowBorderDxfId="298" tableBorderDxfId="297">
  <autoFilter ref="A1:AP366"/>
  <tableColumns count="42">
    <tableColumn id="1" name=" اليوم" dataDxfId="296" totalsRowDxfId="39" dataCellStyle="Normal 2"/>
    <tableColumn id="19" name="آبار منتجة TAZ" dataDxfId="295" totalsRowDxfId="38" dataCellStyle="Normal 2"/>
    <tableColumn id="18" name="الانتاج 1000 (م3) TAZ" dataDxfId="294" totalsRowDxfId="37" dataCellStyle="Normal 2"/>
    <tableColumn id="17" name="آبار عاملة TAZ" dataDxfId="293" totalsRowDxfId="36" dataCellStyle="Normal 2"/>
    <tableColumn id="16" name="آبار احتياطية" dataDxfId="292" totalsRowDxfId="35" dataCellStyle="Normal 2"/>
    <tableColumn id="26" name="آبار منتجة SAR" dataDxfId="291" totalsRowDxfId="34" dataCellStyle="Normal 2"/>
    <tableColumn id="25" name="إنتاج آبار  SAR" dataDxfId="290" totalsRowDxfId="33" dataCellStyle="Normal 2"/>
    <tableColumn id="24" name="آبار احتياطية  SAR" dataDxfId="289" totalsRowDxfId="32" dataCellStyle="Normal 2">
      <calculatedColumnFormula>103-F2</calculatedColumnFormula>
    </tableColumn>
    <tableColumn id="8" name=" (T/B) SAR" dataDxfId="288" totalsRowDxfId="31" dataCellStyle="Normal 2"/>
    <tableColumn id="22" name=" (S/S) SAR" dataDxfId="287" totalsRowDxfId="30" dataCellStyle="Normal 2"/>
    <tableColumn id="38" name="(S/S+TB)SAR" dataDxfId="286" totalsRowDxfId="29" dataCellStyle="Normal 2">
      <calculatedColumnFormula>TABL123[[#This Row],[ (T/B) SAR]]+TABL123[[#This Row],[ (S/S) SAR]]</calculatedColumnFormula>
    </tableColumn>
    <tableColumn id="21" name="TAZ/SAR" dataDxfId="285" totalsRowDxfId="28" dataCellStyle="Normal 2"/>
    <tableColumn id="20" name=" % ECV SAR" dataDxfId="284" totalsRowDxfId="27" dataCellStyle="Normal 2"/>
    <tableColumn id="6" name="ECV (bar) SAR" dataDxfId="283" totalsRowDxfId="26" dataCellStyle="Normal 2"/>
    <tableColumn id="3" name="(S/S) AJD" dataDxfId="282" totalsRowDxfId="25"/>
    <tableColumn id="36" name="S/S_CON." dataDxfId="281" totalsRowDxfId="24">
      <calculatedColumnFormula>TABL123[[#This Row],[ (S/S) SAR]]-TABL123[[#This Row],[(S/S) AJD]]</calculatedColumnFormula>
    </tableColumn>
    <tableColumn id="5" name="(T/B) AJD" dataDxfId="280" totalsRowDxfId="23"/>
    <tableColumn id="35" name="T/B-CON." dataDxfId="279" totalsRowDxfId="22">
      <calculatedColumnFormula>TABL123[[#This Row],[ (T/B) SAR]]-TABL123[[#This Row],[(T/B) AJD]]</calculatedColumnFormula>
    </tableColumn>
    <tableColumn id="37" name="(S/S-T/B)-CON." dataDxfId="278" totalsRowDxfId="21">
      <calculatedColumnFormula>TABL123[[#This Row],[T/B-CON.]]+TABL123[[#This Row],[S/S_CON.]]</calculatedColumnFormula>
    </tableColumn>
    <tableColumn id="13" name="( S/S+T/B) AJD" dataDxfId="277" totalsRowDxfId="20">
      <calculatedColumnFormula>TABL123[[#This Row],[(S/S) AJD]]+TABL123[[#This Row],[(T/B) AJD]]</calculatedColumnFormula>
    </tableColumn>
    <tableColumn id="7" name="(A/B) AJD" dataDxfId="276" totalsRowDxfId="19"/>
    <tableColumn id="9" name="(A/S) AJD" dataDxfId="275" totalsRowDxfId="18"/>
    <tableColumn id="14" name="(A/B + A/S) AJD" dataDxfId="274" totalsRowDxfId="17">
      <calculatedColumnFormula>TABL123[[#This Row],[(A/B) AJD]]+TABL123[[#This Row],[(A/S) AJD]]</calculatedColumnFormula>
    </tableColumn>
    <tableColumn id="15" name="(IN-OUT) AJD" dataDxfId="273" totalsRowDxfId="16">
      <calculatedColumnFormula>TABL123[[#This Row],[( S/S+T/B) AJD]]-TABL123[[#This Row],[(A/B + A/S) AJD]]</calculatedColumnFormula>
    </tableColumn>
    <tableColumn id="10" name="(RES. LEVEL) AJD" dataDxfId="272" totalsRowDxfId="15"/>
    <tableColumn id="11" name="(RESV. STORGE) AJD" dataDxfId="271" totalsRowDxfId="14"/>
    <tableColumn id="40" name="AJD_STORG.* 10" dataDxfId="270" totalsRowDxfId="13" dataCellStyle="Normal 2">
      <calculatedColumnFormula>TABL123[[#This Row],[(RESV. STORGE) AJD]]/10</calculatedColumnFormula>
    </tableColumn>
    <tableColumn id="4" name="(STORGE DIFF.) AJD" dataDxfId="269" totalsRowDxfId="12"/>
    <tableColumn id="12" name="AJD_Evaporation" dataDxfId="268" totalsRowDxfId="11" dataCellStyle="Normal 2"/>
    <tableColumn id="39" name="AJD_LOSES" dataDxfId="267" totalsRowDxfId="1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266" totalsRowDxfId="9"/>
    <tableColumn id="31" name="(RES. LEVEL) BER" dataDxfId="265" totalsRowDxfId="8"/>
    <tableColumn id="28" name=" (RESV. STORGE) BER" dataDxfId="264" totalsRowDxfId="7"/>
    <tableColumn id="29" name="BER_STORG. * 10" dataDxfId="263" totalsRowDxfId="6"/>
    <tableColumn id="34" name="BER_Evap." dataDxfId="262" totalsRowDxfId="5"/>
    <tableColumn id="32" name="A/B_CON." dataDxfId="261" totalsRowDxfId="4">
      <calculatedColumnFormula>TABL123[[#This Row],[(A/B) AJD]]-TABL123[[#This Row],[BER_IN]]</calculatedColumnFormula>
    </tableColumn>
    <tableColumn id="33" name="SER_IN" dataDxfId="260" totalsRowDxfId="3"/>
    <tableColumn id="27" name="(RES. LEVEL) SER " dataDxfId="259" totalsRowDxfId="2"/>
    <tableColumn id="2" name=" (RESV. STORGE) SER" dataDxfId="258" totalsRowDxfId="1" dataCellStyle="Normal 2"/>
    <tableColumn id="23" name="SER_STORG.* 10" dataDxfId="257" totalsRowDxfId="0" dataCellStyle="Normal 2">
      <calculatedColumnFormula>TABL123[[#This Row],[ (RESV. STORGE) SER]]/10</calculatedColumnFormula>
    </tableColumn>
    <tableColumn id="42" name="SER_Evap." dataDxfId="256"/>
    <tableColumn id="43" name="A/S_CON." dataDxfId="255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254" headerRowBorderDxfId="253" tableBorderDxfId="252">
  <autoFilter ref="A1:AP366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>
      <calculatedColumnFormula>103-F2</calculatedColumnFormula>
    </tableColumn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TABL1234[[#This Row],[ (T/B) SAR]]+TABL1234[[#This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TABL1234[[#This Row],[ (S/S) SAR]]-TABL1234[[#This Row],[(S/S) AJD]]</calculatedColumnFormula>
    </tableColumn>
    <tableColumn id="5" name="(T/B) AJD" dataDxfId="219" totalsRowDxfId="218"/>
    <tableColumn id="35" name="T/B-CON." dataDxfId="217" totalsRowDxfId="216">
      <calculatedColumnFormula>TABL1234[[#This Row],[ (T/B) SAR]]-TABL1234[[#This Row],[(T/B) AJD]]</calculatedColumnFormula>
    </tableColumn>
    <tableColumn id="37" name="(S/S-T/B)-CON." dataDxfId="215" totalsRowDxfId="214">
      <calculatedColumnFormula>TABL1234[[#This Row],[T/B-CON.]]+TABL1234[[#This Row],[S/S_CON.]]</calculatedColumnFormula>
    </tableColumn>
    <tableColumn id="13" name="( S/S+T/B) AJD" dataDxfId="213" totalsRowDxfId="212">
      <calculatedColumnFormula>TABL1234[[#This Row],[(S/S) AJD]]+TABL1234[[#This Row],[(T/B) AJD]]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TABL1234[[#This Row],[(A/B) AJD]]+TABL1234[[#This Row],[(A/S) AJD]]</calculatedColumnFormula>
    </tableColumn>
    <tableColumn id="15" name="(IN-OUT) AJD" dataDxfId="205" totalsRowDxfId="204">
      <calculatedColumnFormula>TABL1234[[#This Row],[( S/S+T/B) AJD]]-TABL1234[[#This Row],[(A/B + A/S) AJD]]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TABL1234[[#This Row],[(RESV. STORGE) AJD]]/10</calculatedColumnFormula>
    </tableColumn>
    <tableColumn id="4" name="(STORGE DIFF.) AJD" dataDxfId="197" totalsRowDxfId="196">
      <calculatedColumnFormula>(TABL123[[#This Row],[(RESV. STORGE) AJD]]-500797)/1000</calculatedColumnFormula>
    </tableColumn>
    <tableColumn id="12" name="AJD_Evaporation" dataDxfId="195" totalsRowDxfId="194" dataCellStyle="Normal 2"/>
    <tableColumn id="39" name="AJD_LOSES" dataDxfId="193" totalsRowDxfId="192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/>
    <tableColumn id="34" name="BER_Evap." dataDxfId="183" totalsRowDxfId="182"/>
    <tableColumn id="32" name="A/B_CON." dataDxfId="181" totalsRowDxfId="180">
      <calculatedColumnFormula>TABL1234[[#This Row],[(A/B) AJD]]-TABL1234[[#This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TABL1234[[#This Row],[ (RESV. STORGE) SER]]/10</calculatedColumnFormula>
    </tableColumn>
    <tableColumn id="41" name="SER_Evap." dataDxfId="171"/>
    <tableColumn id="42" name="A/S_CON." dataDxfId="170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169" headerRowBorderDxfId="168" tableBorderDxfId="167">
  <autoFilter ref="A1:AP367"/>
  <tableColumns count="42">
    <tableColumn id="1" name=" اليوم" dataDxfId="166" totalsRowDxfId="165" dataCellStyle="Normal 2"/>
    <tableColumn id="19" name="آبار منتجة TAZ" dataDxfId="164" totalsRowDxfId="163" dataCellStyle="Normal 2"/>
    <tableColumn id="18" name="الانتاج 1000 (م3) TAZ" dataDxfId="162" totalsRowDxfId="161" dataCellStyle="Normal 2"/>
    <tableColumn id="17" name="آبار عاملة TAZ" dataDxfId="160" totalsRowDxfId="159" dataCellStyle="Normal 2"/>
    <tableColumn id="16" name="آبار احتياطية" dataDxfId="158" totalsRowDxfId="157" dataCellStyle="Normal 2"/>
    <tableColumn id="26" name="آبار منتجة SAR" dataDxfId="156" totalsRowDxfId="155" dataCellStyle="Normal 2"/>
    <tableColumn id="25" name="إنتاج آبار  SAR" dataDxfId="154" totalsRowDxfId="153" dataCellStyle="Normal 2"/>
    <tableColumn id="24" name="آبار احتياطية  SAR" dataDxfId="152" totalsRowDxfId="151" dataCellStyle="Normal 2"/>
    <tableColumn id="8" name=" (T/B) SAR" dataDxfId="150" totalsRowDxfId="149" dataCellStyle="Normal 2"/>
    <tableColumn id="22" name=" (S/S) SAR" dataDxfId="148" totalsRowDxfId="147" dataCellStyle="Normal 2"/>
    <tableColumn id="38" name="(S/S+TB)SAR" dataDxfId="146" totalsRowDxfId="145" dataCellStyle="Normal 2">
      <calculatedColumnFormula>TABL12345[[#This Row],[ (T/B) SAR]]+TABL12345[[#This Row],[ (S/S) SAR]]</calculatedColumnFormula>
    </tableColumn>
    <tableColumn id="21" name="TAZ/SAR" dataDxfId="144" totalsRowDxfId="143" dataCellStyle="Normal 2"/>
    <tableColumn id="20" name=" % ECV SAR" dataDxfId="142" totalsRowDxfId="141" dataCellStyle="Normal 2"/>
    <tableColumn id="6" name="ECV (bar) SAR" dataDxfId="140" totalsRowDxfId="139" dataCellStyle="Normal 2"/>
    <tableColumn id="3" name="(S/S) AJD" dataDxfId="138" totalsRowDxfId="137"/>
    <tableColumn id="36" name="S/S_CON." dataDxfId="136" totalsRowDxfId="135">
      <calculatedColumnFormula>TABL12345[[#This Row],[ (S/S) SAR]]-TABL12345[[#This Row],[(S/S) AJD]]</calculatedColumnFormula>
    </tableColumn>
    <tableColumn id="5" name="(T/B) AJD" dataDxfId="134" totalsRowDxfId="133"/>
    <tableColumn id="35" name="T/B-CON." dataDxfId="132" totalsRowDxfId="131">
      <calculatedColumnFormula>TABL12345[[#This Row],[ (T/B) SAR]]-TABL12345[[#This Row],[(T/B) AJD]]</calculatedColumnFormula>
    </tableColumn>
    <tableColumn id="37" name="(S/S-T/B)-CON." dataDxfId="130" totalsRowDxfId="129">
      <calculatedColumnFormula>TABL12345[[#This Row],[S/S_CON.]]+TABL12345[[#This Row],[T/B-CON.]]</calculatedColumnFormula>
    </tableColumn>
    <tableColumn id="13" name="( S/S+T/B) AJD" dataDxfId="128" totalsRowDxfId="127">
      <calculatedColumnFormula>O2+Q2</calculatedColumnFormula>
    </tableColumn>
    <tableColumn id="7" name="(A/B) AJD" dataDxfId="126" totalsRowDxfId="125"/>
    <tableColumn id="9" name="(A/S) AJD" dataDxfId="124" totalsRowDxfId="123"/>
    <tableColumn id="14" name="(A/B + A/S) AJD" dataDxfId="122" totalsRowDxfId="121">
      <calculatedColumnFormula>U2+V2</calculatedColumnFormula>
    </tableColumn>
    <tableColumn id="15" name="(IN-OUT) AJD" dataDxfId="120" totalsRowDxfId="119">
      <calculatedColumnFormula>T2-W2</calculatedColumnFormula>
    </tableColumn>
    <tableColumn id="10" name="(RES. LEVEL) AJD" dataDxfId="118" totalsRowDxfId="117"/>
    <tableColumn id="11" name="(RESV. STORGE) AJD" dataDxfId="116" totalsRowDxfId="115"/>
    <tableColumn id="40" name="AJD_STORG.* 10" dataDxfId="114" totalsRowDxfId="113" dataCellStyle="Normal 2">
      <calculatedColumnFormula>TABL12345[[#This Row],[(RESV. STORGE) AJD]]/10</calculatedColumnFormula>
    </tableColumn>
    <tableColumn id="4" name="(STORGE DIFF.) AJD" dataDxfId="112" totalsRowDxfId="111"/>
    <tableColumn id="12" name="AJD_Evaporation" dataDxfId="110" totalsRowDxfId="109" dataCellStyle="Normal 2"/>
    <tableColumn id="39" name="AJD_LOSES" dataDxfId="108" totalsRowDxfId="107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06" totalsRowDxfId="105"/>
    <tableColumn id="31" name="(RES. LEVEL) BER" dataDxfId="104" totalsRowDxfId="103"/>
    <tableColumn id="28" name=" (RESV. STORGE) BER" dataDxfId="102" totalsRowDxfId="101"/>
    <tableColumn id="29" name="BER_STORG. * 10" dataDxfId="100" totalsRowDxfId="99">
      <calculatedColumnFormula>TABL12345[[#This Row],[ (RESV. STORGE) BER]]/10</calculatedColumnFormula>
    </tableColumn>
    <tableColumn id="34" name="BER_Evap." dataDxfId="98" totalsRowDxfId="97"/>
    <tableColumn id="32" name="A/B_CON." dataDxfId="96" totalsRowDxfId="95">
      <calculatedColumnFormula>TABL12345[[#This Row],[(A/B) AJD]]-TABL12345[[#This Row],[BER_IN]]</calculatedColumnFormula>
    </tableColumn>
    <tableColumn id="33" name="SER_IN" dataDxfId="94" totalsRowDxfId="93"/>
    <tableColumn id="27" name="(RES. LEVEL) SER " dataDxfId="92" totalsRowDxfId="91"/>
    <tableColumn id="2" name=" (RESV. STORGE) SER" dataDxfId="90" totalsRowDxfId="89" dataCellStyle="Normal 2"/>
    <tableColumn id="23" name="SER_STORG.* 10" dataDxfId="88" totalsRowDxfId="87" dataCellStyle="Normal 2">
      <calculatedColumnFormula>TABL12345[[#This Row],[ (RESV. STORGE) SER]]/10</calculatedColumnFormula>
    </tableColumn>
    <tableColumn id="41" name="SER_Evap." dataDxfId="86"/>
    <tableColumn id="42" name="A/S_CON." dataDxfId="85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84" headerRowBorderDxfId="83" tableBorderDxfId="82">
  <autoFilter ref="A1:AP366"/>
  <tableColumns count="42">
    <tableColumn id="1" name=" اليوم" dataDxfId="81" dataCellStyle="Normal 2"/>
    <tableColumn id="2" name="آبار منتجة TAZ" dataDxfId="80"/>
    <tableColumn id="3" name="الانتاج 1000 (م3) TAZ" dataDxfId="79"/>
    <tableColumn id="4" name="آبار عاملة TAZ" dataDxfId="78"/>
    <tableColumn id="5" name="آبار احتياطية" dataDxfId="77"/>
    <tableColumn id="6" name="آبار منتجة SAR" dataDxfId="76"/>
    <tableColumn id="7" name="إنتاج آبار  SAR" dataDxfId="75"/>
    <tableColumn id="8" name="آبار احتياطية  SAR" dataDxfId="74"/>
    <tableColumn id="9" name=" (T/B) SAR" dataDxfId="73"/>
    <tableColumn id="10" name=" (S/S) SAR" dataDxfId="72"/>
    <tableColumn id="11" name="(S/S+TB)SAR" dataDxfId="71" dataCellStyle="Normal 2">
      <calculatedColumnFormula>Table5[[#This Row],[ (T/B) SAR]]+Table5[[#This Row],[ (S/S) SAR]]</calculatedColumnFormula>
    </tableColumn>
    <tableColumn id="12" name="TAZ/SAR" dataDxfId="70"/>
    <tableColumn id="13" name=" % ECV SAR" dataDxfId="69"/>
    <tableColumn id="14" name="ECV (bar) SAR" dataDxfId="68"/>
    <tableColumn id="15" name="(S/S) AJD" dataDxfId="67"/>
    <tableColumn id="16" name="S/S_CON." dataDxfId="66">
      <calculatedColumnFormula>Table5[[#This Row],[ (S/S) SAR]]-Table5[[#This Row],[(S/S) AJD]]</calculatedColumnFormula>
    </tableColumn>
    <tableColumn id="17" name="(T/B) AJD" dataDxfId="65"/>
    <tableColumn id="18" name="T/B-CON." dataDxfId="64">
      <calculatedColumnFormula>Table5[[#This Row],[ (T/B) SAR]]-Table5[[#This Row],[(T/B) AJD]]</calculatedColumnFormula>
    </tableColumn>
    <tableColumn id="19" name="(S/S-T/B)-CON." dataDxfId="63">
      <calculatedColumnFormula>Table5[[#This Row],[S/S_CON.]]+Table5[[#This Row],[T/B-CON.]]</calculatedColumnFormula>
    </tableColumn>
    <tableColumn id="20" name="( S/S+T/B) AJD" dataDxfId="62">
      <calculatedColumnFormula>O2+Q2</calculatedColumnFormula>
    </tableColumn>
    <tableColumn id="21" name="(A/B) AJD" dataDxfId="61"/>
    <tableColumn id="22" name="(A/S) AJD" dataDxfId="60"/>
    <tableColumn id="23" name="(A/B + A/S) AJD" dataDxfId="59">
      <calculatedColumnFormula>U2+V2</calculatedColumnFormula>
    </tableColumn>
    <tableColumn id="24" name="(IN-OUT) AJD" dataDxfId="58">
      <calculatedColumnFormula>T2-W2</calculatedColumnFormula>
    </tableColumn>
    <tableColumn id="25" name="(RES. LEVEL) AJD" dataDxfId="57"/>
    <tableColumn id="26" name="(RESV. STORGE) AJD" dataDxfId="56"/>
    <tableColumn id="27" name="AJD_STORG.* 10" dataDxfId="55" dataCellStyle="Normal 2">
      <calculatedColumnFormula>Table5[[#This Row],[(RESV. STORGE) AJD]]/10</calculatedColumnFormula>
    </tableColumn>
    <tableColumn id="28" name="(STORGE DIFF.) AJD" dataDxfId="54" dataCellStyle="Normal 2">
      <calculatedColumnFormula>IF(TRIM(Z2)="",,(Z2-Z1)/1000)</calculatedColumnFormula>
    </tableColumn>
    <tableColumn id="29" name="AJD_Evaporation" dataDxfId="53"/>
    <tableColumn id="30" name="AJD_LOSES" dataDxfId="52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51"/>
    <tableColumn id="32" name="(RES. LEVEL) BER" dataDxfId="50"/>
    <tableColumn id="33" name=" (RESV. STORGE) BER" dataDxfId="49"/>
    <tableColumn id="34" name="BER_STORG. * 10" dataDxfId="48">
      <calculatedColumnFormula>Table5[[#This Row],[ (RESV. STORGE) BER]]/10</calculatedColumnFormula>
    </tableColumn>
    <tableColumn id="35" name="BER_Evap." dataDxfId="47"/>
    <tableColumn id="36" name="A/B_CON." dataDxfId="46">
      <calculatedColumnFormula>Table5[[#This Row],[(A/B) AJD]]-Table5[[#This Row],[BER_IN]]</calculatedColumnFormula>
    </tableColumn>
    <tableColumn id="37" name="SER_IN" dataDxfId="45"/>
    <tableColumn id="38" name="(RES. LEVEL) SER " dataDxfId="44"/>
    <tableColumn id="39" name=" (RESV. STORGE) SER" dataDxfId="43" dataCellStyle="Normal 2"/>
    <tableColumn id="40" name="SER_STORG.* 10" dataDxfId="42" dataCellStyle="Normal 2">
      <calculatedColumnFormula>Table5[[#This Row],[ (RESV. STORGE) SER]]/10</calculatedColumnFormula>
    </tableColumn>
    <tableColumn id="41" name="SER_Evap." dataDxfId="41"/>
    <tableColumn id="42" name="A/S_CON." dataDxfId="40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431" headerRowBorderDxfId="430" tableBorderDxfId="429">
  <autoFilter ref="A1:AP366"/>
  <tableColumns count="42">
    <tableColumn id="1" name=" اليوم" dataDxfId="428" dataCellStyle="Normal 2"/>
    <tableColumn id="2" name="آبار منتجة TAZ" dataDxfId="427"/>
    <tableColumn id="3" name="الانتاج 1000 (م3) TAZ" dataDxfId="426"/>
    <tableColumn id="4" name="آبار عاملة TAZ" dataDxfId="425"/>
    <tableColumn id="5" name="آبار احتياطية" dataDxfId="424"/>
    <tableColumn id="6" name="آبار منتجة SAR" dataDxfId="423"/>
    <tableColumn id="7" name="إنتاج آبار  SAR" dataDxfId="422"/>
    <tableColumn id="8" name="آبار احتياطية  SAR" dataDxfId="421"/>
    <tableColumn id="9" name=" (T/B) SAR" dataDxfId="420"/>
    <tableColumn id="10" name=" (S/S) SAR" dataDxfId="419"/>
    <tableColumn id="11" name="(S/S+TB)SAR" dataDxfId="418" dataCellStyle="Normal 2">
      <calculatedColumnFormula>Table6[[#This Row],[ (T/B) SAR]]+Table6[[#This Row],[ (S/S) SAR]]</calculatedColumnFormula>
    </tableColumn>
    <tableColumn id="12" name="TAZ/SAR" dataDxfId="417"/>
    <tableColumn id="13" name=" % ECV SAR" dataDxfId="416"/>
    <tableColumn id="14" name="ECV (bar) SAR" dataDxfId="415"/>
    <tableColumn id="15" name="(S/S) AJD" dataDxfId="414"/>
    <tableColumn id="16" name="S/S_CON." dataDxfId="413">
      <calculatedColumnFormula>Table6[[#This Row],[ (S/S) SAR]]-Table6[[#This Row],[(S/S) AJD]]</calculatedColumnFormula>
    </tableColumn>
    <tableColumn id="17" name="(T/B) AJD" dataDxfId="412"/>
    <tableColumn id="18" name="T/B-CON." dataDxfId="411">
      <calculatedColumnFormula>Table6[[#This Row],[ (T/B) SAR]]-Table6[[#This Row],[(T/B) AJD]]</calculatedColumnFormula>
    </tableColumn>
    <tableColumn id="19" name="(S/S-T/B)-CON." dataDxfId="410">
      <calculatedColumnFormula>Table6[[#This Row],[S/S_CON.]]+Table6[[#This Row],[T/B-CON.]]</calculatedColumnFormula>
    </tableColumn>
    <tableColumn id="20" name="( S/S+T/B) AJD" dataDxfId="409">
      <calculatedColumnFormula>O2+Q2</calculatedColumnFormula>
    </tableColumn>
    <tableColumn id="21" name="(A/B) AJD" dataDxfId="408"/>
    <tableColumn id="22" name="(A/S) AJD" dataDxfId="407"/>
    <tableColumn id="23" name="(A/B + A/S) AJD" dataDxfId="406">
      <calculatedColumnFormula>U2+V2</calculatedColumnFormula>
    </tableColumn>
    <tableColumn id="24" name="(IN-OUT) AJD" dataDxfId="405">
      <calculatedColumnFormula>T2-W2</calculatedColumnFormula>
    </tableColumn>
    <tableColumn id="25" name="(RES. LEVEL) AJD" dataDxfId="404"/>
    <tableColumn id="26" name="(RESV. STORGE) AJD" dataDxfId="403"/>
    <tableColumn id="27" name="AJD_STORG.* 10" dataDxfId="402" dataCellStyle="Normal 2">
      <calculatedColumnFormula>Table6[[#This Row],[(RESV. STORGE) AJD]]/10</calculatedColumnFormula>
    </tableColumn>
    <tableColumn id="28" name="(STORGE DIFF.) AJD" dataDxfId="401" dataCellStyle="Normal 2">
      <calculatedColumnFormula>IF(TRIM(Z2)="",,(Z2-Z1)/1000)</calculatedColumnFormula>
    </tableColumn>
    <tableColumn id="29" name="AJD_Evaporation" dataDxfId="400"/>
    <tableColumn id="30" name="AJD_LOSES" dataDxfId="399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398"/>
    <tableColumn id="32" name="(RES. LEVEL) BER" dataDxfId="397"/>
    <tableColumn id="33" name=" (RESV. STORGE) BER" dataDxfId="396"/>
    <tableColumn id="34" name="BER_STORG. * 10" dataDxfId="395">
      <calculatedColumnFormula>Table6[[#This Row],[ (RESV. STORGE) BER]]/10</calculatedColumnFormula>
    </tableColumn>
    <tableColumn id="35" name="BER_Evap." dataDxfId="394"/>
    <tableColumn id="36" name="A/B_CON." dataDxfId="393">
      <calculatedColumnFormula>Table6[[#This Row],[(A/B) AJD]]-TABL12345[[#This Row],[BER_IN]]</calculatedColumnFormula>
    </tableColumn>
    <tableColumn id="37" name="SER_IN" dataDxfId="392"/>
    <tableColumn id="38" name="(RES. LEVEL) SER " dataDxfId="391"/>
    <tableColumn id="39" name=" (RESV. STORGE) SER" dataDxfId="390" dataCellStyle="Normal 2"/>
    <tableColumn id="40" name="SER_STORG.* 10" dataDxfId="389" dataCellStyle="Normal 2">
      <calculatedColumnFormula>Table6[[#This Row],[ (RESV. STORGE) SER]]/10</calculatedColumnFormula>
    </tableColumn>
    <tableColumn id="41" name="SER_Evap." dataDxfId="388"/>
    <tableColumn id="42" name="A/S_CON." dataDxfId="387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283" zoomScaleNormal="100" workbookViewId="0">
      <selection activeCell="A301" sqref="A301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88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87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87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87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87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87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87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87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87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87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87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87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87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87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87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87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87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87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87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87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87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87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87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87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87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87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87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87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87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87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87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87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87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87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87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87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87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87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87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87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87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87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87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87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87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87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87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87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87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87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87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87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87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87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87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87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87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87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87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87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87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87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87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87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87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87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87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87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87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87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87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87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87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87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87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87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87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87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87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87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87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87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87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87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87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87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87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87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87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87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87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87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87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87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87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87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87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87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87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87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87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87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87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87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87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87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87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87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87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87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87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87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87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87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87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87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87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87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87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87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87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87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87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87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87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87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87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87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87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87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87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87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87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87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87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87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87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87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87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87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87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87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87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87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87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87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87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87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87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87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87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87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87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87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87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87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87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87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87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87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87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87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87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87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87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87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87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87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87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87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87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87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87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87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87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87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87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87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87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87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87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87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87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87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87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87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87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87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87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87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87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87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87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87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87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87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87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87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87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87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87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87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87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87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87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87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87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87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87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87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87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87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87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87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87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87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87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87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87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87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87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87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87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87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87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87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87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87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87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87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87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87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87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87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87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87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87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87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87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87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87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87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87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87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87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87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87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87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87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87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87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87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87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87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87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87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87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87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87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87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87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87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87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87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87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87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87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68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68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68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68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68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68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68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68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68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68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>
        <v>26</v>
      </c>
      <c r="AL279" s="68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>
        <v>27</v>
      </c>
      <c r="AL280" s="68" t="n">
        <v>42.1809</v>
      </c>
      <c r="AM280" s="87" t="n">
        <v>2667610</v>
      </c>
      <c r="AN280" s="87">
        <f>TABL123[[#This Row],[ (RESV. STORGE) SER]]/10</f>
        <v/>
      </c>
      <c r="AO280" s="6" t="n">
        <v>1920</v>
      </c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>
        <v>35</v>
      </c>
      <c r="C281" s="28" t="n">
        <v>283</v>
      </c>
      <c r="D281" s="35" t="n">
        <v>35</v>
      </c>
      <c r="E281" s="28" t="n">
        <v>0</v>
      </c>
      <c r="F281" s="28" t="n">
        <v>93</v>
      </c>
      <c r="G281" s="28" t="n">
        <v>617</v>
      </c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>
        <v>332</v>
      </c>
      <c r="M281" s="29" t="n">
        <v>24.1</v>
      </c>
      <c r="N281" s="30" t="n">
        <v>7.39</v>
      </c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>
        <v>27</v>
      </c>
      <c r="AL281" s="68" t="n">
        <v>42.2015</v>
      </c>
      <c r="AM281" s="87" t="n">
        <v>2678640</v>
      </c>
      <c r="AN281" s="87">
        <f>TABL123[[#This Row],[ (RESV. STORGE) SER]]/10</f>
        <v/>
      </c>
      <c r="AO281" s="6" t="n">
        <v>1850</v>
      </c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>
        <v>35</v>
      </c>
      <c r="C282" s="28" t="n">
        <v>285</v>
      </c>
      <c r="D282" s="35" t="n">
        <v>35</v>
      </c>
      <c r="E282" s="28" t="n">
        <v>0</v>
      </c>
      <c r="F282" s="28" t="n">
        <v>93</v>
      </c>
      <c r="G282" s="28" t="n">
        <v>617</v>
      </c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>
        <v>330</v>
      </c>
      <c r="M282" s="29" t="n">
        <v>24.1</v>
      </c>
      <c r="N282" s="30" t="n">
        <v>7.34</v>
      </c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>
        <v>27</v>
      </c>
      <c r="AL282" s="68" t="n">
        <v>42.2175</v>
      </c>
      <c r="AM282" s="87" t="n">
        <v>2686880</v>
      </c>
      <c r="AN282" s="87">
        <f>TABL123[[#This Row],[ (RESV. STORGE) SER]]/10</f>
        <v/>
      </c>
      <c r="AO282" s="6" t="n">
        <v>1935</v>
      </c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>
        <v>35</v>
      </c>
      <c r="C283" s="28" t="n">
        <v>275</v>
      </c>
      <c r="D283" s="35" t="n">
        <v>35</v>
      </c>
      <c r="E283" s="28" t="n">
        <v>0</v>
      </c>
      <c r="F283" s="28" t="n">
        <v>93</v>
      </c>
      <c r="G283" s="28" t="n">
        <v>617</v>
      </c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>
        <v>330</v>
      </c>
      <c r="M283" s="29" t="n">
        <v>24.1</v>
      </c>
      <c r="N283" s="30" t="n">
        <v>7.24</v>
      </c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>
        <v>27</v>
      </c>
      <c r="AL283" s="68" t="n">
        <v>42.2362</v>
      </c>
      <c r="AM283" s="87" t="n">
        <v>2697770</v>
      </c>
      <c r="AN283" s="87">
        <f>TABL123[[#This Row],[ (RESV. STORGE) SER]]/10</f>
        <v/>
      </c>
      <c r="AO283" s="6" t="n">
        <v>1920</v>
      </c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>
        <v>35</v>
      </c>
      <c r="C284" s="28" t="n">
        <v>277</v>
      </c>
      <c r="D284" s="35" t="n">
        <v>35</v>
      </c>
      <c r="E284" s="28" t="n">
        <v>0</v>
      </c>
      <c r="F284" s="28" t="n">
        <v>93</v>
      </c>
      <c r="G284" s="28" t="n">
        <v>617</v>
      </c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>
        <v>325</v>
      </c>
      <c r="M284" s="29" t="n">
        <v>24.1</v>
      </c>
      <c r="N284" s="30" t="n">
        <v>7.16</v>
      </c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>
        <v>27</v>
      </c>
      <c r="AL284" s="68" t="n">
        <v>42.2849</v>
      </c>
      <c r="AM284" s="87" t="n">
        <v>2723060</v>
      </c>
      <c r="AN284" s="87">
        <f>TABL123[[#This Row],[ (RESV. STORGE) SER]]/10</f>
        <v/>
      </c>
      <c r="AO284" s="6" t="n">
        <v>1710</v>
      </c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>
        <v>35</v>
      </c>
      <c r="C285" s="28" t="n">
        <v>281</v>
      </c>
      <c r="D285" s="35" t="n">
        <v>35</v>
      </c>
      <c r="E285" s="28" t="n">
        <v>0</v>
      </c>
      <c r="F285" s="28" t="n">
        <v>93</v>
      </c>
      <c r="G285" s="28" t="n">
        <v>617</v>
      </c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>
        <v>320</v>
      </c>
      <c r="M285" s="29" t="n">
        <v>24.1</v>
      </c>
      <c r="N285" s="30" t="n">
        <v>7.09</v>
      </c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>
        <v>28</v>
      </c>
      <c r="AL285" s="68" t="n">
        <v>42.2712</v>
      </c>
      <c r="AM285" s="87" t="n">
        <v>2716130</v>
      </c>
      <c r="AN285" s="87">
        <f>TABL123[[#This Row],[ (RESV. STORGE) SER]]/10</f>
        <v/>
      </c>
      <c r="AO285" s="6" t="n">
        <v>1755</v>
      </c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>
        <v>35</v>
      </c>
      <c r="C286" s="28" t="n">
        <v>292</v>
      </c>
      <c r="D286" s="35" t="n">
        <v>35</v>
      </c>
      <c r="E286" s="28" t="n">
        <v>0</v>
      </c>
      <c r="F286" s="28" t="n">
        <v>93</v>
      </c>
      <c r="G286" s="28" t="n">
        <v>617</v>
      </c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>
        <v>320</v>
      </c>
      <c r="M286" s="29" t="n">
        <v>24.1</v>
      </c>
      <c r="N286" s="30" t="n">
        <v>7.03</v>
      </c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>
        <v>28</v>
      </c>
      <c r="AL286" s="68" t="n">
        <v>42.267</v>
      </c>
      <c r="AM286" s="87" t="n">
        <v>2714150</v>
      </c>
      <c r="AN286" s="87">
        <f>TABL123[[#This Row],[ (RESV. STORGE) SER]]/10</f>
        <v/>
      </c>
      <c r="AO286" s="6" t="n">
        <v>1960</v>
      </c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>
        <v>35</v>
      </c>
      <c r="C287" s="28" t="n">
        <v>276</v>
      </c>
      <c r="D287" s="35" t="n">
        <v>35</v>
      </c>
      <c r="E287" s="28" t="n">
        <v>0</v>
      </c>
      <c r="F287" s="28" t="n">
        <v>93</v>
      </c>
      <c r="G287" s="28" t="n">
        <v>617</v>
      </c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>
        <v>315</v>
      </c>
      <c r="M287" s="29" t="n">
        <v>24.1</v>
      </c>
      <c r="N287" s="30" t="n">
        <v>6.93</v>
      </c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>
        <v>28</v>
      </c>
      <c r="AL287" s="68" t="n">
        <v>42.2964</v>
      </c>
      <c r="AM287" s="87" t="n">
        <v>2729150</v>
      </c>
      <c r="AN287" s="87">
        <f>TABL123[[#This Row],[ (RESV. STORGE) SER]]/10</f>
        <v/>
      </c>
      <c r="AO287" s="6" t="n">
        <v>1940</v>
      </c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>
        <v>35</v>
      </c>
      <c r="C288" s="28" t="n">
        <v>288</v>
      </c>
      <c r="D288" s="35" t="n">
        <v>35</v>
      </c>
      <c r="E288" s="28" t="n">
        <v>0</v>
      </c>
      <c r="F288" s="28" t="n">
        <v>93</v>
      </c>
      <c r="G288" s="28" t="n">
        <v>617</v>
      </c>
      <c r="H288" s="28" t="n"/>
      <c r="I288" s="28" t="n"/>
      <c r="J288" s="28" t="n"/>
      <c r="K288" s="28">
        <f>TABL123[[#This Row],[ (T/B) SAR]]+TABL123[[#This Row],[ (S/S) SAR]]</f>
        <v/>
      </c>
      <c r="L288" s="28" t="n">
        <v>315</v>
      </c>
      <c r="M288" s="29" t="n">
        <v>24.1</v>
      </c>
      <c r="N288" s="30" t="n">
        <v>6.9</v>
      </c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>
        <v>28</v>
      </c>
      <c r="AL288" s="68" t="n">
        <v>42.3233</v>
      </c>
      <c r="AM288" s="87" t="n">
        <v>2743630</v>
      </c>
      <c r="AN288" s="87">
        <f>TABL123[[#This Row],[ (RESV. STORGE) SER]]/10</f>
        <v/>
      </c>
      <c r="AO288" s="6" t="n">
        <v>1960</v>
      </c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>
        <v>34</v>
      </c>
      <c r="C289" s="28" t="n">
        <v>279</v>
      </c>
      <c r="D289" s="35" t="n">
        <v>35</v>
      </c>
      <c r="E289" s="28" t="n">
        <v>0</v>
      </c>
      <c r="F289" s="28" t="n">
        <v>93</v>
      </c>
      <c r="G289" s="28" t="n">
        <v>617</v>
      </c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>
        <v>315</v>
      </c>
      <c r="M289" s="29" t="n">
        <v>24.1</v>
      </c>
      <c r="N289" s="30" t="n">
        <v>6.87</v>
      </c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>
        <v>28</v>
      </c>
      <c r="AL289" s="68" t="n">
        <v>42.3229</v>
      </c>
      <c r="AM289" s="87" t="n">
        <v>2743610</v>
      </c>
      <c r="AN289" s="87">
        <f>TABL123[[#This Row],[ (RESV. STORGE) SER]]/10</f>
        <v/>
      </c>
      <c r="AO289" s="6" t="n">
        <v>1970</v>
      </c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>
        <v>93</v>
      </c>
      <c r="G290" s="28" t="n">
        <v>617</v>
      </c>
      <c r="H290" s="28" t="n"/>
      <c r="I290" s="28" t="n"/>
      <c r="J290" s="28" t="n"/>
      <c r="K290" s="28">
        <f>TABL123[[#This Row],[ (T/B) SAR]]+TABL123[[#This Row],[ (S/S) SAR]]</f>
        <v/>
      </c>
      <c r="L290" s="28" t="n">
        <v>310</v>
      </c>
      <c r="M290" s="29" t="n">
        <v>23.6</v>
      </c>
      <c r="N290" s="30" t="n">
        <v>6.91</v>
      </c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>
        <v>28</v>
      </c>
      <c r="AL290" s="68" t="n">
        <v>42.3156</v>
      </c>
      <c r="AM290" s="87" t="n">
        <v>2739880</v>
      </c>
      <c r="AN290" s="87">
        <f>TABL123[[#This Row],[ (RESV. STORGE) SER]]/10</f>
        <v/>
      </c>
      <c r="AO290" s="6" t="n">
        <v>1830</v>
      </c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/>
      <c r="C291" s="28" t="n"/>
      <c r="D291" s="28" t="n"/>
      <c r="E291" s="28" t="n"/>
      <c r="F291" s="28" t="n">
        <v>93</v>
      </c>
      <c r="G291" s="28" t="n">
        <v>617</v>
      </c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>
        <v>310</v>
      </c>
      <c r="M291" s="29" t="n">
        <v>23.6</v>
      </c>
      <c r="N291" s="30" t="n">
        <v>6.81</v>
      </c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/>
      <c r="AL291" s="68" t="n"/>
      <c r="AM291" s="87" t="n"/>
      <c r="AN291" s="87">
        <f>TABL123[[#This Row],[ (RESV. STORGE) SER]]/10</f>
        <v/>
      </c>
      <c r="AO291" s="6" t="n"/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/>
      <c r="M292" s="29" t="n"/>
      <c r="N292" s="30" t="n"/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/>
      <c r="AF292" s="68" t="n"/>
      <c r="AG292" s="68" t="n"/>
      <c r="AH292" s="6" t="n"/>
      <c r="AI292" s="78" t="n"/>
      <c r="AJ292" s="78">
        <f>TABL123[[#This Row],[(A/B) AJD]]-TABL123[[#This Row],[BER_IN]]</f>
        <v/>
      </c>
      <c r="AK292" s="78" t="n"/>
      <c r="AL292" s="68" t="n"/>
      <c r="AM292" s="87" t="n"/>
      <c r="AN292" s="87">
        <f>TABL123[[#This Row],[ (RESV. STORGE) SER]]/10</f>
        <v/>
      </c>
      <c r="AO292" s="6" t="n"/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/>
      <c r="M293" s="29" t="n"/>
      <c r="N293" s="30" t="n"/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/>
      <c r="AF293" s="68" t="n"/>
      <c r="AG293" s="68" t="n"/>
      <c r="AH293" s="6" t="n"/>
      <c r="AI293" s="78" t="n"/>
      <c r="AJ293" s="78">
        <f>TABL123[[#This Row],[(A/B) AJD]]-TABL123[[#This Row],[BER_IN]]</f>
        <v/>
      </c>
      <c r="AK293" s="78" t="n"/>
      <c r="AL293" s="68" t="n"/>
      <c r="AM293" s="87" t="n"/>
      <c r="AN293" s="87">
        <f>TABL123[[#This Row],[ (RESV. STORGE) SER]]/10</f>
        <v/>
      </c>
      <c r="AO293" s="6" t="n"/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/>
      <c r="M294" s="29" t="n"/>
      <c r="N294" s="30" t="n"/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/>
      <c r="AF294" s="68" t="n"/>
      <c r="AG294" s="68" t="n"/>
      <c r="AH294" s="6" t="n"/>
      <c r="AI294" s="78" t="n"/>
      <c r="AJ294" s="78">
        <f>TABL123[[#This Row],[(A/B) AJD]]-TABL123[[#This Row],[BER_IN]]</f>
        <v/>
      </c>
      <c r="AK294" s="78" t="n"/>
      <c r="AL294" s="68" t="n"/>
      <c r="AM294" s="87" t="n"/>
      <c r="AN294" s="87">
        <f>TABL123[[#This Row],[ (RESV. STORGE) SER]]/10</f>
        <v/>
      </c>
      <c r="AO294" s="6" t="n"/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68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/>
      <c r="M296" s="29" t="n"/>
      <c r="N296" s="30" t="n"/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68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/>
      <c r="M297" s="29" t="n"/>
      <c r="N297" s="30" t="n"/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68" t="n"/>
      <c r="AM297" s="87" t="n"/>
      <c r="AN297" s="87">
        <f>TABL123[[#This Row],[ (RESV. STORGE) SER]]/10</f>
        <v/>
      </c>
      <c r="AO297" s="6" t="n"/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/>
      <c r="M298" s="29" t="n"/>
      <c r="N298" s="30" t="n"/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/>
      <c r="AF298" s="68" t="n"/>
      <c r="AG298" s="68" t="n"/>
      <c r="AH298" s="6" t="n"/>
      <c r="AI298" s="78" t="n"/>
      <c r="AJ298" s="78">
        <f>TABL123[[#This Row],[(A/B) AJD]]-TABL123[[#This Row],[BER_IN]]</f>
        <v/>
      </c>
      <c r="AK298" s="78" t="n"/>
      <c r="AL298" s="68" t="n"/>
      <c r="AM298" s="87" t="n"/>
      <c r="AN298" s="87">
        <f>TABL123[[#This Row],[ (RESV. STORGE) SER]]/10</f>
        <v/>
      </c>
      <c r="AO298" s="6" t="n"/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/>
      <c r="M299" s="29" t="n"/>
      <c r="N299" s="30" t="n"/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/>
      <c r="AF299" s="68" t="n"/>
      <c r="AG299" s="68" t="n"/>
      <c r="AH299" s="6" t="n"/>
      <c r="AI299" s="78" t="n"/>
      <c r="AJ299" s="78">
        <f>TABL123[[#This Row],[(A/B) AJD]]-TABL123[[#This Row],[BER_IN]]</f>
        <v/>
      </c>
      <c r="AK299" s="78" t="n"/>
      <c r="AL299" s="68" t="n"/>
      <c r="AM299" s="87" t="n"/>
      <c r="AN299" s="87">
        <f>TABL123[[#This Row],[ (RESV. STORGE) SER]]/10</f>
        <v/>
      </c>
      <c r="AO299" s="6" t="n"/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/>
      <c r="M300" s="29" t="n"/>
      <c r="N300" s="30" t="n"/>
      <c r="O300" s="14" t="n"/>
      <c r="P300" s="9">
        <f>TABL123[[#This Row],[ (S/S) SAR]]-TABL123[[#This Row],[(S/S) AJD]]</f>
        <v/>
      </c>
      <c r="Q300" s="14" t="n"/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/>
      <c r="V300" s="14" t="n"/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/>
      <c r="Z300" s="9" t="n"/>
      <c r="AA300" s="3">
        <f>TABL123[[#This Row],[(RESV. STORGE) AJD]]/10</f>
        <v/>
      </c>
      <c r="AB300" s="45">
        <f>IF(TRIM(Z300)="",,(Z300-Z299)/1000)</f>
        <v/>
      </c>
      <c r="AC300" s="5" t="n"/>
      <c r="AD300" s="83">
        <f>TABL123[[#This Row],[( S/S+T/B) AJD]]-(TABL123[[#This Row],[(A/B + A/S) AJD]]+TABL123[[#This Row],[(STORGE DIFF.) AJD]]+(TABL123[[#This Row],[AJD_Evaporation]])/1000)</f>
        <v/>
      </c>
      <c r="AE300" s="68" t="n"/>
      <c r="AF300" s="68" t="n"/>
      <c r="AG300" s="68" t="n"/>
      <c r="AH300" s="6" t="n"/>
      <c r="AI300" s="78" t="n"/>
      <c r="AJ300" s="78" t="n"/>
      <c r="AK300" s="78" t="n"/>
      <c r="AL300" s="68" t="n"/>
      <c r="AM300" s="87" t="n"/>
      <c r="AN300" s="87" t="n"/>
      <c r="AO300" s="6" t="n"/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68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68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68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68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68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68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68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68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68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68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68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68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68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68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68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68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68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68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68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68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68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68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68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68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68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68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68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68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68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68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68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68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68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68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68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68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68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68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68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68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68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68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68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68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68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68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68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68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68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68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68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68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68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68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68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68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68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68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68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68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68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68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68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68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68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82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2026-10-26T19:42:50Z</dcterms:modified>
  <cp:lastModifiedBy>nasserab965@gmail.com</cp:lastModifiedBy>
</cp:coreProperties>
</file>