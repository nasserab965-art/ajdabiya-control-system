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74494FAA-416C-46F8-818F-7D4C19B0D25E}" xr6:coauthVersionLast="47" xr6:coauthVersionMax="47" xr10:uidLastSave="{00000000-0000-0000-0000-000000000000}"/>
  <bookViews>
    <workbookView xWindow="-120" yWindow="-120" windowWidth="19440" windowHeight="15000" tabRatio="707" activeTab="5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definedNames>
    <definedName name="Table123456">Table5[]</definedName>
    <definedName name="Table1234567">Table6[]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2" i="7" l="1"/>
  <c r="AP3" i="7"/>
  <c r="AP4" i="7"/>
  <c r="AP5" i="7"/>
  <c r="AP6" i="7"/>
  <c r="AP7" i="7"/>
  <c r="AP8" i="7"/>
  <c r="AP9" i="7"/>
  <c r="AP10" i="7"/>
  <c r="AP11" i="7"/>
  <c r="AP12" i="7"/>
  <c r="AP13" i="7"/>
  <c r="AP14" i="7"/>
  <c r="AP15" i="7"/>
  <c r="AP16" i="7"/>
  <c r="AP17" i="7"/>
  <c r="AP18" i="7"/>
  <c r="AP19" i="7"/>
  <c r="AP20" i="7"/>
  <c r="AP21" i="7"/>
  <c r="AP22" i="7"/>
  <c r="AP23" i="7"/>
  <c r="AP24" i="7"/>
  <c r="AP25" i="7"/>
  <c r="AP26" i="7"/>
  <c r="AP27" i="7"/>
  <c r="AP28" i="7"/>
  <c r="AP29" i="7"/>
  <c r="AP30" i="7"/>
  <c r="AP31" i="7"/>
  <c r="AP32" i="7"/>
  <c r="AP33" i="7"/>
  <c r="AP34" i="7"/>
  <c r="AP35" i="7"/>
  <c r="AP36" i="7"/>
  <c r="AP37" i="7"/>
  <c r="AP38" i="7"/>
  <c r="AP39" i="7"/>
  <c r="AP40" i="7"/>
  <c r="AP41" i="7"/>
  <c r="AP42" i="7"/>
  <c r="AP43" i="7"/>
  <c r="AP44" i="7"/>
  <c r="AP45" i="7"/>
  <c r="AP46" i="7"/>
  <c r="AP47" i="7"/>
  <c r="AP48" i="7"/>
  <c r="AP49" i="7"/>
  <c r="AP50" i="7"/>
  <c r="AP51" i="7"/>
  <c r="AP52" i="7"/>
  <c r="AP53" i="7"/>
  <c r="AP54" i="7"/>
  <c r="AP55" i="7"/>
  <c r="AP56" i="7"/>
  <c r="AP57" i="7"/>
  <c r="AP58" i="7"/>
  <c r="AP59" i="7"/>
  <c r="AP60" i="7"/>
  <c r="AP61" i="7"/>
  <c r="AP62" i="7"/>
  <c r="AP63" i="7"/>
  <c r="AP64" i="7"/>
  <c r="AP65" i="7"/>
  <c r="AP66" i="7"/>
  <c r="AP67" i="7"/>
  <c r="AP68" i="7"/>
  <c r="AP69" i="7"/>
  <c r="AP70" i="7"/>
  <c r="AP71" i="7"/>
  <c r="AP72" i="7"/>
  <c r="AP73" i="7"/>
  <c r="AP74" i="7"/>
  <c r="AP75" i="7"/>
  <c r="AP76" i="7"/>
  <c r="AP77" i="7"/>
  <c r="AP78" i="7"/>
  <c r="AP79" i="7"/>
  <c r="AP80" i="7"/>
  <c r="AP81" i="7"/>
  <c r="AP82" i="7"/>
  <c r="AP83" i="7"/>
  <c r="AP84" i="7"/>
  <c r="AP85" i="7"/>
  <c r="AP86" i="7"/>
  <c r="AP87" i="7"/>
  <c r="AP88" i="7"/>
  <c r="AP89" i="7"/>
  <c r="AP90" i="7"/>
  <c r="AP91" i="7"/>
  <c r="AP92" i="7"/>
  <c r="AP93" i="7"/>
  <c r="AP94" i="7"/>
  <c r="AP95" i="7"/>
  <c r="AP96" i="7"/>
  <c r="AP97" i="7"/>
  <c r="AP98" i="7"/>
  <c r="AP99" i="7"/>
  <c r="AP100" i="7"/>
  <c r="AP101" i="7"/>
  <c r="AP102" i="7"/>
  <c r="AP103" i="7"/>
  <c r="AP104" i="7"/>
  <c r="AP105" i="7"/>
  <c r="AP106" i="7"/>
  <c r="AP107" i="7"/>
  <c r="AP108" i="7"/>
  <c r="AP109" i="7"/>
  <c r="AP110" i="7"/>
  <c r="AP111" i="7"/>
  <c r="AP112" i="7"/>
  <c r="AP113" i="7"/>
  <c r="AP114" i="7"/>
  <c r="AP115" i="7"/>
  <c r="AP116" i="7"/>
  <c r="AP117" i="7"/>
  <c r="AP118" i="7"/>
  <c r="AP119" i="7"/>
  <c r="AP120" i="7"/>
  <c r="AP121" i="7"/>
  <c r="AP122" i="7"/>
  <c r="AP123" i="7"/>
  <c r="AP124" i="7"/>
  <c r="AP125" i="7"/>
  <c r="AP126" i="7"/>
  <c r="AP127" i="7"/>
  <c r="AP128" i="7"/>
  <c r="AP129" i="7"/>
  <c r="AP130" i="7"/>
  <c r="AP131" i="7"/>
  <c r="AP132" i="7"/>
  <c r="AP133" i="7"/>
  <c r="AP134" i="7"/>
  <c r="AP135" i="7"/>
  <c r="AP136" i="7"/>
  <c r="AP137" i="7"/>
  <c r="AP138" i="7"/>
  <c r="AP139" i="7"/>
  <c r="AP140" i="7"/>
  <c r="AP141" i="7"/>
  <c r="AP142" i="7"/>
  <c r="AP143" i="7"/>
  <c r="AP144" i="7"/>
  <c r="AP145" i="7"/>
  <c r="AP146" i="7"/>
  <c r="AP147" i="7"/>
  <c r="AP148" i="7"/>
  <c r="AP149" i="7"/>
  <c r="AP150" i="7"/>
  <c r="AP151" i="7"/>
  <c r="AP152" i="7"/>
  <c r="AP153" i="7"/>
  <c r="AP154" i="7"/>
  <c r="AP155" i="7"/>
  <c r="AP156" i="7"/>
  <c r="AP157" i="7"/>
  <c r="AP158" i="7"/>
  <c r="AP159" i="7"/>
  <c r="AP160" i="7"/>
  <c r="AP161" i="7"/>
  <c r="AP162" i="7"/>
  <c r="AP163" i="7"/>
  <c r="AP164" i="7"/>
  <c r="AP165" i="7"/>
  <c r="AP166" i="7"/>
  <c r="AP167" i="7"/>
  <c r="AP168" i="7"/>
  <c r="AP169" i="7"/>
  <c r="AP170" i="7"/>
  <c r="AP171" i="7"/>
  <c r="AP172" i="7"/>
  <c r="AP173" i="7"/>
  <c r="AP174" i="7"/>
  <c r="AP175" i="7"/>
  <c r="AP176" i="7"/>
  <c r="AP177" i="7"/>
  <c r="AP178" i="7"/>
  <c r="AP179" i="7"/>
  <c r="AP180" i="7"/>
  <c r="AP181" i="7"/>
  <c r="AP182" i="7"/>
  <c r="AP183" i="7"/>
  <c r="AP184" i="7"/>
  <c r="AP185" i="7"/>
  <c r="AP186" i="7"/>
  <c r="AP187" i="7"/>
  <c r="AP188" i="7"/>
  <c r="AP189" i="7"/>
  <c r="AP190" i="7"/>
  <c r="AP191" i="7"/>
  <c r="AP192" i="7"/>
  <c r="AP193" i="7"/>
  <c r="AP194" i="7"/>
  <c r="AP195" i="7"/>
  <c r="AP196" i="7"/>
  <c r="AP197" i="7"/>
  <c r="AP198" i="7"/>
  <c r="AP199" i="7"/>
  <c r="AP200" i="7"/>
  <c r="AP201" i="7"/>
  <c r="AP202" i="7"/>
  <c r="AP203" i="7"/>
  <c r="AP204" i="7"/>
  <c r="AP205" i="7"/>
  <c r="AP206" i="7"/>
  <c r="AP207" i="7"/>
  <c r="AP208" i="7"/>
  <c r="AP209" i="7"/>
  <c r="AP210" i="7"/>
  <c r="AP211" i="7"/>
  <c r="AP212" i="7"/>
  <c r="AP213" i="7"/>
  <c r="AP214" i="7"/>
  <c r="AP215" i="7"/>
  <c r="AP216" i="7"/>
  <c r="AP217" i="7"/>
  <c r="AP218" i="7"/>
  <c r="AP219" i="7"/>
  <c r="AP220" i="7"/>
  <c r="AP221" i="7"/>
  <c r="AP222" i="7"/>
  <c r="AP223" i="7"/>
  <c r="AP224" i="7"/>
  <c r="AP225" i="7"/>
  <c r="AP226" i="7"/>
  <c r="AP227" i="7"/>
  <c r="AP228" i="7"/>
  <c r="AP229" i="7"/>
  <c r="AP230" i="7"/>
  <c r="AP231" i="7"/>
  <c r="AP232" i="7"/>
  <c r="AP233" i="7"/>
  <c r="AP234" i="7"/>
  <c r="AP235" i="7"/>
  <c r="AP236" i="7"/>
  <c r="AP237" i="7"/>
  <c r="AP238" i="7"/>
  <c r="AP239" i="7"/>
  <c r="AP240" i="7"/>
  <c r="AP241" i="7"/>
  <c r="AP242" i="7"/>
  <c r="AP243" i="7"/>
  <c r="AP244" i="7"/>
  <c r="AP245" i="7"/>
  <c r="AP246" i="7"/>
  <c r="AP247" i="7"/>
  <c r="AP248" i="7"/>
  <c r="AP249" i="7"/>
  <c r="AP250" i="7"/>
  <c r="AP251" i="7"/>
  <c r="AP252" i="7"/>
  <c r="AP253" i="7"/>
  <c r="AP254" i="7"/>
  <c r="AP255" i="7"/>
  <c r="AP256" i="7"/>
  <c r="AP257" i="7"/>
  <c r="AP258" i="7"/>
  <c r="AP259" i="7"/>
  <c r="AP260" i="7"/>
  <c r="AP261" i="7"/>
  <c r="AP262" i="7"/>
  <c r="AP263" i="7"/>
  <c r="AP264" i="7"/>
  <c r="AP265" i="7"/>
  <c r="AP266" i="7"/>
  <c r="AP267" i="7"/>
  <c r="AP268" i="7"/>
  <c r="AP269" i="7"/>
  <c r="AP270" i="7"/>
  <c r="AP271" i="7"/>
  <c r="AP272" i="7"/>
  <c r="AP273" i="7"/>
  <c r="AP274" i="7"/>
  <c r="AP275" i="7"/>
  <c r="AP276" i="7"/>
  <c r="AP277" i="7"/>
  <c r="AP278" i="7"/>
  <c r="AP279" i="7"/>
  <c r="AP280" i="7"/>
  <c r="AP281" i="7"/>
  <c r="AP282" i="7"/>
  <c r="AP283" i="7"/>
  <c r="AP284" i="7"/>
  <c r="AP285" i="7"/>
  <c r="AP286" i="7"/>
  <c r="AP287" i="7"/>
  <c r="AP288" i="7"/>
  <c r="AP289" i="7"/>
  <c r="AP290" i="7"/>
  <c r="AP291" i="7"/>
  <c r="AP292" i="7"/>
  <c r="AP293" i="7"/>
  <c r="AP294" i="7"/>
  <c r="AP295" i="7"/>
  <c r="AP296" i="7"/>
  <c r="AP297" i="7"/>
  <c r="AP298" i="7"/>
  <c r="AP299" i="7"/>
  <c r="AP300" i="7"/>
  <c r="AP301" i="7"/>
  <c r="AP302" i="7"/>
  <c r="AP303" i="7"/>
  <c r="AP304" i="7"/>
  <c r="AP305" i="7"/>
  <c r="AP306" i="7"/>
  <c r="AP307" i="7"/>
  <c r="AP308" i="7"/>
  <c r="AP309" i="7"/>
  <c r="AP310" i="7"/>
  <c r="AP311" i="7"/>
  <c r="AP312" i="7"/>
  <c r="AP313" i="7"/>
  <c r="AP314" i="7"/>
  <c r="AP315" i="7"/>
  <c r="AP316" i="7"/>
  <c r="AP317" i="7"/>
  <c r="AP318" i="7"/>
  <c r="AP319" i="7"/>
  <c r="AP320" i="7"/>
  <c r="AP321" i="7"/>
  <c r="AP322" i="7"/>
  <c r="AP323" i="7"/>
  <c r="AP324" i="7"/>
  <c r="AP325" i="7"/>
  <c r="AP326" i="7"/>
  <c r="AP327" i="7"/>
  <c r="AP328" i="7"/>
  <c r="AP329" i="7"/>
  <c r="AP330" i="7"/>
  <c r="AP331" i="7"/>
  <c r="AP332" i="7"/>
  <c r="AP333" i="7"/>
  <c r="AP334" i="7"/>
  <c r="AP335" i="7"/>
  <c r="AP336" i="7"/>
  <c r="AP337" i="7"/>
  <c r="AP338" i="7"/>
  <c r="AP339" i="7"/>
  <c r="AP340" i="7"/>
  <c r="AP341" i="7"/>
  <c r="AP342" i="7"/>
  <c r="AP343" i="7"/>
  <c r="AP344" i="7"/>
  <c r="AP345" i="7"/>
  <c r="AP346" i="7"/>
  <c r="AP347" i="7"/>
  <c r="AP348" i="7"/>
  <c r="AP349" i="7"/>
  <c r="AP350" i="7"/>
  <c r="AP351" i="7"/>
  <c r="AP352" i="7"/>
  <c r="AP353" i="7"/>
  <c r="AP354" i="7"/>
  <c r="AP355" i="7"/>
  <c r="AP356" i="7"/>
  <c r="AP357" i="7"/>
  <c r="AP358" i="7"/>
  <c r="AP359" i="7"/>
  <c r="AP360" i="7"/>
  <c r="AP361" i="7"/>
  <c r="AP362" i="7"/>
  <c r="AP363" i="7"/>
  <c r="AP364" i="7"/>
  <c r="AP365" i="7"/>
  <c r="AP366" i="7"/>
  <c r="AN2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33" i="7"/>
  <c r="AN34" i="7"/>
  <c r="AN35" i="7"/>
  <c r="AN36" i="7"/>
  <c r="AN37" i="7"/>
  <c r="AN38" i="7"/>
  <c r="AN39" i="7"/>
  <c r="AN40" i="7"/>
  <c r="AN41" i="7"/>
  <c r="AN42" i="7"/>
  <c r="AN43" i="7"/>
  <c r="AN44" i="7"/>
  <c r="AN45" i="7"/>
  <c r="AN46" i="7"/>
  <c r="AN47" i="7"/>
  <c r="AN48" i="7"/>
  <c r="AN49" i="7"/>
  <c r="AN50" i="7"/>
  <c r="AN51" i="7"/>
  <c r="AN52" i="7"/>
  <c r="AN53" i="7"/>
  <c r="AN54" i="7"/>
  <c r="AN55" i="7"/>
  <c r="AN56" i="7"/>
  <c r="AN57" i="7"/>
  <c r="AN58" i="7"/>
  <c r="AN59" i="7"/>
  <c r="AN60" i="7"/>
  <c r="AN61" i="7"/>
  <c r="AN62" i="7"/>
  <c r="AN63" i="7"/>
  <c r="AN64" i="7"/>
  <c r="AN65" i="7"/>
  <c r="AN66" i="7"/>
  <c r="AN67" i="7"/>
  <c r="AN68" i="7"/>
  <c r="AN69" i="7"/>
  <c r="AN70" i="7"/>
  <c r="AN71" i="7"/>
  <c r="AN72" i="7"/>
  <c r="AN73" i="7"/>
  <c r="AN74" i="7"/>
  <c r="AN75" i="7"/>
  <c r="AN76" i="7"/>
  <c r="AN77" i="7"/>
  <c r="AN78" i="7"/>
  <c r="AN79" i="7"/>
  <c r="AN80" i="7"/>
  <c r="AN81" i="7"/>
  <c r="AN82" i="7"/>
  <c r="AN83" i="7"/>
  <c r="AN84" i="7"/>
  <c r="AN85" i="7"/>
  <c r="AN86" i="7"/>
  <c r="AN87" i="7"/>
  <c r="AN88" i="7"/>
  <c r="AN89" i="7"/>
  <c r="AN90" i="7"/>
  <c r="AN91" i="7"/>
  <c r="AN92" i="7"/>
  <c r="AN93" i="7"/>
  <c r="AN94" i="7"/>
  <c r="AN95" i="7"/>
  <c r="AN96" i="7"/>
  <c r="AN97" i="7"/>
  <c r="AN98" i="7"/>
  <c r="AN99" i="7"/>
  <c r="AN100" i="7"/>
  <c r="AN101" i="7"/>
  <c r="AN102" i="7"/>
  <c r="AN103" i="7"/>
  <c r="AN104" i="7"/>
  <c r="AN105" i="7"/>
  <c r="AN106" i="7"/>
  <c r="AN107" i="7"/>
  <c r="AN108" i="7"/>
  <c r="AN109" i="7"/>
  <c r="AN110" i="7"/>
  <c r="AN111" i="7"/>
  <c r="AN112" i="7"/>
  <c r="AN113" i="7"/>
  <c r="AN114" i="7"/>
  <c r="AN115" i="7"/>
  <c r="AN116" i="7"/>
  <c r="AN117" i="7"/>
  <c r="AN118" i="7"/>
  <c r="AN119" i="7"/>
  <c r="AN120" i="7"/>
  <c r="AN121" i="7"/>
  <c r="AN122" i="7"/>
  <c r="AN123" i="7"/>
  <c r="AN124" i="7"/>
  <c r="AN125" i="7"/>
  <c r="AN126" i="7"/>
  <c r="AN127" i="7"/>
  <c r="AN128" i="7"/>
  <c r="AN129" i="7"/>
  <c r="AN130" i="7"/>
  <c r="AN131" i="7"/>
  <c r="AN132" i="7"/>
  <c r="AN133" i="7"/>
  <c r="AN134" i="7"/>
  <c r="AN135" i="7"/>
  <c r="AN136" i="7"/>
  <c r="AN137" i="7"/>
  <c r="AN138" i="7"/>
  <c r="AN139" i="7"/>
  <c r="AN140" i="7"/>
  <c r="AN141" i="7"/>
  <c r="AN142" i="7"/>
  <c r="AN143" i="7"/>
  <c r="AN144" i="7"/>
  <c r="AN145" i="7"/>
  <c r="AN146" i="7"/>
  <c r="AN147" i="7"/>
  <c r="AN148" i="7"/>
  <c r="AN149" i="7"/>
  <c r="AN150" i="7"/>
  <c r="AN151" i="7"/>
  <c r="AN152" i="7"/>
  <c r="AN153" i="7"/>
  <c r="AN154" i="7"/>
  <c r="AN155" i="7"/>
  <c r="AN156" i="7"/>
  <c r="AN157" i="7"/>
  <c r="AN158" i="7"/>
  <c r="AN159" i="7"/>
  <c r="AN160" i="7"/>
  <c r="AN161" i="7"/>
  <c r="AN162" i="7"/>
  <c r="AN163" i="7"/>
  <c r="AN164" i="7"/>
  <c r="AN165" i="7"/>
  <c r="AN166" i="7"/>
  <c r="AN167" i="7"/>
  <c r="AN168" i="7"/>
  <c r="AN169" i="7"/>
  <c r="AN170" i="7"/>
  <c r="AN171" i="7"/>
  <c r="AN172" i="7"/>
  <c r="AN173" i="7"/>
  <c r="AN174" i="7"/>
  <c r="AN175" i="7"/>
  <c r="AN176" i="7"/>
  <c r="AN177" i="7"/>
  <c r="AN178" i="7"/>
  <c r="AN179" i="7"/>
  <c r="AN180" i="7"/>
  <c r="AN181" i="7"/>
  <c r="AN182" i="7"/>
  <c r="AN183" i="7"/>
  <c r="AN184" i="7"/>
  <c r="AN185" i="7"/>
  <c r="AN186" i="7"/>
  <c r="AN187" i="7"/>
  <c r="AN188" i="7"/>
  <c r="AN189" i="7"/>
  <c r="AN190" i="7"/>
  <c r="AN191" i="7"/>
  <c r="AN192" i="7"/>
  <c r="AN193" i="7"/>
  <c r="AN194" i="7"/>
  <c r="AN195" i="7"/>
  <c r="AN196" i="7"/>
  <c r="AN197" i="7"/>
  <c r="AN198" i="7"/>
  <c r="AN199" i="7"/>
  <c r="AN200" i="7"/>
  <c r="AN201" i="7"/>
  <c r="AN202" i="7"/>
  <c r="AN203" i="7"/>
  <c r="AN204" i="7"/>
  <c r="AN205" i="7"/>
  <c r="AN206" i="7"/>
  <c r="AN207" i="7"/>
  <c r="AN208" i="7"/>
  <c r="AN209" i="7"/>
  <c r="AN210" i="7"/>
  <c r="AN211" i="7"/>
  <c r="AN212" i="7"/>
  <c r="AN213" i="7"/>
  <c r="AN214" i="7"/>
  <c r="AN215" i="7"/>
  <c r="AN216" i="7"/>
  <c r="AN217" i="7"/>
  <c r="AN218" i="7"/>
  <c r="AN219" i="7"/>
  <c r="AN220" i="7"/>
  <c r="AN221" i="7"/>
  <c r="AN222" i="7"/>
  <c r="AN223" i="7"/>
  <c r="AN224" i="7"/>
  <c r="AN225" i="7"/>
  <c r="AN226" i="7"/>
  <c r="AN227" i="7"/>
  <c r="AN228" i="7"/>
  <c r="AN229" i="7"/>
  <c r="AN230" i="7"/>
  <c r="AN231" i="7"/>
  <c r="AN232" i="7"/>
  <c r="AN233" i="7"/>
  <c r="AN234" i="7"/>
  <c r="AN235" i="7"/>
  <c r="AN236" i="7"/>
  <c r="AN237" i="7"/>
  <c r="AN238" i="7"/>
  <c r="AN239" i="7"/>
  <c r="AN240" i="7"/>
  <c r="AN241" i="7"/>
  <c r="AN242" i="7"/>
  <c r="AN243" i="7"/>
  <c r="AN244" i="7"/>
  <c r="AN245" i="7"/>
  <c r="AN246" i="7"/>
  <c r="AN247" i="7"/>
  <c r="AN248" i="7"/>
  <c r="AN249" i="7"/>
  <c r="AN250" i="7"/>
  <c r="AN251" i="7"/>
  <c r="AN252" i="7"/>
  <c r="AN253" i="7"/>
  <c r="AN254" i="7"/>
  <c r="AN255" i="7"/>
  <c r="AN256" i="7"/>
  <c r="AN257" i="7"/>
  <c r="AN258" i="7"/>
  <c r="AN259" i="7"/>
  <c r="AN260" i="7"/>
  <c r="AN261" i="7"/>
  <c r="AN262" i="7"/>
  <c r="AN263" i="7"/>
  <c r="AN264" i="7"/>
  <c r="AN265" i="7"/>
  <c r="AN266" i="7"/>
  <c r="AN267" i="7"/>
  <c r="AN268" i="7"/>
  <c r="AN269" i="7"/>
  <c r="AN270" i="7"/>
  <c r="AN271" i="7"/>
  <c r="AN272" i="7"/>
  <c r="AN273" i="7"/>
  <c r="AN274" i="7"/>
  <c r="AN275" i="7"/>
  <c r="AN276" i="7"/>
  <c r="AN277" i="7"/>
  <c r="AN278" i="7"/>
  <c r="AN279" i="7"/>
  <c r="AN280" i="7"/>
  <c r="AN281" i="7"/>
  <c r="AN282" i="7"/>
  <c r="AN283" i="7"/>
  <c r="AN284" i="7"/>
  <c r="AN285" i="7"/>
  <c r="AN286" i="7"/>
  <c r="AN287" i="7"/>
  <c r="AN288" i="7"/>
  <c r="AN289" i="7"/>
  <c r="AN290" i="7"/>
  <c r="AN291" i="7"/>
  <c r="AN292" i="7"/>
  <c r="AN293" i="7"/>
  <c r="AN294" i="7"/>
  <c r="AN295" i="7"/>
  <c r="AN296" i="7"/>
  <c r="AN297" i="7"/>
  <c r="AN298" i="7"/>
  <c r="AN299" i="7"/>
  <c r="AN300" i="7"/>
  <c r="AN301" i="7"/>
  <c r="AN302" i="7"/>
  <c r="AN303" i="7"/>
  <c r="AN304" i="7"/>
  <c r="AN305" i="7"/>
  <c r="AN306" i="7"/>
  <c r="AN307" i="7"/>
  <c r="AN308" i="7"/>
  <c r="AN309" i="7"/>
  <c r="AN310" i="7"/>
  <c r="AN311" i="7"/>
  <c r="AN312" i="7"/>
  <c r="AN313" i="7"/>
  <c r="AN314" i="7"/>
  <c r="AN315" i="7"/>
  <c r="AN316" i="7"/>
  <c r="AN317" i="7"/>
  <c r="AN318" i="7"/>
  <c r="AN319" i="7"/>
  <c r="AN320" i="7"/>
  <c r="AN321" i="7"/>
  <c r="AN322" i="7"/>
  <c r="AN323" i="7"/>
  <c r="AN324" i="7"/>
  <c r="AN325" i="7"/>
  <c r="AN326" i="7"/>
  <c r="AN327" i="7"/>
  <c r="AN328" i="7"/>
  <c r="AN329" i="7"/>
  <c r="AN330" i="7"/>
  <c r="AN331" i="7"/>
  <c r="AN332" i="7"/>
  <c r="AN333" i="7"/>
  <c r="AN334" i="7"/>
  <c r="AN335" i="7"/>
  <c r="AN336" i="7"/>
  <c r="AN337" i="7"/>
  <c r="AN338" i="7"/>
  <c r="AN339" i="7"/>
  <c r="AN340" i="7"/>
  <c r="AN341" i="7"/>
  <c r="AN342" i="7"/>
  <c r="AN343" i="7"/>
  <c r="AN344" i="7"/>
  <c r="AN345" i="7"/>
  <c r="AN346" i="7"/>
  <c r="AN347" i="7"/>
  <c r="AN348" i="7"/>
  <c r="AN349" i="7"/>
  <c r="AN350" i="7"/>
  <c r="AN351" i="7"/>
  <c r="AN352" i="7"/>
  <c r="AN353" i="7"/>
  <c r="AN354" i="7"/>
  <c r="AN355" i="7"/>
  <c r="AN356" i="7"/>
  <c r="AN357" i="7"/>
  <c r="AN358" i="7"/>
  <c r="AN359" i="7"/>
  <c r="AN360" i="7"/>
  <c r="AN361" i="7"/>
  <c r="AN362" i="7"/>
  <c r="AN363" i="7"/>
  <c r="AN364" i="7"/>
  <c r="AN365" i="7"/>
  <c r="AN366" i="7"/>
  <c r="AJ2" i="7"/>
  <c r="AJ3" i="7"/>
  <c r="AJ4" i="7"/>
  <c r="AJ5" i="7"/>
  <c r="AJ6" i="7"/>
  <c r="AJ7" i="7"/>
  <c r="AJ8" i="7"/>
  <c r="AJ9" i="7"/>
  <c r="AJ10" i="7"/>
  <c r="AJ11" i="7"/>
  <c r="AJ12" i="7"/>
  <c r="AJ13" i="7"/>
  <c r="AJ14" i="7"/>
  <c r="AJ15" i="7"/>
  <c r="AJ16" i="7"/>
  <c r="AJ17" i="7"/>
  <c r="AJ18" i="7"/>
  <c r="AJ19" i="7"/>
  <c r="AJ20" i="7"/>
  <c r="AJ21" i="7"/>
  <c r="AJ22" i="7"/>
  <c r="AJ23" i="7"/>
  <c r="AJ24" i="7"/>
  <c r="AJ25" i="7"/>
  <c r="AJ26" i="7"/>
  <c r="AJ27" i="7"/>
  <c r="AJ28" i="7"/>
  <c r="AJ29" i="7"/>
  <c r="AJ30" i="7"/>
  <c r="AJ31" i="7"/>
  <c r="AJ32" i="7"/>
  <c r="AJ33" i="7"/>
  <c r="AJ34" i="7"/>
  <c r="AJ35" i="7"/>
  <c r="AJ36" i="7"/>
  <c r="AJ37" i="7"/>
  <c r="AJ38" i="7"/>
  <c r="AJ39" i="7"/>
  <c r="AJ40" i="7"/>
  <c r="AJ41" i="7"/>
  <c r="AJ42" i="7"/>
  <c r="AJ43" i="7"/>
  <c r="AJ44" i="7"/>
  <c r="AJ45" i="7"/>
  <c r="AJ46" i="7"/>
  <c r="AJ47" i="7"/>
  <c r="AJ48" i="7"/>
  <c r="AJ49" i="7"/>
  <c r="AJ50" i="7"/>
  <c r="AJ51" i="7"/>
  <c r="AJ52" i="7"/>
  <c r="AJ53" i="7"/>
  <c r="AJ54" i="7"/>
  <c r="AJ55" i="7"/>
  <c r="AJ56" i="7"/>
  <c r="AJ57" i="7"/>
  <c r="AJ58" i="7"/>
  <c r="AJ59" i="7"/>
  <c r="AJ60" i="7"/>
  <c r="AJ61" i="7"/>
  <c r="AJ62" i="7"/>
  <c r="AJ63" i="7"/>
  <c r="AJ64" i="7"/>
  <c r="AJ65" i="7"/>
  <c r="AJ66" i="7"/>
  <c r="AJ67" i="7"/>
  <c r="AJ68" i="7"/>
  <c r="AJ69" i="7"/>
  <c r="AJ70" i="7"/>
  <c r="AJ71" i="7"/>
  <c r="AJ72" i="7"/>
  <c r="AJ73" i="7"/>
  <c r="AJ74" i="7"/>
  <c r="AJ75" i="7"/>
  <c r="AJ76" i="7"/>
  <c r="AJ77" i="7"/>
  <c r="AJ78" i="7"/>
  <c r="AJ79" i="7"/>
  <c r="AJ80" i="7"/>
  <c r="AJ81" i="7"/>
  <c r="AJ82" i="7"/>
  <c r="AJ83" i="7"/>
  <c r="AJ84" i="7"/>
  <c r="AJ85" i="7"/>
  <c r="AJ86" i="7"/>
  <c r="AJ87" i="7"/>
  <c r="AJ88" i="7"/>
  <c r="AJ89" i="7"/>
  <c r="AJ90" i="7"/>
  <c r="AJ91" i="7"/>
  <c r="AJ92" i="7"/>
  <c r="AJ93" i="7"/>
  <c r="AJ94" i="7"/>
  <c r="AJ95" i="7"/>
  <c r="AJ96" i="7"/>
  <c r="AJ97" i="7"/>
  <c r="AJ98" i="7"/>
  <c r="AJ99" i="7"/>
  <c r="AJ100" i="7"/>
  <c r="AJ101" i="7"/>
  <c r="AJ102" i="7"/>
  <c r="AJ103" i="7"/>
  <c r="AJ104" i="7"/>
  <c r="AJ105" i="7"/>
  <c r="AJ106" i="7"/>
  <c r="AJ107" i="7"/>
  <c r="AJ108" i="7"/>
  <c r="AJ109" i="7"/>
  <c r="AJ110" i="7"/>
  <c r="AJ111" i="7"/>
  <c r="AJ112" i="7"/>
  <c r="AJ113" i="7"/>
  <c r="AJ114" i="7"/>
  <c r="AJ115" i="7"/>
  <c r="AJ116" i="7"/>
  <c r="AJ117" i="7"/>
  <c r="AJ118" i="7"/>
  <c r="AJ119" i="7"/>
  <c r="AJ120" i="7"/>
  <c r="AJ121" i="7"/>
  <c r="AJ122" i="7"/>
  <c r="AJ123" i="7"/>
  <c r="AJ124" i="7"/>
  <c r="AJ125" i="7"/>
  <c r="AJ126" i="7"/>
  <c r="AJ127" i="7"/>
  <c r="AJ128" i="7"/>
  <c r="AJ129" i="7"/>
  <c r="AJ130" i="7"/>
  <c r="AJ131" i="7"/>
  <c r="AJ132" i="7"/>
  <c r="AJ133" i="7"/>
  <c r="AJ134" i="7"/>
  <c r="AJ135" i="7"/>
  <c r="AJ136" i="7"/>
  <c r="AJ137" i="7"/>
  <c r="AJ138" i="7"/>
  <c r="AJ139" i="7"/>
  <c r="AJ140" i="7"/>
  <c r="AJ141" i="7"/>
  <c r="AJ142" i="7"/>
  <c r="AJ143" i="7"/>
  <c r="AJ144" i="7"/>
  <c r="AJ145" i="7"/>
  <c r="AJ146" i="7"/>
  <c r="AJ147" i="7"/>
  <c r="AJ148" i="7"/>
  <c r="AJ149" i="7"/>
  <c r="AJ150" i="7"/>
  <c r="AJ151" i="7"/>
  <c r="AJ152" i="7"/>
  <c r="AJ153" i="7"/>
  <c r="AJ154" i="7"/>
  <c r="AJ155" i="7"/>
  <c r="AJ156" i="7"/>
  <c r="AJ157" i="7"/>
  <c r="AJ158" i="7"/>
  <c r="AJ159" i="7"/>
  <c r="AJ160" i="7"/>
  <c r="AJ161" i="7"/>
  <c r="AJ162" i="7"/>
  <c r="AJ163" i="7"/>
  <c r="AJ164" i="7"/>
  <c r="AJ165" i="7"/>
  <c r="AJ166" i="7"/>
  <c r="AJ167" i="7"/>
  <c r="AJ168" i="7"/>
  <c r="AJ169" i="7"/>
  <c r="AJ170" i="7"/>
  <c r="AJ171" i="7"/>
  <c r="AJ172" i="7"/>
  <c r="AJ173" i="7"/>
  <c r="AJ174" i="7"/>
  <c r="AJ175" i="7"/>
  <c r="AJ176" i="7"/>
  <c r="AJ177" i="7"/>
  <c r="AJ178" i="7"/>
  <c r="AJ179" i="7"/>
  <c r="AJ180" i="7"/>
  <c r="AJ181" i="7"/>
  <c r="AJ182" i="7"/>
  <c r="AJ183" i="7"/>
  <c r="AJ184" i="7"/>
  <c r="AJ185" i="7"/>
  <c r="AJ186" i="7"/>
  <c r="AJ187" i="7"/>
  <c r="AJ188" i="7"/>
  <c r="AJ189" i="7"/>
  <c r="AJ190" i="7"/>
  <c r="AJ191" i="7"/>
  <c r="AJ192" i="7"/>
  <c r="AJ193" i="7"/>
  <c r="AJ194" i="7"/>
  <c r="AJ195" i="7"/>
  <c r="AJ196" i="7"/>
  <c r="AJ197" i="7"/>
  <c r="AJ198" i="7"/>
  <c r="AJ199" i="7"/>
  <c r="AJ200" i="7"/>
  <c r="AJ201" i="7"/>
  <c r="AJ202" i="7"/>
  <c r="AJ203" i="7"/>
  <c r="AJ204" i="7"/>
  <c r="AJ205" i="7"/>
  <c r="AJ206" i="7"/>
  <c r="AJ207" i="7"/>
  <c r="AJ208" i="7"/>
  <c r="AJ209" i="7"/>
  <c r="AJ210" i="7"/>
  <c r="AJ211" i="7"/>
  <c r="AJ212" i="7"/>
  <c r="AJ213" i="7"/>
  <c r="AJ214" i="7"/>
  <c r="AJ215" i="7"/>
  <c r="AJ216" i="7"/>
  <c r="AJ217" i="7"/>
  <c r="AJ218" i="7"/>
  <c r="AJ219" i="7"/>
  <c r="AJ220" i="7"/>
  <c r="AJ221" i="7"/>
  <c r="AJ222" i="7"/>
  <c r="AJ223" i="7"/>
  <c r="AJ224" i="7"/>
  <c r="AJ225" i="7"/>
  <c r="AJ226" i="7"/>
  <c r="AJ227" i="7"/>
  <c r="AJ228" i="7"/>
  <c r="AJ229" i="7"/>
  <c r="AJ230" i="7"/>
  <c r="AJ231" i="7"/>
  <c r="AJ232" i="7"/>
  <c r="AJ233" i="7"/>
  <c r="AJ234" i="7"/>
  <c r="AJ235" i="7"/>
  <c r="AJ236" i="7"/>
  <c r="AJ237" i="7"/>
  <c r="AJ238" i="7"/>
  <c r="AJ239" i="7"/>
  <c r="AJ240" i="7"/>
  <c r="AJ241" i="7"/>
  <c r="AJ242" i="7"/>
  <c r="AJ243" i="7"/>
  <c r="AJ244" i="7"/>
  <c r="AJ245" i="7"/>
  <c r="AJ246" i="7"/>
  <c r="AJ247" i="7"/>
  <c r="AJ248" i="7"/>
  <c r="AJ249" i="7"/>
  <c r="AJ250" i="7"/>
  <c r="AJ251" i="7"/>
  <c r="AJ252" i="7"/>
  <c r="AJ253" i="7"/>
  <c r="AJ254" i="7"/>
  <c r="AJ255" i="7"/>
  <c r="AJ256" i="7"/>
  <c r="AJ257" i="7"/>
  <c r="AJ258" i="7"/>
  <c r="AJ259" i="7"/>
  <c r="AJ260" i="7"/>
  <c r="AJ261" i="7"/>
  <c r="AJ262" i="7"/>
  <c r="AJ263" i="7"/>
  <c r="AJ264" i="7"/>
  <c r="AJ265" i="7"/>
  <c r="AJ266" i="7"/>
  <c r="AJ267" i="7"/>
  <c r="AJ268" i="7"/>
  <c r="AJ269" i="7"/>
  <c r="AJ270" i="7"/>
  <c r="AJ271" i="7"/>
  <c r="AJ272" i="7"/>
  <c r="AJ273" i="7"/>
  <c r="AJ274" i="7"/>
  <c r="AJ275" i="7"/>
  <c r="AJ276" i="7"/>
  <c r="AJ277" i="7"/>
  <c r="AJ278" i="7"/>
  <c r="AJ279" i="7"/>
  <c r="AJ280" i="7"/>
  <c r="AJ281" i="7"/>
  <c r="AJ282" i="7"/>
  <c r="AJ283" i="7"/>
  <c r="AJ284" i="7"/>
  <c r="AJ285" i="7"/>
  <c r="AJ286" i="7"/>
  <c r="AJ287" i="7"/>
  <c r="AJ288" i="7"/>
  <c r="AJ289" i="7"/>
  <c r="AJ290" i="7"/>
  <c r="AJ291" i="7"/>
  <c r="AJ292" i="7"/>
  <c r="AJ293" i="7"/>
  <c r="AJ294" i="7"/>
  <c r="AJ295" i="7"/>
  <c r="AJ296" i="7"/>
  <c r="AJ297" i="7"/>
  <c r="AJ298" i="7"/>
  <c r="AJ299" i="7"/>
  <c r="AJ300" i="7"/>
  <c r="AJ301" i="7"/>
  <c r="AJ302" i="7"/>
  <c r="AJ303" i="7"/>
  <c r="AJ304" i="7"/>
  <c r="AJ305" i="7"/>
  <c r="AJ306" i="7"/>
  <c r="AJ307" i="7"/>
  <c r="AJ308" i="7"/>
  <c r="AJ309" i="7"/>
  <c r="AJ310" i="7"/>
  <c r="AJ311" i="7"/>
  <c r="AJ312" i="7"/>
  <c r="AJ313" i="7"/>
  <c r="AJ314" i="7"/>
  <c r="AJ315" i="7"/>
  <c r="AJ316" i="7"/>
  <c r="AJ317" i="7"/>
  <c r="AJ318" i="7"/>
  <c r="AJ319" i="7"/>
  <c r="AJ320" i="7"/>
  <c r="AJ321" i="7"/>
  <c r="AJ322" i="7"/>
  <c r="AJ323" i="7"/>
  <c r="AJ324" i="7"/>
  <c r="AJ325" i="7"/>
  <c r="AJ326" i="7"/>
  <c r="AJ327" i="7"/>
  <c r="AJ328" i="7"/>
  <c r="AJ329" i="7"/>
  <c r="AJ330" i="7"/>
  <c r="AJ331" i="7"/>
  <c r="AJ332" i="7"/>
  <c r="AJ333" i="7"/>
  <c r="AJ334" i="7"/>
  <c r="AJ335" i="7"/>
  <c r="AJ336" i="7"/>
  <c r="AJ337" i="7"/>
  <c r="AJ338" i="7"/>
  <c r="AJ339" i="7"/>
  <c r="AJ340" i="7"/>
  <c r="AJ341" i="7"/>
  <c r="AJ342" i="7"/>
  <c r="AJ343" i="7"/>
  <c r="AJ344" i="7"/>
  <c r="AJ345" i="7"/>
  <c r="AJ346" i="7"/>
  <c r="AJ347" i="7"/>
  <c r="AJ348" i="7"/>
  <c r="AJ349" i="7"/>
  <c r="AJ350" i="7"/>
  <c r="AJ351" i="7"/>
  <c r="AJ352" i="7"/>
  <c r="AJ353" i="7"/>
  <c r="AJ354" i="7"/>
  <c r="AJ355" i="7"/>
  <c r="AJ356" i="7"/>
  <c r="AJ357" i="7"/>
  <c r="AJ358" i="7"/>
  <c r="AJ359" i="7"/>
  <c r="AJ360" i="7"/>
  <c r="AJ361" i="7"/>
  <c r="AJ362" i="7"/>
  <c r="AJ363" i="7"/>
  <c r="AJ364" i="7"/>
  <c r="AJ365" i="7"/>
  <c r="AJ366" i="7"/>
  <c r="AH2" i="7"/>
  <c r="AH3" i="7"/>
  <c r="AH4" i="7"/>
  <c r="AH5" i="7"/>
  <c r="AH6" i="7"/>
  <c r="AH7" i="7"/>
  <c r="AH8" i="7"/>
  <c r="AH9" i="7"/>
  <c r="AH10" i="7"/>
  <c r="AH11" i="7"/>
  <c r="AH12" i="7"/>
  <c r="AH13" i="7"/>
  <c r="AH14" i="7"/>
  <c r="AH15" i="7"/>
  <c r="AH16" i="7"/>
  <c r="AH17" i="7"/>
  <c r="AH18" i="7"/>
  <c r="AH19" i="7"/>
  <c r="AH20" i="7"/>
  <c r="AH21" i="7"/>
  <c r="AH22" i="7"/>
  <c r="AH23" i="7"/>
  <c r="AH24" i="7"/>
  <c r="AH25" i="7"/>
  <c r="AH26" i="7"/>
  <c r="AH27" i="7"/>
  <c r="AH28" i="7"/>
  <c r="AH29" i="7"/>
  <c r="AH30" i="7"/>
  <c r="AH31" i="7"/>
  <c r="AH32" i="7"/>
  <c r="AH33" i="7"/>
  <c r="AH34" i="7"/>
  <c r="AH35" i="7"/>
  <c r="AH36" i="7"/>
  <c r="AH37" i="7"/>
  <c r="AH38" i="7"/>
  <c r="AH39" i="7"/>
  <c r="AH40" i="7"/>
  <c r="AH41" i="7"/>
  <c r="AH42" i="7"/>
  <c r="AH43" i="7"/>
  <c r="AH44" i="7"/>
  <c r="AH45" i="7"/>
  <c r="AH46" i="7"/>
  <c r="AH47" i="7"/>
  <c r="AH48" i="7"/>
  <c r="AH49" i="7"/>
  <c r="AH50" i="7"/>
  <c r="AH51" i="7"/>
  <c r="AH52" i="7"/>
  <c r="AH53" i="7"/>
  <c r="AH54" i="7"/>
  <c r="AH55" i="7"/>
  <c r="AH56" i="7"/>
  <c r="AH57" i="7"/>
  <c r="AH58" i="7"/>
  <c r="AH59" i="7"/>
  <c r="AH60" i="7"/>
  <c r="AH61" i="7"/>
  <c r="AH62" i="7"/>
  <c r="AH63" i="7"/>
  <c r="AH64" i="7"/>
  <c r="AH65" i="7"/>
  <c r="AH66" i="7"/>
  <c r="AH67" i="7"/>
  <c r="AH68" i="7"/>
  <c r="AH69" i="7"/>
  <c r="AH70" i="7"/>
  <c r="AH71" i="7"/>
  <c r="AH72" i="7"/>
  <c r="AH73" i="7"/>
  <c r="AH74" i="7"/>
  <c r="AH75" i="7"/>
  <c r="AH76" i="7"/>
  <c r="AH77" i="7"/>
  <c r="AH78" i="7"/>
  <c r="AH79" i="7"/>
  <c r="AH80" i="7"/>
  <c r="AH81" i="7"/>
  <c r="AH82" i="7"/>
  <c r="AH83" i="7"/>
  <c r="AH84" i="7"/>
  <c r="AH85" i="7"/>
  <c r="AH86" i="7"/>
  <c r="AH87" i="7"/>
  <c r="AH88" i="7"/>
  <c r="AH89" i="7"/>
  <c r="AH90" i="7"/>
  <c r="AH91" i="7"/>
  <c r="AH92" i="7"/>
  <c r="AH93" i="7"/>
  <c r="AH94" i="7"/>
  <c r="AH95" i="7"/>
  <c r="AH96" i="7"/>
  <c r="AH97" i="7"/>
  <c r="AH98" i="7"/>
  <c r="AH99" i="7"/>
  <c r="AH100" i="7"/>
  <c r="AH101" i="7"/>
  <c r="AH102" i="7"/>
  <c r="AH103" i="7"/>
  <c r="AH104" i="7"/>
  <c r="AH105" i="7"/>
  <c r="AH106" i="7"/>
  <c r="AH107" i="7"/>
  <c r="AH108" i="7"/>
  <c r="AH109" i="7"/>
  <c r="AH110" i="7"/>
  <c r="AH111" i="7"/>
  <c r="AH112" i="7"/>
  <c r="AH113" i="7"/>
  <c r="AH114" i="7"/>
  <c r="AH115" i="7"/>
  <c r="AH116" i="7"/>
  <c r="AH117" i="7"/>
  <c r="AH118" i="7"/>
  <c r="AH119" i="7"/>
  <c r="AH120" i="7"/>
  <c r="AH121" i="7"/>
  <c r="AH122" i="7"/>
  <c r="AH123" i="7"/>
  <c r="AH124" i="7"/>
  <c r="AH125" i="7"/>
  <c r="AH126" i="7"/>
  <c r="AH127" i="7"/>
  <c r="AH128" i="7"/>
  <c r="AH129" i="7"/>
  <c r="AH130" i="7"/>
  <c r="AH131" i="7"/>
  <c r="AH132" i="7"/>
  <c r="AH133" i="7"/>
  <c r="AH134" i="7"/>
  <c r="AH135" i="7"/>
  <c r="AH136" i="7"/>
  <c r="AH137" i="7"/>
  <c r="AH138" i="7"/>
  <c r="AH139" i="7"/>
  <c r="AH140" i="7"/>
  <c r="AH141" i="7"/>
  <c r="AH142" i="7"/>
  <c r="AH143" i="7"/>
  <c r="AH144" i="7"/>
  <c r="AH145" i="7"/>
  <c r="AH146" i="7"/>
  <c r="AH147" i="7"/>
  <c r="AH148" i="7"/>
  <c r="AH149" i="7"/>
  <c r="AH150" i="7"/>
  <c r="AH151" i="7"/>
  <c r="AH152" i="7"/>
  <c r="AH153" i="7"/>
  <c r="AH154" i="7"/>
  <c r="AH155" i="7"/>
  <c r="AH156" i="7"/>
  <c r="AH157" i="7"/>
  <c r="AH158" i="7"/>
  <c r="AH159" i="7"/>
  <c r="AH160" i="7"/>
  <c r="AH161" i="7"/>
  <c r="AH162" i="7"/>
  <c r="AH163" i="7"/>
  <c r="AH164" i="7"/>
  <c r="AH165" i="7"/>
  <c r="AH166" i="7"/>
  <c r="AH167" i="7"/>
  <c r="AH168" i="7"/>
  <c r="AH169" i="7"/>
  <c r="AH170" i="7"/>
  <c r="AH171" i="7"/>
  <c r="AH172" i="7"/>
  <c r="AH173" i="7"/>
  <c r="AH174" i="7"/>
  <c r="AH175" i="7"/>
  <c r="AH176" i="7"/>
  <c r="AH177" i="7"/>
  <c r="AH178" i="7"/>
  <c r="AH179" i="7"/>
  <c r="AH180" i="7"/>
  <c r="AH181" i="7"/>
  <c r="AH182" i="7"/>
  <c r="AH183" i="7"/>
  <c r="AH184" i="7"/>
  <c r="AH185" i="7"/>
  <c r="AH186" i="7"/>
  <c r="AH187" i="7"/>
  <c r="AH188" i="7"/>
  <c r="AH189" i="7"/>
  <c r="AH190" i="7"/>
  <c r="AH191" i="7"/>
  <c r="AH192" i="7"/>
  <c r="AH193" i="7"/>
  <c r="AH194" i="7"/>
  <c r="AH195" i="7"/>
  <c r="AH196" i="7"/>
  <c r="AH197" i="7"/>
  <c r="AH198" i="7"/>
  <c r="AH199" i="7"/>
  <c r="AH200" i="7"/>
  <c r="AH201" i="7"/>
  <c r="AH202" i="7"/>
  <c r="AH203" i="7"/>
  <c r="AH204" i="7"/>
  <c r="AH205" i="7"/>
  <c r="AH206" i="7"/>
  <c r="AH207" i="7"/>
  <c r="AH208" i="7"/>
  <c r="AH209" i="7"/>
  <c r="AH210" i="7"/>
  <c r="AH211" i="7"/>
  <c r="AH212" i="7"/>
  <c r="AH213" i="7"/>
  <c r="AH214" i="7"/>
  <c r="AH215" i="7"/>
  <c r="AH216" i="7"/>
  <c r="AH217" i="7"/>
  <c r="AH218" i="7"/>
  <c r="AH219" i="7"/>
  <c r="AH220" i="7"/>
  <c r="AH221" i="7"/>
  <c r="AH222" i="7"/>
  <c r="AH223" i="7"/>
  <c r="AH224" i="7"/>
  <c r="AH225" i="7"/>
  <c r="AH226" i="7"/>
  <c r="AH227" i="7"/>
  <c r="AH228" i="7"/>
  <c r="AH229" i="7"/>
  <c r="AH230" i="7"/>
  <c r="AH231" i="7"/>
  <c r="AH232" i="7"/>
  <c r="AH233" i="7"/>
  <c r="AH234" i="7"/>
  <c r="AH235" i="7"/>
  <c r="AH236" i="7"/>
  <c r="AH237" i="7"/>
  <c r="AH238" i="7"/>
  <c r="AH239" i="7"/>
  <c r="AH240" i="7"/>
  <c r="AH241" i="7"/>
  <c r="AH242" i="7"/>
  <c r="AH243" i="7"/>
  <c r="AH244" i="7"/>
  <c r="AH245" i="7"/>
  <c r="AH246" i="7"/>
  <c r="AH247" i="7"/>
  <c r="AH248" i="7"/>
  <c r="AH249" i="7"/>
  <c r="AH250" i="7"/>
  <c r="AH251" i="7"/>
  <c r="AH252" i="7"/>
  <c r="AH253" i="7"/>
  <c r="AH254" i="7"/>
  <c r="AH255" i="7"/>
  <c r="AH256" i="7"/>
  <c r="AH257" i="7"/>
  <c r="AH258" i="7"/>
  <c r="AH259" i="7"/>
  <c r="AH260" i="7"/>
  <c r="AH261" i="7"/>
  <c r="AH262" i="7"/>
  <c r="AH263" i="7"/>
  <c r="AH264" i="7"/>
  <c r="AH265" i="7"/>
  <c r="AH266" i="7"/>
  <c r="AH267" i="7"/>
  <c r="AH268" i="7"/>
  <c r="AH269" i="7"/>
  <c r="AH270" i="7"/>
  <c r="AH271" i="7"/>
  <c r="AH272" i="7"/>
  <c r="AH273" i="7"/>
  <c r="AH274" i="7"/>
  <c r="AH275" i="7"/>
  <c r="AH276" i="7"/>
  <c r="AH277" i="7"/>
  <c r="AH278" i="7"/>
  <c r="AH279" i="7"/>
  <c r="AH280" i="7"/>
  <c r="AH281" i="7"/>
  <c r="AH282" i="7"/>
  <c r="AH283" i="7"/>
  <c r="AH284" i="7"/>
  <c r="AH285" i="7"/>
  <c r="AH286" i="7"/>
  <c r="AH287" i="7"/>
  <c r="AH288" i="7"/>
  <c r="AH289" i="7"/>
  <c r="AH290" i="7"/>
  <c r="AH291" i="7"/>
  <c r="AH292" i="7"/>
  <c r="AH293" i="7"/>
  <c r="AH294" i="7"/>
  <c r="AH295" i="7"/>
  <c r="AH296" i="7"/>
  <c r="AH297" i="7"/>
  <c r="AH298" i="7"/>
  <c r="AH299" i="7"/>
  <c r="AH300" i="7"/>
  <c r="AH301" i="7"/>
  <c r="AH302" i="7"/>
  <c r="AH303" i="7"/>
  <c r="AH304" i="7"/>
  <c r="AH305" i="7"/>
  <c r="AH306" i="7"/>
  <c r="AH307" i="7"/>
  <c r="AH308" i="7"/>
  <c r="AH309" i="7"/>
  <c r="AH310" i="7"/>
  <c r="AH311" i="7"/>
  <c r="AH312" i="7"/>
  <c r="AH313" i="7"/>
  <c r="AH314" i="7"/>
  <c r="AH315" i="7"/>
  <c r="AH316" i="7"/>
  <c r="AH317" i="7"/>
  <c r="AH318" i="7"/>
  <c r="AH319" i="7"/>
  <c r="AH320" i="7"/>
  <c r="AH321" i="7"/>
  <c r="AH322" i="7"/>
  <c r="AH323" i="7"/>
  <c r="AH324" i="7"/>
  <c r="AH325" i="7"/>
  <c r="AH326" i="7"/>
  <c r="AH327" i="7"/>
  <c r="AH328" i="7"/>
  <c r="AH329" i="7"/>
  <c r="AH330" i="7"/>
  <c r="AH331" i="7"/>
  <c r="AH332" i="7"/>
  <c r="AH333" i="7"/>
  <c r="AH334" i="7"/>
  <c r="AH335" i="7"/>
  <c r="AH336" i="7"/>
  <c r="AH337" i="7"/>
  <c r="AH338" i="7"/>
  <c r="AH339" i="7"/>
  <c r="AH340" i="7"/>
  <c r="AH341" i="7"/>
  <c r="AH342" i="7"/>
  <c r="AH343" i="7"/>
  <c r="AH344" i="7"/>
  <c r="AH345" i="7"/>
  <c r="AH346" i="7"/>
  <c r="AH347" i="7"/>
  <c r="AH348" i="7"/>
  <c r="AH349" i="7"/>
  <c r="AH350" i="7"/>
  <c r="AH351" i="7"/>
  <c r="AH352" i="7"/>
  <c r="AH353" i="7"/>
  <c r="AH354" i="7"/>
  <c r="AH355" i="7"/>
  <c r="AH356" i="7"/>
  <c r="AH357" i="7"/>
  <c r="AH358" i="7"/>
  <c r="AH359" i="7"/>
  <c r="AH360" i="7"/>
  <c r="AH361" i="7"/>
  <c r="AH362" i="7"/>
  <c r="AH363" i="7"/>
  <c r="AH364" i="7"/>
  <c r="AH365" i="7"/>
  <c r="AH366" i="7"/>
  <c r="AD2" i="7"/>
  <c r="AD3" i="7"/>
  <c r="AD4" i="7"/>
  <c r="AD5" i="7"/>
  <c r="AD6" i="7"/>
  <c r="AD7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D50" i="7"/>
  <c r="AD51" i="7"/>
  <c r="AD52" i="7"/>
  <c r="AD53" i="7"/>
  <c r="AD54" i="7"/>
  <c r="AD55" i="7"/>
  <c r="AD56" i="7"/>
  <c r="AD57" i="7"/>
  <c r="AD58" i="7"/>
  <c r="AD59" i="7"/>
  <c r="AD60" i="7"/>
  <c r="AD61" i="7"/>
  <c r="AD62" i="7"/>
  <c r="AD63" i="7"/>
  <c r="AD64" i="7"/>
  <c r="AD65" i="7"/>
  <c r="AD66" i="7"/>
  <c r="AD67" i="7"/>
  <c r="AD68" i="7"/>
  <c r="AD69" i="7"/>
  <c r="AD70" i="7"/>
  <c r="AD71" i="7"/>
  <c r="AD72" i="7"/>
  <c r="AD73" i="7"/>
  <c r="AD74" i="7"/>
  <c r="AD75" i="7"/>
  <c r="AD76" i="7"/>
  <c r="AD77" i="7"/>
  <c r="AD78" i="7"/>
  <c r="AD79" i="7"/>
  <c r="AD80" i="7"/>
  <c r="AD81" i="7"/>
  <c r="AD82" i="7"/>
  <c r="AD83" i="7"/>
  <c r="AD84" i="7"/>
  <c r="AD85" i="7"/>
  <c r="AD86" i="7"/>
  <c r="AD87" i="7"/>
  <c r="AD88" i="7"/>
  <c r="AD89" i="7"/>
  <c r="AD90" i="7"/>
  <c r="AD91" i="7"/>
  <c r="AD92" i="7"/>
  <c r="AD93" i="7"/>
  <c r="AD94" i="7"/>
  <c r="AD95" i="7"/>
  <c r="AD96" i="7"/>
  <c r="AD97" i="7"/>
  <c r="AD98" i="7"/>
  <c r="AD99" i="7"/>
  <c r="AD100" i="7"/>
  <c r="AD101" i="7"/>
  <c r="AD102" i="7"/>
  <c r="AD103" i="7"/>
  <c r="AD104" i="7"/>
  <c r="AD105" i="7"/>
  <c r="AD106" i="7"/>
  <c r="AD107" i="7"/>
  <c r="AD108" i="7"/>
  <c r="AD109" i="7"/>
  <c r="AD110" i="7"/>
  <c r="AD111" i="7"/>
  <c r="AD112" i="7"/>
  <c r="AD113" i="7"/>
  <c r="AD114" i="7"/>
  <c r="AD115" i="7"/>
  <c r="AD116" i="7"/>
  <c r="AD117" i="7"/>
  <c r="AD118" i="7"/>
  <c r="AD119" i="7"/>
  <c r="AD120" i="7"/>
  <c r="AD121" i="7"/>
  <c r="AD122" i="7"/>
  <c r="AD123" i="7"/>
  <c r="AD124" i="7"/>
  <c r="AD125" i="7"/>
  <c r="AD126" i="7"/>
  <c r="AD127" i="7"/>
  <c r="AD128" i="7"/>
  <c r="AD129" i="7"/>
  <c r="AD130" i="7"/>
  <c r="AD131" i="7"/>
  <c r="AD132" i="7"/>
  <c r="AD133" i="7"/>
  <c r="AD134" i="7"/>
  <c r="AD135" i="7"/>
  <c r="AD136" i="7"/>
  <c r="AD137" i="7"/>
  <c r="AD138" i="7"/>
  <c r="AD139" i="7"/>
  <c r="AD140" i="7"/>
  <c r="AD141" i="7"/>
  <c r="AD142" i="7"/>
  <c r="AD143" i="7"/>
  <c r="AD144" i="7"/>
  <c r="AD145" i="7"/>
  <c r="AD146" i="7"/>
  <c r="AD147" i="7"/>
  <c r="AD148" i="7"/>
  <c r="AD149" i="7"/>
  <c r="AD150" i="7"/>
  <c r="AD151" i="7"/>
  <c r="AD152" i="7"/>
  <c r="AD153" i="7"/>
  <c r="AD154" i="7"/>
  <c r="AD155" i="7"/>
  <c r="AD156" i="7"/>
  <c r="AD157" i="7"/>
  <c r="AD158" i="7"/>
  <c r="AD159" i="7"/>
  <c r="AD160" i="7"/>
  <c r="AD161" i="7"/>
  <c r="AD162" i="7"/>
  <c r="AD163" i="7"/>
  <c r="AD164" i="7"/>
  <c r="AD165" i="7"/>
  <c r="AD166" i="7"/>
  <c r="AD167" i="7"/>
  <c r="AD168" i="7"/>
  <c r="AD169" i="7"/>
  <c r="AD170" i="7"/>
  <c r="AD171" i="7"/>
  <c r="AD172" i="7"/>
  <c r="AD173" i="7"/>
  <c r="AD174" i="7"/>
  <c r="AD175" i="7"/>
  <c r="AD176" i="7"/>
  <c r="AD177" i="7"/>
  <c r="AD178" i="7"/>
  <c r="AD179" i="7"/>
  <c r="AD180" i="7"/>
  <c r="AD181" i="7"/>
  <c r="AD182" i="7"/>
  <c r="AD183" i="7"/>
  <c r="AD184" i="7"/>
  <c r="AD185" i="7"/>
  <c r="AD186" i="7"/>
  <c r="AD187" i="7"/>
  <c r="AD188" i="7"/>
  <c r="AD189" i="7"/>
  <c r="AD190" i="7"/>
  <c r="AD191" i="7"/>
  <c r="AD192" i="7"/>
  <c r="AD193" i="7"/>
  <c r="AD194" i="7"/>
  <c r="AD195" i="7"/>
  <c r="AD196" i="7"/>
  <c r="AD197" i="7"/>
  <c r="AD198" i="7"/>
  <c r="AD199" i="7"/>
  <c r="AD200" i="7"/>
  <c r="AD201" i="7"/>
  <c r="AD202" i="7"/>
  <c r="AD203" i="7"/>
  <c r="AD204" i="7"/>
  <c r="AD205" i="7"/>
  <c r="AD206" i="7"/>
  <c r="AD207" i="7"/>
  <c r="AD208" i="7"/>
  <c r="AD209" i="7"/>
  <c r="AD210" i="7"/>
  <c r="AD211" i="7"/>
  <c r="AD212" i="7"/>
  <c r="AD213" i="7"/>
  <c r="AD214" i="7"/>
  <c r="AD215" i="7"/>
  <c r="AD216" i="7"/>
  <c r="AD217" i="7"/>
  <c r="AD218" i="7"/>
  <c r="AD219" i="7"/>
  <c r="AD220" i="7"/>
  <c r="AD221" i="7"/>
  <c r="AD222" i="7"/>
  <c r="AD223" i="7"/>
  <c r="AD224" i="7"/>
  <c r="AD225" i="7"/>
  <c r="AD226" i="7"/>
  <c r="AD227" i="7"/>
  <c r="AD228" i="7"/>
  <c r="AD229" i="7"/>
  <c r="AD230" i="7"/>
  <c r="AD231" i="7"/>
  <c r="AD232" i="7"/>
  <c r="AD233" i="7"/>
  <c r="AD234" i="7"/>
  <c r="AD235" i="7"/>
  <c r="AD236" i="7"/>
  <c r="AD237" i="7"/>
  <c r="AD238" i="7"/>
  <c r="AD239" i="7"/>
  <c r="AD240" i="7"/>
  <c r="AD241" i="7"/>
  <c r="AD242" i="7"/>
  <c r="AD243" i="7"/>
  <c r="AD244" i="7"/>
  <c r="AD245" i="7"/>
  <c r="AD246" i="7"/>
  <c r="AD247" i="7"/>
  <c r="AD248" i="7"/>
  <c r="AD249" i="7"/>
  <c r="AD250" i="7"/>
  <c r="AD251" i="7"/>
  <c r="AD252" i="7"/>
  <c r="AD253" i="7"/>
  <c r="AD254" i="7"/>
  <c r="AD255" i="7"/>
  <c r="AD256" i="7"/>
  <c r="AD257" i="7"/>
  <c r="AD258" i="7"/>
  <c r="AD259" i="7"/>
  <c r="AD260" i="7"/>
  <c r="AD261" i="7"/>
  <c r="AD262" i="7"/>
  <c r="AD263" i="7"/>
  <c r="AD264" i="7"/>
  <c r="AD265" i="7"/>
  <c r="AD266" i="7"/>
  <c r="AD267" i="7"/>
  <c r="AD268" i="7"/>
  <c r="AD269" i="7"/>
  <c r="AD270" i="7"/>
  <c r="AD271" i="7"/>
  <c r="AD272" i="7"/>
  <c r="AD273" i="7"/>
  <c r="AD274" i="7"/>
  <c r="AD275" i="7"/>
  <c r="AD276" i="7"/>
  <c r="AD277" i="7"/>
  <c r="AD278" i="7"/>
  <c r="AD279" i="7"/>
  <c r="AD280" i="7"/>
  <c r="AD281" i="7"/>
  <c r="AD282" i="7"/>
  <c r="AD283" i="7"/>
  <c r="AD284" i="7"/>
  <c r="AD285" i="7"/>
  <c r="AD286" i="7"/>
  <c r="AD287" i="7"/>
  <c r="AD288" i="7"/>
  <c r="AD289" i="7"/>
  <c r="AD290" i="7"/>
  <c r="AD291" i="7"/>
  <c r="AD292" i="7"/>
  <c r="AD293" i="7"/>
  <c r="AD294" i="7"/>
  <c r="AD295" i="7"/>
  <c r="AD296" i="7"/>
  <c r="AD297" i="7"/>
  <c r="AD298" i="7"/>
  <c r="AD299" i="7"/>
  <c r="AD300" i="7"/>
  <c r="AD301" i="7"/>
  <c r="AD302" i="7"/>
  <c r="AD303" i="7"/>
  <c r="AD304" i="7"/>
  <c r="AD305" i="7"/>
  <c r="AD306" i="7"/>
  <c r="AD307" i="7"/>
  <c r="AD308" i="7"/>
  <c r="AD309" i="7"/>
  <c r="AD310" i="7"/>
  <c r="AD311" i="7"/>
  <c r="AD312" i="7"/>
  <c r="AD313" i="7"/>
  <c r="AD314" i="7"/>
  <c r="AD315" i="7"/>
  <c r="AD316" i="7"/>
  <c r="AD317" i="7"/>
  <c r="AD318" i="7"/>
  <c r="AD319" i="7"/>
  <c r="AD320" i="7"/>
  <c r="AD321" i="7"/>
  <c r="AD322" i="7"/>
  <c r="AD323" i="7"/>
  <c r="AD324" i="7"/>
  <c r="AD325" i="7"/>
  <c r="AD326" i="7"/>
  <c r="AD327" i="7"/>
  <c r="AD328" i="7"/>
  <c r="AD329" i="7"/>
  <c r="AD330" i="7"/>
  <c r="AD331" i="7"/>
  <c r="AD332" i="7"/>
  <c r="AD333" i="7"/>
  <c r="AD334" i="7"/>
  <c r="AD335" i="7"/>
  <c r="AD336" i="7"/>
  <c r="AD337" i="7"/>
  <c r="AD338" i="7"/>
  <c r="AD339" i="7"/>
  <c r="AD340" i="7"/>
  <c r="AD341" i="7"/>
  <c r="AD342" i="7"/>
  <c r="AD343" i="7"/>
  <c r="AD344" i="7"/>
  <c r="AD345" i="7"/>
  <c r="AD346" i="7"/>
  <c r="AD347" i="7"/>
  <c r="AD348" i="7"/>
  <c r="AD349" i="7"/>
  <c r="AD350" i="7"/>
  <c r="AD351" i="7"/>
  <c r="AD352" i="7"/>
  <c r="AD353" i="7"/>
  <c r="AD354" i="7"/>
  <c r="AD355" i="7"/>
  <c r="AD356" i="7"/>
  <c r="AD357" i="7"/>
  <c r="AD358" i="7"/>
  <c r="AD359" i="7"/>
  <c r="AD360" i="7"/>
  <c r="AD361" i="7"/>
  <c r="AD362" i="7"/>
  <c r="AD363" i="7"/>
  <c r="AD364" i="7"/>
  <c r="AD365" i="7"/>
  <c r="AD366" i="7"/>
  <c r="AA2" i="7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86" i="7"/>
  <c r="AA87" i="7"/>
  <c r="AA88" i="7"/>
  <c r="AA89" i="7"/>
  <c r="AA90" i="7"/>
  <c r="AA91" i="7"/>
  <c r="AA92" i="7"/>
  <c r="AA93" i="7"/>
  <c r="AA94" i="7"/>
  <c r="AA95" i="7"/>
  <c r="AA96" i="7"/>
  <c r="AA97" i="7"/>
  <c r="AA98" i="7"/>
  <c r="AA99" i="7"/>
  <c r="AA100" i="7"/>
  <c r="AA101" i="7"/>
  <c r="AA102" i="7"/>
  <c r="AA103" i="7"/>
  <c r="AA104" i="7"/>
  <c r="AA105" i="7"/>
  <c r="AA106" i="7"/>
  <c r="AA107" i="7"/>
  <c r="AA108" i="7"/>
  <c r="AA109" i="7"/>
  <c r="AA110" i="7"/>
  <c r="AA111" i="7"/>
  <c r="AA112" i="7"/>
  <c r="AA113" i="7"/>
  <c r="AA114" i="7"/>
  <c r="AA115" i="7"/>
  <c r="AA116" i="7"/>
  <c r="AA117" i="7"/>
  <c r="AA118" i="7"/>
  <c r="AA119" i="7"/>
  <c r="AA120" i="7"/>
  <c r="AA121" i="7"/>
  <c r="AA122" i="7"/>
  <c r="AA123" i="7"/>
  <c r="AA124" i="7"/>
  <c r="AA125" i="7"/>
  <c r="AA126" i="7"/>
  <c r="AA127" i="7"/>
  <c r="AA128" i="7"/>
  <c r="AA129" i="7"/>
  <c r="AA130" i="7"/>
  <c r="AA131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A146" i="7"/>
  <c r="AA147" i="7"/>
  <c r="AA148" i="7"/>
  <c r="AA149" i="7"/>
  <c r="AA150" i="7"/>
  <c r="AA151" i="7"/>
  <c r="AA152" i="7"/>
  <c r="AA153" i="7"/>
  <c r="AA154" i="7"/>
  <c r="AA155" i="7"/>
  <c r="AA156" i="7"/>
  <c r="AA157" i="7"/>
  <c r="AA158" i="7"/>
  <c r="AA159" i="7"/>
  <c r="AA160" i="7"/>
  <c r="AA161" i="7"/>
  <c r="AA162" i="7"/>
  <c r="AA163" i="7"/>
  <c r="AA164" i="7"/>
  <c r="AA165" i="7"/>
  <c r="AA166" i="7"/>
  <c r="AA167" i="7"/>
  <c r="AA168" i="7"/>
  <c r="AA169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194" i="7"/>
  <c r="AA195" i="7"/>
  <c r="AA196" i="7"/>
  <c r="AA197" i="7"/>
  <c r="AA198" i="7"/>
  <c r="AA199" i="7"/>
  <c r="AA200" i="7"/>
  <c r="AA201" i="7"/>
  <c r="AA202" i="7"/>
  <c r="AA203" i="7"/>
  <c r="AA204" i="7"/>
  <c r="AA205" i="7"/>
  <c r="AA206" i="7"/>
  <c r="AA207" i="7"/>
  <c r="AA208" i="7"/>
  <c r="AA209" i="7"/>
  <c r="AA210" i="7"/>
  <c r="AA211" i="7"/>
  <c r="AA212" i="7"/>
  <c r="AA213" i="7"/>
  <c r="AA214" i="7"/>
  <c r="AA215" i="7"/>
  <c r="AA216" i="7"/>
  <c r="AA217" i="7"/>
  <c r="AA218" i="7"/>
  <c r="AA219" i="7"/>
  <c r="AA220" i="7"/>
  <c r="AA221" i="7"/>
  <c r="AA222" i="7"/>
  <c r="AA223" i="7"/>
  <c r="AA224" i="7"/>
  <c r="AA225" i="7"/>
  <c r="AA226" i="7"/>
  <c r="AA227" i="7"/>
  <c r="AA228" i="7"/>
  <c r="AA229" i="7"/>
  <c r="AA230" i="7"/>
  <c r="AA231" i="7"/>
  <c r="AA232" i="7"/>
  <c r="AA233" i="7"/>
  <c r="AA234" i="7"/>
  <c r="AA235" i="7"/>
  <c r="AA236" i="7"/>
  <c r="AA237" i="7"/>
  <c r="AA238" i="7"/>
  <c r="AA239" i="7"/>
  <c r="AA240" i="7"/>
  <c r="AA241" i="7"/>
  <c r="AA242" i="7"/>
  <c r="AA243" i="7"/>
  <c r="AA244" i="7"/>
  <c r="AA245" i="7"/>
  <c r="AA246" i="7"/>
  <c r="AA247" i="7"/>
  <c r="AA248" i="7"/>
  <c r="AA249" i="7"/>
  <c r="AA250" i="7"/>
  <c r="AA251" i="7"/>
  <c r="AA252" i="7"/>
  <c r="AA253" i="7"/>
  <c r="AA254" i="7"/>
  <c r="AA255" i="7"/>
  <c r="AA256" i="7"/>
  <c r="AA257" i="7"/>
  <c r="AA258" i="7"/>
  <c r="AA259" i="7"/>
  <c r="AA260" i="7"/>
  <c r="AA261" i="7"/>
  <c r="AA262" i="7"/>
  <c r="AA263" i="7"/>
  <c r="AA264" i="7"/>
  <c r="AA265" i="7"/>
  <c r="AA266" i="7"/>
  <c r="AA267" i="7"/>
  <c r="AA268" i="7"/>
  <c r="AA269" i="7"/>
  <c r="AA270" i="7"/>
  <c r="AA271" i="7"/>
  <c r="AA272" i="7"/>
  <c r="AA273" i="7"/>
  <c r="AA274" i="7"/>
  <c r="AA275" i="7"/>
  <c r="AA276" i="7"/>
  <c r="AA277" i="7"/>
  <c r="AA278" i="7"/>
  <c r="AA279" i="7"/>
  <c r="AA280" i="7"/>
  <c r="AA281" i="7"/>
  <c r="AA282" i="7"/>
  <c r="AA283" i="7"/>
  <c r="AA284" i="7"/>
  <c r="AA285" i="7"/>
  <c r="AA286" i="7"/>
  <c r="AA287" i="7"/>
  <c r="AA288" i="7"/>
  <c r="AA289" i="7"/>
  <c r="AA290" i="7"/>
  <c r="AA291" i="7"/>
  <c r="AA292" i="7"/>
  <c r="AA293" i="7"/>
  <c r="AA294" i="7"/>
  <c r="AA295" i="7"/>
  <c r="AA296" i="7"/>
  <c r="AA297" i="7"/>
  <c r="AA298" i="7"/>
  <c r="AA299" i="7"/>
  <c r="AA300" i="7"/>
  <c r="AA301" i="7"/>
  <c r="AA302" i="7"/>
  <c r="AA303" i="7"/>
  <c r="AA304" i="7"/>
  <c r="AA305" i="7"/>
  <c r="AA306" i="7"/>
  <c r="AA307" i="7"/>
  <c r="AA308" i="7"/>
  <c r="AA309" i="7"/>
  <c r="AA310" i="7"/>
  <c r="AA311" i="7"/>
  <c r="AA312" i="7"/>
  <c r="AA313" i="7"/>
  <c r="AA314" i="7"/>
  <c r="AA315" i="7"/>
  <c r="AA316" i="7"/>
  <c r="AA317" i="7"/>
  <c r="AA318" i="7"/>
  <c r="AA319" i="7"/>
  <c r="AA320" i="7"/>
  <c r="AA321" i="7"/>
  <c r="AA322" i="7"/>
  <c r="AA323" i="7"/>
  <c r="AA324" i="7"/>
  <c r="AA325" i="7"/>
  <c r="AA326" i="7"/>
  <c r="AA327" i="7"/>
  <c r="AA328" i="7"/>
  <c r="AA329" i="7"/>
  <c r="AA330" i="7"/>
  <c r="AA331" i="7"/>
  <c r="AA332" i="7"/>
  <c r="AA333" i="7"/>
  <c r="AA334" i="7"/>
  <c r="AA335" i="7"/>
  <c r="AA336" i="7"/>
  <c r="AA337" i="7"/>
  <c r="AA338" i="7"/>
  <c r="AA339" i="7"/>
  <c r="AA340" i="7"/>
  <c r="AA341" i="7"/>
  <c r="AA342" i="7"/>
  <c r="AA343" i="7"/>
  <c r="AA344" i="7"/>
  <c r="AA345" i="7"/>
  <c r="AA346" i="7"/>
  <c r="AA347" i="7"/>
  <c r="AA348" i="7"/>
  <c r="AA349" i="7"/>
  <c r="AA350" i="7"/>
  <c r="AA351" i="7"/>
  <c r="AA352" i="7"/>
  <c r="AA353" i="7"/>
  <c r="AA354" i="7"/>
  <c r="AA355" i="7"/>
  <c r="AA356" i="7"/>
  <c r="AA357" i="7"/>
  <c r="AA358" i="7"/>
  <c r="AA359" i="7"/>
  <c r="AA360" i="7"/>
  <c r="AA361" i="7"/>
  <c r="AA362" i="7"/>
  <c r="AA363" i="7"/>
  <c r="AA364" i="7"/>
  <c r="AA365" i="7"/>
  <c r="AA366" i="7"/>
  <c r="S2" i="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S172" i="7"/>
  <c r="S173" i="7"/>
  <c r="S174" i="7"/>
  <c r="S175" i="7"/>
  <c r="S176" i="7"/>
  <c r="S177" i="7"/>
  <c r="S178" i="7"/>
  <c r="S179" i="7"/>
  <c r="S180" i="7"/>
  <c r="S181" i="7"/>
  <c r="S182" i="7"/>
  <c r="S183" i="7"/>
  <c r="S184" i="7"/>
  <c r="S185" i="7"/>
  <c r="S186" i="7"/>
  <c r="S187" i="7"/>
  <c r="S188" i="7"/>
  <c r="S189" i="7"/>
  <c r="S190" i="7"/>
  <c r="S191" i="7"/>
  <c r="S192" i="7"/>
  <c r="S193" i="7"/>
  <c r="S194" i="7"/>
  <c r="S195" i="7"/>
  <c r="S196" i="7"/>
  <c r="S197" i="7"/>
  <c r="S198" i="7"/>
  <c r="S199" i="7"/>
  <c r="S200" i="7"/>
  <c r="S201" i="7"/>
  <c r="S202" i="7"/>
  <c r="S203" i="7"/>
  <c r="S204" i="7"/>
  <c r="S205" i="7"/>
  <c r="S206" i="7"/>
  <c r="S207" i="7"/>
  <c r="S208" i="7"/>
  <c r="S209" i="7"/>
  <c r="S210" i="7"/>
  <c r="S211" i="7"/>
  <c r="S212" i="7"/>
  <c r="S213" i="7"/>
  <c r="S214" i="7"/>
  <c r="S215" i="7"/>
  <c r="S216" i="7"/>
  <c r="S217" i="7"/>
  <c r="S218" i="7"/>
  <c r="S219" i="7"/>
  <c r="S220" i="7"/>
  <c r="S221" i="7"/>
  <c r="S222" i="7"/>
  <c r="S223" i="7"/>
  <c r="S224" i="7"/>
  <c r="S225" i="7"/>
  <c r="S226" i="7"/>
  <c r="S227" i="7"/>
  <c r="S228" i="7"/>
  <c r="S229" i="7"/>
  <c r="S230" i="7"/>
  <c r="S231" i="7"/>
  <c r="S232" i="7"/>
  <c r="S233" i="7"/>
  <c r="S234" i="7"/>
  <c r="S235" i="7"/>
  <c r="S236" i="7"/>
  <c r="S237" i="7"/>
  <c r="S238" i="7"/>
  <c r="S239" i="7"/>
  <c r="S240" i="7"/>
  <c r="S241" i="7"/>
  <c r="S242" i="7"/>
  <c r="S243" i="7"/>
  <c r="S244" i="7"/>
  <c r="S245" i="7"/>
  <c r="S246" i="7"/>
  <c r="S247" i="7"/>
  <c r="S248" i="7"/>
  <c r="S249" i="7"/>
  <c r="S250" i="7"/>
  <c r="S251" i="7"/>
  <c r="S252" i="7"/>
  <c r="S253" i="7"/>
  <c r="S254" i="7"/>
  <c r="S255" i="7"/>
  <c r="S256" i="7"/>
  <c r="S257" i="7"/>
  <c r="S258" i="7"/>
  <c r="S259" i="7"/>
  <c r="S260" i="7"/>
  <c r="S261" i="7"/>
  <c r="S262" i="7"/>
  <c r="S263" i="7"/>
  <c r="S264" i="7"/>
  <c r="S265" i="7"/>
  <c r="S266" i="7"/>
  <c r="S267" i="7"/>
  <c r="S268" i="7"/>
  <c r="S269" i="7"/>
  <c r="S270" i="7"/>
  <c r="S271" i="7"/>
  <c r="S272" i="7"/>
  <c r="S273" i="7"/>
  <c r="S274" i="7"/>
  <c r="S275" i="7"/>
  <c r="S276" i="7"/>
  <c r="S277" i="7"/>
  <c r="S278" i="7"/>
  <c r="S279" i="7"/>
  <c r="S280" i="7"/>
  <c r="S281" i="7"/>
  <c r="S282" i="7"/>
  <c r="S283" i="7"/>
  <c r="S284" i="7"/>
  <c r="S285" i="7"/>
  <c r="S286" i="7"/>
  <c r="S287" i="7"/>
  <c r="S288" i="7"/>
  <c r="S289" i="7"/>
  <c r="S290" i="7"/>
  <c r="S291" i="7"/>
  <c r="S292" i="7"/>
  <c r="S293" i="7"/>
  <c r="S294" i="7"/>
  <c r="S295" i="7"/>
  <c r="S296" i="7"/>
  <c r="S297" i="7"/>
  <c r="S298" i="7"/>
  <c r="S299" i="7"/>
  <c r="S300" i="7"/>
  <c r="S301" i="7"/>
  <c r="S302" i="7"/>
  <c r="S303" i="7"/>
  <c r="S304" i="7"/>
  <c r="S305" i="7"/>
  <c r="S306" i="7"/>
  <c r="S307" i="7"/>
  <c r="S308" i="7"/>
  <c r="S309" i="7"/>
  <c r="S310" i="7"/>
  <c r="S311" i="7"/>
  <c r="S312" i="7"/>
  <c r="S313" i="7"/>
  <c r="S314" i="7"/>
  <c r="S315" i="7"/>
  <c r="S316" i="7"/>
  <c r="S317" i="7"/>
  <c r="S318" i="7"/>
  <c r="S319" i="7"/>
  <c r="S320" i="7"/>
  <c r="S321" i="7"/>
  <c r="S322" i="7"/>
  <c r="S323" i="7"/>
  <c r="S324" i="7"/>
  <c r="S325" i="7"/>
  <c r="S326" i="7"/>
  <c r="S327" i="7"/>
  <c r="S328" i="7"/>
  <c r="S329" i="7"/>
  <c r="S330" i="7"/>
  <c r="S331" i="7"/>
  <c r="S332" i="7"/>
  <c r="S333" i="7"/>
  <c r="S334" i="7"/>
  <c r="S335" i="7"/>
  <c r="S336" i="7"/>
  <c r="S337" i="7"/>
  <c r="S338" i="7"/>
  <c r="S339" i="7"/>
  <c r="S340" i="7"/>
  <c r="S341" i="7"/>
  <c r="S342" i="7"/>
  <c r="S343" i="7"/>
  <c r="S344" i="7"/>
  <c r="S345" i="7"/>
  <c r="S346" i="7"/>
  <c r="S347" i="7"/>
  <c r="S348" i="7"/>
  <c r="S349" i="7"/>
  <c r="S350" i="7"/>
  <c r="S351" i="7"/>
  <c r="S352" i="7"/>
  <c r="S353" i="7"/>
  <c r="S354" i="7"/>
  <c r="S355" i="7"/>
  <c r="S356" i="7"/>
  <c r="S357" i="7"/>
  <c r="S358" i="7"/>
  <c r="S359" i="7"/>
  <c r="S360" i="7"/>
  <c r="S361" i="7"/>
  <c r="S362" i="7"/>
  <c r="S363" i="7"/>
  <c r="S364" i="7"/>
  <c r="S365" i="7"/>
  <c r="S366" i="7"/>
  <c r="R2" i="7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56" i="7"/>
  <c r="R57" i="7"/>
  <c r="R58" i="7"/>
  <c r="R59" i="7"/>
  <c r="R60" i="7"/>
  <c r="R61" i="7"/>
  <c r="R62" i="7"/>
  <c r="R63" i="7"/>
  <c r="R64" i="7"/>
  <c r="R65" i="7"/>
  <c r="R66" i="7"/>
  <c r="R67" i="7"/>
  <c r="R68" i="7"/>
  <c r="R69" i="7"/>
  <c r="R70" i="7"/>
  <c r="R71" i="7"/>
  <c r="R72" i="7"/>
  <c r="R73" i="7"/>
  <c r="R74" i="7"/>
  <c r="R75" i="7"/>
  <c r="R76" i="7"/>
  <c r="R77" i="7"/>
  <c r="R78" i="7"/>
  <c r="R79" i="7"/>
  <c r="R80" i="7"/>
  <c r="R81" i="7"/>
  <c r="R82" i="7"/>
  <c r="R83" i="7"/>
  <c r="R84" i="7"/>
  <c r="R85" i="7"/>
  <c r="R86" i="7"/>
  <c r="R87" i="7"/>
  <c r="R88" i="7"/>
  <c r="R89" i="7"/>
  <c r="R90" i="7"/>
  <c r="R91" i="7"/>
  <c r="R92" i="7"/>
  <c r="R93" i="7"/>
  <c r="R94" i="7"/>
  <c r="R95" i="7"/>
  <c r="R96" i="7"/>
  <c r="R97" i="7"/>
  <c r="R98" i="7"/>
  <c r="R99" i="7"/>
  <c r="R100" i="7"/>
  <c r="R101" i="7"/>
  <c r="R102" i="7"/>
  <c r="R103" i="7"/>
  <c r="R104" i="7"/>
  <c r="R105" i="7"/>
  <c r="R106" i="7"/>
  <c r="R107" i="7"/>
  <c r="R108" i="7"/>
  <c r="R109" i="7"/>
  <c r="R110" i="7"/>
  <c r="R111" i="7"/>
  <c r="R112" i="7"/>
  <c r="R113" i="7"/>
  <c r="R114" i="7"/>
  <c r="R115" i="7"/>
  <c r="R116" i="7"/>
  <c r="R117" i="7"/>
  <c r="R118" i="7"/>
  <c r="R119" i="7"/>
  <c r="R120" i="7"/>
  <c r="R121" i="7"/>
  <c r="R122" i="7"/>
  <c r="R123" i="7"/>
  <c r="R124" i="7"/>
  <c r="R125" i="7"/>
  <c r="R126" i="7"/>
  <c r="R127" i="7"/>
  <c r="R128" i="7"/>
  <c r="R129" i="7"/>
  <c r="R130" i="7"/>
  <c r="R131" i="7"/>
  <c r="R132" i="7"/>
  <c r="R133" i="7"/>
  <c r="R134" i="7"/>
  <c r="R135" i="7"/>
  <c r="R136" i="7"/>
  <c r="R137" i="7"/>
  <c r="R138" i="7"/>
  <c r="R139" i="7"/>
  <c r="R140" i="7"/>
  <c r="R141" i="7"/>
  <c r="R142" i="7"/>
  <c r="R143" i="7"/>
  <c r="R144" i="7"/>
  <c r="R145" i="7"/>
  <c r="R146" i="7"/>
  <c r="R147" i="7"/>
  <c r="R148" i="7"/>
  <c r="R149" i="7"/>
  <c r="R150" i="7"/>
  <c r="R151" i="7"/>
  <c r="R152" i="7"/>
  <c r="R153" i="7"/>
  <c r="R154" i="7"/>
  <c r="R155" i="7"/>
  <c r="R156" i="7"/>
  <c r="R157" i="7"/>
  <c r="R158" i="7"/>
  <c r="R159" i="7"/>
  <c r="R160" i="7"/>
  <c r="R161" i="7"/>
  <c r="R162" i="7"/>
  <c r="R163" i="7"/>
  <c r="R164" i="7"/>
  <c r="R165" i="7"/>
  <c r="R166" i="7"/>
  <c r="R167" i="7"/>
  <c r="R168" i="7"/>
  <c r="R169" i="7"/>
  <c r="R170" i="7"/>
  <c r="R171" i="7"/>
  <c r="R172" i="7"/>
  <c r="R173" i="7"/>
  <c r="R174" i="7"/>
  <c r="R175" i="7"/>
  <c r="R176" i="7"/>
  <c r="R177" i="7"/>
  <c r="R178" i="7"/>
  <c r="R179" i="7"/>
  <c r="R180" i="7"/>
  <c r="R181" i="7"/>
  <c r="R182" i="7"/>
  <c r="R183" i="7"/>
  <c r="R184" i="7"/>
  <c r="R185" i="7"/>
  <c r="R186" i="7"/>
  <c r="R187" i="7"/>
  <c r="R188" i="7"/>
  <c r="R189" i="7"/>
  <c r="R190" i="7"/>
  <c r="R191" i="7"/>
  <c r="R192" i="7"/>
  <c r="R193" i="7"/>
  <c r="R194" i="7"/>
  <c r="R195" i="7"/>
  <c r="R196" i="7"/>
  <c r="R197" i="7"/>
  <c r="R198" i="7"/>
  <c r="R199" i="7"/>
  <c r="R200" i="7"/>
  <c r="R201" i="7"/>
  <c r="R202" i="7"/>
  <c r="R203" i="7"/>
  <c r="R204" i="7"/>
  <c r="R205" i="7"/>
  <c r="R206" i="7"/>
  <c r="R207" i="7"/>
  <c r="R208" i="7"/>
  <c r="R209" i="7"/>
  <c r="R210" i="7"/>
  <c r="R211" i="7"/>
  <c r="R212" i="7"/>
  <c r="R213" i="7"/>
  <c r="R214" i="7"/>
  <c r="R215" i="7"/>
  <c r="R216" i="7"/>
  <c r="R217" i="7"/>
  <c r="R218" i="7"/>
  <c r="R219" i="7"/>
  <c r="R220" i="7"/>
  <c r="R221" i="7"/>
  <c r="R222" i="7"/>
  <c r="R223" i="7"/>
  <c r="R224" i="7"/>
  <c r="R225" i="7"/>
  <c r="R226" i="7"/>
  <c r="R227" i="7"/>
  <c r="R228" i="7"/>
  <c r="R229" i="7"/>
  <c r="R230" i="7"/>
  <c r="R231" i="7"/>
  <c r="R232" i="7"/>
  <c r="R233" i="7"/>
  <c r="R234" i="7"/>
  <c r="R235" i="7"/>
  <c r="R236" i="7"/>
  <c r="R237" i="7"/>
  <c r="R238" i="7"/>
  <c r="R239" i="7"/>
  <c r="R240" i="7"/>
  <c r="R241" i="7"/>
  <c r="R242" i="7"/>
  <c r="R243" i="7"/>
  <c r="R244" i="7"/>
  <c r="R245" i="7"/>
  <c r="R246" i="7"/>
  <c r="R247" i="7"/>
  <c r="R248" i="7"/>
  <c r="R249" i="7"/>
  <c r="R250" i="7"/>
  <c r="R251" i="7"/>
  <c r="R252" i="7"/>
  <c r="R253" i="7"/>
  <c r="R254" i="7"/>
  <c r="R255" i="7"/>
  <c r="R256" i="7"/>
  <c r="R257" i="7"/>
  <c r="R258" i="7"/>
  <c r="R259" i="7"/>
  <c r="R260" i="7"/>
  <c r="R261" i="7"/>
  <c r="R262" i="7"/>
  <c r="R263" i="7"/>
  <c r="R264" i="7"/>
  <c r="R265" i="7"/>
  <c r="R266" i="7"/>
  <c r="R267" i="7"/>
  <c r="R268" i="7"/>
  <c r="R269" i="7"/>
  <c r="R270" i="7"/>
  <c r="R271" i="7"/>
  <c r="R272" i="7"/>
  <c r="R273" i="7"/>
  <c r="R274" i="7"/>
  <c r="R275" i="7"/>
  <c r="R276" i="7"/>
  <c r="R277" i="7"/>
  <c r="R278" i="7"/>
  <c r="R279" i="7"/>
  <c r="R280" i="7"/>
  <c r="R281" i="7"/>
  <c r="R282" i="7"/>
  <c r="R283" i="7"/>
  <c r="R284" i="7"/>
  <c r="R285" i="7"/>
  <c r="R286" i="7"/>
  <c r="R287" i="7"/>
  <c r="R288" i="7"/>
  <c r="R289" i="7"/>
  <c r="R290" i="7"/>
  <c r="R291" i="7"/>
  <c r="R292" i="7"/>
  <c r="R293" i="7"/>
  <c r="R294" i="7"/>
  <c r="R295" i="7"/>
  <c r="R296" i="7"/>
  <c r="R297" i="7"/>
  <c r="R298" i="7"/>
  <c r="R299" i="7"/>
  <c r="R300" i="7"/>
  <c r="R301" i="7"/>
  <c r="R302" i="7"/>
  <c r="R303" i="7"/>
  <c r="R304" i="7"/>
  <c r="R305" i="7"/>
  <c r="R306" i="7"/>
  <c r="R307" i="7"/>
  <c r="R308" i="7"/>
  <c r="R309" i="7"/>
  <c r="R310" i="7"/>
  <c r="R311" i="7"/>
  <c r="R312" i="7"/>
  <c r="R313" i="7"/>
  <c r="R314" i="7"/>
  <c r="R315" i="7"/>
  <c r="R316" i="7"/>
  <c r="R317" i="7"/>
  <c r="R318" i="7"/>
  <c r="R319" i="7"/>
  <c r="R320" i="7"/>
  <c r="R321" i="7"/>
  <c r="R322" i="7"/>
  <c r="R323" i="7"/>
  <c r="R324" i="7"/>
  <c r="R325" i="7"/>
  <c r="R326" i="7"/>
  <c r="R327" i="7"/>
  <c r="R328" i="7"/>
  <c r="R329" i="7"/>
  <c r="R330" i="7"/>
  <c r="R331" i="7"/>
  <c r="R332" i="7"/>
  <c r="R333" i="7"/>
  <c r="R334" i="7"/>
  <c r="R335" i="7"/>
  <c r="R336" i="7"/>
  <c r="R337" i="7"/>
  <c r="R338" i="7"/>
  <c r="R339" i="7"/>
  <c r="R340" i="7"/>
  <c r="R341" i="7"/>
  <c r="R342" i="7"/>
  <c r="R343" i="7"/>
  <c r="R344" i="7"/>
  <c r="R345" i="7"/>
  <c r="R346" i="7"/>
  <c r="R347" i="7"/>
  <c r="R348" i="7"/>
  <c r="R349" i="7"/>
  <c r="R350" i="7"/>
  <c r="R351" i="7"/>
  <c r="R352" i="7"/>
  <c r="R353" i="7"/>
  <c r="R354" i="7"/>
  <c r="R355" i="7"/>
  <c r="R356" i="7"/>
  <c r="R357" i="7"/>
  <c r="R358" i="7"/>
  <c r="R359" i="7"/>
  <c r="R360" i="7"/>
  <c r="R361" i="7"/>
  <c r="R362" i="7"/>
  <c r="R363" i="7"/>
  <c r="R364" i="7"/>
  <c r="R365" i="7"/>
  <c r="R366" i="7"/>
  <c r="P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69" i="7"/>
  <c r="P70" i="7"/>
  <c r="P71" i="7"/>
  <c r="P72" i="7"/>
  <c r="P73" i="7"/>
  <c r="P74" i="7"/>
  <c r="P75" i="7"/>
  <c r="P76" i="7"/>
  <c r="P77" i="7"/>
  <c r="P78" i="7"/>
  <c r="P79" i="7"/>
  <c r="P80" i="7"/>
  <c r="P81" i="7"/>
  <c r="P82" i="7"/>
  <c r="P83" i="7"/>
  <c r="P84" i="7"/>
  <c r="P85" i="7"/>
  <c r="P86" i="7"/>
  <c r="P87" i="7"/>
  <c r="P88" i="7"/>
  <c r="P89" i="7"/>
  <c r="P90" i="7"/>
  <c r="P91" i="7"/>
  <c r="P92" i="7"/>
  <c r="P93" i="7"/>
  <c r="P94" i="7"/>
  <c r="P95" i="7"/>
  <c r="P96" i="7"/>
  <c r="P97" i="7"/>
  <c r="P98" i="7"/>
  <c r="P99" i="7"/>
  <c r="P100" i="7"/>
  <c r="P101" i="7"/>
  <c r="P102" i="7"/>
  <c r="P103" i="7"/>
  <c r="P104" i="7"/>
  <c r="P105" i="7"/>
  <c r="P106" i="7"/>
  <c r="P107" i="7"/>
  <c r="P108" i="7"/>
  <c r="P109" i="7"/>
  <c r="P110" i="7"/>
  <c r="P111" i="7"/>
  <c r="P112" i="7"/>
  <c r="P113" i="7"/>
  <c r="P114" i="7"/>
  <c r="P115" i="7"/>
  <c r="P116" i="7"/>
  <c r="P117" i="7"/>
  <c r="P118" i="7"/>
  <c r="P119" i="7"/>
  <c r="P120" i="7"/>
  <c r="P121" i="7"/>
  <c r="P122" i="7"/>
  <c r="P123" i="7"/>
  <c r="P124" i="7"/>
  <c r="P125" i="7"/>
  <c r="P126" i="7"/>
  <c r="P127" i="7"/>
  <c r="P128" i="7"/>
  <c r="P129" i="7"/>
  <c r="P130" i="7"/>
  <c r="P131" i="7"/>
  <c r="P132" i="7"/>
  <c r="P133" i="7"/>
  <c r="P134" i="7"/>
  <c r="P135" i="7"/>
  <c r="P136" i="7"/>
  <c r="P137" i="7"/>
  <c r="P138" i="7"/>
  <c r="P139" i="7"/>
  <c r="P140" i="7"/>
  <c r="P141" i="7"/>
  <c r="P142" i="7"/>
  <c r="P143" i="7"/>
  <c r="P144" i="7"/>
  <c r="P145" i="7"/>
  <c r="P146" i="7"/>
  <c r="P147" i="7"/>
  <c r="P148" i="7"/>
  <c r="P149" i="7"/>
  <c r="P150" i="7"/>
  <c r="P151" i="7"/>
  <c r="P152" i="7"/>
  <c r="P153" i="7"/>
  <c r="P154" i="7"/>
  <c r="P155" i="7"/>
  <c r="P156" i="7"/>
  <c r="P157" i="7"/>
  <c r="P158" i="7"/>
  <c r="P159" i="7"/>
  <c r="P160" i="7"/>
  <c r="P161" i="7"/>
  <c r="P162" i="7"/>
  <c r="P163" i="7"/>
  <c r="P164" i="7"/>
  <c r="P165" i="7"/>
  <c r="P166" i="7"/>
  <c r="P167" i="7"/>
  <c r="P168" i="7"/>
  <c r="P169" i="7"/>
  <c r="P170" i="7"/>
  <c r="P171" i="7"/>
  <c r="P172" i="7"/>
  <c r="P173" i="7"/>
  <c r="P174" i="7"/>
  <c r="P175" i="7"/>
  <c r="P176" i="7"/>
  <c r="P177" i="7"/>
  <c r="P178" i="7"/>
  <c r="P179" i="7"/>
  <c r="P180" i="7"/>
  <c r="P181" i="7"/>
  <c r="P182" i="7"/>
  <c r="P183" i="7"/>
  <c r="P184" i="7"/>
  <c r="P185" i="7"/>
  <c r="P186" i="7"/>
  <c r="P187" i="7"/>
  <c r="P188" i="7"/>
  <c r="P189" i="7"/>
  <c r="P190" i="7"/>
  <c r="P191" i="7"/>
  <c r="P192" i="7"/>
  <c r="P193" i="7"/>
  <c r="P194" i="7"/>
  <c r="P195" i="7"/>
  <c r="P196" i="7"/>
  <c r="P197" i="7"/>
  <c r="P198" i="7"/>
  <c r="P199" i="7"/>
  <c r="P200" i="7"/>
  <c r="P201" i="7"/>
  <c r="P202" i="7"/>
  <c r="P203" i="7"/>
  <c r="P204" i="7"/>
  <c r="P205" i="7"/>
  <c r="P206" i="7"/>
  <c r="P207" i="7"/>
  <c r="P208" i="7"/>
  <c r="P209" i="7"/>
  <c r="P210" i="7"/>
  <c r="P211" i="7"/>
  <c r="P212" i="7"/>
  <c r="P213" i="7"/>
  <c r="P214" i="7"/>
  <c r="P215" i="7"/>
  <c r="P216" i="7"/>
  <c r="P217" i="7"/>
  <c r="P218" i="7"/>
  <c r="P219" i="7"/>
  <c r="P220" i="7"/>
  <c r="P221" i="7"/>
  <c r="P222" i="7"/>
  <c r="P223" i="7"/>
  <c r="P224" i="7"/>
  <c r="P225" i="7"/>
  <c r="P226" i="7"/>
  <c r="P227" i="7"/>
  <c r="P228" i="7"/>
  <c r="P229" i="7"/>
  <c r="P230" i="7"/>
  <c r="P231" i="7"/>
  <c r="P232" i="7"/>
  <c r="P233" i="7"/>
  <c r="P234" i="7"/>
  <c r="P235" i="7"/>
  <c r="P236" i="7"/>
  <c r="P237" i="7"/>
  <c r="P238" i="7"/>
  <c r="P239" i="7"/>
  <c r="P240" i="7"/>
  <c r="P241" i="7"/>
  <c r="P242" i="7"/>
  <c r="P243" i="7"/>
  <c r="P244" i="7"/>
  <c r="P245" i="7"/>
  <c r="P246" i="7"/>
  <c r="P247" i="7"/>
  <c r="P248" i="7"/>
  <c r="P249" i="7"/>
  <c r="P250" i="7"/>
  <c r="P251" i="7"/>
  <c r="P252" i="7"/>
  <c r="P253" i="7"/>
  <c r="P254" i="7"/>
  <c r="P255" i="7"/>
  <c r="P256" i="7"/>
  <c r="P257" i="7"/>
  <c r="P258" i="7"/>
  <c r="P259" i="7"/>
  <c r="P260" i="7"/>
  <c r="P261" i="7"/>
  <c r="P262" i="7"/>
  <c r="P263" i="7"/>
  <c r="P264" i="7"/>
  <c r="P265" i="7"/>
  <c r="P266" i="7"/>
  <c r="P267" i="7"/>
  <c r="P268" i="7"/>
  <c r="P269" i="7"/>
  <c r="P270" i="7"/>
  <c r="P271" i="7"/>
  <c r="P272" i="7"/>
  <c r="P273" i="7"/>
  <c r="P274" i="7"/>
  <c r="P275" i="7"/>
  <c r="P276" i="7"/>
  <c r="P277" i="7"/>
  <c r="P278" i="7"/>
  <c r="P279" i="7"/>
  <c r="P280" i="7"/>
  <c r="P281" i="7"/>
  <c r="P282" i="7"/>
  <c r="P283" i="7"/>
  <c r="P284" i="7"/>
  <c r="P285" i="7"/>
  <c r="P286" i="7"/>
  <c r="P287" i="7"/>
  <c r="P288" i="7"/>
  <c r="P289" i="7"/>
  <c r="P290" i="7"/>
  <c r="P291" i="7"/>
  <c r="P292" i="7"/>
  <c r="P293" i="7"/>
  <c r="P294" i="7"/>
  <c r="P295" i="7"/>
  <c r="P296" i="7"/>
  <c r="P297" i="7"/>
  <c r="P298" i="7"/>
  <c r="P299" i="7"/>
  <c r="P300" i="7"/>
  <c r="P301" i="7"/>
  <c r="P302" i="7"/>
  <c r="P303" i="7"/>
  <c r="P304" i="7"/>
  <c r="P305" i="7"/>
  <c r="P306" i="7"/>
  <c r="P307" i="7"/>
  <c r="P308" i="7"/>
  <c r="P309" i="7"/>
  <c r="P310" i="7"/>
  <c r="P311" i="7"/>
  <c r="P312" i="7"/>
  <c r="P313" i="7"/>
  <c r="P314" i="7"/>
  <c r="P315" i="7"/>
  <c r="P316" i="7"/>
  <c r="P317" i="7"/>
  <c r="P318" i="7"/>
  <c r="P319" i="7"/>
  <c r="P320" i="7"/>
  <c r="P321" i="7"/>
  <c r="P322" i="7"/>
  <c r="P323" i="7"/>
  <c r="P324" i="7"/>
  <c r="P325" i="7"/>
  <c r="P326" i="7"/>
  <c r="P327" i="7"/>
  <c r="P328" i="7"/>
  <c r="P329" i="7"/>
  <c r="P330" i="7"/>
  <c r="P331" i="7"/>
  <c r="P332" i="7"/>
  <c r="P333" i="7"/>
  <c r="P334" i="7"/>
  <c r="P335" i="7"/>
  <c r="P336" i="7"/>
  <c r="P337" i="7"/>
  <c r="P338" i="7"/>
  <c r="P339" i="7"/>
  <c r="P340" i="7"/>
  <c r="P341" i="7"/>
  <c r="P342" i="7"/>
  <c r="P343" i="7"/>
  <c r="P344" i="7"/>
  <c r="P345" i="7"/>
  <c r="P346" i="7"/>
  <c r="P347" i="7"/>
  <c r="P348" i="7"/>
  <c r="P349" i="7"/>
  <c r="P350" i="7"/>
  <c r="P351" i="7"/>
  <c r="P352" i="7"/>
  <c r="P353" i="7"/>
  <c r="P354" i="7"/>
  <c r="P355" i="7"/>
  <c r="P356" i="7"/>
  <c r="P357" i="7"/>
  <c r="P358" i="7"/>
  <c r="P359" i="7"/>
  <c r="P360" i="7"/>
  <c r="P361" i="7"/>
  <c r="P362" i="7"/>
  <c r="P363" i="7"/>
  <c r="P364" i="7"/>
  <c r="P365" i="7"/>
  <c r="P366" i="7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2" i="8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39" i="8"/>
  <c r="K340" i="8"/>
  <c r="K341" i="8"/>
  <c r="K342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P2" i="8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5" i="8"/>
  <c r="P246" i="8"/>
  <c r="P247" i="8"/>
  <c r="P248" i="8"/>
  <c r="P249" i="8"/>
  <c r="P250" i="8"/>
  <c r="P251" i="8"/>
  <c r="P252" i="8"/>
  <c r="P253" i="8"/>
  <c r="P254" i="8"/>
  <c r="P255" i="8"/>
  <c r="P256" i="8"/>
  <c r="P257" i="8"/>
  <c r="P258" i="8"/>
  <c r="P259" i="8"/>
  <c r="P260" i="8"/>
  <c r="P261" i="8"/>
  <c r="P262" i="8"/>
  <c r="P263" i="8"/>
  <c r="P264" i="8"/>
  <c r="P265" i="8"/>
  <c r="P266" i="8"/>
  <c r="P267" i="8"/>
  <c r="P268" i="8"/>
  <c r="P269" i="8"/>
  <c r="P270" i="8"/>
  <c r="P271" i="8"/>
  <c r="P272" i="8"/>
  <c r="P273" i="8"/>
  <c r="P274" i="8"/>
  <c r="P275" i="8"/>
  <c r="P276" i="8"/>
  <c r="P277" i="8"/>
  <c r="P278" i="8"/>
  <c r="P279" i="8"/>
  <c r="P280" i="8"/>
  <c r="P281" i="8"/>
  <c r="P282" i="8"/>
  <c r="P283" i="8"/>
  <c r="P284" i="8"/>
  <c r="P285" i="8"/>
  <c r="P286" i="8"/>
  <c r="P287" i="8"/>
  <c r="P288" i="8"/>
  <c r="P289" i="8"/>
  <c r="P290" i="8"/>
  <c r="P291" i="8"/>
  <c r="P292" i="8"/>
  <c r="P293" i="8"/>
  <c r="P294" i="8"/>
  <c r="P295" i="8"/>
  <c r="P296" i="8"/>
  <c r="P297" i="8"/>
  <c r="P298" i="8"/>
  <c r="P299" i="8"/>
  <c r="P300" i="8"/>
  <c r="P301" i="8"/>
  <c r="P302" i="8"/>
  <c r="P303" i="8"/>
  <c r="P304" i="8"/>
  <c r="P305" i="8"/>
  <c r="P306" i="8"/>
  <c r="P307" i="8"/>
  <c r="P308" i="8"/>
  <c r="P309" i="8"/>
  <c r="P310" i="8"/>
  <c r="P311" i="8"/>
  <c r="P312" i="8"/>
  <c r="P313" i="8"/>
  <c r="P314" i="8"/>
  <c r="P315" i="8"/>
  <c r="P316" i="8"/>
  <c r="P317" i="8"/>
  <c r="P318" i="8"/>
  <c r="P319" i="8"/>
  <c r="P320" i="8"/>
  <c r="P321" i="8"/>
  <c r="P322" i="8"/>
  <c r="P323" i="8"/>
  <c r="P324" i="8"/>
  <c r="P325" i="8"/>
  <c r="P326" i="8"/>
  <c r="P327" i="8"/>
  <c r="P328" i="8"/>
  <c r="P329" i="8"/>
  <c r="P330" i="8"/>
  <c r="P331" i="8"/>
  <c r="P332" i="8"/>
  <c r="P333" i="8"/>
  <c r="P334" i="8"/>
  <c r="P335" i="8"/>
  <c r="P336" i="8"/>
  <c r="P337" i="8"/>
  <c r="P338" i="8"/>
  <c r="P339" i="8"/>
  <c r="P340" i="8"/>
  <c r="P341" i="8"/>
  <c r="P342" i="8"/>
  <c r="P343" i="8"/>
  <c r="P344" i="8"/>
  <c r="P345" i="8"/>
  <c r="S345" i="8" s="1"/>
  <c r="P346" i="8"/>
  <c r="P347" i="8"/>
  <c r="P348" i="8"/>
  <c r="P349" i="8"/>
  <c r="S349" i="8" s="1"/>
  <c r="P350" i="8"/>
  <c r="P351" i="8"/>
  <c r="P352" i="8"/>
  <c r="P353" i="8"/>
  <c r="S353" i="8" s="1"/>
  <c r="P354" i="8"/>
  <c r="P355" i="8"/>
  <c r="P356" i="8"/>
  <c r="P357" i="8"/>
  <c r="S357" i="8" s="1"/>
  <c r="P358" i="8"/>
  <c r="P359" i="8"/>
  <c r="P360" i="8"/>
  <c r="P361" i="8"/>
  <c r="S361" i="8" s="1"/>
  <c r="P362" i="8"/>
  <c r="P363" i="8"/>
  <c r="P364" i="8"/>
  <c r="P365" i="8"/>
  <c r="S365" i="8" s="1"/>
  <c r="P366" i="8"/>
  <c r="R2" i="8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0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S2" i="8"/>
  <c r="S3" i="8"/>
  <c r="S4" i="8"/>
  <c r="S6" i="8"/>
  <c r="S7" i="8"/>
  <c r="S8" i="8"/>
  <c r="S10" i="8"/>
  <c r="S11" i="8"/>
  <c r="S12" i="8"/>
  <c r="S14" i="8"/>
  <c r="S15" i="8"/>
  <c r="S16" i="8"/>
  <c r="S18" i="8"/>
  <c r="S19" i="8"/>
  <c r="S20" i="8"/>
  <c r="S22" i="8"/>
  <c r="S23" i="8"/>
  <c r="S24" i="8"/>
  <c r="S26" i="8"/>
  <c r="S27" i="8"/>
  <c r="S28" i="8"/>
  <c r="S30" i="8"/>
  <c r="S31" i="8"/>
  <c r="S32" i="8"/>
  <c r="S34" i="8"/>
  <c r="S35" i="8"/>
  <c r="S36" i="8"/>
  <c r="S38" i="8"/>
  <c r="S39" i="8"/>
  <c r="S40" i="8"/>
  <c r="S42" i="8"/>
  <c r="S43" i="8"/>
  <c r="S44" i="8"/>
  <c r="S46" i="8"/>
  <c r="S47" i="8"/>
  <c r="S48" i="8"/>
  <c r="S50" i="8"/>
  <c r="S51" i="8"/>
  <c r="S52" i="8"/>
  <c r="S54" i="8"/>
  <c r="S55" i="8"/>
  <c r="S56" i="8"/>
  <c r="S58" i="8"/>
  <c r="S59" i="8"/>
  <c r="S60" i="8"/>
  <c r="S62" i="8"/>
  <c r="S63" i="8"/>
  <c r="S64" i="8"/>
  <c r="S66" i="8"/>
  <c r="S67" i="8"/>
  <c r="S68" i="8"/>
  <c r="S70" i="8"/>
  <c r="S71" i="8"/>
  <c r="S72" i="8"/>
  <c r="S74" i="8"/>
  <c r="S75" i="8"/>
  <c r="S76" i="8"/>
  <c r="S78" i="8"/>
  <c r="S79" i="8"/>
  <c r="S80" i="8"/>
  <c r="S82" i="8"/>
  <c r="S83" i="8"/>
  <c r="S84" i="8"/>
  <c r="S86" i="8"/>
  <c r="S87" i="8"/>
  <c r="S88" i="8"/>
  <c r="S90" i="8"/>
  <c r="S91" i="8"/>
  <c r="S92" i="8"/>
  <c r="S94" i="8"/>
  <c r="S95" i="8"/>
  <c r="S96" i="8"/>
  <c r="S98" i="8"/>
  <c r="S99" i="8"/>
  <c r="S100" i="8"/>
  <c r="S102" i="8"/>
  <c r="S103" i="8"/>
  <c r="S104" i="8"/>
  <c r="S106" i="8"/>
  <c r="S107" i="8"/>
  <c r="S108" i="8"/>
  <c r="S110" i="8"/>
  <c r="S111" i="8"/>
  <c r="S112" i="8"/>
  <c r="S114" i="8"/>
  <c r="S115" i="8"/>
  <c r="S116" i="8"/>
  <c r="S118" i="8"/>
  <c r="S119" i="8"/>
  <c r="S120" i="8"/>
  <c r="S122" i="8"/>
  <c r="S123" i="8"/>
  <c r="S124" i="8"/>
  <c r="S126" i="8"/>
  <c r="S127" i="8"/>
  <c r="S128" i="8"/>
  <c r="S130" i="8"/>
  <c r="S131" i="8"/>
  <c r="S132" i="8"/>
  <c r="S134" i="8"/>
  <c r="S135" i="8"/>
  <c r="S136" i="8"/>
  <c r="S138" i="8"/>
  <c r="S139" i="8"/>
  <c r="S140" i="8"/>
  <c r="S142" i="8"/>
  <c r="S143" i="8"/>
  <c r="S144" i="8"/>
  <c r="S146" i="8"/>
  <c r="S147" i="8"/>
  <c r="S148" i="8"/>
  <c r="S150" i="8"/>
  <c r="S151" i="8"/>
  <c r="S152" i="8"/>
  <c r="S154" i="8"/>
  <c r="S155" i="8"/>
  <c r="S156" i="8"/>
  <c r="S158" i="8"/>
  <c r="S159" i="8"/>
  <c r="S160" i="8"/>
  <c r="S162" i="8"/>
  <c r="S163" i="8"/>
  <c r="S164" i="8"/>
  <c r="S166" i="8"/>
  <c r="S167" i="8"/>
  <c r="S168" i="8"/>
  <c r="S170" i="8"/>
  <c r="S171" i="8"/>
  <c r="S172" i="8"/>
  <c r="S174" i="8"/>
  <c r="S175" i="8"/>
  <c r="S176" i="8"/>
  <c r="S178" i="8"/>
  <c r="S179" i="8"/>
  <c r="S180" i="8"/>
  <c r="S182" i="8"/>
  <c r="S183" i="8"/>
  <c r="S184" i="8"/>
  <c r="S186" i="8"/>
  <c r="S187" i="8"/>
  <c r="S188" i="8"/>
  <c r="S190" i="8"/>
  <c r="S191" i="8"/>
  <c r="S192" i="8"/>
  <c r="S194" i="8"/>
  <c r="S195" i="8"/>
  <c r="S196" i="8"/>
  <c r="S198" i="8"/>
  <c r="S199" i="8"/>
  <c r="S200" i="8"/>
  <c r="S202" i="8"/>
  <c r="S203" i="8"/>
  <c r="S204" i="8"/>
  <c r="S206" i="8"/>
  <c r="S207" i="8"/>
  <c r="S208" i="8"/>
  <c r="S210" i="8"/>
  <c r="S211" i="8"/>
  <c r="S212" i="8"/>
  <c r="S214" i="8"/>
  <c r="S215" i="8"/>
  <c r="S216" i="8"/>
  <c r="S218" i="8"/>
  <c r="S219" i="8"/>
  <c r="S220" i="8"/>
  <c r="S222" i="8"/>
  <c r="S223" i="8"/>
  <c r="S224" i="8"/>
  <c r="S226" i="8"/>
  <c r="S227" i="8"/>
  <c r="S228" i="8"/>
  <c r="S230" i="8"/>
  <c r="S231" i="8"/>
  <c r="S232" i="8"/>
  <c r="S234" i="8"/>
  <c r="S235" i="8"/>
  <c r="S236" i="8"/>
  <c r="S238" i="8"/>
  <c r="S239" i="8"/>
  <c r="S240" i="8"/>
  <c r="S242" i="8"/>
  <c r="S243" i="8"/>
  <c r="S244" i="8"/>
  <c r="S246" i="8"/>
  <c r="S247" i="8"/>
  <c r="S248" i="8"/>
  <c r="S250" i="8"/>
  <c r="S251" i="8"/>
  <c r="S252" i="8"/>
  <c r="S254" i="8"/>
  <c r="S255" i="8"/>
  <c r="S256" i="8"/>
  <c r="S258" i="8"/>
  <c r="S259" i="8"/>
  <c r="S260" i="8"/>
  <c r="S262" i="8"/>
  <c r="S263" i="8"/>
  <c r="S264" i="8"/>
  <c r="S266" i="8"/>
  <c r="S267" i="8"/>
  <c r="S268" i="8"/>
  <c r="S270" i="8"/>
  <c r="S271" i="8"/>
  <c r="S272" i="8"/>
  <c r="S274" i="8"/>
  <c r="S275" i="8"/>
  <c r="S276" i="8"/>
  <c r="S278" i="8"/>
  <c r="S279" i="8"/>
  <c r="S280" i="8"/>
  <c r="S282" i="8"/>
  <c r="S283" i="8"/>
  <c r="S284" i="8"/>
  <c r="S286" i="8"/>
  <c r="S287" i="8"/>
  <c r="S288" i="8"/>
  <c r="S290" i="8"/>
  <c r="S291" i="8"/>
  <c r="S292" i="8"/>
  <c r="S294" i="8"/>
  <c r="S295" i="8"/>
  <c r="S296" i="8"/>
  <c r="S298" i="8"/>
  <c r="S299" i="8"/>
  <c r="S300" i="8"/>
  <c r="S302" i="8"/>
  <c r="S303" i="8"/>
  <c r="S304" i="8"/>
  <c r="S306" i="8"/>
  <c r="S307" i="8"/>
  <c r="S308" i="8"/>
  <c r="S310" i="8"/>
  <c r="S311" i="8"/>
  <c r="S312" i="8"/>
  <c r="S314" i="8"/>
  <c r="S315" i="8"/>
  <c r="S316" i="8"/>
  <c r="S318" i="8"/>
  <c r="S319" i="8"/>
  <c r="S320" i="8"/>
  <c r="S322" i="8"/>
  <c r="S323" i="8"/>
  <c r="S324" i="8"/>
  <c r="S326" i="8"/>
  <c r="S327" i="8"/>
  <c r="S328" i="8"/>
  <c r="S330" i="8"/>
  <c r="S331" i="8"/>
  <c r="S332" i="8"/>
  <c r="S334" i="8"/>
  <c r="S335" i="8"/>
  <c r="S336" i="8"/>
  <c r="S338" i="8"/>
  <c r="S339" i="8"/>
  <c r="S340" i="8"/>
  <c r="S342" i="8"/>
  <c r="S343" i="8"/>
  <c r="S344" i="8"/>
  <c r="S346" i="8"/>
  <c r="S347" i="8"/>
  <c r="S348" i="8"/>
  <c r="S350" i="8"/>
  <c r="S351" i="8"/>
  <c r="S352" i="8"/>
  <c r="S354" i="8"/>
  <c r="S355" i="8"/>
  <c r="S356" i="8"/>
  <c r="S358" i="8"/>
  <c r="S359" i="8"/>
  <c r="S360" i="8"/>
  <c r="S362" i="8"/>
  <c r="S363" i="8"/>
  <c r="S364" i="8"/>
  <c r="S366" i="8"/>
  <c r="AA2" i="8"/>
  <c r="AA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A31" i="8"/>
  <c r="AA32" i="8"/>
  <c r="AA33" i="8"/>
  <c r="AA34" i="8"/>
  <c r="AA35" i="8"/>
  <c r="AA36" i="8"/>
  <c r="AA37" i="8"/>
  <c r="AA38" i="8"/>
  <c r="AA39" i="8"/>
  <c r="AA40" i="8"/>
  <c r="AA41" i="8"/>
  <c r="AA42" i="8"/>
  <c r="AA43" i="8"/>
  <c r="AA44" i="8"/>
  <c r="AA45" i="8"/>
  <c r="AA46" i="8"/>
  <c r="AA47" i="8"/>
  <c r="AA48" i="8"/>
  <c r="AA49" i="8"/>
  <c r="AA50" i="8"/>
  <c r="AA51" i="8"/>
  <c r="AA52" i="8"/>
  <c r="AA53" i="8"/>
  <c r="AA54" i="8"/>
  <c r="AA55" i="8"/>
  <c r="AA56" i="8"/>
  <c r="AA57" i="8"/>
  <c r="AA58" i="8"/>
  <c r="AA59" i="8"/>
  <c r="AA60" i="8"/>
  <c r="AA61" i="8"/>
  <c r="AA62" i="8"/>
  <c r="AA63" i="8"/>
  <c r="AA64" i="8"/>
  <c r="AA65" i="8"/>
  <c r="AA66" i="8"/>
  <c r="AA67" i="8"/>
  <c r="AA68" i="8"/>
  <c r="AA69" i="8"/>
  <c r="AA70" i="8"/>
  <c r="AA71" i="8"/>
  <c r="AA72" i="8"/>
  <c r="AA73" i="8"/>
  <c r="AA74" i="8"/>
  <c r="AA75" i="8"/>
  <c r="AA76" i="8"/>
  <c r="AA77" i="8"/>
  <c r="AA78" i="8"/>
  <c r="AA79" i="8"/>
  <c r="AA80" i="8"/>
  <c r="AA81" i="8"/>
  <c r="AA82" i="8"/>
  <c r="AA83" i="8"/>
  <c r="AA84" i="8"/>
  <c r="AA85" i="8"/>
  <c r="AA86" i="8"/>
  <c r="AA87" i="8"/>
  <c r="AA88" i="8"/>
  <c r="AA89" i="8"/>
  <c r="AA90" i="8"/>
  <c r="AA91" i="8"/>
  <c r="AA92" i="8"/>
  <c r="AA93" i="8"/>
  <c r="AA94" i="8"/>
  <c r="AA95" i="8"/>
  <c r="AA96" i="8"/>
  <c r="AA97" i="8"/>
  <c r="AA98" i="8"/>
  <c r="AA99" i="8"/>
  <c r="AA100" i="8"/>
  <c r="AA101" i="8"/>
  <c r="AA102" i="8"/>
  <c r="AA103" i="8"/>
  <c r="AA104" i="8"/>
  <c r="AA105" i="8"/>
  <c r="AA106" i="8"/>
  <c r="AA107" i="8"/>
  <c r="AA108" i="8"/>
  <c r="AA109" i="8"/>
  <c r="AA110" i="8"/>
  <c r="AA111" i="8"/>
  <c r="AA112" i="8"/>
  <c r="AA113" i="8"/>
  <c r="AA114" i="8"/>
  <c r="AA115" i="8"/>
  <c r="AA116" i="8"/>
  <c r="AA117" i="8"/>
  <c r="AA118" i="8"/>
  <c r="AA119" i="8"/>
  <c r="AA120" i="8"/>
  <c r="AA121" i="8"/>
  <c r="AA122" i="8"/>
  <c r="AA123" i="8"/>
  <c r="AA124" i="8"/>
  <c r="AA125" i="8"/>
  <c r="AA126" i="8"/>
  <c r="AA127" i="8"/>
  <c r="AA128" i="8"/>
  <c r="AA129" i="8"/>
  <c r="AA130" i="8"/>
  <c r="AA131" i="8"/>
  <c r="AA132" i="8"/>
  <c r="AA133" i="8"/>
  <c r="AA134" i="8"/>
  <c r="AA135" i="8"/>
  <c r="AA136" i="8"/>
  <c r="AA137" i="8"/>
  <c r="AA138" i="8"/>
  <c r="AA139" i="8"/>
  <c r="AA140" i="8"/>
  <c r="AA141" i="8"/>
  <c r="AA142" i="8"/>
  <c r="AA143" i="8"/>
  <c r="AA144" i="8"/>
  <c r="AA145" i="8"/>
  <c r="AA146" i="8"/>
  <c r="AA147" i="8"/>
  <c r="AA148" i="8"/>
  <c r="AA149" i="8"/>
  <c r="AA150" i="8"/>
  <c r="AA151" i="8"/>
  <c r="AA152" i="8"/>
  <c r="AA153" i="8"/>
  <c r="AA154" i="8"/>
  <c r="AA155" i="8"/>
  <c r="AA156" i="8"/>
  <c r="AA157" i="8"/>
  <c r="AA158" i="8"/>
  <c r="AA159" i="8"/>
  <c r="AA160" i="8"/>
  <c r="AA161" i="8"/>
  <c r="AA162" i="8"/>
  <c r="AA163" i="8"/>
  <c r="AA164" i="8"/>
  <c r="AA165" i="8"/>
  <c r="AA166" i="8"/>
  <c r="AA167" i="8"/>
  <c r="AA168" i="8"/>
  <c r="AA169" i="8"/>
  <c r="AA170" i="8"/>
  <c r="AA171" i="8"/>
  <c r="AA172" i="8"/>
  <c r="AA173" i="8"/>
  <c r="AA174" i="8"/>
  <c r="AA175" i="8"/>
  <c r="AA176" i="8"/>
  <c r="AA177" i="8"/>
  <c r="AA178" i="8"/>
  <c r="AA179" i="8"/>
  <c r="AA180" i="8"/>
  <c r="AA181" i="8"/>
  <c r="AA182" i="8"/>
  <c r="AA183" i="8"/>
  <c r="AA184" i="8"/>
  <c r="AA185" i="8"/>
  <c r="AA186" i="8"/>
  <c r="AA187" i="8"/>
  <c r="AA188" i="8"/>
  <c r="AA189" i="8"/>
  <c r="AA190" i="8"/>
  <c r="AA191" i="8"/>
  <c r="AA192" i="8"/>
  <c r="AA193" i="8"/>
  <c r="AA194" i="8"/>
  <c r="AA195" i="8"/>
  <c r="AA196" i="8"/>
  <c r="AA197" i="8"/>
  <c r="AA198" i="8"/>
  <c r="AA199" i="8"/>
  <c r="AA200" i="8"/>
  <c r="AA201" i="8"/>
  <c r="AA202" i="8"/>
  <c r="AA203" i="8"/>
  <c r="AA204" i="8"/>
  <c r="AA205" i="8"/>
  <c r="AA206" i="8"/>
  <c r="AA207" i="8"/>
  <c r="AA208" i="8"/>
  <c r="AA209" i="8"/>
  <c r="AA210" i="8"/>
  <c r="AA211" i="8"/>
  <c r="AA212" i="8"/>
  <c r="AA213" i="8"/>
  <c r="AA214" i="8"/>
  <c r="AA215" i="8"/>
  <c r="AA216" i="8"/>
  <c r="AA217" i="8"/>
  <c r="AA218" i="8"/>
  <c r="AA219" i="8"/>
  <c r="AA220" i="8"/>
  <c r="AA221" i="8"/>
  <c r="AA222" i="8"/>
  <c r="AA223" i="8"/>
  <c r="AA224" i="8"/>
  <c r="AA225" i="8"/>
  <c r="AA226" i="8"/>
  <c r="AA227" i="8"/>
  <c r="AA228" i="8"/>
  <c r="AA229" i="8"/>
  <c r="AA230" i="8"/>
  <c r="AA231" i="8"/>
  <c r="AA232" i="8"/>
  <c r="AA233" i="8"/>
  <c r="AA234" i="8"/>
  <c r="AA235" i="8"/>
  <c r="AA236" i="8"/>
  <c r="AA237" i="8"/>
  <c r="AA238" i="8"/>
  <c r="AA239" i="8"/>
  <c r="AA240" i="8"/>
  <c r="AA241" i="8"/>
  <c r="AA242" i="8"/>
  <c r="AA243" i="8"/>
  <c r="AA244" i="8"/>
  <c r="AA245" i="8"/>
  <c r="AA246" i="8"/>
  <c r="AA247" i="8"/>
  <c r="AA248" i="8"/>
  <c r="AA249" i="8"/>
  <c r="AA250" i="8"/>
  <c r="AA251" i="8"/>
  <c r="AA252" i="8"/>
  <c r="AA253" i="8"/>
  <c r="AA254" i="8"/>
  <c r="AA255" i="8"/>
  <c r="AA256" i="8"/>
  <c r="AA257" i="8"/>
  <c r="AA258" i="8"/>
  <c r="AA259" i="8"/>
  <c r="AA260" i="8"/>
  <c r="AA261" i="8"/>
  <c r="AA262" i="8"/>
  <c r="AA263" i="8"/>
  <c r="AA264" i="8"/>
  <c r="AA265" i="8"/>
  <c r="AA266" i="8"/>
  <c r="AA267" i="8"/>
  <c r="AA268" i="8"/>
  <c r="AA269" i="8"/>
  <c r="AA270" i="8"/>
  <c r="AA271" i="8"/>
  <c r="AA272" i="8"/>
  <c r="AA273" i="8"/>
  <c r="AA274" i="8"/>
  <c r="AA275" i="8"/>
  <c r="AA276" i="8"/>
  <c r="AA277" i="8"/>
  <c r="AA278" i="8"/>
  <c r="AA279" i="8"/>
  <c r="AA280" i="8"/>
  <c r="AA281" i="8"/>
  <c r="AA282" i="8"/>
  <c r="AA283" i="8"/>
  <c r="AA284" i="8"/>
  <c r="AA285" i="8"/>
  <c r="AA286" i="8"/>
  <c r="AA287" i="8"/>
  <c r="AA288" i="8"/>
  <c r="AA289" i="8"/>
  <c r="AA290" i="8"/>
  <c r="AA291" i="8"/>
  <c r="AA292" i="8"/>
  <c r="AA293" i="8"/>
  <c r="AA294" i="8"/>
  <c r="AA295" i="8"/>
  <c r="AA296" i="8"/>
  <c r="AA297" i="8"/>
  <c r="AA298" i="8"/>
  <c r="AA299" i="8"/>
  <c r="AA300" i="8"/>
  <c r="AA301" i="8"/>
  <c r="AA302" i="8"/>
  <c r="AA303" i="8"/>
  <c r="AA304" i="8"/>
  <c r="AA305" i="8"/>
  <c r="AA306" i="8"/>
  <c r="AA307" i="8"/>
  <c r="AA308" i="8"/>
  <c r="AA309" i="8"/>
  <c r="AA310" i="8"/>
  <c r="AA311" i="8"/>
  <c r="AA312" i="8"/>
  <c r="AA313" i="8"/>
  <c r="AA314" i="8"/>
  <c r="AA315" i="8"/>
  <c r="AA316" i="8"/>
  <c r="AA317" i="8"/>
  <c r="AA318" i="8"/>
  <c r="AA319" i="8"/>
  <c r="AA320" i="8"/>
  <c r="AA321" i="8"/>
  <c r="AA322" i="8"/>
  <c r="AA323" i="8"/>
  <c r="AA324" i="8"/>
  <c r="AA325" i="8"/>
  <c r="AA326" i="8"/>
  <c r="AA327" i="8"/>
  <c r="AA328" i="8"/>
  <c r="AA329" i="8"/>
  <c r="AA330" i="8"/>
  <c r="AA331" i="8"/>
  <c r="AA332" i="8"/>
  <c r="AA333" i="8"/>
  <c r="AA334" i="8"/>
  <c r="AA335" i="8"/>
  <c r="AA336" i="8"/>
  <c r="AA337" i="8"/>
  <c r="AA338" i="8"/>
  <c r="AA339" i="8"/>
  <c r="AA340" i="8"/>
  <c r="AA341" i="8"/>
  <c r="AA342" i="8"/>
  <c r="AA343" i="8"/>
  <c r="AA344" i="8"/>
  <c r="AA345" i="8"/>
  <c r="AA346" i="8"/>
  <c r="AA347" i="8"/>
  <c r="AA348" i="8"/>
  <c r="AA349" i="8"/>
  <c r="AA350" i="8"/>
  <c r="AA351" i="8"/>
  <c r="AA352" i="8"/>
  <c r="AA353" i="8"/>
  <c r="AA354" i="8"/>
  <c r="AA355" i="8"/>
  <c r="AA356" i="8"/>
  <c r="AA357" i="8"/>
  <c r="AA358" i="8"/>
  <c r="AA359" i="8"/>
  <c r="AA360" i="8"/>
  <c r="AA361" i="8"/>
  <c r="AA362" i="8"/>
  <c r="AA363" i="8"/>
  <c r="AA364" i="8"/>
  <c r="AA365" i="8"/>
  <c r="AA366" i="8"/>
  <c r="AD2" i="8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0" i="8"/>
  <c r="AD91" i="8"/>
  <c r="AD92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5" i="8"/>
  <c r="AD116" i="8"/>
  <c r="AD117" i="8"/>
  <c r="AD118" i="8"/>
  <c r="AD119" i="8"/>
  <c r="AD120" i="8"/>
  <c r="AD121" i="8"/>
  <c r="AD122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58" i="8"/>
  <c r="AD159" i="8"/>
  <c r="AD160" i="8"/>
  <c r="AD161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7" i="8"/>
  <c r="AD198" i="8"/>
  <c r="AD199" i="8"/>
  <c r="AD200" i="8"/>
  <c r="AD201" i="8"/>
  <c r="AD202" i="8"/>
  <c r="AD203" i="8"/>
  <c r="AD204" i="8"/>
  <c r="AD205" i="8"/>
  <c r="AD206" i="8"/>
  <c r="AD207" i="8"/>
  <c r="AD208" i="8"/>
  <c r="AD209" i="8"/>
  <c r="AD210" i="8"/>
  <c r="AD211" i="8"/>
  <c r="AD212" i="8"/>
  <c r="AD213" i="8"/>
  <c r="AD214" i="8"/>
  <c r="AD215" i="8"/>
  <c r="AD216" i="8"/>
  <c r="AD217" i="8"/>
  <c r="AD218" i="8"/>
  <c r="AD219" i="8"/>
  <c r="AD220" i="8"/>
  <c r="AD221" i="8"/>
  <c r="AD222" i="8"/>
  <c r="AD223" i="8"/>
  <c r="AD224" i="8"/>
  <c r="AD225" i="8"/>
  <c r="AD226" i="8"/>
  <c r="AD227" i="8"/>
  <c r="AD228" i="8"/>
  <c r="AD229" i="8"/>
  <c r="AD230" i="8"/>
  <c r="AD231" i="8"/>
  <c r="AD232" i="8"/>
  <c r="AD233" i="8"/>
  <c r="AD234" i="8"/>
  <c r="AD235" i="8"/>
  <c r="AD236" i="8"/>
  <c r="AD237" i="8"/>
  <c r="AD238" i="8"/>
  <c r="AD239" i="8"/>
  <c r="AD240" i="8"/>
  <c r="AD241" i="8"/>
  <c r="AD242" i="8"/>
  <c r="AD243" i="8"/>
  <c r="AD244" i="8"/>
  <c r="AD245" i="8"/>
  <c r="AD246" i="8"/>
  <c r="AD247" i="8"/>
  <c r="AD248" i="8"/>
  <c r="AD249" i="8"/>
  <c r="AD250" i="8"/>
  <c r="AD251" i="8"/>
  <c r="AD252" i="8"/>
  <c r="AD253" i="8"/>
  <c r="AD254" i="8"/>
  <c r="AD255" i="8"/>
  <c r="AD256" i="8"/>
  <c r="AD257" i="8"/>
  <c r="AD258" i="8"/>
  <c r="AD259" i="8"/>
  <c r="AD260" i="8"/>
  <c r="AD261" i="8"/>
  <c r="AD262" i="8"/>
  <c r="AD263" i="8"/>
  <c r="AD264" i="8"/>
  <c r="AD265" i="8"/>
  <c r="AD266" i="8"/>
  <c r="AD267" i="8"/>
  <c r="AD268" i="8"/>
  <c r="AD269" i="8"/>
  <c r="AD270" i="8"/>
  <c r="AD271" i="8"/>
  <c r="AD272" i="8"/>
  <c r="AD273" i="8"/>
  <c r="AD274" i="8"/>
  <c r="AD275" i="8"/>
  <c r="AD276" i="8"/>
  <c r="AD277" i="8"/>
  <c r="AD278" i="8"/>
  <c r="AD279" i="8"/>
  <c r="AD280" i="8"/>
  <c r="AD281" i="8"/>
  <c r="AD282" i="8"/>
  <c r="AD283" i="8"/>
  <c r="AD284" i="8"/>
  <c r="AD285" i="8"/>
  <c r="AD286" i="8"/>
  <c r="AD287" i="8"/>
  <c r="AD288" i="8"/>
  <c r="AD289" i="8"/>
  <c r="AD290" i="8"/>
  <c r="AD291" i="8"/>
  <c r="AD292" i="8"/>
  <c r="AD293" i="8"/>
  <c r="AD294" i="8"/>
  <c r="AD295" i="8"/>
  <c r="AD296" i="8"/>
  <c r="AD297" i="8"/>
  <c r="AD298" i="8"/>
  <c r="AD299" i="8"/>
  <c r="AD300" i="8"/>
  <c r="AD301" i="8"/>
  <c r="AD302" i="8"/>
  <c r="AD303" i="8"/>
  <c r="AD304" i="8"/>
  <c r="AD305" i="8"/>
  <c r="AD306" i="8"/>
  <c r="AD307" i="8"/>
  <c r="AD308" i="8"/>
  <c r="AD309" i="8"/>
  <c r="AD310" i="8"/>
  <c r="AD311" i="8"/>
  <c r="AD312" i="8"/>
  <c r="AD313" i="8"/>
  <c r="AD314" i="8"/>
  <c r="AD315" i="8"/>
  <c r="AD316" i="8"/>
  <c r="AD317" i="8"/>
  <c r="AD318" i="8"/>
  <c r="AD319" i="8"/>
  <c r="AD320" i="8"/>
  <c r="AD321" i="8"/>
  <c r="AD322" i="8"/>
  <c r="AD323" i="8"/>
  <c r="AD324" i="8"/>
  <c r="AD325" i="8"/>
  <c r="AD326" i="8"/>
  <c r="AD327" i="8"/>
  <c r="AD328" i="8"/>
  <c r="AD329" i="8"/>
  <c r="AD330" i="8"/>
  <c r="AD331" i="8"/>
  <c r="AD332" i="8"/>
  <c r="AD333" i="8"/>
  <c r="AD334" i="8"/>
  <c r="AD335" i="8"/>
  <c r="AD336" i="8"/>
  <c r="AD337" i="8"/>
  <c r="AD338" i="8"/>
  <c r="AD339" i="8"/>
  <c r="AD340" i="8"/>
  <c r="AD341" i="8"/>
  <c r="AD342" i="8"/>
  <c r="AD343" i="8"/>
  <c r="AD344" i="8"/>
  <c r="AD345" i="8"/>
  <c r="AD346" i="8"/>
  <c r="AD347" i="8"/>
  <c r="AD348" i="8"/>
  <c r="AD349" i="8"/>
  <c r="AD350" i="8"/>
  <c r="AD351" i="8"/>
  <c r="AD352" i="8"/>
  <c r="AD353" i="8"/>
  <c r="AD354" i="8"/>
  <c r="AD355" i="8"/>
  <c r="AD356" i="8"/>
  <c r="AD357" i="8"/>
  <c r="AD358" i="8"/>
  <c r="AD359" i="8"/>
  <c r="AD360" i="8"/>
  <c r="AD361" i="8"/>
  <c r="AD362" i="8"/>
  <c r="AD363" i="8"/>
  <c r="AD364" i="8"/>
  <c r="AD365" i="8"/>
  <c r="AD366" i="8"/>
  <c r="AH2" i="8"/>
  <c r="AH3" i="8"/>
  <c r="AH4" i="8"/>
  <c r="AH5" i="8"/>
  <c r="AH6" i="8"/>
  <c r="AH7" i="8"/>
  <c r="AH8" i="8"/>
  <c r="AH9" i="8"/>
  <c r="AH10" i="8"/>
  <c r="AH11" i="8"/>
  <c r="AH12" i="8"/>
  <c r="AH13" i="8"/>
  <c r="AH14" i="8"/>
  <c r="AH15" i="8"/>
  <c r="AH16" i="8"/>
  <c r="AH17" i="8"/>
  <c r="AH18" i="8"/>
  <c r="AH19" i="8"/>
  <c r="AH20" i="8"/>
  <c r="AH21" i="8"/>
  <c r="AH22" i="8"/>
  <c r="AH23" i="8"/>
  <c r="AH24" i="8"/>
  <c r="AH25" i="8"/>
  <c r="AH26" i="8"/>
  <c r="AH27" i="8"/>
  <c r="AH28" i="8"/>
  <c r="AH29" i="8"/>
  <c r="AH30" i="8"/>
  <c r="AH31" i="8"/>
  <c r="AH32" i="8"/>
  <c r="AH33" i="8"/>
  <c r="AH34" i="8"/>
  <c r="AH35" i="8"/>
  <c r="AH36" i="8"/>
  <c r="AH37" i="8"/>
  <c r="AH38" i="8"/>
  <c r="AH39" i="8"/>
  <c r="AH40" i="8"/>
  <c r="AH41" i="8"/>
  <c r="AH42" i="8"/>
  <c r="AH43" i="8"/>
  <c r="AH44" i="8"/>
  <c r="AH45" i="8"/>
  <c r="AH46" i="8"/>
  <c r="AH47" i="8"/>
  <c r="AH48" i="8"/>
  <c r="AH49" i="8"/>
  <c r="AH50" i="8"/>
  <c r="AH51" i="8"/>
  <c r="AH52" i="8"/>
  <c r="AH53" i="8"/>
  <c r="AH54" i="8"/>
  <c r="AH55" i="8"/>
  <c r="AH56" i="8"/>
  <c r="AH57" i="8"/>
  <c r="AH58" i="8"/>
  <c r="AH59" i="8"/>
  <c r="AH60" i="8"/>
  <c r="AH61" i="8"/>
  <c r="AH62" i="8"/>
  <c r="AH63" i="8"/>
  <c r="AH64" i="8"/>
  <c r="AH65" i="8"/>
  <c r="AH66" i="8"/>
  <c r="AH67" i="8"/>
  <c r="AH68" i="8"/>
  <c r="AH69" i="8"/>
  <c r="AH70" i="8"/>
  <c r="AH71" i="8"/>
  <c r="AH72" i="8"/>
  <c r="AH73" i="8"/>
  <c r="AH74" i="8"/>
  <c r="AH75" i="8"/>
  <c r="AH76" i="8"/>
  <c r="AH77" i="8"/>
  <c r="AH78" i="8"/>
  <c r="AH79" i="8"/>
  <c r="AH80" i="8"/>
  <c r="AH81" i="8"/>
  <c r="AH82" i="8"/>
  <c r="AH83" i="8"/>
  <c r="AH84" i="8"/>
  <c r="AH85" i="8"/>
  <c r="AH86" i="8"/>
  <c r="AH87" i="8"/>
  <c r="AH88" i="8"/>
  <c r="AH89" i="8"/>
  <c r="AH90" i="8"/>
  <c r="AH91" i="8"/>
  <c r="AH92" i="8"/>
  <c r="AH93" i="8"/>
  <c r="AH94" i="8"/>
  <c r="AH95" i="8"/>
  <c r="AH96" i="8"/>
  <c r="AH97" i="8"/>
  <c r="AH98" i="8"/>
  <c r="AH99" i="8"/>
  <c r="AH100" i="8"/>
  <c r="AH101" i="8"/>
  <c r="AH102" i="8"/>
  <c r="AH103" i="8"/>
  <c r="AH104" i="8"/>
  <c r="AH105" i="8"/>
  <c r="AH106" i="8"/>
  <c r="AH107" i="8"/>
  <c r="AH108" i="8"/>
  <c r="AH109" i="8"/>
  <c r="AH110" i="8"/>
  <c r="AH111" i="8"/>
  <c r="AH112" i="8"/>
  <c r="AH113" i="8"/>
  <c r="AH114" i="8"/>
  <c r="AH115" i="8"/>
  <c r="AH116" i="8"/>
  <c r="AH117" i="8"/>
  <c r="AH118" i="8"/>
  <c r="AH119" i="8"/>
  <c r="AH120" i="8"/>
  <c r="AH121" i="8"/>
  <c r="AH122" i="8"/>
  <c r="AH123" i="8"/>
  <c r="AH124" i="8"/>
  <c r="AH125" i="8"/>
  <c r="AH126" i="8"/>
  <c r="AH127" i="8"/>
  <c r="AH128" i="8"/>
  <c r="AH129" i="8"/>
  <c r="AH130" i="8"/>
  <c r="AH131" i="8"/>
  <c r="AH132" i="8"/>
  <c r="AH133" i="8"/>
  <c r="AH134" i="8"/>
  <c r="AH135" i="8"/>
  <c r="AH136" i="8"/>
  <c r="AH137" i="8"/>
  <c r="AH138" i="8"/>
  <c r="AH139" i="8"/>
  <c r="AH140" i="8"/>
  <c r="AH141" i="8"/>
  <c r="AH142" i="8"/>
  <c r="AH143" i="8"/>
  <c r="AH144" i="8"/>
  <c r="AH145" i="8"/>
  <c r="AH146" i="8"/>
  <c r="AH147" i="8"/>
  <c r="AH148" i="8"/>
  <c r="AH149" i="8"/>
  <c r="AH150" i="8"/>
  <c r="AH151" i="8"/>
  <c r="AH152" i="8"/>
  <c r="AH153" i="8"/>
  <c r="AH154" i="8"/>
  <c r="AH155" i="8"/>
  <c r="AH156" i="8"/>
  <c r="AH157" i="8"/>
  <c r="AH158" i="8"/>
  <c r="AH159" i="8"/>
  <c r="AH160" i="8"/>
  <c r="AH161" i="8"/>
  <c r="AH162" i="8"/>
  <c r="AH163" i="8"/>
  <c r="AH164" i="8"/>
  <c r="AH165" i="8"/>
  <c r="AH166" i="8"/>
  <c r="AH167" i="8"/>
  <c r="AH168" i="8"/>
  <c r="AH169" i="8"/>
  <c r="AH170" i="8"/>
  <c r="AH171" i="8"/>
  <c r="AH172" i="8"/>
  <c r="AH173" i="8"/>
  <c r="AH174" i="8"/>
  <c r="AH175" i="8"/>
  <c r="AH176" i="8"/>
  <c r="AH177" i="8"/>
  <c r="AH178" i="8"/>
  <c r="AH179" i="8"/>
  <c r="AH180" i="8"/>
  <c r="AH181" i="8"/>
  <c r="AH182" i="8"/>
  <c r="AH183" i="8"/>
  <c r="AH184" i="8"/>
  <c r="AH185" i="8"/>
  <c r="AH186" i="8"/>
  <c r="AH187" i="8"/>
  <c r="AH188" i="8"/>
  <c r="AH189" i="8"/>
  <c r="AH190" i="8"/>
  <c r="AH191" i="8"/>
  <c r="AH192" i="8"/>
  <c r="AH193" i="8"/>
  <c r="AH194" i="8"/>
  <c r="AH195" i="8"/>
  <c r="AH196" i="8"/>
  <c r="AH197" i="8"/>
  <c r="AH198" i="8"/>
  <c r="AH199" i="8"/>
  <c r="AH200" i="8"/>
  <c r="AH201" i="8"/>
  <c r="AH202" i="8"/>
  <c r="AH203" i="8"/>
  <c r="AH204" i="8"/>
  <c r="AH205" i="8"/>
  <c r="AH206" i="8"/>
  <c r="AH207" i="8"/>
  <c r="AH208" i="8"/>
  <c r="AH209" i="8"/>
  <c r="AH210" i="8"/>
  <c r="AH211" i="8"/>
  <c r="AH212" i="8"/>
  <c r="AH213" i="8"/>
  <c r="AH214" i="8"/>
  <c r="AH215" i="8"/>
  <c r="AH216" i="8"/>
  <c r="AH217" i="8"/>
  <c r="AH218" i="8"/>
  <c r="AH219" i="8"/>
  <c r="AH220" i="8"/>
  <c r="AH221" i="8"/>
  <c r="AH222" i="8"/>
  <c r="AH223" i="8"/>
  <c r="AH224" i="8"/>
  <c r="AH225" i="8"/>
  <c r="AH226" i="8"/>
  <c r="AH227" i="8"/>
  <c r="AH228" i="8"/>
  <c r="AH229" i="8"/>
  <c r="AH230" i="8"/>
  <c r="AH231" i="8"/>
  <c r="AH232" i="8"/>
  <c r="AH233" i="8"/>
  <c r="AH234" i="8"/>
  <c r="AH235" i="8"/>
  <c r="AH236" i="8"/>
  <c r="AH237" i="8"/>
  <c r="AH238" i="8"/>
  <c r="AH239" i="8"/>
  <c r="AH240" i="8"/>
  <c r="AH241" i="8"/>
  <c r="AH242" i="8"/>
  <c r="AH243" i="8"/>
  <c r="AH244" i="8"/>
  <c r="AH245" i="8"/>
  <c r="AH246" i="8"/>
  <c r="AH247" i="8"/>
  <c r="AH248" i="8"/>
  <c r="AH249" i="8"/>
  <c r="AH250" i="8"/>
  <c r="AH251" i="8"/>
  <c r="AH252" i="8"/>
  <c r="AH253" i="8"/>
  <c r="AH254" i="8"/>
  <c r="AH255" i="8"/>
  <c r="AH256" i="8"/>
  <c r="AH257" i="8"/>
  <c r="AH258" i="8"/>
  <c r="AH259" i="8"/>
  <c r="AH260" i="8"/>
  <c r="AH261" i="8"/>
  <c r="AH262" i="8"/>
  <c r="AH263" i="8"/>
  <c r="AH264" i="8"/>
  <c r="AH265" i="8"/>
  <c r="AH266" i="8"/>
  <c r="AH267" i="8"/>
  <c r="AH268" i="8"/>
  <c r="AH269" i="8"/>
  <c r="AH270" i="8"/>
  <c r="AH271" i="8"/>
  <c r="AH272" i="8"/>
  <c r="AH273" i="8"/>
  <c r="AH274" i="8"/>
  <c r="AH275" i="8"/>
  <c r="AH276" i="8"/>
  <c r="AH277" i="8"/>
  <c r="AH278" i="8"/>
  <c r="AH279" i="8"/>
  <c r="AH280" i="8"/>
  <c r="AH281" i="8"/>
  <c r="AH282" i="8"/>
  <c r="AH283" i="8"/>
  <c r="AH284" i="8"/>
  <c r="AH285" i="8"/>
  <c r="AH286" i="8"/>
  <c r="AH287" i="8"/>
  <c r="AH288" i="8"/>
  <c r="AH289" i="8"/>
  <c r="AH290" i="8"/>
  <c r="AH291" i="8"/>
  <c r="AH292" i="8"/>
  <c r="AH293" i="8"/>
  <c r="AH294" i="8"/>
  <c r="AH295" i="8"/>
  <c r="AH296" i="8"/>
  <c r="AH297" i="8"/>
  <c r="AH298" i="8"/>
  <c r="AH299" i="8"/>
  <c r="AH300" i="8"/>
  <c r="AH301" i="8"/>
  <c r="AH302" i="8"/>
  <c r="AH303" i="8"/>
  <c r="AH304" i="8"/>
  <c r="AH305" i="8"/>
  <c r="AH306" i="8"/>
  <c r="AH307" i="8"/>
  <c r="AH308" i="8"/>
  <c r="AH309" i="8"/>
  <c r="AH310" i="8"/>
  <c r="AH311" i="8"/>
  <c r="AH312" i="8"/>
  <c r="AH313" i="8"/>
  <c r="AH314" i="8"/>
  <c r="AH315" i="8"/>
  <c r="AH316" i="8"/>
  <c r="AH317" i="8"/>
  <c r="AH318" i="8"/>
  <c r="AH319" i="8"/>
  <c r="AH320" i="8"/>
  <c r="AH321" i="8"/>
  <c r="AH322" i="8"/>
  <c r="AH323" i="8"/>
  <c r="AH324" i="8"/>
  <c r="AH325" i="8"/>
  <c r="AH326" i="8"/>
  <c r="AH327" i="8"/>
  <c r="AH328" i="8"/>
  <c r="AH329" i="8"/>
  <c r="AH330" i="8"/>
  <c r="AH331" i="8"/>
  <c r="AH332" i="8"/>
  <c r="AH333" i="8"/>
  <c r="AH334" i="8"/>
  <c r="AH335" i="8"/>
  <c r="AH336" i="8"/>
  <c r="AH337" i="8"/>
  <c r="AH338" i="8"/>
  <c r="AH339" i="8"/>
  <c r="AH340" i="8"/>
  <c r="AH341" i="8"/>
  <c r="AH342" i="8"/>
  <c r="AH343" i="8"/>
  <c r="AH344" i="8"/>
  <c r="AH345" i="8"/>
  <c r="AH346" i="8"/>
  <c r="AH347" i="8"/>
  <c r="AH348" i="8"/>
  <c r="AH349" i="8"/>
  <c r="AH350" i="8"/>
  <c r="AH351" i="8"/>
  <c r="AH352" i="8"/>
  <c r="AH353" i="8"/>
  <c r="AH354" i="8"/>
  <c r="AH355" i="8"/>
  <c r="AH356" i="8"/>
  <c r="AH357" i="8"/>
  <c r="AH358" i="8"/>
  <c r="AH359" i="8"/>
  <c r="AH360" i="8"/>
  <c r="AH361" i="8"/>
  <c r="AH362" i="8"/>
  <c r="AH363" i="8"/>
  <c r="AH364" i="8"/>
  <c r="AH365" i="8"/>
  <c r="AH366" i="8"/>
  <c r="AJ2" i="8"/>
  <c r="AJ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24" i="8"/>
  <c r="AJ25" i="8"/>
  <c r="AJ26" i="8"/>
  <c r="AJ27" i="8"/>
  <c r="AJ28" i="8"/>
  <c r="AJ29" i="8"/>
  <c r="AJ30" i="8"/>
  <c r="AJ31" i="8"/>
  <c r="AJ32" i="8"/>
  <c r="AJ33" i="8"/>
  <c r="AJ34" i="8"/>
  <c r="AJ35" i="8"/>
  <c r="AJ36" i="8"/>
  <c r="AJ37" i="8"/>
  <c r="AJ38" i="8"/>
  <c r="AJ39" i="8"/>
  <c r="AJ40" i="8"/>
  <c r="AJ41" i="8"/>
  <c r="AJ42" i="8"/>
  <c r="AJ43" i="8"/>
  <c r="AJ44" i="8"/>
  <c r="AJ45" i="8"/>
  <c r="AJ46" i="8"/>
  <c r="AJ47" i="8"/>
  <c r="AJ48" i="8"/>
  <c r="AJ49" i="8"/>
  <c r="AJ50" i="8"/>
  <c r="AJ51" i="8"/>
  <c r="AJ52" i="8"/>
  <c r="AJ53" i="8"/>
  <c r="AJ54" i="8"/>
  <c r="AJ55" i="8"/>
  <c r="AJ56" i="8"/>
  <c r="AJ57" i="8"/>
  <c r="AJ58" i="8"/>
  <c r="AJ59" i="8"/>
  <c r="AJ60" i="8"/>
  <c r="AJ61" i="8"/>
  <c r="AJ62" i="8"/>
  <c r="AJ63" i="8"/>
  <c r="AJ64" i="8"/>
  <c r="AJ65" i="8"/>
  <c r="AJ66" i="8"/>
  <c r="AJ67" i="8"/>
  <c r="AJ68" i="8"/>
  <c r="AJ69" i="8"/>
  <c r="AJ70" i="8"/>
  <c r="AJ71" i="8"/>
  <c r="AJ72" i="8"/>
  <c r="AJ73" i="8"/>
  <c r="AJ74" i="8"/>
  <c r="AJ75" i="8"/>
  <c r="AJ76" i="8"/>
  <c r="AJ77" i="8"/>
  <c r="AJ78" i="8"/>
  <c r="AJ79" i="8"/>
  <c r="AJ80" i="8"/>
  <c r="AJ81" i="8"/>
  <c r="AJ82" i="8"/>
  <c r="AJ83" i="8"/>
  <c r="AJ84" i="8"/>
  <c r="AJ85" i="8"/>
  <c r="AJ86" i="8"/>
  <c r="AJ87" i="8"/>
  <c r="AJ88" i="8"/>
  <c r="AJ89" i="8"/>
  <c r="AJ90" i="8"/>
  <c r="AJ91" i="8"/>
  <c r="AJ92" i="8"/>
  <c r="AJ93" i="8"/>
  <c r="AJ94" i="8"/>
  <c r="AJ95" i="8"/>
  <c r="AJ96" i="8"/>
  <c r="AJ97" i="8"/>
  <c r="AJ98" i="8"/>
  <c r="AJ99" i="8"/>
  <c r="AJ100" i="8"/>
  <c r="AJ101" i="8"/>
  <c r="AJ102" i="8"/>
  <c r="AJ103" i="8"/>
  <c r="AJ104" i="8"/>
  <c r="AJ105" i="8"/>
  <c r="AJ106" i="8"/>
  <c r="AJ107" i="8"/>
  <c r="AJ108" i="8"/>
  <c r="AJ109" i="8"/>
  <c r="AJ110" i="8"/>
  <c r="AJ111" i="8"/>
  <c r="AJ112" i="8"/>
  <c r="AJ113" i="8"/>
  <c r="AJ114" i="8"/>
  <c r="AJ115" i="8"/>
  <c r="AJ116" i="8"/>
  <c r="AJ117" i="8"/>
  <c r="AJ118" i="8"/>
  <c r="AJ119" i="8"/>
  <c r="AJ120" i="8"/>
  <c r="AJ121" i="8"/>
  <c r="AJ122" i="8"/>
  <c r="AJ123" i="8"/>
  <c r="AJ124" i="8"/>
  <c r="AJ125" i="8"/>
  <c r="AJ126" i="8"/>
  <c r="AJ127" i="8"/>
  <c r="AJ128" i="8"/>
  <c r="AJ129" i="8"/>
  <c r="AJ130" i="8"/>
  <c r="AJ131" i="8"/>
  <c r="AJ132" i="8"/>
  <c r="AJ133" i="8"/>
  <c r="AJ134" i="8"/>
  <c r="AJ135" i="8"/>
  <c r="AJ136" i="8"/>
  <c r="AJ137" i="8"/>
  <c r="AJ138" i="8"/>
  <c r="AJ139" i="8"/>
  <c r="AJ140" i="8"/>
  <c r="AJ141" i="8"/>
  <c r="AJ142" i="8"/>
  <c r="AJ143" i="8"/>
  <c r="AJ144" i="8"/>
  <c r="AJ145" i="8"/>
  <c r="AJ146" i="8"/>
  <c r="AJ147" i="8"/>
  <c r="AJ148" i="8"/>
  <c r="AJ149" i="8"/>
  <c r="AJ150" i="8"/>
  <c r="AJ151" i="8"/>
  <c r="AJ152" i="8"/>
  <c r="AJ153" i="8"/>
  <c r="AJ154" i="8"/>
  <c r="AJ155" i="8"/>
  <c r="AJ156" i="8"/>
  <c r="AJ157" i="8"/>
  <c r="AJ158" i="8"/>
  <c r="AJ159" i="8"/>
  <c r="AJ160" i="8"/>
  <c r="AJ161" i="8"/>
  <c r="AJ162" i="8"/>
  <c r="AJ163" i="8"/>
  <c r="AJ164" i="8"/>
  <c r="AJ165" i="8"/>
  <c r="AJ166" i="8"/>
  <c r="AJ167" i="8"/>
  <c r="AJ168" i="8"/>
  <c r="AJ169" i="8"/>
  <c r="AJ170" i="8"/>
  <c r="AJ171" i="8"/>
  <c r="AJ172" i="8"/>
  <c r="AJ173" i="8"/>
  <c r="AJ174" i="8"/>
  <c r="AJ175" i="8"/>
  <c r="AJ176" i="8"/>
  <c r="AJ177" i="8"/>
  <c r="AJ178" i="8"/>
  <c r="AJ179" i="8"/>
  <c r="AJ180" i="8"/>
  <c r="AJ181" i="8"/>
  <c r="AJ182" i="8"/>
  <c r="AJ183" i="8"/>
  <c r="AJ184" i="8"/>
  <c r="AJ185" i="8"/>
  <c r="AJ186" i="8"/>
  <c r="AJ187" i="8"/>
  <c r="AJ188" i="8"/>
  <c r="AJ189" i="8"/>
  <c r="AJ190" i="8"/>
  <c r="AJ191" i="8"/>
  <c r="AJ192" i="8"/>
  <c r="AJ193" i="8"/>
  <c r="AJ194" i="8"/>
  <c r="AJ195" i="8"/>
  <c r="AJ196" i="8"/>
  <c r="AJ197" i="8"/>
  <c r="AJ198" i="8"/>
  <c r="AJ199" i="8"/>
  <c r="AJ200" i="8"/>
  <c r="AJ201" i="8"/>
  <c r="AJ202" i="8"/>
  <c r="AJ203" i="8"/>
  <c r="AJ204" i="8"/>
  <c r="AJ205" i="8"/>
  <c r="AJ206" i="8"/>
  <c r="AJ207" i="8"/>
  <c r="AJ208" i="8"/>
  <c r="AJ209" i="8"/>
  <c r="AJ210" i="8"/>
  <c r="AJ211" i="8"/>
  <c r="AJ212" i="8"/>
  <c r="AJ213" i="8"/>
  <c r="AJ214" i="8"/>
  <c r="AJ215" i="8"/>
  <c r="AJ216" i="8"/>
  <c r="AJ217" i="8"/>
  <c r="AJ218" i="8"/>
  <c r="AJ219" i="8"/>
  <c r="AJ220" i="8"/>
  <c r="AJ221" i="8"/>
  <c r="AJ222" i="8"/>
  <c r="AJ223" i="8"/>
  <c r="AJ224" i="8"/>
  <c r="AJ225" i="8"/>
  <c r="AJ226" i="8"/>
  <c r="AJ227" i="8"/>
  <c r="AJ228" i="8"/>
  <c r="AJ229" i="8"/>
  <c r="AJ230" i="8"/>
  <c r="AJ231" i="8"/>
  <c r="AJ232" i="8"/>
  <c r="AJ233" i="8"/>
  <c r="AJ234" i="8"/>
  <c r="AJ235" i="8"/>
  <c r="AJ236" i="8"/>
  <c r="AJ237" i="8"/>
  <c r="AJ238" i="8"/>
  <c r="AJ239" i="8"/>
  <c r="AJ240" i="8"/>
  <c r="AJ241" i="8"/>
  <c r="AJ242" i="8"/>
  <c r="AJ243" i="8"/>
  <c r="AJ244" i="8"/>
  <c r="AJ245" i="8"/>
  <c r="AJ246" i="8"/>
  <c r="AJ247" i="8"/>
  <c r="AJ248" i="8"/>
  <c r="AJ249" i="8"/>
  <c r="AJ250" i="8"/>
  <c r="AJ251" i="8"/>
  <c r="AJ252" i="8"/>
  <c r="AJ253" i="8"/>
  <c r="AJ254" i="8"/>
  <c r="AJ255" i="8"/>
  <c r="AJ256" i="8"/>
  <c r="AJ257" i="8"/>
  <c r="AJ258" i="8"/>
  <c r="AJ259" i="8"/>
  <c r="AJ260" i="8"/>
  <c r="AJ261" i="8"/>
  <c r="AJ262" i="8"/>
  <c r="AJ263" i="8"/>
  <c r="AJ264" i="8"/>
  <c r="AJ265" i="8"/>
  <c r="AJ266" i="8"/>
  <c r="AJ267" i="8"/>
  <c r="AJ268" i="8"/>
  <c r="AJ269" i="8"/>
  <c r="AJ270" i="8"/>
  <c r="AJ271" i="8"/>
  <c r="AJ272" i="8"/>
  <c r="AJ273" i="8"/>
  <c r="AJ274" i="8"/>
  <c r="AJ275" i="8"/>
  <c r="AJ276" i="8"/>
  <c r="AJ277" i="8"/>
  <c r="AJ278" i="8"/>
  <c r="AJ279" i="8"/>
  <c r="AJ280" i="8"/>
  <c r="AJ281" i="8"/>
  <c r="AJ282" i="8"/>
  <c r="AJ283" i="8"/>
  <c r="AJ284" i="8"/>
  <c r="AJ285" i="8"/>
  <c r="AJ286" i="8"/>
  <c r="AJ287" i="8"/>
  <c r="AJ288" i="8"/>
  <c r="AJ289" i="8"/>
  <c r="AJ290" i="8"/>
  <c r="AJ291" i="8"/>
  <c r="AJ292" i="8"/>
  <c r="AJ293" i="8"/>
  <c r="AJ294" i="8"/>
  <c r="AJ295" i="8"/>
  <c r="AJ296" i="8"/>
  <c r="AJ297" i="8"/>
  <c r="AJ298" i="8"/>
  <c r="AJ299" i="8"/>
  <c r="AJ300" i="8"/>
  <c r="AJ301" i="8"/>
  <c r="AJ302" i="8"/>
  <c r="AJ303" i="8"/>
  <c r="AJ304" i="8"/>
  <c r="AJ305" i="8"/>
  <c r="AJ306" i="8"/>
  <c r="AJ307" i="8"/>
  <c r="AJ308" i="8"/>
  <c r="AJ309" i="8"/>
  <c r="AJ310" i="8"/>
  <c r="AJ311" i="8"/>
  <c r="AJ312" i="8"/>
  <c r="AJ313" i="8"/>
  <c r="AJ314" i="8"/>
  <c r="AJ315" i="8"/>
  <c r="AJ316" i="8"/>
  <c r="AJ317" i="8"/>
  <c r="AJ318" i="8"/>
  <c r="AJ319" i="8"/>
  <c r="AJ320" i="8"/>
  <c r="AJ321" i="8"/>
  <c r="AJ322" i="8"/>
  <c r="AJ323" i="8"/>
  <c r="AJ324" i="8"/>
  <c r="AJ325" i="8"/>
  <c r="AJ326" i="8"/>
  <c r="AJ327" i="8"/>
  <c r="AJ328" i="8"/>
  <c r="AJ329" i="8"/>
  <c r="AJ330" i="8"/>
  <c r="AJ331" i="8"/>
  <c r="AJ332" i="8"/>
  <c r="AJ333" i="8"/>
  <c r="AJ334" i="8"/>
  <c r="AJ335" i="8"/>
  <c r="AJ336" i="8"/>
  <c r="AJ337" i="8"/>
  <c r="AJ338" i="8"/>
  <c r="AJ339" i="8"/>
  <c r="AJ340" i="8"/>
  <c r="AJ341" i="8"/>
  <c r="AJ342" i="8"/>
  <c r="AJ343" i="8"/>
  <c r="AJ344" i="8"/>
  <c r="AJ345" i="8"/>
  <c r="AJ346" i="8"/>
  <c r="AJ347" i="8"/>
  <c r="AJ348" i="8"/>
  <c r="AJ349" i="8"/>
  <c r="AJ350" i="8"/>
  <c r="AJ351" i="8"/>
  <c r="AJ352" i="8"/>
  <c r="AJ353" i="8"/>
  <c r="AJ354" i="8"/>
  <c r="AJ355" i="8"/>
  <c r="AJ356" i="8"/>
  <c r="AJ357" i="8"/>
  <c r="AJ358" i="8"/>
  <c r="AJ359" i="8"/>
  <c r="AJ360" i="8"/>
  <c r="AJ361" i="8"/>
  <c r="AJ362" i="8"/>
  <c r="AJ363" i="8"/>
  <c r="AJ364" i="8"/>
  <c r="AJ365" i="8"/>
  <c r="AJ366" i="8"/>
  <c r="AN2" i="8"/>
  <c r="AN3" i="8"/>
  <c r="AN4" i="8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N26" i="8"/>
  <c r="AN27" i="8"/>
  <c r="AN28" i="8"/>
  <c r="AN29" i="8"/>
  <c r="AN30" i="8"/>
  <c r="AN31" i="8"/>
  <c r="AN32" i="8"/>
  <c r="AN33" i="8"/>
  <c r="AN34" i="8"/>
  <c r="AN35" i="8"/>
  <c r="AN36" i="8"/>
  <c r="AN37" i="8"/>
  <c r="AN38" i="8"/>
  <c r="AN39" i="8"/>
  <c r="AN40" i="8"/>
  <c r="AN41" i="8"/>
  <c r="AN42" i="8"/>
  <c r="AN43" i="8"/>
  <c r="AN44" i="8"/>
  <c r="AN45" i="8"/>
  <c r="AN46" i="8"/>
  <c r="AN47" i="8"/>
  <c r="AN48" i="8"/>
  <c r="AN49" i="8"/>
  <c r="AN50" i="8"/>
  <c r="AN51" i="8"/>
  <c r="AN52" i="8"/>
  <c r="AN53" i="8"/>
  <c r="AN54" i="8"/>
  <c r="AN55" i="8"/>
  <c r="AN56" i="8"/>
  <c r="AN57" i="8"/>
  <c r="AN58" i="8"/>
  <c r="AN59" i="8"/>
  <c r="AN60" i="8"/>
  <c r="AN61" i="8"/>
  <c r="AN62" i="8"/>
  <c r="AN63" i="8"/>
  <c r="AN64" i="8"/>
  <c r="AN65" i="8"/>
  <c r="AN66" i="8"/>
  <c r="AN67" i="8"/>
  <c r="AN68" i="8"/>
  <c r="AN69" i="8"/>
  <c r="AN70" i="8"/>
  <c r="AN71" i="8"/>
  <c r="AN72" i="8"/>
  <c r="AN73" i="8"/>
  <c r="AN74" i="8"/>
  <c r="AN75" i="8"/>
  <c r="AN76" i="8"/>
  <c r="AN77" i="8"/>
  <c r="AN78" i="8"/>
  <c r="AN79" i="8"/>
  <c r="AN80" i="8"/>
  <c r="AN81" i="8"/>
  <c r="AN82" i="8"/>
  <c r="AN83" i="8"/>
  <c r="AN84" i="8"/>
  <c r="AN85" i="8"/>
  <c r="AN86" i="8"/>
  <c r="AN87" i="8"/>
  <c r="AN88" i="8"/>
  <c r="AN89" i="8"/>
  <c r="AN90" i="8"/>
  <c r="AN91" i="8"/>
  <c r="AN92" i="8"/>
  <c r="AN93" i="8"/>
  <c r="AN94" i="8"/>
  <c r="AN95" i="8"/>
  <c r="AN96" i="8"/>
  <c r="AN97" i="8"/>
  <c r="AN98" i="8"/>
  <c r="AN99" i="8"/>
  <c r="AN100" i="8"/>
  <c r="AN101" i="8"/>
  <c r="AN102" i="8"/>
  <c r="AN103" i="8"/>
  <c r="AN104" i="8"/>
  <c r="AN105" i="8"/>
  <c r="AN106" i="8"/>
  <c r="AN107" i="8"/>
  <c r="AN108" i="8"/>
  <c r="AN109" i="8"/>
  <c r="AN110" i="8"/>
  <c r="AN111" i="8"/>
  <c r="AN112" i="8"/>
  <c r="AN113" i="8"/>
  <c r="AN114" i="8"/>
  <c r="AN115" i="8"/>
  <c r="AN116" i="8"/>
  <c r="AN117" i="8"/>
  <c r="AN118" i="8"/>
  <c r="AN119" i="8"/>
  <c r="AN120" i="8"/>
  <c r="AN121" i="8"/>
  <c r="AN122" i="8"/>
  <c r="AN123" i="8"/>
  <c r="AN124" i="8"/>
  <c r="AN125" i="8"/>
  <c r="AN126" i="8"/>
  <c r="AN127" i="8"/>
  <c r="AN128" i="8"/>
  <c r="AN129" i="8"/>
  <c r="AN130" i="8"/>
  <c r="AN131" i="8"/>
  <c r="AN132" i="8"/>
  <c r="AN133" i="8"/>
  <c r="AN134" i="8"/>
  <c r="AN135" i="8"/>
  <c r="AN136" i="8"/>
  <c r="AN137" i="8"/>
  <c r="AN138" i="8"/>
  <c r="AN139" i="8"/>
  <c r="AN140" i="8"/>
  <c r="AN141" i="8"/>
  <c r="AN142" i="8"/>
  <c r="AN143" i="8"/>
  <c r="AN144" i="8"/>
  <c r="AN145" i="8"/>
  <c r="AN146" i="8"/>
  <c r="AN147" i="8"/>
  <c r="AN148" i="8"/>
  <c r="AN149" i="8"/>
  <c r="AN150" i="8"/>
  <c r="AN151" i="8"/>
  <c r="AN152" i="8"/>
  <c r="AN153" i="8"/>
  <c r="AN154" i="8"/>
  <c r="AN155" i="8"/>
  <c r="AN156" i="8"/>
  <c r="AN157" i="8"/>
  <c r="AN158" i="8"/>
  <c r="AN159" i="8"/>
  <c r="AN160" i="8"/>
  <c r="AN161" i="8"/>
  <c r="AN162" i="8"/>
  <c r="AN163" i="8"/>
  <c r="AN164" i="8"/>
  <c r="AN165" i="8"/>
  <c r="AN166" i="8"/>
  <c r="AN167" i="8"/>
  <c r="AN168" i="8"/>
  <c r="AN169" i="8"/>
  <c r="AN170" i="8"/>
  <c r="AN171" i="8"/>
  <c r="AN172" i="8"/>
  <c r="AN173" i="8"/>
  <c r="AN174" i="8"/>
  <c r="AN175" i="8"/>
  <c r="AN176" i="8"/>
  <c r="AN177" i="8"/>
  <c r="AN178" i="8"/>
  <c r="AN179" i="8"/>
  <c r="AN180" i="8"/>
  <c r="AN181" i="8"/>
  <c r="AN182" i="8"/>
  <c r="AN183" i="8"/>
  <c r="AN184" i="8"/>
  <c r="AN185" i="8"/>
  <c r="AN186" i="8"/>
  <c r="AN187" i="8"/>
  <c r="AN188" i="8"/>
  <c r="AN189" i="8"/>
  <c r="AN190" i="8"/>
  <c r="AN191" i="8"/>
  <c r="AN192" i="8"/>
  <c r="AN193" i="8"/>
  <c r="AN194" i="8"/>
  <c r="AN195" i="8"/>
  <c r="AN196" i="8"/>
  <c r="AN197" i="8"/>
  <c r="AN198" i="8"/>
  <c r="AN199" i="8"/>
  <c r="AN200" i="8"/>
  <c r="AN201" i="8"/>
  <c r="AN202" i="8"/>
  <c r="AN203" i="8"/>
  <c r="AN204" i="8"/>
  <c r="AN205" i="8"/>
  <c r="AN206" i="8"/>
  <c r="AN207" i="8"/>
  <c r="AN208" i="8"/>
  <c r="AN209" i="8"/>
  <c r="AN210" i="8"/>
  <c r="AN211" i="8"/>
  <c r="AN212" i="8"/>
  <c r="AN213" i="8"/>
  <c r="AN214" i="8"/>
  <c r="AN215" i="8"/>
  <c r="AN216" i="8"/>
  <c r="AN217" i="8"/>
  <c r="AN218" i="8"/>
  <c r="AN219" i="8"/>
  <c r="AN220" i="8"/>
  <c r="AN221" i="8"/>
  <c r="AN222" i="8"/>
  <c r="AN223" i="8"/>
  <c r="AN224" i="8"/>
  <c r="AN225" i="8"/>
  <c r="AN226" i="8"/>
  <c r="AN227" i="8"/>
  <c r="AN228" i="8"/>
  <c r="AN229" i="8"/>
  <c r="AN230" i="8"/>
  <c r="AN231" i="8"/>
  <c r="AN232" i="8"/>
  <c r="AN233" i="8"/>
  <c r="AN234" i="8"/>
  <c r="AN235" i="8"/>
  <c r="AN236" i="8"/>
  <c r="AN237" i="8"/>
  <c r="AN238" i="8"/>
  <c r="AN239" i="8"/>
  <c r="AN240" i="8"/>
  <c r="AN241" i="8"/>
  <c r="AN242" i="8"/>
  <c r="AN243" i="8"/>
  <c r="AN244" i="8"/>
  <c r="AN245" i="8"/>
  <c r="AN246" i="8"/>
  <c r="AN247" i="8"/>
  <c r="AN248" i="8"/>
  <c r="AN249" i="8"/>
  <c r="AN250" i="8"/>
  <c r="AN251" i="8"/>
  <c r="AN252" i="8"/>
  <c r="AN253" i="8"/>
  <c r="AN254" i="8"/>
  <c r="AN255" i="8"/>
  <c r="AN256" i="8"/>
  <c r="AN257" i="8"/>
  <c r="AN258" i="8"/>
  <c r="AN259" i="8"/>
  <c r="AN260" i="8"/>
  <c r="AN261" i="8"/>
  <c r="AN262" i="8"/>
  <c r="AN263" i="8"/>
  <c r="AN264" i="8"/>
  <c r="AN265" i="8"/>
  <c r="AN266" i="8"/>
  <c r="AN267" i="8"/>
  <c r="AN268" i="8"/>
  <c r="AN269" i="8"/>
  <c r="AN270" i="8"/>
  <c r="AN271" i="8"/>
  <c r="AN272" i="8"/>
  <c r="AN273" i="8"/>
  <c r="AN274" i="8"/>
  <c r="AN275" i="8"/>
  <c r="AN276" i="8"/>
  <c r="AN277" i="8"/>
  <c r="AN278" i="8"/>
  <c r="AN279" i="8"/>
  <c r="AN280" i="8"/>
  <c r="AN281" i="8"/>
  <c r="AN282" i="8"/>
  <c r="AN283" i="8"/>
  <c r="AN284" i="8"/>
  <c r="AN285" i="8"/>
  <c r="AN286" i="8"/>
  <c r="AN287" i="8"/>
  <c r="AN288" i="8"/>
  <c r="AN289" i="8"/>
  <c r="AN290" i="8"/>
  <c r="AN291" i="8"/>
  <c r="AN292" i="8"/>
  <c r="AN293" i="8"/>
  <c r="AN294" i="8"/>
  <c r="AN295" i="8"/>
  <c r="AN296" i="8"/>
  <c r="AN297" i="8"/>
  <c r="AN298" i="8"/>
  <c r="AN299" i="8"/>
  <c r="AN300" i="8"/>
  <c r="AN301" i="8"/>
  <c r="AN302" i="8"/>
  <c r="AN303" i="8"/>
  <c r="AN304" i="8"/>
  <c r="AN305" i="8"/>
  <c r="AN306" i="8"/>
  <c r="AN307" i="8"/>
  <c r="AN308" i="8"/>
  <c r="AN309" i="8"/>
  <c r="AN310" i="8"/>
  <c r="AN311" i="8"/>
  <c r="AN312" i="8"/>
  <c r="AN313" i="8"/>
  <c r="AN314" i="8"/>
  <c r="AN315" i="8"/>
  <c r="AN316" i="8"/>
  <c r="AN317" i="8"/>
  <c r="AN318" i="8"/>
  <c r="AN319" i="8"/>
  <c r="AN320" i="8"/>
  <c r="AN321" i="8"/>
  <c r="AN322" i="8"/>
  <c r="AN323" i="8"/>
  <c r="AN324" i="8"/>
  <c r="AN325" i="8"/>
  <c r="AN326" i="8"/>
  <c r="AN327" i="8"/>
  <c r="AN328" i="8"/>
  <c r="AN329" i="8"/>
  <c r="AN330" i="8"/>
  <c r="AN331" i="8"/>
  <c r="AN332" i="8"/>
  <c r="AN333" i="8"/>
  <c r="AN334" i="8"/>
  <c r="AN335" i="8"/>
  <c r="AN336" i="8"/>
  <c r="AN337" i="8"/>
  <c r="AN338" i="8"/>
  <c r="AN339" i="8"/>
  <c r="AN340" i="8"/>
  <c r="AN341" i="8"/>
  <c r="AN342" i="8"/>
  <c r="AN343" i="8"/>
  <c r="AN344" i="8"/>
  <c r="AN345" i="8"/>
  <c r="AN346" i="8"/>
  <c r="AN347" i="8"/>
  <c r="AN348" i="8"/>
  <c r="AN349" i="8"/>
  <c r="AN350" i="8"/>
  <c r="AN351" i="8"/>
  <c r="AN352" i="8"/>
  <c r="AN353" i="8"/>
  <c r="AN354" i="8"/>
  <c r="AN355" i="8"/>
  <c r="AN356" i="8"/>
  <c r="AN357" i="8"/>
  <c r="AN358" i="8"/>
  <c r="AN359" i="8"/>
  <c r="AN360" i="8"/>
  <c r="AN361" i="8"/>
  <c r="AN362" i="8"/>
  <c r="AN363" i="8"/>
  <c r="AN364" i="8"/>
  <c r="AN365" i="8"/>
  <c r="AN366" i="8"/>
  <c r="AP2" i="8"/>
  <c r="AP3" i="8"/>
  <c r="AP4" i="8"/>
  <c r="AP5" i="8"/>
  <c r="AP6" i="8"/>
  <c r="AP7" i="8"/>
  <c r="AP8" i="8"/>
  <c r="AP9" i="8"/>
  <c r="AP10" i="8"/>
  <c r="AP11" i="8"/>
  <c r="AP12" i="8"/>
  <c r="AP13" i="8"/>
  <c r="AP14" i="8"/>
  <c r="AP15" i="8"/>
  <c r="AP16" i="8"/>
  <c r="AP17" i="8"/>
  <c r="AP18" i="8"/>
  <c r="AP19" i="8"/>
  <c r="AP20" i="8"/>
  <c r="AP21" i="8"/>
  <c r="AP22" i="8"/>
  <c r="AP23" i="8"/>
  <c r="AP24" i="8"/>
  <c r="AP25" i="8"/>
  <c r="AP26" i="8"/>
  <c r="AP27" i="8"/>
  <c r="AP28" i="8"/>
  <c r="AP29" i="8"/>
  <c r="AP30" i="8"/>
  <c r="AP31" i="8"/>
  <c r="AP32" i="8"/>
  <c r="AP33" i="8"/>
  <c r="AP34" i="8"/>
  <c r="AP35" i="8"/>
  <c r="AP36" i="8"/>
  <c r="AP37" i="8"/>
  <c r="AP38" i="8"/>
  <c r="AP39" i="8"/>
  <c r="AP40" i="8"/>
  <c r="AP41" i="8"/>
  <c r="AP42" i="8"/>
  <c r="AP43" i="8"/>
  <c r="AP44" i="8"/>
  <c r="AP45" i="8"/>
  <c r="AP46" i="8"/>
  <c r="AP47" i="8"/>
  <c r="AP48" i="8"/>
  <c r="AP49" i="8"/>
  <c r="AP50" i="8"/>
  <c r="AP51" i="8"/>
  <c r="AP52" i="8"/>
  <c r="AP53" i="8"/>
  <c r="AP54" i="8"/>
  <c r="AP55" i="8"/>
  <c r="AP56" i="8"/>
  <c r="AP57" i="8"/>
  <c r="AP58" i="8"/>
  <c r="AP59" i="8"/>
  <c r="AP60" i="8"/>
  <c r="AP61" i="8"/>
  <c r="AP62" i="8"/>
  <c r="AP63" i="8"/>
  <c r="AP64" i="8"/>
  <c r="AP65" i="8"/>
  <c r="AP66" i="8"/>
  <c r="AP67" i="8"/>
  <c r="AP68" i="8"/>
  <c r="AP69" i="8"/>
  <c r="AP70" i="8"/>
  <c r="AP71" i="8"/>
  <c r="AP72" i="8"/>
  <c r="AP73" i="8"/>
  <c r="AP74" i="8"/>
  <c r="AP75" i="8"/>
  <c r="AP76" i="8"/>
  <c r="AP77" i="8"/>
  <c r="AP78" i="8"/>
  <c r="AP79" i="8"/>
  <c r="AP80" i="8"/>
  <c r="AP81" i="8"/>
  <c r="AP82" i="8"/>
  <c r="AP83" i="8"/>
  <c r="AP84" i="8"/>
  <c r="AP85" i="8"/>
  <c r="AP86" i="8"/>
  <c r="AP87" i="8"/>
  <c r="AP88" i="8"/>
  <c r="AP89" i="8"/>
  <c r="AP90" i="8"/>
  <c r="AP91" i="8"/>
  <c r="AP92" i="8"/>
  <c r="AP93" i="8"/>
  <c r="AP94" i="8"/>
  <c r="AP95" i="8"/>
  <c r="AP96" i="8"/>
  <c r="AP97" i="8"/>
  <c r="AP98" i="8"/>
  <c r="AP99" i="8"/>
  <c r="AP100" i="8"/>
  <c r="AP101" i="8"/>
  <c r="AP102" i="8"/>
  <c r="AP103" i="8"/>
  <c r="AP104" i="8"/>
  <c r="AP105" i="8"/>
  <c r="AP106" i="8"/>
  <c r="AP107" i="8"/>
  <c r="AP108" i="8"/>
  <c r="AP109" i="8"/>
  <c r="AP110" i="8"/>
  <c r="AP111" i="8"/>
  <c r="AP112" i="8"/>
  <c r="AP113" i="8"/>
  <c r="AP114" i="8"/>
  <c r="AP115" i="8"/>
  <c r="AP116" i="8"/>
  <c r="AP117" i="8"/>
  <c r="AP118" i="8"/>
  <c r="AP119" i="8"/>
  <c r="AP120" i="8"/>
  <c r="AP121" i="8"/>
  <c r="AP122" i="8"/>
  <c r="AP123" i="8"/>
  <c r="AP124" i="8"/>
  <c r="AP125" i="8"/>
  <c r="AP126" i="8"/>
  <c r="AP127" i="8"/>
  <c r="AP128" i="8"/>
  <c r="AP129" i="8"/>
  <c r="AP130" i="8"/>
  <c r="AP131" i="8"/>
  <c r="AP132" i="8"/>
  <c r="AP133" i="8"/>
  <c r="AP134" i="8"/>
  <c r="AP135" i="8"/>
  <c r="AP136" i="8"/>
  <c r="AP137" i="8"/>
  <c r="AP138" i="8"/>
  <c r="AP139" i="8"/>
  <c r="AP140" i="8"/>
  <c r="AP141" i="8"/>
  <c r="AP142" i="8"/>
  <c r="AP143" i="8"/>
  <c r="AP144" i="8"/>
  <c r="AP145" i="8"/>
  <c r="AP146" i="8"/>
  <c r="AP147" i="8"/>
  <c r="AP148" i="8"/>
  <c r="AP149" i="8"/>
  <c r="AP150" i="8"/>
  <c r="AP151" i="8"/>
  <c r="AP152" i="8"/>
  <c r="AP153" i="8"/>
  <c r="AP154" i="8"/>
  <c r="AP155" i="8"/>
  <c r="AP156" i="8"/>
  <c r="AP157" i="8"/>
  <c r="AP158" i="8"/>
  <c r="AP159" i="8"/>
  <c r="AP160" i="8"/>
  <c r="AP161" i="8"/>
  <c r="AP162" i="8"/>
  <c r="AP163" i="8"/>
  <c r="AP164" i="8"/>
  <c r="AP165" i="8"/>
  <c r="AP166" i="8"/>
  <c r="AP167" i="8"/>
  <c r="AP168" i="8"/>
  <c r="AP169" i="8"/>
  <c r="AP170" i="8"/>
  <c r="AP171" i="8"/>
  <c r="AP172" i="8"/>
  <c r="AP173" i="8"/>
  <c r="AP174" i="8"/>
  <c r="AP175" i="8"/>
  <c r="AP176" i="8"/>
  <c r="AP177" i="8"/>
  <c r="AP178" i="8"/>
  <c r="AP179" i="8"/>
  <c r="AP180" i="8"/>
  <c r="AP181" i="8"/>
  <c r="AP182" i="8"/>
  <c r="AP183" i="8"/>
  <c r="AP184" i="8"/>
  <c r="AP185" i="8"/>
  <c r="AP186" i="8"/>
  <c r="AP187" i="8"/>
  <c r="AP188" i="8"/>
  <c r="AP189" i="8"/>
  <c r="AP190" i="8"/>
  <c r="AP191" i="8"/>
  <c r="AP192" i="8"/>
  <c r="AP193" i="8"/>
  <c r="AP194" i="8"/>
  <c r="AP195" i="8"/>
  <c r="AP196" i="8"/>
  <c r="AP197" i="8"/>
  <c r="AP198" i="8"/>
  <c r="AP199" i="8"/>
  <c r="AP200" i="8"/>
  <c r="AP201" i="8"/>
  <c r="AP202" i="8"/>
  <c r="AP203" i="8"/>
  <c r="AP204" i="8"/>
  <c r="AP205" i="8"/>
  <c r="AP206" i="8"/>
  <c r="AP207" i="8"/>
  <c r="AP208" i="8"/>
  <c r="AP209" i="8"/>
  <c r="AP210" i="8"/>
  <c r="AP211" i="8"/>
  <c r="AP212" i="8"/>
  <c r="AP213" i="8"/>
  <c r="AP214" i="8"/>
  <c r="AP215" i="8"/>
  <c r="AP216" i="8"/>
  <c r="AP217" i="8"/>
  <c r="AP218" i="8"/>
  <c r="AP219" i="8"/>
  <c r="AP220" i="8"/>
  <c r="AP221" i="8"/>
  <c r="AP222" i="8"/>
  <c r="AP223" i="8"/>
  <c r="AP224" i="8"/>
  <c r="AP225" i="8"/>
  <c r="AP226" i="8"/>
  <c r="AP227" i="8"/>
  <c r="AP228" i="8"/>
  <c r="AP229" i="8"/>
  <c r="AP230" i="8"/>
  <c r="AP231" i="8"/>
  <c r="AP232" i="8"/>
  <c r="AP233" i="8"/>
  <c r="AP234" i="8"/>
  <c r="AP235" i="8"/>
  <c r="AP236" i="8"/>
  <c r="AP237" i="8"/>
  <c r="AP238" i="8"/>
  <c r="AP239" i="8"/>
  <c r="AP240" i="8"/>
  <c r="AP241" i="8"/>
  <c r="AP242" i="8"/>
  <c r="AP243" i="8"/>
  <c r="AP244" i="8"/>
  <c r="AP245" i="8"/>
  <c r="AP246" i="8"/>
  <c r="AP247" i="8"/>
  <c r="AP248" i="8"/>
  <c r="AP249" i="8"/>
  <c r="AP250" i="8"/>
  <c r="AP251" i="8"/>
  <c r="AP252" i="8"/>
  <c r="AP253" i="8"/>
  <c r="AP254" i="8"/>
  <c r="AP255" i="8"/>
  <c r="AP256" i="8"/>
  <c r="AP257" i="8"/>
  <c r="AP258" i="8"/>
  <c r="AP259" i="8"/>
  <c r="AP260" i="8"/>
  <c r="AP261" i="8"/>
  <c r="AP262" i="8"/>
  <c r="AP263" i="8"/>
  <c r="AP264" i="8"/>
  <c r="AP265" i="8"/>
  <c r="AP266" i="8"/>
  <c r="AP267" i="8"/>
  <c r="AP268" i="8"/>
  <c r="AP269" i="8"/>
  <c r="AP270" i="8"/>
  <c r="AP271" i="8"/>
  <c r="AP272" i="8"/>
  <c r="AP273" i="8"/>
  <c r="AP274" i="8"/>
  <c r="AP275" i="8"/>
  <c r="AP276" i="8"/>
  <c r="AP277" i="8"/>
  <c r="AP278" i="8"/>
  <c r="AP279" i="8"/>
  <c r="AP280" i="8"/>
  <c r="AP281" i="8"/>
  <c r="AP282" i="8"/>
  <c r="AP283" i="8"/>
  <c r="AP284" i="8"/>
  <c r="AP285" i="8"/>
  <c r="AP286" i="8"/>
  <c r="AP287" i="8"/>
  <c r="AP288" i="8"/>
  <c r="AP289" i="8"/>
  <c r="AP290" i="8"/>
  <c r="AP291" i="8"/>
  <c r="AP292" i="8"/>
  <c r="AP293" i="8"/>
  <c r="AP294" i="8"/>
  <c r="AP295" i="8"/>
  <c r="AP296" i="8"/>
  <c r="AP297" i="8"/>
  <c r="AP298" i="8"/>
  <c r="AP299" i="8"/>
  <c r="AP300" i="8"/>
  <c r="AP301" i="8"/>
  <c r="AP302" i="8"/>
  <c r="AP303" i="8"/>
  <c r="AP304" i="8"/>
  <c r="AP305" i="8"/>
  <c r="AP306" i="8"/>
  <c r="AP307" i="8"/>
  <c r="AP308" i="8"/>
  <c r="AP309" i="8"/>
  <c r="AP310" i="8"/>
  <c r="AP311" i="8"/>
  <c r="AP312" i="8"/>
  <c r="AP313" i="8"/>
  <c r="AP314" i="8"/>
  <c r="AP315" i="8"/>
  <c r="AP316" i="8"/>
  <c r="AP317" i="8"/>
  <c r="AP318" i="8"/>
  <c r="AP319" i="8"/>
  <c r="AP320" i="8"/>
  <c r="AP321" i="8"/>
  <c r="AP322" i="8"/>
  <c r="AP323" i="8"/>
  <c r="AP324" i="8"/>
  <c r="AP325" i="8"/>
  <c r="AP326" i="8"/>
  <c r="AP327" i="8"/>
  <c r="AP328" i="8"/>
  <c r="AP329" i="8"/>
  <c r="AP330" i="8"/>
  <c r="AP331" i="8"/>
  <c r="AP332" i="8"/>
  <c r="AP333" i="8"/>
  <c r="AP334" i="8"/>
  <c r="AP335" i="8"/>
  <c r="AP336" i="8"/>
  <c r="AP337" i="8"/>
  <c r="AP338" i="8"/>
  <c r="AP339" i="8"/>
  <c r="AP340" i="8"/>
  <c r="AP341" i="8"/>
  <c r="AP342" i="8"/>
  <c r="AP343" i="8"/>
  <c r="AP344" i="8"/>
  <c r="AP345" i="8"/>
  <c r="AP346" i="8"/>
  <c r="AP347" i="8"/>
  <c r="AP348" i="8"/>
  <c r="AP349" i="8"/>
  <c r="AP350" i="8"/>
  <c r="AP351" i="8"/>
  <c r="AP352" i="8"/>
  <c r="AP353" i="8"/>
  <c r="AP354" i="8"/>
  <c r="AP355" i="8"/>
  <c r="AP356" i="8"/>
  <c r="AP357" i="8"/>
  <c r="AP358" i="8"/>
  <c r="AP359" i="8"/>
  <c r="AP360" i="8"/>
  <c r="AP361" i="8"/>
  <c r="AP362" i="8"/>
  <c r="AP363" i="8"/>
  <c r="AP364" i="8"/>
  <c r="AP365" i="8"/>
  <c r="AP366" i="8"/>
  <c r="AP2" i="1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23" i="8"/>
  <c r="AB24" i="8"/>
  <c r="AB25" i="8"/>
  <c r="AB26" i="8"/>
  <c r="AB27" i="8"/>
  <c r="AB28" i="8"/>
  <c r="AB29" i="8"/>
  <c r="AB30" i="8"/>
  <c r="AB31" i="8"/>
  <c r="AB32" i="8"/>
  <c r="AB33" i="8"/>
  <c r="AB34" i="8"/>
  <c r="AB35" i="8"/>
  <c r="AB36" i="8"/>
  <c r="AB37" i="8"/>
  <c r="AB38" i="8"/>
  <c r="AB39" i="8"/>
  <c r="AB40" i="8"/>
  <c r="AB41" i="8"/>
  <c r="AB42" i="8"/>
  <c r="AB43" i="8"/>
  <c r="AB44" i="8"/>
  <c r="AB45" i="8"/>
  <c r="AB46" i="8"/>
  <c r="AB47" i="8"/>
  <c r="AB48" i="8"/>
  <c r="AB49" i="8"/>
  <c r="AB50" i="8"/>
  <c r="AB51" i="8"/>
  <c r="AB52" i="8"/>
  <c r="AB53" i="8"/>
  <c r="AB54" i="8"/>
  <c r="AB55" i="8"/>
  <c r="AB56" i="8"/>
  <c r="AB57" i="8"/>
  <c r="AB58" i="8"/>
  <c r="AB59" i="8"/>
  <c r="AB60" i="8"/>
  <c r="AB61" i="8"/>
  <c r="AB62" i="8"/>
  <c r="AB63" i="8"/>
  <c r="AB64" i="8"/>
  <c r="AB65" i="8"/>
  <c r="AB66" i="8"/>
  <c r="AB67" i="8"/>
  <c r="AB68" i="8"/>
  <c r="AB69" i="8"/>
  <c r="AB70" i="8"/>
  <c r="AB71" i="8"/>
  <c r="AB72" i="8"/>
  <c r="AB73" i="8"/>
  <c r="AB74" i="8"/>
  <c r="AB75" i="8"/>
  <c r="AB76" i="8"/>
  <c r="AB77" i="8"/>
  <c r="AB78" i="8"/>
  <c r="AB79" i="8"/>
  <c r="AB80" i="8"/>
  <c r="AB81" i="8"/>
  <c r="AB82" i="8"/>
  <c r="AB83" i="8"/>
  <c r="AB84" i="8"/>
  <c r="AB85" i="8"/>
  <c r="AB86" i="8"/>
  <c r="AB87" i="8"/>
  <c r="AB88" i="8"/>
  <c r="AB89" i="8"/>
  <c r="AB90" i="8"/>
  <c r="AB91" i="8"/>
  <c r="AB92" i="8"/>
  <c r="AB93" i="8"/>
  <c r="AB94" i="8"/>
  <c r="AB95" i="8"/>
  <c r="AB96" i="8"/>
  <c r="AB97" i="8"/>
  <c r="AB98" i="8"/>
  <c r="AB99" i="8"/>
  <c r="AB100" i="8"/>
  <c r="AB101" i="8"/>
  <c r="AB102" i="8"/>
  <c r="AB103" i="8"/>
  <c r="AB104" i="8"/>
  <c r="AB105" i="8"/>
  <c r="AB106" i="8"/>
  <c r="AB107" i="8"/>
  <c r="AB108" i="8"/>
  <c r="AB109" i="8"/>
  <c r="AB110" i="8"/>
  <c r="AB111" i="8"/>
  <c r="AB112" i="8"/>
  <c r="AB113" i="8"/>
  <c r="AB114" i="8"/>
  <c r="AB115" i="8"/>
  <c r="AB116" i="8"/>
  <c r="AB117" i="8"/>
  <c r="AB118" i="8"/>
  <c r="AB119" i="8"/>
  <c r="AB120" i="8"/>
  <c r="AB121" i="8"/>
  <c r="AB122" i="8"/>
  <c r="AB123" i="8"/>
  <c r="AB124" i="8"/>
  <c r="AB125" i="8"/>
  <c r="AB126" i="8"/>
  <c r="AB127" i="8"/>
  <c r="AB128" i="8"/>
  <c r="AB129" i="8"/>
  <c r="AB130" i="8"/>
  <c r="AB131" i="8"/>
  <c r="AB132" i="8"/>
  <c r="AB133" i="8"/>
  <c r="AB134" i="8"/>
  <c r="AB135" i="8"/>
  <c r="AB136" i="8"/>
  <c r="AB137" i="8"/>
  <c r="AB138" i="8"/>
  <c r="AB139" i="8"/>
  <c r="AB140" i="8"/>
  <c r="AB141" i="8"/>
  <c r="AB142" i="8"/>
  <c r="AB143" i="8"/>
  <c r="AB144" i="8"/>
  <c r="AB145" i="8"/>
  <c r="AB146" i="8"/>
  <c r="AB147" i="8"/>
  <c r="AB148" i="8"/>
  <c r="AB149" i="8"/>
  <c r="AB150" i="8"/>
  <c r="AB151" i="8"/>
  <c r="AB152" i="8"/>
  <c r="AB153" i="8"/>
  <c r="AB154" i="8"/>
  <c r="AB155" i="8"/>
  <c r="AB156" i="8"/>
  <c r="AB157" i="8"/>
  <c r="AB158" i="8"/>
  <c r="AB159" i="8"/>
  <c r="AB160" i="8"/>
  <c r="AB161" i="8"/>
  <c r="AB162" i="8"/>
  <c r="AB163" i="8"/>
  <c r="AB164" i="8"/>
  <c r="AB165" i="8"/>
  <c r="AB166" i="8"/>
  <c r="AB167" i="8"/>
  <c r="AB168" i="8"/>
  <c r="AB169" i="8"/>
  <c r="AB170" i="8"/>
  <c r="AB171" i="8"/>
  <c r="AB172" i="8"/>
  <c r="AB173" i="8"/>
  <c r="AB174" i="8"/>
  <c r="AB175" i="8"/>
  <c r="AB176" i="8"/>
  <c r="AB177" i="8"/>
  <c r="AB178" i="8"/>
  <c r="AB179" i="8"/>
  <c r="AB180" i="8"/>
  <c r="AB181" i="8"/>
  <c r="AB182" i="8"/>
  <c r="AB183" i="8"/>
  <c r="AB184" i="8"/>
  <c r="AB185" i="8"/>
  <c r="AB186" i="8"/>
  <c r="AB187" i="8"/>
  <c r="AB188" i="8"/>
  <c r="AB189" i="8"/>
  <c r="AB190" i="8"/>
  <c r="AB191" i="8"/>
  <c r="AB192" i="8"/>
  <c r="AB193" i="8"/>
  <c r="AB194" i="8"/>
  <c r="AB195" i="8"/>
  <c r="AB196" i="8"/>
  <c r="AB197" i="8"/>
  <c r="AB198" i="8"/>
  <c r="AB199" i="8"/>
  <c r="AB200" i="8"/>
  <c r="AB201" i="8"/>
  <c r="AB202" i="8"/>
  <c r="AB203" i="8"/>
  <c r="AB204" i="8"/>
  <c r="AB205" i="8"/>
  <c r="AB206" i="8"/>
  <c r="AB207" i="8"/>
  <c r="AB208" i="8"/>
  <c r="AB209" i="8"/>
  <c r="AB210" i="8"/>
  <c r="AB211" i="8"/>
  <c r="AB212" i="8"/>
  <c r="AB213" i="8"/>
  <c r="AB214" i="8"/>
  <c r="AB215" i="8"/>
  <c r="AB216" i="8"/>
  <c r="AB217" i="8"/>
  <c r="AB218" i="8"/>
  <c r="AB219" i="8"/>
  <c r="AB220" i="8"/>
  <c r="AB221" i="8"/>
  <c r="AB222" i="8"/>
  <c r="AB223" i="8"/>
  <c r="AB224" i="8"/>
  <c r="AB225" i="8"/>
  <c r="AB226" i="8"/>
  <c r="AB227" i="8"/>
  <c r="AB228" i="8"/>
  <c r="AB229" i="8"/>
  <c r="AB230" i="8"/>
  <c r="AB231" i="8"/>
  <c r="AB232" i="8"/>
  <c r="AB233" i="8"/>
  <c r="AB234" i="8"/>
  <c r="AB235" i="8"/>
  <c r="AB236" i="8"/>
  <c r="AB237" i="8"/>
  <c r="AB238" i="8"/>
  <c r="AB239" i="8"/>
  <c r="AB240" i="8"/>
  <c r="AB241" i="8"/>
  <c r="AB242" i="8"/>
  <c r="AB243" i="8"/>
  <c r="AB244" i="8"/>
  <c r="AB245" i="8"/>
  <c r="AB246" i="8"/>
  <c r="AB247" i="8"/>
  <c r="AB248" i="8"/>
  <c r="AB249" i="8"/>
  <c r="AB250" i="8"/>
  <c r="AB251" i="8"/>
  <c r="AB252" i="8"/>
  <c r="AB253" i="8"/>
  <c r="AB254" i="8"/>
  <c r="AB255" i="8"/>
  <c r="AB256" i="8"/>
  <c r="AB257" i="8"/>
  <c r="AB258" i="8"/>
  <c r="AB259" i="8"/>
  <c r="AB260" i="8"/>
  <c r="AB261" i="8"/>
  <c r="AB262" i="8"/>
  <c r="AB263" i="8"/>
  <c r="AB264" i="8"/>
  <c r="AB265" i="8"/>
  <c r="AB266" i="8"/>
  <c r="AB267" i="8"/>
  <c r="AB268" i="8"/>
  <c r="AB269" i="8"/>
  <c r="AB270" i="8"/>
  <c r="AB271" i="8"/>
  <c r="AB272" i="8"/>
  <c r="AB273" i="8"/>
  <c r="AB274" i="8"/>
  <c r="AB275" i="8"/>
  <c r="AB276" i="8"/>
  <c r="AB277" i="8"/>
  <c r="AB278" i="8"/>
  <c r="AB279" i="8"/>
  <c r="AB280" i="8"/>
  <c r="AB281" i="8"/>
  <c r="AB282" i="8"/>
  <c r="AB283" i="8"/>
  <c r="AB284" i="8"/>
  <c r="AB285" i="8"/>
  <c r="AB286" i="8"/>
  <c r="AB287" i="8"/>
  <c r="AB288" i="8"/>
  <c r="AB289" i="8"/>
  <c r="AB290" i="8"/>
  <c r="AB291" i="8"/>
  <c r="AB292" i="8"/>
  <c r="AB293" i="8"/>
  <c r="AB294" i="8"/>
  <c r="AB295" i="8"/>
  <c r="AB296" i="8"/>
  <c r="AB297" i="8"/>
  <c r="AB298" i="8"/>
  <c r="AB299" i="8"/>
  <c r="AB300" i="8"/>
  <c r="AB301" i="8"/>
  <c r="AB302" i="8"/>
  <c r="AB303" i="8"/>
  <c r="AB304" i="8"/>
  <c r="AB305" i="8"/>
  <c r="AB306" i="8"/>
  <c r="AB307" i="8"/>
  <c r="AB308" i="8"/>
  <c r="AB309" i="8"/>
  <c r="AB310" i="8"/>
  <c r="AB311" i="8"/>
  <c r="AB312" i="8"/>
  <c r="AB313" i="8"/>
  <c r="AB314" i="8"/>
  <c r="AB315" i="8"/>
  <c r="AB316" i="8"/>
  <c r="AB317" i="8"/>
  <c r="AB318" i="8"/>
  <c r="AB319" i="8"/>
  <c r="AB320" i="8"/>
  <c r="AB321" i="8"/>
  <c r="AB322" i="8"/>
  <c r="AB323" i="8"/>
  <c r="AB324" i="8"/>
  <c r="AB325" i="8"/>
  <c r="AB326" i="8"/>
  <c r="AB327" i="8"/>
  <c r="AB328" i="8"/>
  <c r="AB329" i="8"/>
  <c r="AB330" i="8"/>
  <c r="AB331" i="8"/>
  <c r="AB332" i="8"/>
  <c r="AB333" i="8"/>
  <c r="AB334" i="8"/>
  <c r="AB335" i="8"/>
  <c r="AB336" i="8"/>
  <c r="AB337" i="8"/>
  <c r="AB338" i="8"/>
  <c r="AB339" i="8"/>
  <c r="AB340" i="8"/>
  <c r="AB341" i="8"/>
  <c r="AB342" i="8"/>
  <c r="AB343" i="8"/>
  <c r="AB344" i="8"/>
  <c r="AB345" i="8"/>
  <c r="AB346" i="8"/>
  <c r="AB347" i="8"/>
  <c r="AB348" i="8"/>
  <c r="AB349" i="8"/>
  <c r="AB350" i="8"/>
  <c r="AB351" i="8"/>
  <c r="AB352" i="8"/>
  <c r="AB353" i="8"/>
  <c r="AB354" i="8"/>
  <c r="AB355" i="8"/>
  <c r="AB356" i="8"/>
  <c r="AB357" i="8"/>
  <c r="AB358" i="8"/>
  <c r="AB359" i="8"/>
  <c r="AB360" i="8"/>
  <c r="AB361" i="8"/>
  <c r="AB362" i="8"/>
  <c r="AB363" i="8"/>
  <c r="AB364" i="8"/>
  <c r="AB365" i="8"/>
  <c r="AB366" i="8"/>
  <c r="AB2" i="8"/>
  <c r="AB3" i="8"/>
  <c r="AB2" i="7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AB64" i="7"/>
  <c r="AB65" i="7"/>
  <c r="AB66" i="7"/>
  <c r="AB67" i="7"/>
  <c r="AB68" i="7"/>
  <c r="AB69" i="7"/>
  <c r="AB70" i="7"/>
  <c r="AB71" i="7"/>
  <c r="AB72" i="7"/>
  <c r="AB73" i="7"/>
  <c r="AB74" i="7"/>
  <c r="AB75" i="7"/>
  <c r="AB76" i="7"/>
  <c r="AB77" i="7"/>
  <c r="AB78" i="7"/>
  <c r="AB79" i="7"/>
  <c r="AB80" i="7"/>
  <c r="AB81" i="7"/>
  <c r="AB82" i="7"/>
  <c r="AB83" i="7"/>
  <c r="AB84" i="7"/>
  <c r="AB85" i="7"/>
  <c r="AB86" i="7"/>
  <c r="AB87" i="7"/>
  <c r="AB88" i="7"/>
  <c r="AB89" i="7"/>
  <c r="AB90" i="7"/>
  <c r="AB91" i="7"/>
  <c r="AB92" i="7"/>
  <c r="AB93" i="7"/>
  <c r="AB94" i="7"/>
  <c r="AB95" i="7"/>
  <c r="AB96" i="7"/>
  <c r="AB97" i="7"/>
  <c r="AB98" i="7"/>
  <c r="AB99" i="7"/>
  <c r="AB100" i="7"/>
  <c r="AB101" i="7"/>
  <c r="AB102" i="7"/>
  <c r="AB103" i="7"/>
  <c r="AB104" i="7"/>
  <c r="AB105" i="7"/>
  <c r="AB106" i="7"/>
  <c r="AB107" i="7"/>
  <c r="AB108" i="7"/>
  <c r="AB109" i="7"/>
  <c r="AB110" i="7"/>
  <c r="AB111" i="7"/>
  <c r="AB112" i="7"/>
  <c r="AB113" i="7"/>
  <c r="AB114" i="7"/>
  <c r="AB115" i="7"/>
  <c r="AB116" i="7"/>
  <c r="AB117" i="7"/>
  <c r="AB118" i="7"/>
  <c r="AB119" i="7"/>
  <c r="AB120" i="7"/>
  <c r="AB121" i="7"/>
  <c r="AB122" i="7"/>
  <c r="AB123" i="7"/>
  <c r="AB124" i="7"/>
  <c r="AB125" i="7"/>
  <c r="AB126" i="7"/>
  <c r="AB127" i="7"/>
  <c r="AB128" i="7"/>
  <c r="AB129" i="7"/>
  <c r="AB130" i="7"/>
  <c r="AB131" i="7"/>
  <c r="AB132" i="7"/>
  <c r="AB133" i="7"/>
  <c r="AB134" i="7"/>
  <c r="AB135" i="7"/>
  <c r="AB136" i="7"/>
  <c r="AB137" i="7"/>
  <c r="AB138" i="7"/>
  <c r="AB139" i="7"/>
  <c r="AB140" i="7"/>
  <c r="AB141" i="7"/>
  <c r="AB142" i="7"/>
  <c r="AB143" i="7"/>
  <c r="AB144" i="7"/>
  <c r="AB145" i="7"/>
  <c r="AB146" i="7"/>
  <c r="AB147" i="7"/>
  <c r="AB148" i="7"/>
  <c r="AB149" i="7"/>
  <c r="AB150" i="7"/>
  <c r="AB151" i="7"/>
  <c r="AB152" i="7"/>
  <c r="AB153" i="7"/>
  <c r="AB154" i="7"/>
  <c r="AB155" i="7"/>
  <c r="AB156" i="7"/>
  <c r="AB157" i="7"/>
  <c r="AB158" i="7"/>
  <c r="AB159" i="7"/>
  <c r="AB160" i="7"/>
  <c r="AB161" i="7"/>
  <c r="AB162" i="7"/>
  <c r="AB163" i="7"/>
  <c r="AB164" i="7"/>
  <c r="AB165" i="7"/>
  <c r="AB166" i="7"/>
  <c r="AB167" i="7"/>
  <c r="AB168" i="7"/>
  <c r="AB169" i="7"/>
  <c r="AB170" i="7"/>
  <c r="AB171" i="7"/>
  <c r="AB172" i="7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2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" i="7"/>
  <c r="K367" i="6"/>
  <c r="P367" i="6"/>
  <c r="S367" i="6" s="1"/>
  <c r="R367" i="6"/>
  <c r="T367" i="6"/>
  <c r="W367" i="6"/>
  <c r="AD367" i="6" s="1"/>
  <c r="X367" i="6"/>
  <c r="AA367" i="6"/>
  <c r="AH367" i="6"/>
  <c r="AJ367" i="6"/>
  <c r="AN367" i="6"/>
  <c r="AP367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" i="6"/>
  <c r="AB2" i="6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4"/>
  <c r="AB5" i="4"/>
  <c r="AB4" i="4"/>
  <c r="AB2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S341" i="8" l="1"/>
  <c r="S337" i="8"/>
  <c r="S333" i="8"/>
  <c r="S329" i="8"/>
  <c r="S325" i="8"/>
  <c r="S321" i="8"/>
  <c r="S317" i="8"/>
  <c r="S313" i="8"/>
  <c r="S309" i="8"/>
  <c r="S305" i="8"/>
  <c r="S301" i="8"/>
  <c r="S297" i="8"/>
  <c r="S293" i="8"/>
  <c r="S289" i="8"/>
  <c r="S285" i="8"/>
  <c r="S281" i="8"/>
  <c r="S277" i="8"/>
  <c r="S273" i="8"/>
  <c r="S269" i="8"/>
  <c r="S265" i="8"/>
  <c r="S261" i="8"/>
  <c r="S257" i="8"/>
  <c r="S253" i="8"/>
  <c r="S249" i="8"/>
  <c r="S245" i="8"/>
  <c r="S241" i="8"/>
  <c r="S237" i="8"/>
  <c r="S233" i="8"/>
  <c r="S229" i="8"/>
  <c r="S225" i="8"/>
  <c r="S221" i="8"/>
  <c r="S217" i="8"/>
  <c r="S213" i="8"/>
  <c r="S209" i="8"/>
  <c r="S205" i="8"/>
  <c r="S201" i="8"/>
  <c r="S197" i="8"/>
  <c r="S193" i="8"/>
  <c r="S189" i="8"/>
  <c r="S185" i="8"/>
  <c r="S181" i="8"/>
  <c r="S177" i="8"/>
  <c r="S173" i="8"/>
  <c r="S169" i="8"/>
  <c r="S165" i="8"/>
  <c r="S161" i="8"/>
  <c r="S157" i="8"/>
  <c r="S153" i="8"/>
  <c r="S149" i="8"/>
  <c r="S145" i="8"/>
  <c r="S141" i="8"/>
  <c r="S137" i="8"/>
  <c r="S133" i="8"/>
  <c r="S129" i="8"/>
  <c r="S125" i="8"/>
  <c r="S121" i="8"/>
  <c r="S117" i="8"/>
  <c r="S113" i="8"/>
  <c r="S109" i="8"/>
  <c r="S105" i="8"/>
  <c r="S101" i="8"/>
  <c r="S97" i="8"/>
  <c r="S93" i="8"/>
  <c r="S89" i="8"/>
  <c r="S85" i="8"/>
  <c r="S81" i="8"/>
  <c r="S77" i="8"/>
  <c r="S73" i="8"/>
  <c r="S69" i="8"/>
  <c r="S65" i="8"/>
  <c r="S61" i="8"/>
  <c r="S57" i="8"/>
  <c r="S53" i="8"/>
  <c r="S49" i="8"/>
  <c r="S45" i="8"/>
  <c r="S41" i="8"/>
  <c r="S37" i="8"/>
  <c r="S33" i="8"/>
  <c r="S29" i="8"/>
  <c r="S25" i="8"/>
  <c r="S21" i="8"/>
  <c r="S17" i="8"/>
  <c r="S13" i="8"/>
  <c r="S9" i="8"/>
  <c r="S5" i="8"/>
  <c r="AD2" i="1" l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W366" i="8"/>
  <c r="T366" i="8"/>
  <c r="X366" i="8" s="1"/>
  <c r="W365" i="8"/>
  <c r="T365" i="8"/>
  <c r="X365" i="8" s="1"/>
  <c r="W364" i="8"/>
  <c r="T364" i="8"/>
  <c r="X364" i="8" s="1"/>
  <c r="W363" i="8"/>
  <c r="T363" i="8"/>
  <c r="W362" i="8"/>
  <c r="T362" i="8"/>
  <c r="X362" i="8" s="1"/>
  <c r="W361" i="8"/>
  <c r="T361" i="8"/>
  <c r="X361" i="8" s="1"/>
  <c r="X360" i="8"/>
  <c r="W360" i="8"/>
  <c r="T360" i="8"/>
  <c r="W359" i="8"/>
  <c r="T359" i="8"/>
  <c r="X359" i="8" s="1"/>
  <c r="W358" i="8"/>
  <c r="X358" i="8" s="1"/>
  <c r="T358" i="8"/>
  <c r="W357" i="8"/>
  <c r="T357" i="8"/>
  <c r="X357" i="8" s="1"/>
  <c r="W356" i="8"/>
  <c r="T356" i="8"/>
  <c r="X356" i="8" s="1"/>
  <c r="W355" i="8"/>
  <c r="T355" i="8"/>
  <c r="W354" i="8"/>
  <c r="T354" i="8"/>
  <c r="X354" i="8" s="1"/>
  <c r="W353" i="8"/>
  <c r="T353" i="8"/>
  <c r="X353" i="8" s="1"/>
  <c r="X352" i="8"/>
  <c r="W352" i="8"/>
  <c r="T352" i="8"/>
  <c r="W351" i="8"/>
  <c r="T351" i="8"/>
  <c r="W350" i="8"/>
  <c r="T350" i="8"/>
  <c r="X350" i="8" s="1"/>
  <c r="W349" i="8"/>
  <c r="T349" i="8"/>
  <c r="X349" i="8" s="1"/>
  <c r="W348" i="8"/>
  <c r="T348" i="8"/>
  <c r="X348" i="8" s="1"/>
  <c r="W347" i="8"/>
  <c r="T347" i="8"/>
  <c r="W346" i="8"/>
  <c r="T346" i="8"/>
  <c r="X346" i="8" s="1"/>
  <c r="W345" i="8"/>
  <c r="T345" i="8"/>
  <c r="X345" i="8" s="1"/>
  <c r="X344" i="8"/>
  <c r="W344" i="8"/>
  <c r="T344" i="8"/>
  <c r="W343" i="8"/>
  <c r="T343" i="8"/>
  <c r="W342" i="8"/>
  <c r="T342" i="8"/>
  <c r="X342" i="8" s="1"/>
  <c r="W341" i="8"/>
  <c r="T341" i="8"/>
  <c r="X341" i="8" s="1"/>
  <c r="W340" i="8"/>
  <c r="T340" i="8"/>
  <c r="X340" i="8" s="1"/>
  <c r="W339" i="8"/>
  <c r="T339" i="8"/>
  <c r="W338" i="8"/>
  <c r="T338" i="8"/>
  <c r="X338" i="8" s="1"/>
  <c r="W337" i="8"/>
  <c r="T337" i="8"/>
  <c r="X337" i="8" s="1"/>
  <c r="X336" i="8"/>
  <c r="W336" i="8"/>
  <c r="T336" i="8"/>
  <c r="W335" i="8"/>
  <c r="T335" i="8"/>
  <c r="W334" i="8"/>
  <c r="T334" i="8"/>
  <c r="X334" i="8" s="1"/>
  <c r="W333" i="8"/>
  <c r="T333" i="8"/>
  <c r="W332" i="8"/>
  <c r="T332" i="8"/>
  <c r="X332" i="8" s="1"/>
  <c r="W331" i="8"/>
  <c r="T331" i="8"/>
  <c r="W330" i="8"/>
  <c r="T330" i="8"/>
  <c r="X330" i="8" s="1"/>
  <c r="W329" i="8"/>
  <c r="T329" i="8"/>
  <c r="X329" i="8" s="1"/>
  <c r="X328" i="8"/>
  <c r="W328" i="8"/>
  <c r="T328" i="8"/>
  <c r="W327" i="8"/>
  <c r="T327" i="8"/>
  <c r="W326" i="8"/>
  <c r="T326" i="8"/>
  <c r="X326" i="8" s="1"/>
  <c r="W325" i="8"/>
  <c r="T325" i="8"/>
  <c r="W324" i="8"/>
  <c r="T324" i="8"/>
  <c r="X324" i="8" s="1"/>
  <c r="W323" i="8"/>
  <c r="T323" i="8"/>
  <c r="W322" i="8"/>
  <c r="T322" i="8"/>
  <c r="X322" i="8" s="1"/>
  <c r="W321" i="8"/>
  <c r="T321" i="8"/>
  <c r="X321" i="8" s="1"/>
  <c r="X320" i="8"/>
  <c r="W320" i="8"/>
  <c r="T320" i="8"/>
  <c r="W319" i="8"/>
  <c r="T319" i="8"/>
  <c r="W318" i="8"/>
  <c r="T318" i="8"/>
  <c r="X318" i="8" s="1"/>
  <c r="W317" i="8"/>
  <c r="T317" i="8"/>
  <c r="X317" i="8" s="1"/>
  <c r="W316" i="8"/>
  <c r="T316" i="8"/>
  <c r="X316" i="8" s="1"/>
  <c r="W315" i="8"/>
  <c r="T315" i="8"/>
  <c r="W314" i="8"/>
  <c r="T314" i="8"/>
  <c r="X314" i="8" s="1"/>
  <c r="W313" i="8"/>
  <c r="T313" i="8"/>
  <c r="X313" i="8" s="1"/>
  <c r="X312" i="8"/>
  <c r="W312" i="8"/>
  <c r="T312" i="8"/>
  <c r="W311" i="8"/>
  <c r="T311" i="8"/>
  <c r="W310" i="8"/>
  <c r="T310" i="8"/>
  <c r="X310" i="8" s="1"/>
  <c r="W309" i="8"/>
  <c r="T309" i="8"/>
  <c r="X309" i="8" s="1"/>
  <c r="W308" i="8"/>
  <c r="T308" i="8"/>
  <c r="X308" i="8" s="1"/>
  <c r="W307" i="8"/>
  <c r="T307" i="8"/>
  <c r="W306" i="8"/>
  <c r="T306" i="8"/>
  <c r="X306" i="8" s="1"/>
  <c r="W305" i="8"/>
  <c r="T305" i="8"/>
  <c r="X305" i="8" s="1"/>
  <c r="X304" i="8"/>
  <c r="W304" i="8"/>
  <c r="T304" i="8"/>
  <c r="W303" i="8"/>
  <c r="T303" i="8"/>
  <c r="W302" i="8"/>
  <c r="T302" i="8"/>
  <c r="X302" i="8" s="1"/>
  <c r="W301" i="8"/>
  <c r="T301" i="8"/>
  <c r="W300" i="8"/>
  <c r="T300" i="8"/>
  <c r="X300" i="8" s="1"/>
  <c r="W299" i="8"/>
  <c r="T299" i="8"/>
  <c r="W298" i="8"/>
  <c r="T298" i="8"/>
  <c r="X298" i="8" s="1"/>
  <c r="W297" i="8"/>
  <c r="T297" i="8"/>
  <c r="X297" i="8" s="1"/>
  <c r="X296" i="8"/>
  <c r="W296" i="8"/>
  <c r="T296" i="8"/>
  <c r="W295" i="8"/>
  <c r="T295" i="8"/>
  <c r="W294" i="8"/>
  <c r="T294" i="8"/>
  <c r="X294" i="8" s="1"/>
  <c r="W293" i="8"/>
  <c r="T293" i="8"/>
  <c r="W292" i="8"/>
  <c r="T292" i="8"/>
  <c r="X292" i="8" s="1"/>
  <c r="W291" i="8"/>
  <c r="T291" i="8"/>
  <c r="W290" i="8"/>
  <c r="T290" i="8"/>
  <c r="X290" i="8" s="1"/>
  <c r="W289" i="8"/>
  <c r="T289" i="8"/>
  <c r="X289" i="8" s="1"/>
  <c r="X288" i="8"/>
  <c r="W288" i="8"/>
  <c r="T288" i="8"/>
  <c r="W287" i="8"/>
  <c r="T287" i="8"/>
  <c r="W286" i="8"/>
  <c r="T286" i="8"/>
  <c r="X286" i="8" s="1"/>
  <c r="W285" i="8"/>
  <c r="T285" i="8"/>
  <c r="X285" i="8" s="1"/>
  <c r="W284" i="8"/>
  <c r="T284" i="8"/>
  <c r="X284" i="8" s="1"/>
  <c r="W283" i="8"/>
  <c r="T283" i="8"/>
  <c r="W282" i="8"/>
  <c r="T282" i="8"/>
  <c r="X282" i="8" s="1"/>
  <c r="W281" i="8"/>
  <c r="T281" i="8"/>
  <c r="X281" i="8" s="1"/>
  <c r="X280" i="8"/>
  <c r="W280" i="8"/>
  <c r="T280" i="8"/>
  <c r="W279" i="8"/>
  <c r="T279" i="8"/>
  <c r="W278" i="8"/>
  <c r="T278" i="8"/>
  <c r="X278" i="8" s="1"/>
  <c r="W277" i="8"/>
  <c r="T277" i="8"/>
  <c r="X277" i="8" s="1"/>
  <c r="W276" i="8"/>
  <c r="T276" i="8"/>
  <c r="X276" i="8" s="1"/>
  <c r="W275" i="8"/>
  <c r="T275" i="8"/>
  <c r="W274" i="8"/>
  <c r="T274" i="8"/>
  <c r="X274" i="8" s="1"/>
  <c r="W273" i="8"/>
  <c r="T273" i="8"/>
  <c r="X273" i="8" s="1"/>
  <c r="X272" i="8"/>
  <c r="W272" i="8"/>
  <c r="T272" i="8"/>
  <c r="W271" i="8"/>
  <c r="T271" i="8"/>
  <c r="W270" i="8"/>
  <c r="T270" i="8"/>
  <c r="X270" i="8" s="1"/>
  <c r="W269" i="8"/>
  <c r="T269" i="8"/>
  <c r="W268" i="8"/>
  <c r="T268" i="8"/>
  <c r="X268" i="8" s="1"/>
  <c r="W267" i="8"/>
  <c r="T267" i="8"/>
  <c r="W266" i="8"/>
  <c r="T266" i="8"/>
  <c r="X266" i="8" s="1"/>
  <c r="W265" i="8"/>
  <c r="T265" i="8"/>
  <c r="X265" i="8" s="1"/>
  <c r="X264" i="8"/>
  <c r="W264" i="8"/>
  <c r="T264" i="8"/>
  <c r="W263" i="8"/>
  <c r="T263" i="8"/>
  <c r="W262" i="8"/>
  <c r="T262" i="8"/>
  <c r="X262" i="8" s="1"/>
  <c r="W261" i="8"/>
  <c r="T261" i="8"/>
  <c r="W260" i="8"/>
  <c r="T260" i="8"/>
  <c r="X260" i="8" s="1"/>
  <c r="W259" i="8"/>
  <c r="T259" i="8"/>
  <c r="W258" i="8"/>
  <c r="T258" i="8"/>
  <c r="X258" i="8" s="1"/>
  <c r="W257" i="8"/>
  <c r="T257" i="8"/>
  <c r="X257" i="8" s="1"/>
  <c r="X256" i="8"/>
  <c r="W256" i="8"/>
  <c r="T256" i="8"/>
  <c r="W255" i="8"/>
  <c r="T255" i="8"/>
  <c r="W254" i="8"/>
  <c r="T254" i="8"/>
  <c r="X254" i="8" s="1"/>
  <c r="W253" i="8"/>
  <c r="T253" i="8"/>
  <c r="X253" i="8" s="1"/>
  <c r="W252" i="8"/>
  <c r="T252" i="8"/>
  <c r="X252" i="8" s="1"/>
  <c r="W251" i="8"/>
  <c r="T251" i="8"/>
  <c r="W250" i="8"/>
  <c r="T250" i="8"/>
  <c r="X250" i="8" s="1"/>
  <c r="W249" i="8"/>
  <c r="T249" i="8"/>
  <c r="X249" i="8" s="1"/>
  <c r="X248" i="8"/>
  <c r="W248" i="8"/>
  <c r="T248" i="8"/>
  <c r="W247" i="8"/>
  <c r="T247" i="8"/>
  <c r="W246" i="8"/>
  <c r="T246" i="8"/>
  <c r="X246" i="8" s="1"/>
  <c r="W245" i="8"/>
  <c r="T245" i="8"/>
  <c r="W244" i="8"/>
  <c r="T244" i="8"/>
  <c r="X244" i="8" s="1"/>
  <c r="W243" i="8"/>
  <c r="T243" i="8"/>
  <c r="W242" i="8"/>
  <c r="T242" i="8"/>
  <c r="X242" i="8" s="1"/>
  <c r="W241" i="8"/>
  <c r="T241" i="8"/>
  <c r="X241" i="8" s="1"/>
  <c r="X240" i="8"/>
  <c r="W240" i="8"/>
  <c r="T240" i="8"/>
  <c r="W239" i="8"/>
  <c r="T239" i="8"/>
  <c r="W238" i="8"/>
  <c r="T238" i="8"/>
  <c r="X238" i="8" s="1"/>
  <c r="W237" i="8"/>
  <c r="T237" i="8"/>
  <c r="W236" i="8"/>
  <c r="T236" i="8"/>
  <c r="X236" i="8" s="1"/>
  <c r="W235" i="8"/>
  <c r="T235" i="8"/>
  <c r="W234" i="8"/>
  <c r="T234" i="8"/>
  <c r="X234" i="8" s="1"/>
  <c r="W233" i="8"/>
  <c r="T233" i="8"/>
  <c r="X232" i="8"/>
  <c r="W232" i="8"/>
  <c r="T232" i="8"/>
  <c r="W231" i="8"/>
  <c r="T231" i="8"/>
  <c r="W230" i="8"/>
  <c r="T230" i="8"/>
  <c r="X230" i="8" s="1"/>
  <c r="W229" i="8"/>
  <c r="T229" i="8"/>
  <c r="W228" i="8"/>
  <c r="T228" i="8"/>
  <c r="W227" i="8"/>
  <c r="T227" i="8"/>
  <c r="X226" i="8"/>
  <c r="W226" i="8"/>
  <c r="T226" i="8"/>
  <c r="W225" i="8"/>
  <c r="T225" i="8"/>
  <c r="W224" i="8"/>
  <c r="T224" i="8"/>
  <c r="W223" i="8"/>
  <c r="T223" i="8"/>
  <c r="W222" i="8"/>
  <c r="T222" i="8"/>
  <c r="X222" i="8" s="1"/>
  <c r="W221" i="8"/>
  <c r="T221" i="8"/>
  <c r="W220" i="8"/>
  <c r="X220" i="8" s="1"/>
  <c r="T220" i="8"/>
  <c r="W219" i="8"/>
  <c r="T219" i="8"/>
  <c r="X219" i="8" s="1"/>
  <c r="W218" i="8"/>
  <c r="T218" i="8"/>
  <c r="X218" i="8" s="1"/>
  <c r="W217" i="8"/>
  <c r="T217" i="8"/>
  <c r="W216" i="8"/>
  <c r="T216" i="8"/>
  <c r="W215" i="8"/>
  <c r="T215" i="8"/>
  <c r="W214" i="8"/>
  <c r="T214" i="8"/>
  <c r="X214" i="8" s="1"/>
  <c r="W213" i="8"/>
  <c r="T213" i="8"/>
  <c r="W212" i="8"/>
  <c r="T212" i="8"/>
  <c r="W211" i="8"/>
  <c r="T211" i="8"/>
  <c r="X211" i="8" s="1"/>
  <c r="X210" i="8"/>
  <c r="W210" i="8"/>
  <c r="T210" i="8"/>
  <c r="W209" i="8"/>
  <c r="T209" i="8"/>
  <c r="W208" i="8"/>
  <c r="T208" i="8"/>
  <c r="W207" i="8"/>
  <c r="T207" i="8"/>
  <c r="W206" i="8"/>
  <c r="T206" i="8"/>
  <c r="X206" i="8" s="1"/>
  <c r="W205" i="8"/>
  <c r="T205" i="8"/>
  <c r="W204" i="8"/>
  <c r="X204" i="8" s="1"/>
  <c r="T204" i="8"/>
  <c r="W203" i="8"/>
  <c r="T203" i="8"/>
  <c r="X203" i="8" s="1"/>
  <c r="W202" i="8"/>
  <c r="T202" i="8"/>
  <c r="X202" i="8" s="1"/>
  <c r="W201" i="8"/>
  <c r="T201" i="8"/>
  <c r="W200" i="8"/>
  <c r="T200" i="8"/>
  <c r="W199" i="8"/>
  <c r="T199" i="8"/>
  <c r="W198" i="8"/>
  <c r="T198" i="8"/>
  <c r="X198" i="8" s="1"/>
  <c r="W197" i="8"/>
  <c r="T197" i="8"/>
  <c r="W196" i="8"/>
  <c r="T196" i="8"/>
  <c r="X196" i="8" s="1"/>
  <c r="W195" i="8"/>
  <c r="T195" i="8"/>
  <c r="X195" i="8" s="1"/>
  <c r="W194" i="8"/>
  <c r="T194" i="8"/>
  <c r="W193" i="8"/>
  <c r="T193" i="8"/>
  <c r="W192" i="8"/>
  <c r="T192" i="8"/>
  <c r="W191" i="8"/>
  <c r="X191" i="8" s="1"/>
  <c r="T191" i="8"/>
  <c r="W190" i="8"/>
  <c r="T190" i="8"/>
  <c r="W189" i="8"/>
  <c r="T189" i="8"/>
  <c r="W188" i="8"/>
  <c r="T188" i="8"/>
  <c r="W187" i="8"/>
  <c r="X187" i="8" s="1"/>
  <c r="T187" i="8"/>
  <c r="W186" i="8"/>
  <c r="T186" i="8"/>
  <c r="W185" i="8"/>
  <c r="X185" i="8" s="1"/>
  <c r="T185" i="8"/>
  <c r="W184" i="8"/>
  <c r="T184" i="8"/>
  <c r="W183" i="8"/>
  <c r="X183" i="8" s="1"/>
  <c r="T183" i="8"/>
  <c r="W182" i="8"/>
  <c r="T182" i="8"/>
  <c r="W181" i="8"/>
  <c r="X181" i="8" s="1"/>
  <c r="T181" i="8"/>
  <c r="W180" i="8"/>
  <c r="T180" i="8"/>
  <c r="W179" i="8"/>
  <c r="X179" i="8" s="1"/>
  <c r="T179" i="8"/>
  <c r="W178" i="8"/>
  <c r="T178" i="8"/>
  <c r="W177" i="8"/>
  <c r="X177" i="8" s="1"/>
  <c r="T177" i="8"/>
  <c r="W176" i="8"/>
  <c r="T176" i="8"/>
  <c r="W175" i="8"/>
  <c r="X175" i="8" s="1"/>
  <c r="T175" i="8"/>
  <c r="W174" i="8"/>
  <c r="T174" i="8"/>
  <c r="W173" i="8"/>
  <c r="X173" i="8" s="1"/>
  <c r="T173" i="8"/>
  <c r="W172" i="8"/>
  <c r="T172" i="8"/>
  <c r="W171" i="8"/>
  <c r="X171" i="8" s="1"/>
  <c r="T171" i="8"/>
  <c r="W170" i="8"/>
  <c r="T170" i="8"/>
  <c r="W169" i="8"/>
  <c r="X169" i="8" s="1"/>
  <c r="T169" i="8"/>
  <c r="W168" i="8"/>
  <c r="T168" i="8"/>
  <c r="W167" i="8"/>
  <c r="X167" i="8" s="1"/>
  <c r="T167" i="8"/>
  <c r="W166" i="8"/>
  <c r="T166" i="8"/>
  <c r="W165" i="8"/>
  <c r="X165" i="8" s="1"/>
  <c r="T165" i="8"/>
  <c r="W164" i="8"/>
  <c r="T164" i="8"/>
  <c r="W163" i="8"/>
  <c r="X163" i="8" s="1"/>
  <c r="T163" i="8"/>
  <c r="W162" i="8"/>
  <c r="T162" i="8"/>
  <c r="W161" i="8"/>
  <c r="X161" i="8" s="1"/>
  <c r="T161" i="8"/>
  <c r="W160" i="8"/>
  <c r="T160" i="8"/>
  <c r="W159" i="8"/>
  <c r="X159" i="8" s="1"/>
  <c r="T159" i="8"/>
  <c r="W158" i="8"/>
  <c r="T158" i="8"/>
  <c r="W157" i="8"/>
  <c r="X157" i="8" s="1"/>
  <c r="T157" i="8"/>
  <c r="W156" i="8"/>
  <c r="T156" i="8"/>
  <c r="W155" i="8"/>
  <c r="X155" i="8" s="1"/>
  <c r="T155" i="8"/>
  <c r="W154" i="8"/>
  <c r="T154" i="8"/>
  <c r="W153" i="8"/>
  <c r="X153" i="8" s="1"/>
  <c r="T153" i="8"/>
  <c r="W152" i="8"/>
  <c r="T152" i="8"/>
  <c r="W151" i="8"/>
  <c r="X151" i="8" s="1"/>
  <c r="T151" i="8"/>
  <c r="W150" i="8"/>
  <c r="T150" i="8"/>
  <c r="W149" i="8"/>
  <c r="X149" i="8" s="1"/>
  <c r="T149" i="8"/>
  <c r="W148" i="8"/>
  <c r="T148" i="8"/>
  <c r="W147" i="8"/>
  <c r="X147" i="8" s="1"/>
  <c r="T147" i="8"/>
  <c r="W146" i="8"/>
  <c r="T146" i="8"/>
  <c r="W145" i="8"/>
  <c r="X145" i="8" s="1"/>
  <c r="T145" i="8"/>
  <c r="W144" i="8"/>
  <c r="T144" i="8"/>
  <c r="W143" i="8"/>
  <c r="X143" i="8" s="1"/>
  <c r="T143" i="8"/>
  <c r="W142" i="8"/>
  <c r="T142" i="8"/>
  <c r="W141" i="8"/>
  <c r="X141" i="8" s="1"/>
  <c r="T141" i="8"/>
  <c r="W140" i="8"/>
  <c r="T140" i="8"/>
  <c r="W139" i="8"/>
  <c r="X139" i="8" s="1"/>
  <c r="T139" i="8"/>
  <c r="W138" i="8"/>
  <c r="T138" i="8"/>
  <c r="W137" i="8"/>
  <c r="T137" i="8"/>
  <c r="W136" i="8"/>
  <c r="T136" i="8"/>
  <c r="W135" i="8"/>
  <c r="T135" i="8"/>
  <c r="W134" i="8"/>
  <c r="T134" i="8"/>
  <c r="W133" i="8"/>
  <c r="T133" i="8"/>
  <c r="X133" i="8" s="1"/>
  <c r="W132" i="8"/>
  <c r="T132" i="8"/>
  <c r="W131" i="8"/>
  <c r="T131" i="8"/>
  <c r="W130" i="8"/>
  <c r="T130" i="8"/>
  <c r="W129" i="8"/>
  <c r="T129" i="8"/>
  <c r="X129" i="8" s="1"/>
  <c r="W128" i="8"/>
  <c r="T128" i="8"/>
  <c r="W127" i="8"/>
  <c r="X127" i="8" s="1"/>
  <c r="T127" i="8"/>
  <c r="W126" i="8"/>
  <c r="T126" i="8"/>
  <c r="W125" i="8"/>
  <c r="T125" i="8"/>
  <c r="X125" i="8" s="1"/>
  <c r="W124" i="8"/>
  <c r="T124" i="8"/>
  <c r="W123" i="8"/>
  <c r="T123" i="8"/>
  <c r="W122" i="8"/>
  <c r="T122" i="8"/>
  <c r="W121" i="8"/>
  <c r="T121" i="8"/>
  <c r="X121" i="8" s="1"/>
  <c r="W120" i="8"/>
  <c r="T120" i="8"/>
  <c r="W119" i="8"/>
  <c r="T119" i="8"/>
  <c r="W118" i="8"/>
  <c r="T118" i="8"/>
  <c r="W117" i="8"/>
  <c r="T117" i="8"/>
  <c r="X117" i="8" s="1"/>
  <c r="W116" i="8"/>
  <c r="T116" i="8"/>
  <c r="W115" i="8"/>
  <c r="T115" i="8"/>
  <c r="W114" i="8"/>
  <c r="T114" i="8"/>
  <c r="W113" i="8"/>
  <c r="T113" i="8"/>
  <c r="X113" i="8" s="1"/>
  <c r="W112" i="8"/>
  <c r="T112" i="8"/>
  <c r="W111" i="8"/>
  <c r="T111" i="8"/>
  <c r="W110" i="8"/>
  <c r="T110" i="8"/>
  <c r="W109" i="8"/>
  <c r="T109" i="8"/>
  <c r="X109" i="8" s="1"/>
  <c r="W108" i="8"/>
  <c r="T108" i="8"/>
  <c r="W107" i="8"/>
  <c r="T107" i="8"/>
  <c r="W106" i="8"/>
  <c r="T106" i="8"/>
  <c r="W105" i="8"/>
  <c r="T105" i="8"/>
  <c r="X105" i="8" s="1"/>
  <c r="W104" i="8"/>
  <c r="T104" i="8"/>
  <c r="W103" i="8"/>
  <c r="T103" i="8"/>
  <c r="W102" i="8"/>
  <c r="X102" i="8" s="1"/>
  <c r="T102" i="8"/>
  <c r="W101" i="8"/>
  <c r="T101" i="8"/>
  <c r="X101" i="8" s="1"/>
  <c r="W100" i="8"/>
  <c r="T100" i="8"/>
  <c r="W99" i="8"/>
  <c r="T99" i="8"/>
  <c r="W98" i="8"/>
  <c r="T98" i="8"/>
  <c r="W97" i="8"/>
  <c r="T97" i="8"/>
  <c r="X97" i="8" s="1"/>
  <c r="W96" i="8"/>
  <c r="T96" i="8"/>
  <c r="W95" i="8"/>
  <c r="T95" i="8"/>
  <c r="W94" i="8"/>
  <c r="T94" i="8"/>
  <c r="W93" i="8"/>
  <c r="T93" i="8"/>
  <c r="X93" i="8" s="1"/>
  <c r="W92" i="8"/>
  <c r="T92" i="8"/>
  <c r="W91" i="8"/>
  <c r="T91" i="8"/>
  <c r="W90" i="8"/>
  <c r="T90" i="8"/>
  <c r="W89" i="8"/>
  <c r="T89" i="8"/>
  <c r="X89" i="8" s="1"/>
  <c r="W88" i="8"/>
  <c r="T88" i="8"/>
  <c r="W87" i="8"/>
  <c r="T87" i="8"/>
  <c r="W86" i="8"/>
  <c r="T86" i="8"/>
  <c r="W85" i="8"/>
  <c r="T85" i="8"/>
  <c r="X85" i="8" s="1"/>
  <c r="W84" i="8"/>
  <c r="T84" i="8"/>
  <c r="W83" i="8"/>
  <c r="T83" i="8"/>
  <c r="W82" i="8"/>
  <c r="T82" i="8"/>
  <c r="W81" i="8"/>
  <c r="T81" i="8"/>
  <c r="X81" i="8" s="1"/>
  <c r="W80" i="8"/>
  <c r="T80" i="8"/>
  <c r="W79" i="8"/>
  <c r="T79" i="8"/>
  <c r="W78" i="8"/>
  <c r="T78" i="8"/>
  <c r="W77" i="8"/>
  <c r="T77" i="8"/>
  <c r="X77" i="8" s="1"/>
  <c r="W76" i="8"/>
  <c r="T76" i="8"/>
  <c r="W75" i="8"/>
  <c r="T75" i="8"/>
  <c r="W74" i="8"/>
  <c r="T74" i="8"/>
  <c r="W73" i="8"/>
  <c r="T73" i="8"/>
  <c r="X73" i="8" s="1"/>
  <c r="W72" i="8"/>
  <c r="T72" i="8"/>
  <c r="W71" i="8"/>
  <c r="T71" i="8"/>
  <c r="W70" i="8"/>
  <c r="T70" i="8"/>
  <c r="W69" i="8"/>
  <c r="T69" i="8"/>
  <c r="X69" i="8" s="1"/>
  <c r="W68" i="8"/>
  <c r="T68" i="8"/>
  <c r="W67" i="8"/>
  <c r="T67" i="8"/>
  <c r="W66" i="8"/>
  <c r="T66" i="8"/>
  <c r="W65" i="8"/>
  <c r="T65" i="8"/>
  <c r="X65" i="8" s="1"/>
  <c r="W64" i="8"/>
  <c r="T64" i="8"/>
  <c r="W63" i="8"/>
  <c r="T63" i="8"/>
  <c r="W62" i="8"/>
  <c r="T62" i="8"/>
  <c r="W61" i="8"/>
  <c r="T61" i="8"/>
  <c r="X61" i="8" s="1"/>
  <c r="W60" i="8"/>
  <c r="T60" i="8"/>
  <c r="W59" i="8"/>
  <c r="T59" i="8"/>
  <c r="W58" i="8"/>
  <c r="T58" i="8"/>
  <c r="W57" i="8"/>
  <c r="T57" i="8"/>
  <c r="X57" i="8" s="1"/>
  <c r="W56" i="8"/>
  <c r="T56" i="8"/>
  <c r="W55" i="8"/>
  <c r="T55" i="8"/>
  <c r="W54" i="8"/>
  <c r="T54" i="8"/>
  <c r="W53" i="8"/>
  <c r="T53" i="8"/>
  <c r="X53" i="8" s="1"/>
  <c r="W52" i="8"/>
  <c r="T52" i="8"/>
  <c r="W51" i="8"/>
  <c r="T51" i="8"/>
  <c r="W50" i="8"/>
  <c r="T50" i="8"/>
  <c r="W49" i="8"/>
  <c r="T49" i="8"/>
  <c r="X49" i="8" s="1"/>
  <c r="W48" i="8"/>
  <c r="T48" i="8"/>
  <c r="W47" i="8"/>
  <c r="T47" i="8"/>
  <c r="W46" i="8"/>
  <c r="T46" i="8"/>
  <c r="W45" i="8"/>
  <c r="T45" i="8"/>
  <c r="X45" i="8" s="1"/>
  <c r="W44" i="8"/>
  <c r="T44" i="8"/>
  <c r="X44" i="8" s="1"/>
  <c r="W43" i="8"/>
  <c r="T43" i="8"/>
  <c r="W42" i="8"/>
  <c r="T42" i="8"/>
  <c r="X42" i="8" s="1"/>
  <c r="W41" i="8"/>
  <c r="T41" i="8"/>
  <c r="W40" i="8"/>
  <c r="T40" i="8"/>
  <c r="X40" i="8" s="1"/>
  <c r="W39" i="8"/>
  <c r="T39" i="8"/>
  <c r="W38" i="8"/>
  <c r="T38" i="8"/>
  <c r="X38" i="8" s="1"/>
  <c r="W37" i="8"/>
  <c r="T37" i="8"/>
  <c r="X37" i="8" s="1"/>
  <c r="X36" i="8"/>
  <c r="W36" i="8"/>
  <c r="T36" i="8"/>
  <c r="W35" i="8"/>
  <c r="T35" i="8"/>
  <c r="X35" i="8" s="1"/>
  <c r="W34" i="8"/>
  <c r="X34" i="8" s="1"/>
  <c r="T34" i="8"/>
  <c r="W33" i="8"/>
  <c r="T33" i="8"/>
  <c r="X33" i="8" s="1"/>
  <c r="W32" i="8"/>
  <c r="T32" i="8"/>
  <c r="X32" i="8" s="1"/>
  <c r="W31" i="8"/>
  <c r="T31" i="8"/>
  <c r="W30" i="8"/>
  <c r="T30" i="8"/>
  <c r="X30" i="8" s="1"/>
  <c r="W29" i="8"/>
  <c r="T29" i="8"/>
  <c r="X29" i="8" s="1"/>
  <c r="X28" i="8"/>
  <c r="W28" i="8"/>
  <c r="T28" i="8"/>
  <c r="W27" i="8"/>
  <c r="T27" i="8"/>
  <c r="X27" i="8" s="1"/>
  <c r="W26" i="8"/>
  <c r="T26" i="8"/>
  <c r="X26" i="8" s="1"/>
  <c r="W25" i="8"/>
  <c r="T25" i="8"/>
  <c r="W24" i="8"/>
  <c r="T24" i="8"/>
  <c r="X24" i="8" s="1"/>
  <c r="W23" i="8"/>
  <c r="T23" i="8"/>
  <c r="W22" i="8"/>
  <c r="T22" i="8"/>
  <c r="X22" i="8" s="1"/>
  <c r="W21" i="8"/>
  <c r="T21" i="8"/>
  <c r="X21" i="8" s="1"/>
  <c r="X20" i="8"/>
  <c r="W20" i="8"/>
  <c r="T20" i="8"/>
  <c r="W19" i="8"/>
  <c r="T19" i="8"/>
  <c r="W18" i="8"/>
  <c r="T18" i="8"/>
  <c r="X18" i="8" s="1"/>
  <c r="W17" i="8"/>
  <c r="T17" i="8"/>
  <c r="W16" i="8"/>
  <c r="T16" i="8"/>
  <c r="X16" i="8" s="1"/>
  <c r="W15" i="8"/>
  <c r="T15" i="8"/>
  <c r="W14" i="8"/>
  <c r="T14" i="8"/>
  <c r="X14" i="8" s="1"/>
  <c r="W13" i="8"/>
  <c r="T13" i="8"/>
  <c r="W12" i="8"/>
  <c r="T12" i="8"/>
  <c r="X12" i="8" s="1"/>
  <c r="W11" i="8"/>
  <c r="T11" i="8"/>
  <c r="X11" i="8" s="1"/>
  <c r="X10" i="8"/>
  <c r="W10" i="8"/>
  <c r="T10" i="8"/>
  <c r="W9" i="8"/>
  <c r="T9" i="8"/>
  <c r="W8" i="8"/>
  <c r="T8" i="8"/>
  <c r="X8" i="8" s="1"/>
  <c r="W7" i="8"/>
  <c r="T7" i="8"/>
  <c r="X7" i="8" s="1"/>
  <c r="W6" i="8"/>
  <c r="T6" i="8"/>
  <c r="X6" i="8" s="1"/>
  <c r="W5" i="8"/>
  <c r="T5" i="8"/>
  <c r="W4" i="8"/>
  <c r="T4" i="8"/>
  <c r="X4" i="8" s="1"/>
  <c r="W3" i="8"/>
  <c r="T3" i="8"/>
  <c r="X3" i="8" s="1"/>
  <c r="X2" i="8"/>
  <c r="W2" i="8"/>
  <c r="T2" i="8"/>
  <c r="W366" i="7"/>
  <c r="T366" i="7"/>
  <c r="X366" i="7" s="1"/>
  <c r="X365" i="7"/>
  <c r="W365" i="7"/>
  <c r="T365" i="7"/>
  <c r="W364" i="7"/>
  <c r="T364" i="7"/>
  <c r="X364" i="7" s="1"/>
  <c r="X363" i="7"/>
  <c r="W363" i="7"/>
  <c r="T363" i="7"/>
  <c r="W362" i="7"/>
  <c r="T362" i="7"/>
  <c r="X362" i="7" s="1"/>
  <c r="X361" i="7"/>
  <c r="W361" i="7"/>
  <c r="T361" i="7"/>
  <c r="W360" i="7"/>
  <c r="T360" i="7"/>
  <c r="X360" i="7" s="1"/>
  <c r="X359" i="7"/>
  <c r="W359" i="7"/>
  <c r="T359" i="7"/>
  <c r="W358" i="7"/>
  <c r="T358" i="7"/>
  <c r="X358" i="7" s="1"/>
  <c r="X357" i="7"/>
  <c r="W357" i="7"/>
  <c r="T357" i="7"/>
  <c r="W356" i="7"/>
  <c r="T356" i="7"/>
  <c r="X356" i="7" s="1"/>
  <c r="X355" i="7"/>
  <c r="W355" i="7"/>
  <c r="T355" i="7"/>
  <c r="W354" i="7"/>
  <c r="T354" i="7"/>
  <c r="X354" i="7" s="1"/>
  <c r="X353" i="7"/>
  <c r="W353" i="7"/>
  <c r="T353" i="7"/>
  <c r="W352" i="7"/>
  <c r="T352" i="7"/>
  <c r="X352" i="7" s="1"/>
  <c r="X351" i="7"/>
  <c r="W351" i="7"/>
  <c r="T351" i="7"/>
  <c r="W350" i="7"/>
  <c r="T350" i="7"/>
  <c r="X350" i="7" s="1"/>
  <c r="X349" i="7"/>
  <c r="W349" i="7"/>
  <c r="T349" i="7"/>
  <c r="W348" i="7"/>
  <c r="T348" i="7"/>
  <c r="X348" i="7" s="1"/>
  <c r="X347" i="7"/>
  <c r="W347" i="7"/>
  <c r="T347" i="7"/>
  <c r="W346" i="7"/>
  <c r="T346" i="7"/>
  <c r="X346" i="7" s="1"/>
  <c r="X345" i="7"/>
  <c r="W345" i="7"/>
  <c r="T345" i="7"/>
  <c r="W344" i="7"/>
  <c r="T344" i="7"/>
  <c r="X344" i="7" s="1"/>
  <c r="X343" i="7"/>
  <c r="W343" i="7"/>
  <c r="T343" i="7"/>
  <c r="W342" i="7"/>
  <c r="T342" i="7"/>
  <c r="X342" i="7" s="1"/>
  <c r="X341" i="7"/>
  <c r="W341" i="7"/>
  <c r="T341" i="7"/>
  <c r="W340" i="7"/>
  <c r="T340" i="7"/>
  <c r="X340" i="7" s="1"/>
  <c r="X339" i="7"/>
  <c r="W339" i="7"/>
  <c r="T339" i="7"/>
  <c r="W338" i="7"/>
  <c r="T338" i="7"/>
  <c r="X338" i="7" s="1"/>
  <c r="X337" i="7"/>
  <c r="W337" i="7"/>
  <c r="T337" i="7"/>
  <c r="W336" i="7"/>
  <c r="T336" i="7"/>
  <c r="X336" i="7" s="1"/>
  <c r="X335" i="7"/>
  <c r="W335" i="7"/>
  <c r="T335" i="7"/>
  <c r="W334" i="7"/>
  <c r="T334" i="7"/>
  <c r="X334" i="7" s="1"/>
  <c r="X333" i="7"/>
  <c r="W333" i="7"/>
  <c r="T333" i="7"/>
  <c r="W332" i="7"/>
  <c r="T332" i="7"/>
  <c r="X332" i="7" s="1"/>
  <c r="X331" i="7"/>
  <c r="W331" i="7"/>
  <c r="T331" i="7"/>
  <c r="W330" i="7"/>
  <c r="T330" i="7"/>
  <c r="X330" i="7" s="1"/>
  <c r="X329" i="7"/>
  <c r="W329" i="7"/>
  <c r="T329" i="7"/>
  <c r="W328" i="7"/>
  <c r="T328" i="7"/>
  <c r="X328" i="7" s="1"/>
  <c r="X327" i="7"/>
  <c r="W327" i="7"/>
  <c r="T327" i="7"/>
  <c r="W326" i="7"/>
  <c r="T326" i="7"/>
  <c r="X325" i="7"/>
  <c r="W325" i="7"/>
  <c r="T325" i="7"/>
  <c r="W324" i="7"/>
  <c r="T324" i="7"/>
  <c r="X324" i="7" s="1"/>
  <c r="X323" i="7"/>
  <c r="W323" i="7"/>
  <c r="T323" i="7"/>
  <c r="W322" i="7"/>
  <c r="T322" i="7"/>
  <c r="X321" i="7"/>
  <c r="W321" i="7"/>
  <c r="T321" i="7"/>
  <c r="W320" i="7"/>
  <c r="T320" i="7"/>
  <c r="X320" i="7" s="1"/>
  <c r="X319" i="7"/>
  <c r="W319" i="7"/>
  <c r="T319" i="7"/>
  <c r="W318" i="7"/>
  <c r="T318" i="7"/>
  <c r="X317" i="7"/>
  <c r="W317" i="7"/>
  <c r="T317" i="7"/>
  <c r="W316" i="7"/>
  <c r="T316" i="7"/>
  <c r="X316" i="7" s="1"/>
  <c r="X315" i="7"/>
  <c r="W315" i="7"/>
  <c r="T315" i="7"/>
  <c r="W314" i="7"/>
  <c r="T314" i="7"/>
  <c r="X313" i="7"/>
  <c r="W313" i="7"/>
  <c r="T313" i="7"/>
  <c r="W312" i="7"/>
  <c r="T312" i="7"/>
  <c r="X312" i="7" s="1"/>
  <c r="X311" i="7"/>
  <c r="W311" i="7"/>
  <c r="T311" i="7"/>
  <c r="W310" i="7"/>
  <c r="T310" i="7"/>
  <c r="X309" i="7"/>
  <c r="W309" i="7"/>
  <c r="T309" i="7"/>
  <c r="W308" i="7"/>
  <c r="T308" i="7"/>
  <c r="X308" i="7" s="1"/>
  <c r="X307" i="7"/>
  <c r="W307" i="7"/>
  <c r="T307" i="7"/>
  <c r="W306" i="7"/>
  <c r="T306" i="7"/>
  <c r="X305" i="7"/>
  <c r="W305" i="7"/>
  <c r="T305" i="7"/>
  <c r="W304" i="7"/>
  <c r="T304" i="7"/>
  <c r="X304" i="7" s="1"/>
  <c r="X303" i="7"/>
  <c r="W303" i="7"/>
  <c r="T303" i="7"/>
  <c r="W302" i="7"/>
  <c r="T302" i="7"/>
  <c r="X301" i="7"/>
  <c r="W301" i="7"/>
  <c r="T301" i="7"/>
  <c r="W300" i="7"/>
  <c r="T300" i="7"/>
  <c r="X300" i="7" s="1"/>
  <c r="X299" i="7"/>
  <c r="W299" i="7"/>
  <c r="T299" i="7"/>
  <c r="W298" i="7"/>
  <c r="T298" i="7"/>
  <c r="X297" i="7"/>
  <c r="W297" i="7"/>
  <c r="T297" i="7"/>
  <c r="W296" i="7"/>
  <c r="T296" i="7"/>
  <c r="X296" i="7" s="1"/>
  <c r="X295" i="7"/>
  <c r="W295" i="7"/>
  <c r="T295" i="7"/>
  <c r="W294" i="7"/>
  <c r="T294" i="7"/>
  <c r="X293" i="7"/>
  <c r="W293" i="7"/>
  <c r="T293" i="7"/>
  <c r="W292" i="7"/>
  <c r="T292" i="7"/>
  <c r="X292" i="7" s="1"/>
  <c r="X291" i="7"/>
  <c r="W291" i="7"/>
  <c r="T291" i="7"/>
  <c r="W290" i="7"/>
  <c r="T290" i="7"/>
  <c r="X289" i="7"/>
  <c r="W289" i="7"/>
  <c r="T289" i="7"/>
  <c r="W288" i="7"/>
  <c r="T288" i="7"/>
  <c r="X288" i="7" s="1"/>
  <c r="X287" i="7"/>
  <c r="W287" i="7"/>
  <c r="T287" i="7"/>
  <c r="W286" i="7"/>
  <c r="T286" i="7"/>
  <c r="X285" i="7"/>
  <c r="W285" i="7"/>
  <c r="T285" i="7"/>
  <c r="W284" i="7"/>
  <c r="T284" i="7"/>
  <c r="X284" i="7" s="1"/>
  <c r="X283" i="7"/>
  <c r="W283" i="7"/>
  <c r="T283" i="7"/>
  <c r="W282" i="7"/>
  <c r="T282" i="7"/>
  <c r="X281" i="7"/>
  <c r="W281" i="7"/>
  <c r="T281" i="7"/>
  <c r="W280" i="7"/>
  <c r="T280" i="7"/>
  <c r="X280" i="7" s="1"/>
  <c r="X279" i="7"/>
  <c r="W279" i="7"/>
  <c r="T279" i="7"/>
  <c r="W278" i="7"/>
  <c r="T278" i="7"/>
  <c r="X277" i="7"/>
  <c r="W277" i="7"/>
  <c r="T277" i="7"/>
  <c r="W276" i="7"/>
  <c r="T276" i="7"/>
  <c r="X276" i="7" s="1"/>
  <c r="W275" i="7"/>
  <c r="X275" i="7" s="1"/>
  <c r="T275" i="7"/>
  <c r="W274" i="7"/>
  <c r="T274" i="7"/>
  <c r="X274" i="7" s="1"/>
  <c r="W273" i="7"/>
  <c r="X273" i="7" s="1"/>
  <c r="T273" i="7"/>
  <c r="W272" i="7"/>
  <c r="T272" i="7"/>
  <c r="X272" i="7" s="1"/>
  <c r="W271" i="7"/>
  <c r="X271" i="7" s="1"/>
  <c r="T271" i="7"/>
  <c r="W270" i="7"/>
  <c r="T270" i="7"/>
  <c r="X270" i="7" s="1"/>
  <c r="W269" i="7"/>
  <c r="X269" i="7" s="1"/>
  <c r="T269" i="7"/>
  <c r="W268" i="7"/>
  <c r="T268" i="7"/>
  <c r="X268" i="7" s="1"/>
  <c r="W267" i="7"/>
  <c r="X267" i="7" s="1"/>
  <c r="T267" i="7"/>
  <c r="W266" i="7"/>
  <c r="T266" i="7"/>
  <c r="X266" i="7" s="1"/>
  <c r="W265" i="7"/>
  <c r="X265" i="7" s="1"/>
  <c r="T265" i="7"/>
  <c r="W264" i="7"/>
  <c r="T264" i="7"/>
  <c r="X264" i="7" s="1"/>
  <c r="W263" i="7"/>
  <c r="X263" i="7" s="1"/>
  <c r="T263" i="7"/>
  <c r="W262" i="7"/>
  <c r="T262" i="7"/>
  <c r="X262" i="7" s="1"/>
  <c r="W261" i="7"/>
  <c r="X261" i="7" s="1"/>
  <c r="T261" i="7"/>
  <c r="W260" i="7"/>
  <c r="T260" i="7"/>
  <c r="X260" i="7" s="1"/>
  <c r="W259" i="7"/>
  <c r="X259" i="7" s="1"/>
  <c r="T259" i="7"/>
  <c r="W258" i="7"/>
  <c r="T258" i="7"/>
  <c r="X258" i="7" s="1"/>
  <c r="W257" i="7"/>
  <c r="X257" i="7" s="1"/>
  <c r="T257" i="7"/>
  <c r="W256" i="7"/>
  <c r="T256" i="7"/>
  <c r="X256" i="7" s="1"/>
  <c r="W255" i="7"/>
  <c r="X255" i="7" s="1"/>
  <c r="T255" i="7"/>
  <c r="W254" i="7"/>
  <c r="T254" i="7"/>
  <c r="X254" i="7" s="1"/>
  <c r="W253" i="7"/>
  <c r="X253" i="7" s="1"/>
  <c r="T253" i="7"/>
  <c r="W252" i="7"/>
  <c r="T252" i="7"/>
  <c r="X252" i="7" s="1"/>
  <c r="W251" i="7"/>
  <c r="X251" i="7" s="1"/>
  <c r="T251" i="7"/>
  <c r="W250" i="7"/>
  <c r="T250" i="7"/>
  <c r="X250" i="7" s="1"/>
  <c r="W249" i="7"/>
  <c r="X249" i="7" s="1"/>
  <c r="T249" i="7"/>
  <c r="W248" i="7"/>
  <c r="T248" i="7"/>
  <c r="X248" i="7" s="1"/>
  <c r="W247" i="7"/>
  <c r="X247" i="7" s="1"/>
  <c r="T247" i="7"/>
  <c r="W246" i="7"/>
  <c r="T246" i="7"/>
  <c r="X246" i="7" s="1"/>
  <c r="W245" i="7"/>
  <c r="X245" i="7" s="1"/>
  <c r="T245" i="7"/>
  <c r="W244" i="7"/>
  <c r="T244" i="7"/>
  <c r="X244" i="7" s="1"/>
  <c r="W243" i="7"/>
  <c r="X243" i="7" s="1"/>
  <c r="T243" i="7"/>
  <c r="W242" i="7"/>
  <c r="T242" i="7"/>
  <c r="X242" i="7" s="1"/>
  <c r="W241" i="7"/>
  <c r="X241" i="7" s="1"/>
  <c r="T241" i="7"/>
  <c r="W240" i="7"/>
  <c r="T240" i="7"/>
  <c r="X240" i="7" s="1"/>
  <c r="W239" i="7"/>
  <c r="X239" i="7" s="1"/>
  <c r="T239" i="7"/>
  <c r="W238" i="7"/>
  <c r="T238" i="7"/>
  <c r="X238" i="7" s="1"/>
  <c r="W237" i="7"/>
  <c r="X237" i="7" s="1"/>
  <c r="T237" i="7"/>
  <c r="W236" i="7"/>
  <c r="T236" i="7"/>
  <c r="X236" i="7" s="1"/>
  <c r="W235" i="7"/>
  <c r="X235" i="7" s="1"/>
  <c r="T235" i="7"/>
  <c r="W234" i="7"/>
  <c r="T234" i="7"/>
  <c r="X234" i="7" s="1"/>
  <c r="W233" i="7"/>
  <c r="X233" i="7" s="1"/>
  <c r="T233" i="7"/>
  <c r="W232" i="7"/>
  <c r="T232" i="7"/>
  <c r="X232" i="7" s="1"/>
  <c r="W231" i="7"/>
  <c r="X231" i="7" s="1"/>
  <c r="T231" i="7"/>
  <c r="W230" i="7"/>
  <c r="T230" i="7"/>
  <c r="X230" i="7" s="1"/>
  <c r="W229" i="7"/>
  <c r="X229" i="7" s="1"/>
  <c r="T229" i="7"/>
  <c r="W228" i="7"/>
  <c r="T228" i="7"/>
  <c r="X228" i="7" s="1"/>
  <c r="W227" i="7"/>
  <c r="X227" i="7" s="1"/>
  <c r="T227" i="7"/>
  <c r="W226" i="7"/>
  <c r="T226" i="7"/>
  <c r="X226" i="7" s="1"/>
  <c r="W225" i="7"/>
  <c r="X225" i="7" s="1"/>
  <c r="T225" i="7"/>
  <c r="W224" i="7"/>
  <c r="T224" i="7"/>
  <c r="X224" i="7" s="1"/>
  <c r="W223" i="7"/>
  <c r="X223" i="7" s="1"/>
  <c r="T223" i="7"/>
  <c r="W222" i="7"/>
  <c r="T222" i="7"/>
  <c r="X222" i="7" s="1"/>
  <c r="W221" i="7"/>
  <c r="X221" i="7" s="1"/>
  <c r="T221" i="7"/>
  <c r="W220" i="7"/>
  <c r="T220" i="7"/>
  <c r="X220" i="7" s="1"/>
  <c r="W219" i="7"/>
  <c r="X219" i="7" s="1"/>
  <c r="T219" i="7"/>
  <c r="W218" i="7"/>
  <c r="T218" i="7"/>
  <c r="X218" i="7" s="1"/>
  <c r="W217" i="7"/>
  <c r="X217" i="7" s="1"/>
  <c r="T217" i="7"/>
  <c r="W216" i="7"/>
  <c r="T216" i="7"/>
  <c r="X216" i="7" s="1"/>
  <c r="W215" i="7"/>
  <c r="X215" i="7" s="1"/>
  <c r="T215" i="7"/>
  <c r="W214" i="7"/>
  <c r="T214" i="7"/>
  <c r="X214" i="7" s="1"/>
  <c r="X213" i="7"/>
  <c r="W213" i="7"/>
  <c r="T213" i="7"/>
  <c r="W212" i="7"/>
  <c r="T212" i="7"/>
  <c r="W211" i="7"/>
  <c r="X211" i="7" s="1"/>
  <c r="T211" i="7"/>
  <c r="W210" i="7"/>
  <c r="T210" i="7"/>
  <c r="X210" i="7" s="1"/>
  <c r="X209" i="7"/>
  <c r="W209" i="7"/>
  <c r="T209" i="7"/>
  <c r="W208" i="7"/>
  <c r="T208" i="7"/>
  <c r="W207" i="7"/>
  <c r="X207" i="7" s="1"/>
  <c r="T207" i="7"/>
  <c r="W206" i="7"/>
  <c r="T206" i="7"/>
  <c r="X206" i="7" s="1"/>
  <c r="X205" i="7"/>
  <c r="W205" i="7"/>
  <c r="T205" i="7"/>
  <c r="W204" i="7"/>
  <c r="T204" i="7"/>
  <c r="W203" i="7"/>
  <c r="X203" i="7" s="1"/>
  <c r="T203" i="7"/>
  <c r="W202" i="7"/>
  <c r="T202" i="7"/>
  <c r="X202" i="7" s="1"/>
  <c r="X201" i="7"/>
  <c r="W201" i="7"/>
  <c r="T201" i="7"/>
  <c r="W200" i="7"/>
  <c r="T200" i="7"/>
  <c r="W199" i="7"/>
  <c r="X199" i="7" s="1"/>
  <c r="T199" i="7"/>
  <c r="W198" i="7"/>
  <c r="T198" i="7"/>
  <c r="X198" i="7" s="1"/>
  <c r="W197" i="7"/>
  <c r="T197" i="7"/>
  <c r="X197" i="7" s="1"/>
  <c r="X196" i="7"/>
  <c r="W196" i="7"/>
  <c r="T196" i="7"/>
  <c r="W195" i="7"/>
  <c r="T195" i="7"/>
  <c r="X195" i="7" s="1"/>
  <c r="X194" i="7"/>
  <c r="W194" i="7"/>
  <c r="T194" i="7"/>
  <c r="W193" i="7"/>
  <c r="T193" i="7"/>
  <c r="X193" i="7" s="1"/>
  <c r="X192" i="7"/>
  <c r="W192" i="7"/>
  <c r="T192" i="7"/>
  <c r="W191" i="7"/>
  <c r="T191" i="7"/>
  <c r="X191" i="7" s="1"/>
  <c r="X190" i="7"/>
  <c r="W190" i="7"/>
  <c r="T190" i="7"/>
  <c r="W189" i="7"/>
  <c r="T189" i="7"/>
  <c r="X189" i="7" s="1"/>
  <c r="X188" i="7"/>
  <c r="W188" i="7"/>
  <c r="T188" i="7"/>
  <c r="W187" i="7"/>
  <c r="T187" i="7"/>
  <c r="X187" i="7" s="1"/>
  <c r="X186" i="7"/>
  <c r="W186" i="7"/>
  <c r="T186" i="7"/>
  <c r="W185" i="7"/>
  <c r="T185" i="7"/>
  <c r="X185" i="7" s="1"/>
  <c r="X184" i="7"/>
  <c r="W184" i="7"/>
  <c r="T184" i="7"/>
  <c r="W183" i="7"/>
  <c r="T183" i="7"/>
  <c r="X183" i="7" s="1"/>
  <c r="X182" i="7"/>
  <c r="W182" i="7"/>
  <c r="T182" i="7"/>
  <c r="W181" i="7"/>
  <c r="T181" i="7"/>
  <c r="X181" i="7" s="1"/>
  <c r="X180" i="7"/>
  <c r="W180" i="7"/>
  <c r="T180" i="7"/>
  <c r="W179" i="7"/>
  <c r="T179" i="7"/>
  <c r="X179" i="7" s="1"/>
  <c r="X178" i="7"/>
  <c r="W178" i="7"/>
  <c r="T178" i="7"/>
  <c r="W177" i="7"/>
  <c r="T177" i="7"/>
  <c r="X177" i="7" s="1"/>
  <c r="X176" i="7"/>
  <c r="W176" i="7"/>
  <c r="T176" i="7"/>
  <c r="W175" i="7"/>
  <c r="T175" i="7"/>
  <c r="X175" i="7" s="1"/>
  <c r="X174" i="7"/>
  <c r="W174" i="7"/>
  <c r="T174" i="7"/>
  <c r="W173" i="7"/>
  <c r="T173" i="7"/>
  <c r="X173" i="7" s="1"/>
  <c r="X172" i="7"/>
  <c r="W172" i="7"/>
  <c r="T172" i="7"/>
  <c r="W171" i="7"/>
  <c r="T171" i="7"/>
  <c r="X171" i="7" s="1"/>
  <c r="X170" i="7"/>
  <c r="W170" i="7"/>
  <c r="T170" i="7"/>
  <c r="W169" i="7"/>
  <c r="T169" i="7"/>
  <c r="X169" i="7" s="1"/>
  <c r="X168" i="7"/>
  <c r="W168" i="7"/>
  <c r="T168" i="7"/>
  <c r="W167" i="7"/>
  <c r="T167" i="7"/>
  <c r="X167" i="7" s="1"/>
  <c r="X166" i="7"/>
  <c r="W166" i="7"/>
  <c r="T166" i="7"/>
  <c r="W165" i="7"/>
  <c r="T165" i="7"/>
  <c r="X165" i="7" s="1"/>
  <c r="X164" i="7"/>
  <c r="W164" i="7"/>
  <c r="T164" i="7"/>
  <c r="W163" i="7"/>
  <c r="T163" i="7"/>
  <c r="X163" i="7" s="1"/>
  <c r="X162" i="7"/>
  <c r="W162" i="7"/>
  <c r="T162" i="7"/>
  <c r="W161" i="7"/>
  <c r="T161" i="7"/>
  <c r="X161" i="7" s="1"/>
  <c r="X160" i="7"/>
  <c r="W160" i="7"/>
  <c r="T160" i="7"/>
  <c r="W159" i="7"/>
  <c r="T159" i="7"/>
  <c r="X159" i="7" s="1"/>
  <c r="X158" i="7"/>
  <c r="W158" i="7"/>
  <c r="T158" i="7"/>
  <c r="W157" i="7"/>
  <c r="T157" i="7"/>
  <c r="X157" i="7" s="1"/>
  <c r="X156" i="7"/>
  <c r="W156" i="7"/>
  <c r="T156" i="7"/>
  <c r="W155" i="7"/>
  <c r="T155" i="7"/>
  <c r="X155" i="7" s="1"/>
  <c r="X154" i="7"/>
  <c r="W154" i="7"/>
  <c r="T154" i="7"/>
  <c r="W153" i="7"/>
  <c r="T153" i="7"/>
  <c r="X153" i="7" s="1"/>
  <c r="X152" i="7"/>
  <c r="W152" i="7"/>
  <c r="T152" i="7"/>
  <c r="W151" i="7"/>
  <c r="T151" i="7"/>
  <c r="X151" i="7" s="1"/>
  <c r="X150" i="7"/>
  <c r="W150" i="7"/>
  <c r="T150" i="7"/>
  <c r="W149" i="7"/>
  <c r="T149" i="7"/>
  <c r="X149" i="7" s="1"/>
  <c r="X148" i="7"/>
  <c r="W148" i="7"/>
  <c r="T148" i="7"/>
  <c r="W147" i="7"/>
  <c r="T147" i="7"/>
  <c r="X147" i="7" s="1"/>
  <c r="X146" i="7"/>
  <c r="W146" i="7"/>
  <c r="T146" i="7"/>
  <c r="W145" i="7"/>
  <c r="T145" i="7"/>
  <c r="X145" i="7" s="1"/>
  <c r="X144" i="7"/>
  <c r="W144" i="7"/>
  <c r="T144" i="7"/>
  <c r="W143" i="7"/>
  <c r="T143" i="7"/>
  <c r="X143" i="7" s="1"/>
  <c r="X142" i="7"/>
  <c r="W142" i="7"/>
  <c r="T142" i="7"/>
  <c r="W141" i="7"/>
  <c r="T141" i="7"/>
  <c r="X141" i="7" s="1"/>
  <c r="X140" i="7"/>
  <c r="W140" i="7"/>
  <c r="T140" i="7"/>
  <c r="W139" i="7"/>
  <c r="T139" i="7"/>
  <c r="X139" i="7" s="1"/>
  <c r="X138" i="7"/>
  <c r="W138" i="7"/>
  <c r="T138" i="7"/>
  <c r="W137" i="7"/>
  <c r="T137" i="7"/>
  <c r="X137" i="7" s="1"/>
  <c r="X136" i="7"/>
  <c r="W136" i="7"/>
  <c r="T136" i="7"/>
  <c r="W135" i="7"/>
  <c r="T135" i="7"/>
  <c r="X135" i="7" s="1"/>
  <c r="X134" i="7"/>
  <c r="W134" i="7"/>
  <c r="T134" i="7"/>
  <c r="W133" i="7"/>
  <c r="T133" i="7"/>
  <c r="X133" i="7" s="1"/>
  <c r="X132" i="7"/>
  <c r="W132" i="7"/>
  <c r="T132" i="7"/>
  <c r="W131" i="7"/>
  <c r="T131" i="7"/>
  <c r="X131" i="7" s="1"/>
  <c r="X130" i="7"/>
  <c r="W130" i="7"/>
  <c r="T130" i="7"/>
  <c r="W129" i="7"/>
  <c r="T129" i="7"/>
  <c r="X129" i="7" s="1"/>
  <c r="X128" i="7"/>
  <c r="W128" i="7"/>
  <c r="T128" i="7"/>
  <c r="W127" i="7"/>
  <c r="T127" i="7"/>
  <c r="X127" i="7" s="1"/>
  <c r="X126" i="7"/>
  <c r="W126" i="7"/>
  <c r="T126" i="7"/>
  <c r="W125" i="7"/>
  <c r="T125" i="7"/>
  <c r="X125" i="7" s="1"/>
  <c r="X124" i="7"/>
  <c r="W124" i="7"/>
  <c r="T124" i="7"/>
  <c r="W123" i="7"/>
  <c r="T123" i="7"/>
  <c r="X123" i="7" s="1"/>
  <c r="X122" i="7"/>
  <c r="W122" i="7"/>
  <c r="T122" i="7"/>
  <c r="W121" i="7"/>
  <c r="T121" i="7"/>
  <c r="X121" i="7" s="1"/>
  <c r="X120" i="7"/>
  <c r="W120" i="7"/>
  <c r="T120" i="7"/>
  <c r="W119" i="7"/>
  <c r="T119" i="7"/>
  <c r="X119" i="7" s="1"/>
  <c r="X118" i="7"/>
  <c r="W118" i="7"/>
  <c r="T118" i="7"/>
  <c r="W117" i="7"/>
  <c r="T117" i="7"/>
  <c r="X117" i="7" s="1"/>
  <c r="X116" i="7"/>
  <c r="W116" i="7"/>
  <c r="T116" i="7"/>
  <c r="W115" i="7"/>
  <c r="T115" i="7"/>
  <c r="X115" i="7" s="1"/>
  <c r="X114" i="7"/>
  <c r="W114" i="7"/>
  <c r="T114" i="7"/>
  <c r="W113" i="7"/>
  <c r="T113" i="7"/>
  <c r="X113" i="7" s="1"/>
  <c r="X112" i="7"/>
  <c r="W112" i="7"/>
  <c r="T112" i="7"/>
  <c r="W111" i="7"/>
  <c r="T111" i="7"/>
  <c r="X111" i="7" s="1"/>
  <c r="X110" i="7"/>
  <c r="W110" i="7"/>
  <c r="T110" i="7"/>
  <c r="W109" i="7"/>
  <c r="T109" i="7"/>
  <c r="X109" i="7" s="1"/>
  <c r="X108" i="7"/>
  <c r="W108" i="7"/>
  <c r="T108" i="7"/>
  <c r="W107" i="7"/>
  <c r="T107" i="7"/>
  <c r="X107" i="7" s="1"/>
  <c r="X106" i="7"/>
  <c r="W106" i="7"/>
  <c r="T106" i="7"/>
  <c r="W105" i="7"/>
  <c r="T105" i="7"/>
  <c r="X105" i="7" s="1"/>
  <c r="X104" i="7"/>
  <c r="W104" i="7"/>
  <c r="T104" i="7"/>
  <c r="W103" i="7"/>
  <c r="T103" i="7"/>
  <c r="X103" i="7" s="1"/>
  <c r="X102" i="7"/>
  <c r="W102" i="7"/>
  <c r="T102" i="7"/>
  <c r="W101" i="7"/>
  <c r="T101" i="7"/>
  <c r="X101" i="7" s="1"/>
  <c r="X100" i="7"/>
  <c r="W100" i="7"/>
  <c r="T100" i="7"/>
  <c r="W99" i="7"/>
  <c r="T99" i="7"/>
  <c r="X99" i="7" s="1"/>
  <c r="X98" i="7"/>
  <c r="W98" i="7"/>
  <c r="T98" i="7"/>
  <c r="W97" i="7"/>
  <c r="T97" i="7"/>
  <c r="X97" i="7" s="1"/>
  <c r="X96" i="7"/>
  <c r="W96" i="7"/>
  <c r="T96" i="7"/>
  <c r="W95" i="7"/>
  <c r="T95" i="7"/>
  <c r="X95" i="7" s="1"/>
  <c r="X94" i="7"/>
  <c r="W94" i="7"/>
  <c r="T94" i="7"/>
  <c r="W93" i="7"/>
  <c r="T93" i="7"/>
  <c r="X93" i="7" s="1"/>
  <c r="X92" i="7"/>
  <c r="W92" i="7"/>
  <c r="T92" i="7"/>
  <c r="W91" i="7"/>
  <c r="T91" i="7"/>
  <c r="X91" i="7" s="1"/>
  <c r="X90" i="7"/>
  <c r="W90" i="7"/>
  <c r="T90" i="7"/>
  <c r="W89" i="7"/>
  <c r="T89" i="7"/>
  <c r="X89" i="7" s="1"/>
  <c r="X88" i="7"/>
  <c r="W88" i="7"/>
  <c r="T88" i="7"/>
  <c r="W87" i="7"/>
  <c r="T87" i="7"/>
  <c r="X87" i="7" s="1"/>
  <c r="X86" i="7"/>
  <c r="W86" i="7"/>
  <c r="T86" i="7"/>
  <c r="W85" i="7"/>
  <c r="T85" i="7"/>
  <c r="X85" i="7" s="1"/>
  <c r="X84" i="7"/>
  <c r="W84" i="7"/>
  <c r="T84" i="7"/>
  <c r="W83" i="7"/>
  <c r="T83" i="7"/>
  <c r="X83" i="7" s="1"/>
  <c r="X82" i="7"/>
  <c r="W82" i="7"/>
  <c r="T82" i="7"/>
  <c r="W81" i="7"/>
  <c r="T81" i="7"/>
  <c r="X81" i="7" s="1"/>
  <c r="X80" i="7"/>
  <c r="W80" i="7"/>
  <c r="T80" i="7"/>
  <c r="W79" i="7"/>
  <c r="T79" i="7"/>
  <c r="X79" i="7" s="1"/>
  <c r="X78" i="7"/>
  <c r="W78" i="7"/>
  <c r="T78" i="7"/>
  <c r="W77" i="7"/>
  <c r="T77" i="7"/>
  <c r="X77" i="7" s="1"/>
  <c r="X76" i="7"/>
  <c r="W76" i="7"/>
  <c r="T76" i="7"/>
  <c r="W75" i="7"/>
  <c r="T75" i="7"/>
  <c r="X75" i="7" s="1"/>
  <c r="X74" i="7"/>
  <c r="W74" i="7"/>
  <c r="T74" i="7"/>
  <c r="W73" i="7"/>
  <c r="T73" i="7"/>
  <c r="X73" i="7" s="1"/>
  <c r="X72" i="7"/>
  <c r="W72" i="7"/>
  <c r="T72" i="7"/>
  <c r="W71" i="7"/>
  <c r="T71" i="7"/>
  <c r="X71" i="7" s="1"/>
  <c r="X70" i="7"/>
  <c r="W70" i="7"/>
  <c r="T70" i="7"/>
  <c r="W69" i="7"/>
  <c r="T69" i="7"/>
  <c r="X68" i="7"/>
  <c r="W68" i="7"/>
  <c r="T68" i="7"/>
  <c r="W67" i="7"/>
  <c r="T67" i="7"/>
  <c r="X67" i="7" s="1"/>
  <c r="X66" i="7"/>
  <c r="W66" i="7"/>
  <c r="T66" i="7"/>
  <c r="W65" i="7"/>
  <c r="T65" i="7"/>
  <c r="X64" i="7"/>
  <c r="W64" i="7"/>
  <c r="T64" i="7"/>
  <c r="W63" i="7"/>
  <c r="T63" i="7"/>
  <c r="X63" i="7" s="1"/>
  <c r="X62" i="7"/>
  <c r="W62" i="7"/>
  <c r="T62" i="7"/>
  <c r="W61" i="7"/>
  <c r="T61" i="7"/>
  <c r="W60" i="7"/>
  <c r="X60" i="7" s="1"/>
  <c r="T60" i="7"/>
  <c r="W59" i="7"/>
  <c r="T59" i="7"/>
  <c r="X59" i="7" s="1"/>
  <c r="X58" i="7"/>
  <c r="W58" i="7"/>
  <c r="T58" i="7"/>
  <c r="W57" i="7"/>
  <c r="T57" i="7"/>
  <c r="W56" i="7"/>
  <c r="X56" i="7" s="1"/>
  <c r="T56" i="7"/>
  <c r="W55" i="7"/>
  <c r="T55" i="7"/>
  <c r="X55" i="7" s="1"/>
  <c r="X54" i="7"/>
  <c r="W54" i="7"/>
  <c r="T54" i="7"/>
  <c r="W53" i="7"/>
  <c r="T53" i="7"/>
  <c r="W52" i="7"/>
  <c r="X52" i="7" s="1"/>
  <c r="T52" i="7"/>
  <c r="W51" i="7"/>
  <c r="T51" i="7"/>
  <c r="X51" i="7" s="1"/>
  <c r="X50" i="7"/>
  <c r="W50" i="7"/>
  <c r="T50" i="7"/>
  <c r="W49" i="7"/>
  <c r="T49" i="7"/>
  <c r="W48" i="7"/>
  <c r="X48" i="7" s="1"/>
  <c r="T48" i="7"/>
  <c r="W47" i="7"/>
  <c r="T47" i="7"/>
  <c r="X47" i="7" s="1"/>
  <c r="X46" i="7"/>
  <c r="W46" i="7"/>
  <c r="T46" i="7"/>
  <c r="W45" i="7"/>
  <c r="T45" i="7"/>
  <c r="W44" i="7"/>
  <c r="X44" i="7" s="1"/>
  <c r="T44" i="7"/>
  <c r="W43" i="7"/>
  <c r="T43" i="7"/>
  <c r="X43" i="7" s="1"/>
  <c r="X42" i="7"/>
  <c r="W42" i="7"/>
  <c r="T42" i="7"/>
  <c r="W41" i="7"/>
  <c r="T41" i="7"/>
  <c r="W40" i="7"/>
  <c r="X40" i="7" s="1"/>
  <c r="T40" i="7"/>
  <c r="W39" i="7"/>
  <c r="T39" i="7"/>
  <c r="X39" i="7" s="1"/>
  <c r="X38" i="7"/>
  <c r="W38" i="7"/>
  <c r="T38" i="7"/>
  <c r="W37" i="7"/>
  <c r="T37" i="7"/>
  <c r="W36" i="7"/>
  <c r="X36" i="7" s="1"/>
  <c r="T36" i="7"/>
  <c r="W35" i="7"/>
  <c r="T35" i="7"/>
  <c r="X35" i="7" s="1"/>
  <c r="X34" i="7"/>
  <c r="W34" i="7"/>
  <c r="T34" i="7"/>
  <c r="W33" i="7"/>
  <c r="T33" i="7"/>
  <c r="W32" i="7"/>
  <c r="X32" i="7" s="1"/>
  <c r="T32" i="7"/>
  <c r="W31" i="7"/>
  <c r="T31" i="7"/>
  <c r="X31" i="7" s="1"/>
  <c r="X30" i="7"/>
  <c r="W30" i="7"/>
  <c r="T30" i="7"/>
  <c r="W29" i="7"/>
  <c r="T29" i="7"/>
  <c r="W28" i="7"/>
  <c r="T28" i="7"/>
  <c r="X28" i="7" s="1"/>
  <c r="W27" i="7"/>
  <c r="X27" i="7" s="1"/>
  <c r="T27" i="7"/>
  <c r="W26" i="7"/>
  <c r="T26" i="7"/>
  <c r="X26" i="7" s="1"/>
  <c r="W25" i="7"/>
  <c r="X25" i="7" s="1"/>
  <c r="T25" i="7"/>
  <c r="W24" i="7"/>
  <c r="T24" i="7"/>
  <c r="X24" i="7" s="1"/>
  <c r="W23" i="7"/>
  <c r="X23" i="7" s="1"/>
  <c r="T23" i="7"/>
  <c r="W22" i="7"/>
  <c r="T22" i="7"/>
  <c r="X22" i="7" s="1"/>
  <c r="W21" i="7"/>
  <c r="T21" i="7"/>
  <c r="X21" i="7" s="1"/>
  <c r="W20" i="7"/>
  <c r="X20" i="7" s="1"/>
  <c r="T20" i="7"/>
  <c r="W19" i="7"/>
  <c r="T19" i="7"/>
  <c r="X19" i="7" s="1"/>
  <c r="W18" i="7"/>
  <c r="X18" i="7" s="1"/>
  <c r="T18" i="7"/>
  <c r="W17" i="7"/>
  <c r="T17" i="7"/>
  <c r="X17" i="7" s="1"/>
  <c r="W16" i="7"/>
  <c r="X16" i="7" s="1"/>
  <c r="T16" i="7"/>
  <c r="W15" i="7"/>
  <c r="T15" i="7"/>
  <c r="X15" i="7" s="1"/>
  <c r="W14" i="7"/>
  <c r="X14" i="7" s="1"/>
  <c r="T14" i="7"/>
  <c r="W13" i="7"/>
  <c r="T13" i="7"/>
  <c r="X13" i="7" s="1"/>
  <c r="W12" i="7"/>
  <c r="X12" i="7" s="1"/>
  <c r="T12" i="7"/>
  <c r="W11" i="7"/>
  <c r="T11" i="7"/>
  <c r="X11" i="7" s="1"/>
  <c r="W10" i="7"/>
  <c r="X10" i="7" s="1"/>
  <c r="T10" i="7"/>
  <c r="W9" i="7"/>
  <c r="T9" i="7"/>
  <c r="X9" i="7" s="1"/>
  <c r="W8" i="7"/>
  <c r="X8" i="7" s="1"/>
  <c r="T8" i="7"/>
  <c r="W7" i="7"/>
  <c r="T7" i="7"/>
  <c r="X7" i="7" s="1"/>
  <c r="W6" i="7"/>
  <c r="X6" i="7" s="1"/>
  <c r="T6" i="7"/>
  <c r="W5" i="7"/>
  <c r="T5" i="7"/>
  <c r="X5" i="7" s="1"/>
  <c r="W4" i="7"/>
  <c r="X4" i="7" s="1"/>
  <c r="T4" i="7"/>
  <c r="W3" i="7"/>
  <c r="T3" i="7"/>
  <c r="X3" i="7" s="1"/>
  <c r="W2" i="7"/>
  <c r="T2" i="7"/>
  <c r="X2" i="7" s="1"/>
  <c r="AP2" i="5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D7" i="6"/>
  <c r="AD11" i="6"/>
  <c r="AD15" i="6"/>
  <c r="AD19" i="6"/>
  <c r="AD23" i="6"/>
  <c r="AD27" i="6"/>
  <c r="AD31" i="6"/>
  <c r="AD35" i="6"/>
  <c r="AD39" i="6"/>
  <c r="AD43" i="6"/>
  <c r="AD47" i="6"/>
  <c r="AD51" i="6"/>
  <c r="AD55" i="6"/>
  <c r="AD59" i="6"/>
  <c r="AD63" i="6"/>
  <c r="AD67" i="6"/>
  <c r="AD71" i="6"/>
  <c r="AD75" i="6"/>
  <c r="AD79" i="6"/>
  <c r="AD83" i="6"/>
  <c r="AD87" i="6"/>
  <c r="AD91" i="6"/>
  <c r="AD95" i="6"/>
  <c r="AD99" i="6"/>
  <c r="AD103" i="6"/>
  <c r="AD107" i="6"/>
  <c r="AD111" i="6"/>
  <c r="AD115" i="6"/>
  <c r="AD119" i="6"/>
  <c r="AD123" i="6"/>
  <c r="AD127" i="6"/>
  <c r="AD131" i="6"/>
  <c r="AD135" i="6"/>
  <c r="AD139" i="6"/>
  <c r="AD143" i="6"/>
  <c r="AD147" i="6"/>
  <c r="AD151" i="6"/>
  <c r="AD155" i="6"/>
  <c r="AD159" i="6"/>
  <c r="AD163" i="6"/>
  <c r="AD167" i="6"/>
  <c r="AD171" i="6"/>
  <c r="AD175" i="6"/>
  <c r="AD179" i="6"/>
  <c r="AD183" i="6"/>
  <c r="AD187" i="6"/>
  <c r="AD191" i="6"/>
  <c r="AD195" i="6"/>
  <c r="AD199" i="6"/>
  <c r="AD203" i="6"/>
  <c r="AD207" i="6"/>
  <c r="AD211" i="6"/>
  <c r="AD215" i="6"/>
  <c r="AD219" i="6"/>
  <c r="AD223" i="6"/>
  <c r="AD227" i="6"/>
  <c r="AD231" i="6"/>
  <c r="AD235" i="6"/>
  <c r="AD239" i="6"/>
  <c r="AD243" i="6"/>
  <c r="AD247" i="6"/>
  <c r="AD251" i="6"/>
  <c r="AD255" i="6"/>
  <c r="AD259" i="6"/>
  <c r="AD263" i="6"/>
  <c r="AD267" i="6"/>
  <c r="AD271" i="6"/>
  <c r="AD275" i="6"/>
  <c r="AD279" i="6"/>
  <c r="AD283" i="6"/>
  <c r="AD287" i="6"/>
  <c r="AD291" i="6"/>
  <c r="AD295" i="6"/>
  <c r="AD299" i="6"/>
  <c r="AD303" i="6"/>
  <c r="AD307" i="6"/>
  <c r="AD311" i="6"/>
  <c r="AD315" i="6"/>
  <c r="AD319" i="6"/>
  <c r="AD323" i="6"/>
  <c r="AD327" i="6"/>
  <c r="AD331" i="6"/>
  <c r="AD335" i="6"/>
  <c r="AD339" i="6"/>
  <c r="AD343" i="6"/>
  <c r="AD347" i="6"/>
  <c r="AD351" i="6"/>
  <c r="AD355" i="6"/>
  <c r="AD359" i="6"/>
  <c r="AD36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6" i="6"/>
  <c r="S10" i="6"/>
  <c r="S14" i="6"/>
  <c r="S18" i="6"/>
  <c r="S22" i="6"/>
  <c r="S26" i="6"/>
  <c r="S30" i="6"/>
  <c r="S34" i="6"/>
  <c r="S38" i="6"/>
  <c r="S42" i="6"/>
  <c r="S46" i="6"/>
  <c r="S50" i="6"/>
  <c r="S54" i="6"/>
  <c r="S58" i="6"/>
  <c r="S62" i="6"/>
  <c r="S66" i="6"/>
  <c r="S70" i="6"/>
  <c r="S74" i="6"/>
  <c r="S78" i="6"/>
  <c r="S82" i="6"/>
  <c r="S86" i="6"/>
  <c r="S90" i="6"/>
  <c r="S94" i="6"/>
  <c r="S98" i="6"/>
  <c r="S102" i="6"/>
  <c r="S106" i="6"/>
  <c r="S110" i="6"/>
  <c r="S114" i="6"/>
  <c r="S118" i="6"/>
  <c r="S122" i="6"/>
  <c r="S126" i="6"/>
  <c r="S130" i="6"/>
  <c r="S134" i="6"/>
  <c r="S138" i="6"/>
  <c r="S142" i="6"/>
  <c r="S146" i="6"/>
  <c r="S150" i="6"/>
  <c r="S154" i="6"/>
  <c r="S158" i="6"/>
  <c r="S162" i="6"/>
  <c r="S166" i="6"/>
  <c r="S170" i="6"/>
  <c r="S174" i="6"/>
  <c r="S178" i="6"/>
  <c r="S182" i="6"/>
  <c r="S186" i="6"/>
  <c r="S190" i="6"/>
  <c r="S194" i="6"/>
  <c r="S198" i="6"/>
  <c r="S202" i="6"/>
  <c r="S206" i="6"/>
  <c r="S210" i="6"/>
  <c r="S214" i="6"/>
  <c r="S218" i="6"/>
  <c r="S222" i="6"/>
  <c r="S226" i="6"/>
  <c r="S230" i="6"/>
  <c r="S234" i="6"/>
  <c r="S238" i="6"/>
  <c r="S242" i="6"/>
  <c r="S246" i="6"/>
  <c r="S250" i="6"/>
  <c r="S254" i="6"/>
  <c r="S258" i="6"/>
  <c r="S262" i="6"/>
  <c r="S266" i="6"/>
  <c r="S270" i="6"/>
  <c r="S274" i="6"/>
  <c r="S278" i="6"/>
  <c r="S282" i="6"/>
  <c r="S286" i="6"/>
  <c r="S290" i="6"/>
  <c r="S294" i="6"/>
  <c r="S298" i="6"/>
  <c r="S302" i="6"/>
  <c r="S306" i="6"/>
  <c r="S310" i="6"/>
  <c r="S314" i="6"/>
  <c r="S318" i="6"/>
  <c r="S322" i="6"/>
  <c r="S326" i="6"/>
  <c r="S330" i="6"/>
  <c r="S334" i="6"/>
  <c r="S338" i="6"/>
  <c r="S342" i="6"/>
  <c r="S346" i="6"/>
  <c r="S350" i="6"/>
  <c r="S354" i="6"/>
  <c r="S358" i="6"/>
  <c r="S362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S15" i="6" s="1"/>
  <c r="P16" i="6"/>
  <c r="P17" i="6"/>
  <c r="P18" i="6"/>
  <c r="P19" i="6"/>
  <c r="P20" i="6"/>
  <c r="P21" i="6"/>
  <c r="P22" i="6"/>
  <c r="P23" i="6"/>
  <c r="S23" i="6" s="1"/>
  <c r="P24" i="6"/>
  <c r="P25" i="6"/>
  <c r="P26" i="6"/>
  <c r="P27" i="6"/>
  <c r="P28" i="6"/>
  <c r="P29" i="6"/>
  <c r="S29" i="6" s="1"/>
  <c r="P30" i="6"/>
  <c r="P31" i="6"/>
  <c r="S31" i="6" s="1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S45" i="6" s="1"/>
  <c r="P46" i="6"/>
  <c r="P47" i="6"/>
  <c r="P48" i="6"/>
  <c r="P49" i="6"/>
  <c r="P50" i="6"/>
  <c r="P51" i="6"/>
  <c r="P52" i="6"/>
  <c r="P53" i="6"/>
  <c r="S53" i="6" s="1"/>
  <c r="P54" i="6"/>
  <c r="P55" i="6"/>
  <c r="P56" i="6"/>
  <c r="P57" i="6"/>
  <c r="S57" i="6" s="1"/>
  <c r="P58" i="6"/>
  <c r="P59" i="6"/>
  <c r="P60" i="6"/>
  <c r="P61" i="6"/>
  <c r="S61" i="6" s="1"/>
  <c r="P62" i="6"/>
  <c r="P63" i="6"/>
  <c r="P64" i="6"/>
  <c r="P65" i="6"/>
  <c r="P66" i="6"/>
  <c r="P67" i="6"/>
  <c r="P68" i="6"/>
  <c r="P69" i="6"/>
  <c r="S69" i="6" s="1"/>
  <c r="P70" i="6"/>
  <c r="P71" i="6"/>
  <c r="P72" i="6"/>
  <c r="P73" i="6"/>
  <c r="S73" i="6" s="1"/>
  <c r="P74" i="6"/>
  <c r="P75" i="6"/>
  <c r="P76" i="6"/>
  <c r="P77" i="6"/>
  <c r="S77" i="6" s="1"/>
  <c r="P78" i="6"/>
  <c r="P79" i="6"/>
  <c r="P80" i="6"/>
  <c r="P81" i="6"/>
  <c r="P82" i="6"/>
  <c r="P83" i="6"/>
  <c r="P84" i="6"/>
  <c r="P85" i="6"/>
  <c r="S85" i="6" s="1"/>
  <c r="P86" i="6"/>
  <c r="P87" i="6"/>
  <c r="P88" i="6"/>
  <c r="P89" i="6"/>
  <c r="P90" i="6"/>
  <c r="P91" i="6"/>
  <c r="P92" i="6"/>
  <c r="P93" i="6"/>
  <c r="S93" i="6" s="1"/>
  <c r="P94" i="6"/>
  <c r="P95" i="6"/>
  <c r="P96" i="6"/>
  <c r="P97" i="6"/>
  <c r="P98" i="6"/>
  <c r="P99" i="6"/>
  <c r="P100" i="6"/>
  <c r="P101" i="6"/>
  <c r="S101" i="6" s="1"/>
  <c r="P102" i="6"/>
  <c r="P103" i="6"/>
  <c r="P104" i="6"/>
  <c r="P105" i="6"/>
  <c r="P106" i="6"/>
  <c r="P107" i="6"/>
  <c r="P108" i="6"/>
  <c r="P109" i="6"/>
  <c r="S109" i="6" s="1"/>
  <c r="P110" i="6"/>
  <c r="P111" i="6"/>
  <c r="P112" i="6"/>
  <c r="P113" i="6"/>
  <c r="P114" i="6"/>
  <c r="P115" i="6"/>
  <c r="P116" i="6"/>
  <c r="P117" i="6"/>
  <c r="S117" i="6" s="1"/>
  <c r="P118" i="6"/>
  <c r="P119" i="6"/>
  <c r="P120" i="6"/>
  <c r="P121" i="6"/>
  <c r="P122" i="6"/>
  <c r="P123" i="6"/>
  <c r="P124" i="6"/>
  <c r="P125" i="6"/>
  <c r="S125" i="6" s="1"/>
  <c r="P126" i="6"/>
  <c r="P127" i="6"/>
  <c r="P128" i="6"/>
  <c r="P129" i="6"/>
  <c r="P130" i="6"/>
  <c r="P131" i="6"/>
  <c r="P132" i="6"/>
  <c r="P133" i="6"/>
  <c r="S133" i="6" s="1"/>
  <c r="P134" i="6"/>
  <c r="P135" i="6"/>
  <c r="P136" i="6"/>
  <c r="P137" i="6"/>
  <c r="P138" i="6"/>
  <c r="P139" i="6"/>
  <c r="P140" i="6"/>
  <c r="P141" i="6"/>
  <c r="S141" i="6" s="1"/>
  <c r="P142" i="6"/>
  <c r="P143" i="6"/>
  <c r="P144" i="6"/>
  <c r="P145" i="6"/>
  <c r="P146" i="6"/>
  <c r="P147" i="6"/>
  <c r="P148" i="6"/>
  <c r="P149" i="6"/>
  <c r="S149" i="6" s="1"/>
  <c r="P150" i="6"/>
  <c r="P151" i="6"/>
  <c r="P152" i="6"/>
  <c r="P153" i="6"/>
  <c r="P154" i="6"/>
  <c r="P155" i="6"/>
  <c r="P156" i="6"/>
  <c r="P157" i="6"/>
  <c r="S157" i="6" s="1"/>
  <c r="P158" i="6"/>
  <c r="P159" i="6"/>
  <c r="P160" i="6"/>
  <c r="P161" i="6"/>
  <c r="P162" i="6"/>
  <c r="P163" i="6"/>
  <c r="P164" i="6"/>
  <c r="P165" i="6"/>
  <c r="S165" i="6" s="1"/>
  <c r="P166" i="6"/>
  <c r="P167" i="6"/>
  <c r="P168" i="6"/>
  <c r="P169" i="6"/>
  <c r="P170" i="6"/>
  <c r="P171" i="6"/>
  <c r="P172" i="6"/>
  <c r="P173" i="6"/>
  <c r="S173" i="6" s="1"/>
  <c r="P174" i="6"/>
  <c r="P175" i="6"/>
  <c r="P176" i="6"/>
  <c r="P177" i="6"/>
  <c r="P178" i="6"/>
  <c r="P179" i="6"/>
  <c r="P180" i="6"/>
  <c r="P181" i="6"/>
  <c r="S181" i="6" s="1"/>
  <c r="P182" i="6"/>
  <c r="P183" i="6"/>
  <c r="P184" i="6"/>
  <c r="P185" i="6"/>
  <c r="P186" i="6"/>
  <c r="P187" i="6"/>
  <c r="P188" i="6"/>
  <c r="P189" i="6"/>
  <c r="S189" i="6" s="1"/>
  <c r="P190" i="6"/>
  <c r="P191" i="6"/>
  <c r="P192" i="6"/>
  <c r="P193" i="6"/>
  <c r="P194" i="6"/>
  <c r="P195" i="6"/>
  <c r="P196" i="6"/>
  <c r="P197" i="6"/>
  <c r="S197" i="6" s="1"/>
  <c r="P198" i="6"/>
  <c r="P199" i="6"/>
  <c r="P200" i="6"/>
  <c r="P201" i="6"/>
  <c r="S201" i="6" s="1"/>
  <c r="P202" i="6"/>
  <c r="P203" i="6"/>
  <c r="P204" i="6"/>
  <c r="P205" i="6"/>
  <c r="S205" i="6" s="1"/>
  <c r="P206" i="6"/>
  <c r="P207" i="6"/>
  <c r="P208" i="6"/>
  <c r="P209" i="6"/>
  <c r="P210" i="6"/>
  <c r="P211" i="6"/>
  <c r="P212" i="6"/>
  <c r="P213" i="6"/>
  <c r="S213" i="6" s="1"/>
  <c r="P214" i="6"/>
  <c r="P215" i="6"/>
  <c r="P216" i="6"/>
  <c r="P217" i="6"/>
  <c r="S217" i="6" s="1"/>
  <c r="P218" i="6"/>
  <c r="P219" i="6"/>
  <c r="P220" i="6"/>
  <c r="P221" i="6"/>
  <c r="S221" i="6" s="1"/>
  <c r="P222" i="6"/>
  <c r="P223" i="6"/>
  <c r="P224" i="6"/>
  <c r="P225" i="6"/>
  <c r="P226" i="6"/>
  <c r="P227" i="6"/>
  <c r="P228" i="6"/>
  <c r="P229" i="6"/>
  <c r="S229" i="6" s="1"/>
  <c r="P230" i="6"/>
  <c r="P231" i="6"/>
  <c r="P232" i="6"/>
  <c r="P233" i="6"/>
  <c r="S233" i="6" s="1"/>
  <c r="P234" i="6"/>
  <c r="P235" i="6"/>
  <c r="P236" i="6"/>
  <c r="P237" i="6"/>
  <c r="S237" i="6" s="1"/>
  <c r="P238" i="6"/>
  <c r="P239" i="6"/>
  <c r="P240" i="6"/>
  <c r="P241" i="6"/>
  <c r="S241" i="6" s="1"/>
  <c r="P242" i="6"/>
  <c r="P243" i="6"/>
  <c r="P244" i="6"/>
  <c r="P245" i="6"/>
  <c r="S245" i="6" s="1"/>
  <c r="P246" i="6"/>
  <c r="P247" i="6"/>
  <c r="P248" i="6"/>
  <c r="P249" i="6"/>
  <c r="S249" i="6" s="1"/>
  <c r="P250" i="6"/>
  <c r="P251" i="6"/>
  <c r="P252" i="6"/>
  <c r="P253" i="6"/>
  <c r="S253" i="6" s="1"/>
  <c r="P254" i="6"/>
  <c r="P255" i="6"/>
  <c r="P256" i="6"/>
  <c r="P257" i="6"/>
  <c r="S257" i="6" s="1"/>
  <c r="P258" i="6"/>
  <c r="P259" i="6"/>
  <c r="P260" i="6"/>
  <c r="P261" i="6"/>
  <c r="S261" i="6" s="1"/>
  <c r="P262" i="6"/>
  <c r="P263" i="6"/>
  <c r="P264" i="6"/>
  <c r="P265" i="6"/>
  <c r="S265" i="6" s="1"/>
  <c r="P266" i="6"/>
  <c r="P267" i="6"/>
  <c r="P268" i="6"/>
  <c r="P269" i="6"/>
  <c r="S269" i="6" s="1"/>
  <c r="P270" i="6"/>
  <c r="P271" i="6"/>
  <c r="P272" i="6"/>
  <c r="P273" i="6"/>
  <c r="S273" i="6" s="1"/>
  <c r="P274" i="6"/>
  <c r="P275" i="6"/>
  <c r="P276" i="6"/>
  <c r="P277" i="6"/>
  <c r="S277" i="6" s="1"/>
  <c r="P278" i="6"/>
  <c r="P279" i="6"/>
  <c r="P280" i="6"/>
  <c r="P281" i="6"/>
  <c r="S281" i="6" s="1"/>
  <c r="P282" i="6"/>
  <c r="P283" i="6"/>
  <c r="P284" i="6"/>
  <c r="P285" i="6"/>
  <c r="S285" i="6" s="1"/>
  <c r="P286" i="6"/>
  <c r="P287" i="6"/>
  <c r="P288" i="6"/>
  <c r="P289" i="6"/>
  <c r="S289" i="6" s="1"/>
  <c r="P290" i="6"/>
  <c r="P291" i="6"/>
  <c r="P292" i="6"/>
  <c r="P293" i="6"/>
  <c r="S293" i="6" s="1"/>
  <c r="P294" i="6"/>
  <c r="P295" i="6"/>
  <c r="P296" i="6"/>
  <c r="P297" i="6"/>
  <c r="S297" i="6" s="1"/>
  <c r="P298" i="6"/>
  <c r="P299" i="6"/>
  <c r="P300" i="6"/>
  <c r="P301" i="6"/>
  <c r="S301" i="6" s="1"/>
  <c r="P302" i="6"/>
  <c r="P303" i="6"/>
  <c r="P304" i="6"/>
  <c r="P305" i="6"/>
  <c r="S305" i="6" s="1"/>
  <c r="P306" i="6"/>
  <c r="P307" i="6"/>
  <c r="P308" i="6"/>
  <c r="P309" i="6"/>
  <c r="S309" i="6" s="1"/>
  <c r="P310" i="6"/>
  <c r="P311" i="6"/>
  <c r="P312" i="6"/>
  <c r="P313" i="6"/>
  <c r="S313" i="6" s="1"/>
  <c r="P314" i="6"/>
  <c r="P315" i="6"/>
  <c r="P316" i="6"/>
  <c r="P317" i="6"/>
  <c r="S317" i="6" s="1"/>
  <c r="P318" i="6"/>
  <c r="P319" i="6"/>
  <c r="P320" i="6"/>
  <c r="P321" i="6"/>
  <c r="S321" i="6" s="1"/>
  <c r="P322" i="6"/>
  <c r="P323" i="6"/>
  <c r="P324" i="6"/>
  <c r="P325" i="6"/>
  <c r="S325" i="6" s="1"/>
  <c r="P326" i="6"/>
  <c r="P327" i="6"/>
  <c r="P328" i="6"/>
  <c r="P329" i="6"/>
  <c r="S329" i="6" s="1"/>
  <c r="P330" i="6"/>
  <c r="P331" i="6"/>
  <c r="P332" i="6"/>
  <c r="P333" i="6"/>
  <c r="S333" i="6" s="1"/>
  <c r="P334" i="6"/>
  <c r="P335" i="6"/>
  <c r="P336" i="6"/>
  <c r="P337" i="6"/>
  <c r="S337" i="6" s="1"/>
  <c r="P338" i="6"/>
  <c r="P339" i="6"/>
  <c r="P340" i="6"/>
  <c r="P341" i="6"/>
  <c r="S341" i="6" s="1"/>
  <c r="P342" i="6"/>
  <c r="P343" i="6"/>
  <c r="P344" i="6"/>
  <c r="P345" i="6"/>
  <c r="S345" i="6" s="1"/>
  <c r="P346" i="6"/>
  <c r="P347" i="6"/>
  <c r="P348" i="6"/>
  <c r="P349" i="6"/>
  <c r="S349" i="6" s="1"/>
  <c r="P350" i="6"/>
  <c r="P351" i="6"/>
  <c r="P352" i="6"/>
  <c r="P353" i="6"/>
  <c r="S353" i="6" s="1"/>
  <c r="P354" i="6"/>
  <c r="P355" i="6"/>
  <c r="P356" i="6"/>
  <c r="P357" i="6"/>
  <c r="S357" i="6" s="1"/>
  <c r="P358" i="6"/>
  <c r="P359" i="6"/>
  <c r="P360" i="6"/>
  <c r="P361" i="6"/>
  <c r="S361" i="6" s="1"/>
  <c r="P362" i="6"/>
  <c r="P363" i="6"/>
  <c r="P364" i="6"/>
  <c r="P365" i="6"/>
  <c r="S365" i="6" s="1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3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4" i="5"/>
  <c r="AD5" i="5"/>
  <c r="AD6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9" i="8" l="1"/>
  <c r="X19" i="8"/>
  <c r="X80" i="8"/>
  <c r="X137" i="8"/>
  <c r="X199" i="8"/>
  <c r="X208" i="8"/>
  <c r="X215" i="8"/>
  <c r="X224" i="8"/>
  <c r="X231" i="8"/>
  <c r="X239" i="8"/>
  <c r="X247" i="8"/>
  <c r="X255" i="8"/>
  <c r="X263" i="8"/>
  <c r="X271" i="8"/>
  <c r="X279" i="8"/>
  <c r="X287" i="8"/>
  <c r="X295" i="8"/>
  <c r="X303" i="8"/>
  <c r="X311" i="8"/>
  <c r="X319" i="8"/>
  <c r="X327" i="8"/>
  <c r="X335" i="8"/>
  <c r="X343" i="8"/>
  <c r="X351" i="8"/>
  <c r="X17" i="8"/>
  <c r="X25" i="8"/>
  <c r="X41" i="8"/>
  <c r="X43" i="8"/>
  <c r="X189" i="8"/>
  <c r="X193" i="8"/>
  <c r="X212" i="8"/>
  <c r="X228" i="8"/>
  <c r="X237" i="8"/>
  <c r="X245" i="8"/>
  <c r="X261" i="8"/>
  <c r="X269" i="8"/>
  <c r="X293" i="8"/>
  <c r="X301" i="8"/>
  <c r="X325" i="8"/>
  <c r="X333" i="8"/>
  <c r="X5" i="8"/>
  <c r="X13" i="8"/>
  <c r="X15" i="8"/>
  <c r="X23" i="8"/>
  <c r="X31" i="8"/>
  <c r="X39" i="8"/>
  <c r="X83" i="8"/>
  <c r="X87" i="8"/>
  <c r="X91" i="8"/>
  <c r="X95" i="8"/>
  <c r="X99" i="8"/>
  <c r="X103" i="8"/>
  <c r="X107" i="8"/>
  <c r="X111" i="8"/>
  <c r="X115" i="8"/>
  <c r="X119" i="8"/>
  <c r="X123" i="8"/>
  <c r="X131" i="8"/>
  <c r="X135" i="8"/>
  <c r="X200" i="8"/>
  <c r="X207" i="8"/>
  <c r="X216" i="8"/>
  <c r="X223" i="8"/>
  <c r="X235" i="8"/>
  <c r="X243" i="8"/>
  <c r="X251" i="8"/>
  <c r="X259" i="8"/>
  <c r="X267" i="8"/>
  <c r="X275" i="8"/>
  <c r="X283" i="8"/>
  <c r="X291" i="8"/>
  <c r="X299" i="8"/>
  <c r="X307" i="8"/>
  <c r="X315" i="8"/>
  <c r="X323" i="8"/>
  <c r="X331" i="8"/>
  <c r="X339" i="8"/>
  <c r="X347" i="8"/>
  <c r="X355" i="8"/>
  <c r="X363" i="8"/>
  <c r="S360" i="6"/>
  <c r="S348" i="6"/>
  <c r="S336" i="6"/>
  <c r="S324" i="6"/>
  <c r="S312" i="6"/>
  <c r="S300" i="6"/>
  <c r="S288" i="6"/>
  <c r="S280" i="6"/>
  <c r="S276" i="6"/>
  <c r="S272" i="6"/>
  <c r="S264" i="6"/>
  <c r="S256" i="6"/>
  <c r="S252" i="6"/>
  <c r="S248" i="6"/>
  <c r="S244" i="6"/>
  <c r="S240" i="6"/>
  <c r="S236" i="6"/>
  <c r="S232" i="6"/>
  <c r="S228" i="6"/>
  <c r="S224" i="6"/>
  <c r="S220" i="6"/>
  <c r="S216" i="6"/>
  <c r="S212" i="6"/>
  <c r="S208" i="6"/>
  <c r="S204" i="6"/>
  <c r="S200" i="6"/>
  <c r="S196" i="6"/>
  <c r="S192" i="6"/>
  <c r="S188" i="6"/>
  <c r="S184" i="6"/>
  <c r="S180" i="6"/>
  <c r="S176" i="6"/>
  <c r="S172" i="6"/>
  <c r="S168" i="6"/>
  <c r="S164" i="6"/>
  <c r="S160" i="6"/>
  <c r="S156" i="6"/>
  <c r="S152" i="6"/>
  <c r="S148" i="6"/>
  <c r="S144" i="6"/>
  <c r="S140" i="6"/>
  <c r="S136" i="6"/>
  <c r="S132" i="6"/>
  <c r="S128" i="6"/>
  <c r="S124" i="6"/>
  <c r="S120" i="6"/>
  <c r="S116" i="6"/>
  <c r="S112" i="6"/>
  <c r="S108" i="6"/>
  <c r="S104" i="6"/>
  <c r="S100" i="6"/>
  <c r="S96" i="6"/>
  <c r="S92" i="6"/>
  <c r="S88" i="6"/>
  <c r="S84" i="6"/>
  <c r="S80" i="6"/>
  <c r="S76" i="6"/>
  <c r="S72" i="6"/>
  <c r="S68" i="6"/>
  <c r="S64" i="6"/>
  <c r="S60" i="6"/>
  <c r="S56" i="6"/>
  <c r="S52" i="6"/>
  <c r="S48" i="6"/>
  <c r="S44" i="6"/>
  <c r="S40" i="6"/>
  <c r="S36" i="6"/>
  <c r="S32" i="6"/>
  <c r="S28" i="6"/>
  <c r="S24" i="6"/>
  <c r="S20" i="6"/>
  <c r="S16" i="6"/>
  <c r="S12" i="6"/>
  <c r="S8" i="6"/>
  <c r="S4" i="6"/>
  <c r="S356" i="6"/>
  <c r="S344" i="6"/>
  <c r="S332" i="6"/>
  <c r="S320" i="6"/>
  <c r="S308" i="6"/>
  <c r="S296" i="6"/>
  <c r="S284" i="6"/>
  <c r="S260" i="6"/>
  <c r="S364" i="6"/>
  <c r="S352" i="6"/>
  <c r="S340" i="6"/>
  <c r="S328" i="6"/>
  <c r="S316" i="6"/>
  <c r="S304" i="6"/>
  <c r="S292" i="6"/>
  <c r="S268" i="6"/>
  <c r="S225" i="6"/>
  <c r="S209" i="6"/>
  <c r="S193" i="6"/>
  <c r="S185" i="6"/>
  <c r="S177" i="6"/>
  <c r="S169" i="6"/>
  <c r="S161" i="6"/>
  <c r="S153" i="6"/>
  <c r="S145" i="6"/>
  <c r="S137" i="6"/>
  <c r="S129" i="6"/>
  <c r="S121" i="6"/>
  <c r="S113" i="6"/>
  <c r="S105" i="6"/>
  <c r="S97" i="6"/>
  <c r="S89" i="6"/>
  <c r="S81" i="6"/>
  <c r="S65" i="6"/>
  <c r="S49" i="6"/>
  <c r="S41" i="6"/>
  <c r="S37" i="6"/>
  <c r="S33" i="6"/>
  <c r="S25" i="6"/>
  <c r="S21" i="6"/>
  <c r="S17" i="6"/>
  <c r="S13" i="6"/>
  <c r="S9" i="6"/>
  <c r="S5" i="6"/>
  <c r="S2" i="6"/>
  <c r="S363" i="6"/>
  <c r="S359" i="6"/>
  <c r="S355" i="6"/>
  <c r="S351" i="6"/>
  <c r="S347" i="6"/>
  <c r="S343" i="6"/>
  <c r="S339" i="6"/>
  <c r="S335" i="6"/>
  <c r="S331" i="6"/>
  <c r="S327" i="6"/>
  <c r="S323" i="6"/>
  <c r="S319" i="6"/>
  <c r="S315" i="6"/>
  <c r="S311" i="6"/>
  <c r="S307" i="6"/>
  <c r="S303" i="6"/>
  <c r="S299" i="6"/>
  <c r="S295" i="6"/>
  <c r="S291" i="6"/>
  <c r="S287" i="6"/>
  <c r="S283" i="6"/>
  <c r="S279" i="6"/>
  <c r="S275" i="6"/>
  <c r="S271" i="6"/>
  <c r="S267" i="6"/>
  <c r="S263" i="6"/>
  <c r="S259" i="6"/>
  <c r="S255" i="6"/>
  <c r="S251" i="6"/>
  <c r="S247" i="6"/>
  <c r="S243" i="6"/>
  <c r="S239" i="6"/>
  <c r="S235" i="6"/>
  <c r="S231" i="6"/>
  <c r="S227" i="6"/>
  <c r="S223" i="6"/>
  <c r="S219" i="6"/>
  <c r="S215" i="6"/>
  <c r="S211" i="6"/>
  <c r="S207" i="6"/>
  <c r="S203" i="6"/>
  <c r="S199" i="6"/>
  <c r="S195" i="6"/>
  <c r="S191" i="6"/>
  <c r="S187" i="6"/>
  <c r="S183" i="6"/>
  <c r="S179" i="6"/>
  <c r="S175" i="6"/>
  <c r="S171" i="6"/>
  <c r="S167" i="6"/>
  <c r="S163" i="6"/>
  <c r="S159" i="6"/>
  <c r="S155" i="6"/>
  <c r="S151" i="6"/>
  <c r="S147" i="6"/>
  <c r="S143" i="6"/>
  <c r="S139" i="6"/>
  <c r="S135" i="6"/>
  <c r="S131" i="6"/>
  <c r="S127" i="6"/>
  <c r="S123" i="6"/>
  <c r="S119" i="6"/>
  <c r="S115" i="6"/>
  <c r="S111" i="6"/>
  <c r="S107" i="6"/>
  <c r="S103" i="6"/>
  <c r="S99" i="6"/>
  <c r="S95" i="6"/>
  <c r="S91" i="6"/>
  <c r="S87" i="6"/>
  <c r="S83" i="6"/>
  <c r="S79" i="6"/>
  <c r="S75" i="6"/>
  <c r="S71" i="6"/>
  <c r="S67" i="6"/>
  <c r="S63" i="6"/>
  <c r="S59" i="6"/>
  <c r="S55" i="6"/>
  <c r="S51" i="6"/>
  <c r="S47" i="6"/>
  <c r="S43" i="6"/>
  <c r="S39" i="6"/>
  <c r="S35" i="6"/>
  <c r="S27" i="6"/>
  <c r="S19" i="6"/>
  <c r="S11" i="6"/>
  <c r="S7" i="6"/>
  <c r="S3" i="6"/>
  <c r="X46" i="8"/>
  <c r="X50" i="8"/>
  <c r="X54" i="8"/>
  <c r="X58" i="8"/>
  <c r="X62" i="8"/>
  <c r="X66" i="8"/>
  <c r="X70" i="8"/>
  <c r="X74" i="8"/>
  <c r="X78" i="8"/>
  <c r="X82" i="8"/>
  <c r="X86" i="8"/>
  <c r="X90" i="8"/>
  <c r="X94" i="8"/>
  <c r="X98" i="8"/>
  <c r="X106" i="8"/>
  <c r="X110" i="8"/>
  <c r="X114" i="8"/>
  <c r="X118" i="8"/>
  <c r="X122" i="8"/>
  <c r="X126" i="8"/>
  <c r="X130" i="8"/>
  <c r="X134" i="8"/>
  <c r="X138" i="8"/>
  <c r="X142" i="8"/>
  <c r="X146" i="8"/>
  <c r="X150" i="8"/>
  <c r="X154" i="8"/>
  <c r="X158" i="8"/>
  <c r="X162" i="8"/>
  <c r="X166" i="8"/>
  <c r="X170" i="8"/>
  <c r="X174" i="8"/>
  <c r="X178" i="8"/>
  <c r="X182" i="8"/>
  <c r="X186" i="8"/>
  <c r="X190" i="8"/>
  <c r="X194" i="8"/>
  <c r="X47" i="8"/>
  <c r="X51" i="8"/>
  <c r="X55" i="8"/>
  <c r="X59" i="8"/>
  <c r="X63" i="8"/>
  <c r="X67" i="8"/>
  <c r="X71" i="8"/>
  <c r="X75" i="8"/>
  <c r="X79" i="8"/>
  <c r="X48" i="8"/>
  <c r="X52" i="8"/>
  <c r="X56" i="8"/>
  <c r="X60" i="8"/>
  <c r="X64" i="8"/>
  <c r="X68" i="8"/>
  <c r="X72" i="8"/>
  <c r="X76" i="8"/>
  <c r="X84" i="8"/>
  <c r="X88" i="8"/>
  <c r="X92" i="8"/>
  <c r="X96" i="8"/>
  <c r="X100" i="8"/>
  <c r="X104" i="8"/>
  <c r="X108" i="8"/>
  <c r="X112" i="8"/>
  <c r="X116" i="8"/>
  <c r="X120" i="8"/>
  <c r="X124" i="8"/>
  <c r="X128" i="8"/>
  <c r="X132" i="8"/>
  <c r="X136" i="8"/>
  <c r="X140" i="8"/>
  <c r="X144" i="8"/>
  <c r="X148" i="8"/>
  <c r="X152" i="8"/>
  <c r="X156" i="8"/>
  <c r="X160" i="8"/>
  <c r="X164" i="8"/>
  <c r="X168" i="8"/>
  <c r="X172" i="8"/>
  <c r="X176" i="8"/>
  <c r="X180" i="8"/>
  <c r="X184" i="8"/>
  <c r="X188" i="8"/>
  <c r="X192" i="8"/>
  <c r="X197" i="8"/>
  <c r="X205" i="8"/>
  <c r="X213" i="8"/>
  <c r="X221" i="8"/>
  <c r="X229" i="8"/>
  <c r="X227" i="8"/>
  <c r="X201" i="8"/>
  <c r="X209" i="8"/>
  <c r="X217" i="8"/>
  <c r="X225" i="8"/>
  <c r="X233" i="8"/>
  <c r="X29" i="7"/>
  <c r="X37" i="7"/>
  <c r="X45" i="7"/>
  <c r="X53" i="7"/>
  <c r="X61" i="7"/>
  <c r="X69" i="7"/>
  <c r="X33" i="7"/>
  <c r="X41" i="7"/>
  <c r="X49" i="7"/>
  <c r="X57" i="7"/>
  <c r="X65" i="7"/>
  <c r="X200" i="7"/>
  <c r="X208" i="7"/>
  <c r="X282" i="7"/>
  <c r="X290" i="7"/>
  <c r="X298" i="7"/>
  <c r="X306" i="7"/>
  <c r="X314" i="7"/>
  <c r="X322" i="7"/>
  <c r="X204" i="7"/>
  <c r="X212" i="7"/>
  <c r="X278" i="7"/>
  <c r="X286" i="7"/>
  <c r="X294" i="7"/>
  <c r="X302" i="7"/>
  <c r="X310" i="7"/>
  <c r="X318" i="7"/>
  <c r="X326" i="7"/>
  <c r="X2" i="6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J2" i="1" l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79" i="4"/>
  <c r="T280" i="4"/>
  <c r="T281" i="4"/>
  <c r="T282" i="4"/>
  <c r="T283" i="4"/>
  <c r="T284" i="4"/>
  <c r="T285" i="4"/>
  <c r="T286" i="4"/>
  <c r="T287" i="4"/>
  <c r="T288" i="4"/>
  <c r="T289" i="4"/>
  <c r="T290" i="4"/>
  <c r="T291" i="4"/>
  <c r="T292" i="4"/>
  <c r="T293" i="4"/>
  <c r="T294" i="4"/>
  <c r="T295" i="4"/>
  <c r="T296" i="4"/>
  <c r="T297" i="4"/>
  <c r="T298" i="4"/>
  <c r="T299" i="4"/>
  <c r="T300" i="4"/>
  <c r="T301" i="4"/>
  <c r="T302" i="4"/>
  <c r="T303" i="4"/>
  <c r="T304" i="4"/>
  <c r="T305" i="4"/>
  <c r="T306" i="4"/>
  <c r="T307" i="4"/>
  <c r="T308" i="4"/>
  <c r="T309" i="4"/>
  <c r="T310" i="4"/>
  <c r="T311" i="4"/>
  <c r="T312" i="4"/>
  <c r="T313" i="4"/>
  <c r="T314" i="4"/>
  <c r="T315" i="4"/>
  <c r="T316" i="4"/>
  <c r="T317" i="4"/>
  <c r="T318" i="4"/>
  <c r="T319" i="4"/>
  <c r="T320" i="4"/>
  <c r="T321" i="4"/>
  <c r="T322" i="4"/>
  <c r="T323" i="4"/>
  <c r="T324" i="4"/>
  <c r="T325" i="4"/>
  <c r="T326" i="4"/>
  <c r="T327" i="4"/>
  <c r="T328" i="4"/>
  <c r="T329" i="4"/>
  <c r="T330" i="4"/>
  <c r="T331" i="4"/>
  <c r="T332" i="4"/>
  <c r="T333" i="4"/>
  <c r="T334" i="4"/>
  <c r="T335" i="4"/>
  <c r="T336" i="4"/>
  <c r="T337" i="4"/>
  <c r="T338" i="4"/>
  <c r="T339" i="4"/>
  <c r="T340" i="4"/>
  <c r="T341" i="4"/>
  <c r="T342" i="4"/>
  <c r="T343" i="4"/>
  <c r="T344" i="4"/>
  <c r="T345" i="4"/>
  <c r="T346" i="4"/>
  <c r="T347" i="4"/>
  <c r="T348" i="4"/>
  <c r="T349" i="4"/>
  <c r="T350" i="4"/>
  <c r="T351" i="4"/>
  <c r="T352" i="4"/>
  <c r="T353" i="4"/>
  <c r="T354" i="4"/>
  <c r="T355" i="4"/>
  <c r="T356" i="4"/>
  <c r="T357" i="4"/>
  <c r="T358" i="4"/>
  <c r="T359" i="4"/>
  <c r="T360" i="4"/>
  <c r="T361" i="4"/>
  <c r="T362" i="4"/>
  <c r="T363" i="4"/>
  <c r="T364" i="4"/>
  <c r="T365" i="4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64" i="4" l="1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365" i="4"/>
  <c r="AD361" i="4"/>
  <c r="AD357" i="4"/>
  <c r="AD353" i="4"/>
  <c r="AD349" i="4"/>
  <c r="AD345" i="4"/>
  <c r="AD341" i="4"/>
  <c r="AD337" i="4"/>
  <c r="AD333" i="4"/>
  <c r="AD329" i="4"/>
  <c r="AD325" i="4"/>
  <c r="AD321" i="4"/>
  <c r="AD317" i="4"/>
  <c r="AD313" i="4"/>
  <c r="AD309" i="4"/>
  <c r="AD300" i="4"/>
  <c r="AD296" i="4"/>
  <c r="AD292" i="4"/>
  <c r="AD288" i="4"/>
  <c r="AD284" i="4"/>
  <c r="AD280" i="4"/>
  <c r="AD276" i="4"/>
  <c r="AD298" i="4"/>
  <c r="AD294" i="4"/>
  <c r="AD290" i="4"/>
  <c r="AD286" i="4"/>
  <c r="AD282" i="4"/>
  <c r="AD278" i="4"/>
  <c r="AD305" i="4"/>
  <c r="AD301" i="4"/>
  <c r="AD297" i="4"/>
  <c r="AD293" i="4"/>
  <c r="AD289" i="4"/>
  <c r="AD285" i="4"/>
  <c r="AD281" i="4"/>
  <c r="AD277" i="4"/>
  <c r="AD272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X363" i="4"/>
  <c r="AD363" i="4"/>
  <c r="X359" i="4"/>
  <c r="AD359" i="4"/>
  <c r="X355" i="4"/>
  <c r="AD355" i="4"/>
  <c r="X351" i="4"/>
  <c r="AD351" i="4"/>
  <c r="X347" i="4"/>
  <c r="AD347" i="4"/>
  <c r="X343" i="4"/>
  <c r="AD343" i="4"/>
  <c r="X339" i="4"/>
  <c r="AD339" i="4"/>
  <c r="X335" i="4"/>
  <c r="AD335" i="4"/>
  <c r="X331" i="4"/>
  <c r="AD331" i="4"/>
  <c r="X327" i="4"/>
  <c r="AD327" i="4"/>
  <c r="X323" i="4"/>
  <c r="AD323" i="4"/>
  <c r="X319" i="4"/>
  <c r="AD319" i="4"/>
  <c r="X315" i="4"/>
  <c r="AD315" i="4"/>
  <c r="X311" i="4"/>
  <c r="AD311" i="4"/>
  <c r="X307" i="4"/>
  <c r="AD307" i="4"/>
  <c r="X303" i="4"/>
  <c r="AD303" i="4"/>
  <c r="X299" i="4"/>
  <c r="AD299" i="4"/>
  <c r="X295" i="4"/>
  <c r="AD295" i="4"/>
  <c r="X291" i="4"/>
  <c r="AD291" i="4"/>
  <c r="X287" i="4"/>
  <c r="AD287" i="4"/>
  <c r="X283" i="4"/>
  <c r="AD283" i="4"/>
  <c r="X279" i="4"/>
  <c r="AD279" i="4"/>
  <c r="X275" i="4"/>
  <c r="AD275" i="4"/>
  <c r="X271" i="4"/>
  <c r="AD271" i="4"/>
  <c r="AD267" i="4"/>
  <c r="AD263" i="4"/>
  <c r="AD259" i="4"/>
  <c r="AD255" i="4"/>
  <c r="AD251" i="4"/>
  <c r="AD247" i="4"/>
  <c r="AD243" i="4"/>
  <c r="AD239" i="4"/>
  <c r="AD235" i="4"/>
  <c r="AD231" i="4"/>
  <c r="AD227" i="4"/>
  <c r="AD223" i="4"/>
  <c r="AD219" i="4"/>
  <c r="AD215" i="4"/>
  <c r="AD211" i="4"/>
  <c r="AD207" i="4"/>
  <c r="AD203" i="4"/>
  <c r="AD199" i="4"/>
  <c r="AD195" i="4"/>
  <c r="AD191" i="4"/>
  <c r="AD187" i="4"/>
  <c r="AD183" i="4"/>
  <c r="AD179" i="4"/>
  <c r="AD175" i="4"/>
  <c r="AD171" i="4"/>
  <c r="AD167" i="4"/>
  <c r="AD163" i="4"/>
  <c r="AD159" i="4"/>
  <c r="AD155" i="4"/>
  <c r="AD151" i="4"/>
  <c r="AD147" i="4"/>
  <c r="AD143" i="4"/>
  <c r="AD139" i="4"/>
  <c r="AD135" i="4"/>
  <c r="AD131" i="4"/>
  <c r="AD127" i="4"/>
  <c r="AD123" i="4"/>
  <c r="AD119" i="4"/>
  <c r="AD115" i="4"/>
  <c r="AD111" i="4"/>
  <c r="AD107" i="4"/>
  <c r="AD103" i="4"/>
  <c r="AD99" i="4"/>
  <c r="AD95" i="4"/>
  <c r="AD91" i="4"/>
  <c r="AD87" i="4"/>
  <c r="AD83" i="4"/>
  <c r="AD79" i="4"/>
  <c r="AD75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4" i="4"/>
  <c r="AD274" i="4"/>
  <c r="AD270" i="4"/>
  <c r="AD266" i="4"/>
  <c r="AD262" i="4"/>
  <c r="AD258" i="4"/>
  <c r="AD254" i="4"/>
  <c r="AD250" i="4"/>
  <c r="AD246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3" i="4"/>
  <c r="AD273" i="4"/>
  <c r="AD269" i="4"/>
  <c r="AD265" i="4"/>
  <c r="AD261" i="4"/>
  <c r="AD257" i="4"/>
  <c r="AD253" i="4"/>
  <c r="AD249" i="4"/>
  <c r="AD245" i="4"/>
  <c r="AD241" i="4"/>
  <c r="AD237" i="4"/>
  <c r="AD233" i="4"/>
  <c r="AD229" i="4"/>
  <c r="AD225" i="4"/>
  <c r="AD221" i="4"/>
  <c r="AD217" i="4"/>
  <c r="AD213" i="4"/>
  <c r="AD209" i="4"/>
  <c r="AD205" i="4"/>
  <c r="AD201" i="4"/>
  <c r="AD197" i="4"/>
  <c r="AD193" i="4"/>
  <c r="AD189" i="4"/>
  <c r="AD185" i="4"/>
  <c r="AD181" i="4"/>
  <c r="AD177" i="4"/>
  <c r="AD173" i="4"/>
  <c r="AD169" i="4"/>
  <c r="AD165" i="4"/>
  <c r="AD161" i="4"/>
  <c r="AD157" i="4"/>
  <c r="AD153" i="4"/>
  <c r="AD149" i="4"/>
  <c r="AD145" i="4"/>
  <c r="AD141" i="4"/>
  <c r="AD137" i="4"/>
  <c r="AD133" i="4"/>
  <c r="AD129" i="4"/>
  <c r="AD125" i="4"/>
  <c r="AD121" i="4"/>
  <c r="AD117" i="4"/>
  <c r="AD113" i="4"/>
  <c r="AD109" i="4"/>
  <c r="AD105" i="4"/>
  <c r="AD101" i="4"/>
  <c r="AD97" i="4"/>
  <c r="AD93" i="4"/>
  <c r="AD89" i="4"/>
  <c r="AD85" i="4"/>
  <c r="AD81" i="4"/>
  <c r="AD77" i="4"/>
  <c r="AD73" i="4"/>
  <c r="AD69" i="4"/>
  <c r="AD65" i="4"/>
  <c r="AD61" i="4"/>
  <c r="AD57" i="4"/>
  <c r="AD53" i="4"/>
  <c r="AD49" i="4"/>
  <c r="AD45" i="4"/>
  <c r="AD41" i="4"/>
  <c r="AD37" i="4"/>
  <c r="AD33" i="4"/>
  <c r="AD29" i="4"/>
  <c r="AD25" i="4"/>
  <c r="AD21" i="4"/>
  <c r="AD17" i="4"/>
  <c r="AD13" i="4"/>
  <c r="AD9" i="4"/>
  <c r="AD5" i="4"/>
  <c r="AD2" i="4"/>
  <c r="S298" i="4"/>
  <c r="S302" i="4"/>
  <c r="S306" i="4"/>
  <c r="S310" i="4"/>
  <c r="S322" i="4"/>
  <c r="S326" i="4"/>
  <c r="S334" i="4"/>
  <c r="S338" i="4"/>
  <c r="S350" i="4"/>
  <c r="S358" i="4"/>
  <c r="S366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X274" i="4"/>
  <c r="X267" i="4"/>
  <c r="X263" i="4"/>
  <c r="X259" i="4"/>
  <c r="X255" i="4"/>
  <c r="X251" i="4"/>
  <c r="X247" i="4"/>
  <c r="X243" i="4"/>
  <c r="X239" i="4"/>
  <c r="X235" i="4"/>
  <c r="X231" i="4"/>
  <c r="X227" i="4"/>
  <c r="X223" i="4"/>
  <c r="X219" i="4"/>
  <c r="X215" i="4"/>
  <c r="X211" i="4"/>
  <c r="X207" i="4"/>
  <c r="X203" i="4"/>
  <c r="X199" i="4"/>
  <c r="X195" i="4"/>
  <c r="X191" i="4"/>
  <c r="X187" i="4"/>
  <c r="X183" i="4"/>
  <c r="X179" i="4"/>
  <c r="X175" i="4"/>
  <c r="X171" i="4"/>
  <c r="X167" i="4"/>
  <c r="X163" i="4"/>
  <c r="X159" i="4"/>
  <c r="X155" i="4"/>
  <c r="X151" i="4"/>
  <c r="X147" i="4"/>
  <c r="X143" i="4"/>
  <c r="X139" i="4"/>
  <c r="X127" i="4"/>
  <c r="X115" i="4"/>
  <c r="X103" i="4"/>
  <c r="X91" i="4"/>
  <c r="X79" i="4"/>
  <c r="X75" i="4"/>
  <c r="X258" i="4"/>
  <c r="X242" i="4"/>
  <c r="X135" i="4"/>
  <c r="X123" i="4"/>
  <c r="X111" i="4"/>
  <c r="X99" i="4"/>
  <c r="X87" i="4"/>
  <c r="X131" i="4"/>
  <c r="X119" i="4"/>
  <c r="X107" i="4"/>
  <c r="X95" i="4"/>
  <c r="X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R319" i="1"/>
  <c r="P319" i="1"/>
  <c r="S319" i="1" s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S201" i="1" l="1"/>
  <c r="S205" i="1"/>
  <c r="S209" i="1"/>
  <c r="S213" i="1"/>
  <c r="S217" i="1"/>
  <c r="S221" i="1"/>
  <c r="S277" i="1"/>
  <c r="S289" i="1"/>
  <c r="S293" i="1"/>
  <c r="S360" i="1"/>
  <c r="S362" i="1"/>
  <c r="S364" i="1"/>
  <c r="S39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99" i="1"/>
  <c r="S303" i="1"/>
  <c r="X285" i="1"/>
  <c r="X293" i="1"/>
  <c r="S300" i="1"/>
  <c r="S311" i="1"/>
  <c r="S315" i="1"/>
  <c r="S318" i="1"/>
  <c r="X319" i="1"/>
  <c r="S321" i="1"/>
  <c r="S336" i="1"/>
  <c r="X337" i="1"/>
  <c r="S338" i="1"/>
  <c r="X354" i="1"/>
  <c r="X358" i="1"/>
  <c r="S361" i="1"/>
  <c r="X362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S6" i="1"/>
  <c r="S114" i="1"/>
  <c r="S118" i="1"/>
  <c r="S122" i="1"/>
  <c r="S126" i="1"/>
  <c r="S130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S9" i="1"/>
  <c r="S7" i="1"/>
  <c r="S11" i="1"/>
  <c r="X31" i="1"/>
  <c r="X35" i="1"/>
  <c r="X39" i="1"/>
  <c r="S197" i="1"/>
  <c r="X279" i="1"/>
  <c r="S43" i="1"/>
  <c r="S47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S115" i="1"/>
  <c r="S119" i="1"/>
  <c r="S123" i="1"/>
  <c r="S127" i="1"/>
  <c r="S131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X365" i="1"/>
  <c r="X312" i="1"/>
  <c r="X322" i="1"/>
  <c r="S337" i="1"/>
  <c r="X338" i="1"/>
  <c r="S341" i="1"/>
  <c r="X34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S340" i="1"/>
  <c r="S342" i="1"/>
  <c r="S349" i="1"/>
  <c r="X352" i="1"/>
  <c r="S359" i="1"/>
  <c r="X94" i="1"/>
  <c r="S97" i="1"/>
  <c r="X98" i="1"/>
  <c r="S101" i="1"/>
  <c r="X102" i="1"/>
  <c r="S105" i="1"/>
  <c r="X106" i="1"/>
  <c r="S109" i="1"/>
  <c r="X110" i="1"/>
  <c r="S113" i="1"/>
  <c r="S117" i="1"/>
  <c r="S121" i="1"/>
  <c r="S125" i="1"/>
  <c r="S129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X159" i="1"/>
  <c r="S161" i="1"/>
  <c r="X163" i="1"/>
  <c r="S165" i="1"/>
  <c r="S169" i="1"/>
  <c r="X170" i="1"/>
  <c r="S173" i="1"/>
  <c r="X175" i="1"/>
  <c r="S177" i="1"/>
  <c r="X179" i="1"/>
  <c r="S181" i="1"/>
  <c r="X183" i="1"/>
  <c r="S185" i="1"/>
  <c r="X187" i="1"/>
  <c r="S189" i="1"/>
  <c r="X191" i="1"/>
  <c r="S193" i="1"/>
  <c r="S196" i="1"/>
  <c r="X277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X360" i="1"/>
  <c r="X6" i="1"/>
  <c r="X10" i="1"/>
  <c r="X20" i="1"/>
  <c r="X24" i="1"/>
  <c r="X341" i="1"/>
  <c r="X4" i="1"/>
  <c r="X12" i="1"/>
  <c r="X16" i="1"/>
  <c r="X22" i="1"/>
  <c r="X36" i="1"/>
  <c r="X29" i="1"/>
  <c r="X33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X41" i="1"/>
  <c r="X45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X160" i="1"/>
  <c r="X164" i="1"/>
  <c r="X167" i="1"/>
  <c r="X171" i="1"/>
  <c r="X176" i="1"/>
  <c r="X180" i="1"/>
  <c r="X184" i="1"/>
  <c r="X188" i="1"/>
  <c r="X192" i="1"/>
  <c r="X246" i="1"/>
  <c r="X250" i="1"/>
  <c r="X254" i="1"/>
  <c r="X258" i="1"/>
  <c r="X262" i="1"/>
  <c r="X266" i="1"/>
  <c r="X270" i="1"/>
  <c r="X275" i="1"/>
  <c r="S281" i="1"/>
  <c r="X284" i="1"/>
  <c r="X287" i="1"/>
  <c r="X290" i="1"/>
  <c r="S292" i="1"/>
  <c r="X295" i="1"/>
  <c r="X298" i="1"/>
  <c r="X303" i="1"/>
  <c r="X306" i="1"/>
  <c r="X320" i="1"/>
  <c r="S324" i="1"/>
  <c r="X336" i="1"/>
  <c r="X350" i="1"/>
  <c r="S356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S314" i="1"/>
  <c r="X315" i="1"/>
  <c r="X318" i="1"/>
  <c r="S322" i="1"/>
  <c r="X323" i="1"/>
  <c r="S325" i="1"/>
  <c r="S329" i="1"/>
  <c r="S333" i="1"/>
  <c r="S339" i="1"/>
  <c r="X340" i="1"/>
  <c r="X346" i="1"/>
  <c r="S347" i="1"/>
  <c r="S350" i="1"/>
  <c r="X356" i="1"/>
  <c r="X43" i="1"/>
  <c r="X44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X162" i="1"/>
  <c r="X166" i="1"/>
  <c r="X169" i="1"/>
  <c r="X174" i="1"/>
  <c r="X178" i="1"/>
  <c r="X182" i="1"/>
  <c r="X186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X348" i="1"/>
  <c r="S352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X195" i="1"/>
  <c r="X198" i="1"/>
  <c r="X200" i="1"/>
  <c r="X202" i="1"/>
  <c r="X204" i="1"/>
  <c r="X206" i="1"/>
  <c r="X208" i="1"/>
  <c r="X210" i="1"/>
  <c r="X212" i="1"/>
  <c r="X214" i="1"/>
  <c r="X216" i="1"/>
  <c r="X218" i="1"/>
  <c r="X220" i="1"/>
  <c r="X222" i="1"/>
  <c r="X224" i="1"/>
  <c r="X226" i="1"/>
  <c r="X228" i="1"/>
  <c r="X230" i="1"/>
  <c r="X232" i="1"/>
  <c r="X234" i="1"/>
  <c r="X236" i="1"/>
  <c r="X238" i="1"/>
  <c r="X240" i="1"/>
  <c r="X242" i="1"/>
  <c r="X199" i="1"/>
  <c r="X201" i="1"/>
  <c r="X203" i="1"/>
  <c r="X205" i="1"/>
  <c r="X207" i="1"/>
  <c r="X209" i="1"/>
  <c r="X211" i="1"/>
  <c r="X213" i="1"/>
  <c r="X215" i="1"/>
  <c r="X217" i="1"/>
  <c r="X219" i="1"/>
  <c r="X221" i="1"/>
  <c r="X223" i="1"/>
  <c r="X225" i="1"/>
  <c r="X227" i="1"/>
  <c r="X229" i="1"/>
  <c r="X231" i="1"/>
  <c r="X233" i="1"/>
  <c r="X235" i="1"/>
  <c r="X237" i="1"/>
  <c r="X239" i="1"/>
  <c r="X241" i="1"/>
  <c r="X243" i="1"/>
  <c r="X328" i="1"/>
  <c r="X332" i="1"/>
  <c r="X347" i="1"/>
  <c r="X363" i="1"/>
  <c r="X325" i="1"/>
  <c r="X329" i="1"/>
  <c r="X333" i="1"/>
  <c r="X343" i="1"/>
  <c r="X359" i="1"/>
  <c r="X326" i="1"/>
  <c r="X330" i="1"/>
  <c r="X334" i="1"/>
  <c r="X339" i="1"/>
  <c r="X355" i="1"/>
  <c r="X289" i="1"/>
  <c r="X327" i="1"/>
  <c r="X331" i="1"/>
  <c r="X335" i="1"/>
  <c r="X351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<sst xmlns="http://schemas.openxmlformats.org/spreadsheetml/2006/main" count="252" uniqueCount="42">
  <si>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</si>
  <si>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+ A/S) AJD</t>
  </si>
  <si>
    <t>(RES. LEVEL) AJD</t>
  </si>
  <si>
    <t>(RESV. STORGE) AJD</t>
  </si>
  <si>
    <t>(STORGE DIFF.) AJD</t>
  </si>
  <si>
    <t>( S/S+T/B)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</si>
  <si>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</si>
  <si>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</si>
  <si>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</si>
  <si>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</si>
  <si>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</si>
  <si>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</si>
  <si>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</si>
  <si>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(S/S+TB)SAR</t>
  </si>
  <si>
    <t xml:space="preserve"> % ECV SAR</t>
  </si>
  <si>
    <t>(RES. LEVEL) BER</t>
  </si>
  <si>
    <t xml:space="preserve"> (RESV. STORGE) BER</t>
  </si>
  <si>
    <t xml:space="preserve">(RES. LEVEL) SER </t>
  </si>
  <si>
    <t xml:space="preserve"> (RESV. STORGE) SER</t>
  </si>
  <si>
    <t>T/B-CON.</t>
  </si>
  <si>
    <t>(S/S-T/B)-CON.</t>
  </si>
  <si>
    <t>BER_STORG. * 10</t>
  </si>
  <si>
    <t>AJD_Evaporation</t>
  </si>
  <si>
    <t>A/B_CON.</t>
  </si>
  <si>
    <t>AJD_STORG.* 10</t>
  </si>
  <si>
    <t>SER_STORG.* 10</t>
  </si>
  <si>
    <t>SER_Evap.</t>
  </si>
  <si>
    <t>A/S_CON.</t>
  </si>
  <si>
    <t>SER_IN</t>
  </si>
  <si>
    <t>BER_Evap.</t>
  </si>
  <si>
    <t>BER_IN</t>
  </si>
  <si>
    <t>AJD_LOSES</t>
  </si>
  <si>
    <t>(IN-OUT) AJD</t>
  </si>
  <si>
    <t>(A/S) AJD</t>
  </si>
  <si>
    <t>(A/B) AJD</t>
  </si>
  <si>
    <t>(T/B) AJD</t>
  </si>
  <si>
    <t>S/S_CON.</t>
  </si>
  <si>
    <t>(S/S) AJD</t>
  </si>
  <si>
    <t>ECV (bar) SAR</t>
  </si>
  <si>
    <t>TAZ/SAR</t>
  </si>
  <si>
    <t xml:space="preserve"> (S/S) SAR</t>
  </si>
  <si>
    <t xml:space="preserve"> (T/B) 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</si>
</sst>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7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5" fillId="10" borderId="1" xfId="0" applyFont="1" applyFill="1" applyBorder="1" applyAlignment="1">
      <alignment horizontal="center" vertical="center"/>
    </xf>
    <xf numFmtId="3" fontId="15" fillId="9" borderId="1" xfId="0" applyNumberFormat="1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1" fontId="15" fillId="10" borderId="1" xfId="0" applyNumberFormat="1" applyFont="1" applyFill="1" applyBorder="1" applyAlignment="1">
      <alignment horizontal="center" vertical="center"/>
    </xf>
    <xf numFmtId="1" fontId="15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2" xfId="1" applyNumberFormat="1" applyFont="1" applyFill="1" applyBorder="1" applyAlignment="1">
      <alignment horizontal="center" vertical="center" readingOrder="1"/>
    </xf>
    <xf numFmtId="3" fontId="15" fillId="9" borderId="1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/>
    </xf>
    <xf numFmtId="3" fontId="15" fillId="9" borderId="4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 vertical="center"/>
    </xf>
    <xf numFmtId="3" fontId="15" fillId="9" borderId="4" xfId="0" applyNumberFormat="1" applyFont="1" applyFill="1" applyBorder="1" applyAlignment="1">
      <alignment horizontal="center" vertical="center"/>
    </xf>
    <xf numFmtId="3" fontId="5" fillId="0" borderId="11" xfId="0" applyNumberFormat="1" applyFont="1" applyBorder="1" applyAlignment="1">
      <alignment horizontal="center"/>
    </xf>
    <xf numFmtId="3" fontId="5" fillId="0" borderId="13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4" xfId="1" applyNumberFormat="1" applyFont="1" applyFill="1" applyBorder="1" applyAlignment="1">
      <alignment horizontal="center" vertical="center" readingOrder="1"/>
    </xf>
    <xf numFmtId="3" fontId="15" fillId="9" borderId="1" xfId="1" applyNumberFormat="1" applyFont="1" applyFill="1" applyBorder="1" applyAlignment="1">
      <alignment horizontal="center" vertical="center"/>
    </xf>
    <xf numFmtId="3" fontId="15" fillId="9" borderId="5" xfId="1" applyNumberFormat="1" applyFont="1" applyFill="1" applyBorder="1" applyAlignment="1">
      <alignment horizontal="center" vertical="center"/>
    </xf>
    <xf numFmtId="3" fontId="15" fillId="9" borderId="4" xfId="1" applyNumberFormat="1" applyFont="1" applyFill="1" applyBorder="1" applyAlignment="1">
      <alignment horizontal="center" vertical="center"/>
    </xf>
    <xf numFmtId="3" fontId="15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  <xf numFmtId="3" fontId="4" fillId="11" borderId="1" xfId="1" applyNumberFormat="1" applyFont="1" applyFill="1" applyBorder="1" applyAlignment="1">
      <alignment horizontal="center" vertical="center" readingOrder="1"/>
    </xf>
    <xf numFmtId="1" fontId="13" fillId="9" borderId="1" xfId="1" applyNumberFormat="1" applyFont="1" applyFill="1" applyBorder="1" applyAlignment="1">
      <alignment horizontal="center" vertical="center"/>
    </xf>
    <xf numFmtId="1" fontId="8" fillId="0" borderId="1" xfId="1" applyNumberFormat="1" applyFont="1" applyFill="1" applyBorder="1" applyAlignment="1">
      <alignment horizontal="center" vertical="center" readingOrder="1"/>
    </xf>
    <xf numFmtId="2" fontId="13" fillId="9" borderId="1" xfId="1" applyNumberFormat="1" applyFont="1" applyFill="1" applyBorder="1" applyAlignment="1">
      <alignment horizontal="center" vertical="center"/>
    </xf>
    <xf numFmtId="3" fontId="5" fillId="0" borderId="1" xfId="0" applyNumberFormat="1" applyFont="1" applyFill="1" applyBorder="1" applyAlignment="1">
      <alignment horizontal="center"/>
    </xf>
    <xf numFmtId="165" fontId="15" fillId="9" borderId="1" xfId="0" applyNumberFormat="1" applyFont="1" applyFill="1" applyBorder="1" applyAlignment="1">
      <alignment horizontal="center" vertical="center"/>
    </xf>
    <xf numFmtId="3" fontId="4" fillId="0" borderId="1" xfId="1" applyNumberFormat="1" applyFont="1" applyFill="1" applyBorder="1" applyAlignment="1">
      <alignment horizontal="center" vertical="center" readingOrder="1"/>
    </xf>
    <xf numFmtId="3" fontId="4" fillId="0" borderId="2" xfId="1" applyNumberFormat="1" applyFont="1" applyFill="1" applyBorder="1" applyAlignment="1">
      <alignment horizontal="center"/>
    </xf>
    <xf numFmtId="3" fontId="4" fillId="0" borderId="2" xfId="1" applyNumberFormat="1" applyFont="1" applyFill="1" applyBorder="1" applyAlignment="1">
      <alignment horizontal="center" vertical="center" readingOrder="1"/>
    </xf>
    <xf numFmtId="3" fontId="4" fillId="0" borderId="3" xfId="1" applyNumberFormat="1" applyFont="1" applyFill="1" applyBorder="1" applyAlignment="1">
      <alignment horizontal="center" vertical="center" readingOrder="1"/>
    </xf>
    <xf numFmtId="164" fontId="3" fillId="4" borderId="3" xfId="1" applyNumberFormat="1" applyFont="1" applyFill="1" applyBorder="1" applyAlignment="1">
      <alignment horizontal="center" vertical="center" readingOrder="1"/>
    </xf>
    <xf numFmtId="3" fontId="15" fillId="9" borderId="13" xfId="0" applyNumberFormat="1" applyFont="1" applyFill="1" applyBorder="1" applyAlignment="1">
      <alignment horizontal="center" vertical="center"/>
    </xf>
    <xf numFmtId="3" fontId="15" fillId="9" borderId="11" xfId="0" applyNumberFormat="1" applyFont="1" applyFill="1" applyBorder="1" applyAlignment="1">
      <alignment horizontal="center" vertical="center"/>
    </xf>
    <xf numFmtId="3" fontId="15" fillId="9" borderId="10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1" fontId="11" fillId="2" borderId="5" xfId="0" applyNumberFormat="1" applyFont="1" applyFill="1" applyBorder="1" applyAlignment="1">
      <alignment horizontal="center" vertical="center" wrapText="1"/>
    </xf>
    <xf numFmtId="1" fontId="8" fillId="8" borderId="5" xfId="0" applyNumberFormat="1" applyFont="1" applyFill="1" applyBorder="1" applyAlignment="1">
      <alignment horizontal="center" vertical="center" wrapText="1"/>
    </xf>
    <xf numFmtId="0" fontId="12" fillId="8" borderId="5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2413A63-9B5B-4C03-854D-8740117DD516}"/>
  </cellStyles>
  <dxfs count="432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386" headerRowBorderDxfId="385" tableBorderDxfId="384">
  <autoFilter ref="A1:AP366" xr:uid="{6E0F382F-67F4-430A-B384-60EF2F5DAC6C}"/>
  <tableColumns count="42">
    <tableColumn id="1" xr3:uid="{66387CC3-B100-4304-9559-EC4889828ABF}" name=" اليوم" dataDxfId="383" totalsRowDxfId="61" dataCellStyle="Normal 2"/>
    <tableColumn id="19" xr3:uid="{73AF8B15-15C2-4FFB-A4CF-2BCAC459190F}" name="آبار منتجة TAZ" dataDxfId="382" totalsRowDxfId="60" dataCellStyle="Normal 2"/>
    <tableColumn id="18" xr3:uid="{09325C69-53C6-4F31-92E3-CB300328F497}" name="الانتاج 1000 (م3) TAZ" dataDxfId="381" totalsRowDxfId="59" dataCellStyle="Normal 2"/>
    <tableColumn id="17" xr3:uid="{16B8FBF1-029A-469C-B1C6-F69C4C4F7CAF}" name="آبار عاملة TAZ" dataDxfId="380" totalsRowDxfId="58" dataCellStyle="Normal 2"/>
    <tableColumn id="16" xr3:uid="{00C28CE5-3D49-4F68-919C-13DF472F495C}" name="آبار احتياطية" dataDxfId="379" totalsRowDxfId="57" dataCellStyle="Normal 2"/>
    <tableColumn id="26" xr3:uid="{EE5DB7EC-D86D-49D5-9B77-054A5BABE28D}" name="آبار منتجة SAR" dataDxfId="378" totalsRowDxfId="56" dataCellStyle="Normal 2"/>
    <tableColumn id="25" xr3:uid="{7C165A36-3712-4689-8755-F53FE5B20ABE}" name="إنتاج آبار  SAR" dataDxfId="377" totalsRowDxfId="55" dataCellStyle="Normal 2"/>
    <tableColumn id="24" xr3:uid="{83A6BBA7-380F-4769-8A42-D4612297E2AD}" name="آبار احتياطية  SAR" dataDxfId="376" totalsRowDxfId="54" dataCellStyle="Normal 2"/>
    <tableColumn id="8" xr3:uid="{AE56A76F-A0FC-417D-B2B6-D4978FB39679}" name=" (T/B) SAR" dataDxfId="375" totalsRowDxfId="53" dataCellStyle="Normal 2"/>
    <tableColumn id="22" xr3:uid="{DAAA7253-4784-4BE7-9784-7EAE5F799701}" name=" (S/S) SAR" dataDxfId="374" totalsRowDxfId="52" dataCellStyle="Normal 2"/>
    <tableColumn id="38" xr3:uid="{C17DFA01-DEFE-472D-8A02-0FF9206A0813}" name="(S/S+TB)SAR" dataDxfId="373" totalsRowDxfId="51" dataCellStyle="Normal 2">
      <calculatedColumnFormula>TABL12[[#This Row],[ (T/B) SAR]]+TABL12[[#This Row],[ (S/S) SAR]]</calculatedColumnFormula>
    </tableColumn>
    <tableColumn id="21" xr3:uid="{5D7F5EC4-F3B5-4C0B-BE31-CED811786A9A}" name="TAZ/SAR" dataDxfId="372" totalsRowDxfId="50" dataCellStyle="Normal 2"/>
    <tableColumn id="20" xr3:uid="{3C1CE13A-ADA2-44D8-9F21-A08E5B226D9C}" name=" % ECV SAR" dataDxfId="371" totalsRowDxfId="49" dataCellStyle="Normal 2"/>
    <tableColumn id="6" xr3:uid="{4245025E-4350-4CF5-A37D-368EE5D4C6E6}" name="ECV (bar) SAR" dataDxfId="370" totalsRowDxfId="48" dataCellStyle="Normal 2"/>
    <tableColumn id="3" xr3:uid="{E521A30B-C651-47F3-8C9F-1644C97E55AB}" name="(S/S) AJD" dataDxfId="369" totalsRowDxfId="47"/>
    <tableColumn id="36" xr3:uid="{2E18B7B5-1893-4635-84E6-AAD5165E012D}" name="S/S_CON." dataDxfId="368" totalsRowDxfId="46">
      <calculatedColumnFormula>TABL12[[#This Row],[ (S/S) SAR]]-TABL12[[#This Row],[(S/S) AJD]]</calculatedColumnFormula>
    </tableColumn>
    <tableColumn id="5" xr3:uid="{2560A6DC-201C-40F0-8F48-5525F036384E}" name="(T/B) AJD" dataDxfId="367" totalsRowDxfId="45"/>
    <tableColumn id="35" xr3:uid="{CCC03B44-9E2F-4CD1-89EE-A2983AA131AC}" name="T/B-CON." dataDxfId="366" totalsRowDxfId="44">
      <calculatedColumnFormula>TABL12[[#This Row],[ (T/B) SAR]]-TABL12[[#This Row],[(T/B) AJD]]</calculatedColumnFormula>
    </tableColumn>
    <tableColumn id="37" xr3:uid="{11AB6075-5F47-4BB0-9025-D8BC15EDE0E8}" name="(S/S-T/B)-CON." dataDxfId="365" totalsRowDxfId="43">
      <calculatedColumnFormula>TABL12[[#This Row],[S/S_CON.]]+TABL12[[#This Row],[T/B-CON.]]</calculatedColumnFormula>
    </tableColumn>
    <tableColumn id="13" xr3:uid="{19EB6091-9975-4502-8119-B7C9AD981DD0}" name="( S/S+T/B) AJD" dataDxfId="364" totalsRowDxfId="42">
      <calculatedColumnFormula>O2+Q2</calculatedColumnFormula>
    </tableColumn>
    <tableColumn id="7" xr3:uid="{FE67C820-40E0-442E-9E31-856C32A508B6}" name="(A/B) AJD" dataDxfId="363" totalsRowDxfId="41"/>
    <tableColumn id="9" xr3:uid="{D5679418-BA27-4A9E-9F79-B5750AE87354}" name="(A/S) AJD" dataDxfId="362" totalsRowDxfId="40"/>
    <tableColumn id="14" xr3:uid="{3D7832B3-0EBF-4C36-9589-8817B10DB712}" name="(A/B + A/S) AJD" dataDxfId="361" totalsRowDxfId="39">
      <calculatedColumnFormula>U2+V2</calculatedColumnFormula>
    </tableColumn>
    <tableColumn id="15" xr3:uid="{9DF00D84-966C-444D-B303-1741455D7F9D}" name="(IN-OUT) AJD" dataDxfId="360" totalsRowDxfId="38">
      <calculatedColumnFormula>T2-W2</calculatedColumnFormula>
    </tableColumn>
    <tableColumn id="10" xr3:uid="{F816C09C-6DAC-44D6-8748-76EA15069B1B}" name="(RES. LEVEL) AJD" dataDxfId="359" totalsRowDxfId="37"/>
    <tableColumn id="11" xr3:uid="{00C5DB16-3CE7-43C0-85AC-3A94F1DF93AB}" name="(RESV. STORGE) AJD" dataDxfId="358" totalsRowDxfId="36"/>
    <tableColumn id="40" xr3:uid="{3BB612D7-93EF-4EAC-AE56-DDA1277F66BC}" name="AJD_STORG.* 10" dataDxfId="357" totalsRowDxfId="35">
      <calculatedColumnFormula>TABL12[[#This Row],[(RESV. STORGE) AJD]]/10</calculatedColumnFormula>
    </tableColumn>
    <tableColumn id="4" xr3:uid="{15D5ED16-E158-4BC3-B9EB-7F0B835A68C3}" name="(STORGE DIFF.) AJD" dataDxfId="356" totalsRowDxfId="34"/>
    <tableColumn id="12" xr3:uid="{1995E128-14C8-4F8F-908D-D03A5E8655DC}" name="AJD_Evaporation" dataDxfId="355" totalsRowDxfId="33" dataCellStyle="Normal 2">
      <calculatedColumnFormula>(Z2-Z1)/1000</calculatedColumnFormula>
    </tableColumn>
    <tableColumn id="39" xr3:uid="{E732E22F-62E8-4E58-A573-7DF93813B1E1}" name="AJD_LOSES" dataDxfId="354" totalsRowDxfId="32">
      <calculatedColumnFormula>TABL12[[#This Row],[( S/S+T/B) AJD]]-(TABL12[[#This Row],[(A/B + A/S) AJD]]+TABL12[[#This Row],[(STORGE DIFF.) AJD]]+(TABL12[[#This Row],[AJD_Evaporation]]))</calculatedColumnFormula>
    </tableColumn>
    <tableColumn id="30" xr3:uid="{B8A4B6D6-AD45-4CC9-87FA-F1BA2E37ACCA}" name="BER_IN" dataDxfId="353" totalsRowDxfId="31"/>
    <tableColumn id="31" xr3:uid="{55F50B2A-C1E1-433E-9815-41A6E80E52CD}" name="(RES. LEVEL) BER" dataDxfId="352" totalsRowDxfId="30"/>
    <tableColumn id="28" xr3:uid="{2651ABE7-B931-449C-B6AE-ACC17C319D95}" name=" (RESV. STORGE) BER" dataDxfId="351" totalsRowDxfId="29"/>
    <tableColumn id="41" xr3:uid="{E68DD80B-5F75-4484-AE22-A4DBB5C3D9D7}" name="BER_STORG. * 10" dataDxfId="350" totalsRowDxfId="28">
      <calculatedColumnFormula>TABL12[[#This Row],[ (RESV. STORGE) BER]]/10</calculatedColumnFormula>
    </tableColumn>
    <tableColumn id="29" xr3:uid="{72C12724-11AC-42CC-A11D-EFF1C3F9C26F}" name="BER_Evap." dataDxfId="349" totalsRowDxfId="27"/>
    <tableColumn id="34" xr3:uid="{6D25E223-64FE-4345-BF75-4C64F7653DD7}" name="A/B_CON." totalsRowFunction="custom" dataDxfId="348" totalsRowDxfId="26">
      <calculatedColumnFormula>TABL12[[#This Row],[(A/B) AJD]]-TABL12[[#This Row],[BER_IN]]</calculatedColumnFormula>
      <totalsRowFormula>SUBTOTAL(109,TABL12[] TABL12[A/B_CON.] )</totalsRowFormula>
    </tableColumn>
    <tableColumn id="32" xr3:uid="{C187EA93-4FB1-495F-84A8-14D93A6A1E3E}" name="SER_IN" dataDxfId="347" totalsRowDxfId="25"/>
    <tableColumn id="33" xr3:uid="{4E73E2C8-F54D-4138-8186-189B1AB2FC67}" name="(RES. LEVEL) SER " dataDxfId="346" totalsRowDxfId="24"/>
    <tableColumn id="27" xr3:uid="{078E4705-C3C5-46D2-9B78-A05F1D915B91}" name=" (RESV. STORGE) SER" dataDxfId="345" totalsRowDxfId="23"/>
    <tableColumn id="42" xr3:uid="{67E01307-DE8B-4AEB-9752-499927A54124}" name="SER_STORG.* 10" dataDxfId="344" totalsRowDxfId="22">
      <calculatedColumnFormula>TABL12[[#This Row],[ (RESV. STORGE) SER]]/10</calculatedColumnFormula>
    </tableColumn>
    <tableColumn id="2" xr3:uid="{E2C3B7C8-2EF3-47A2-B8EC-2DE7243E9A49}" name="SER_Evap." dataDxfId="343" totalsRowDxfId="21"/>
    <tableColumn id="23" xr3:uid="{BC79413F-8931-48D4-A08F-5DEBEF496FAE}" name="A/S_CON." dataDxfId="342" totalsRowDxfId="2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341" headerRowBorderDxfId="340" tableBorderDxfId="339">
  <autoFilter ref="A1:AP366" xr:uid="{C2A051BE-B5E3-493B-964B-8205F3177506}"/>
  <tableColumns count="42">
    <tableColumn id="1" xr3:uid="{F2C94FEB-A00A-4D88-9DB9-A505F694326E}" name=" اليوم" dataDxfId="331" totalsRowDxfId="291" dataCellStyle="Normal 2"/>
    <tableColumn id="19" xr3:uid="{68DB4C1E-A17C-490E-9705-B462F20FB2F5}" name="آبار منتجة TAZ" dataDxfId="330" totalsRowDxfId="290" dataCellStyle="Normal 2"/>
    <tableColumn id="18" xr3:uid="{E796FBBC-59BD-4C13-A0B4-3F479BF911CC}" name="الانتاج 1000 (م3) TAZ" dataDxfId="329" totalsRowDxfId="289" dataCellStyle="Normal 2"/>
    <tableColumn id="17" xr3:uid="{C89E9AFB-A295-4B42-8D04-66D22406019A}" name="آبار عاملة TAZ" dataDxfId="328" totalsRowDxfId="288" dataCellStyle="Normal 2"/>
    <tableColumn id="16" xr3:uid="{CCAB6794-76BB-4656-8BFD-720321A160A1}" name="آبار احتياطية" dataDxfId="327" totalsRowDxfId="287" dataCellStyle="Normal 2"/>
    <tableColumn id="26" xr3:uid="{B93CAD1F-9F70-4073-BA5B-9A25C7E0773A}" name="آبار منتجة SAR" dataDxfId="326" totalsRowDxfId="286" dataCellStyle="Normal 2"/>
    <tableColumn id="25" xr3:uid="{843065C2-FA24-4EBC-946C-017549EDBE73}" name="إنتاج آبار  SAR" dataDxfId="325" totalsRowDxfId="285" dataCellStyle="Normal 2"/>
    <tableColumn id="24" xr3:uid="{72E79D2B-11DD-4F09-9A98-C3DC5E961080}" name="آبار احتياطية  SAR" dataDxfId="324" totalsRowDxfId="284" dataCellStyle="Normal 2">
      <calculatedColumnFormula>103-F2</calculatedColumnFormula>
    </tableColumn>
    <tableColumn id="8" xr3:uid="{32ADAB80-0731-4497-9C74-B767F325E7AA}" name=" (T/B) SAR" dataDxfId="323" totalsRowDxfId="283" dataCellStyle="Normal 2"/>
    <tableColumn id="22" xr3:uid="{D6CA7FCA-765E-4E81-A162-4CD8BB0D7043}" name=" (S/S) SAR" dataDxfId="322" totalsRowDxfId="282" dataCellStyle="Normal 2"/>
    <tableColumn id="38" xr3:uid="{33C2CB21-9229-4243-ADAE-776B8647DFD1}" name="(S/S+TB)SAR" dataDxfId="321" totalsRowDxfId="281" dataCellStyle="Normal 2">
      <calculatedColumnFormula>TABL123[[#This Row],[ (T/B) SAR]]+TABL123[[#This Row],[ (S/S) SAR]]</calculatedColumnFormula>
    </tableColumn>
    <tableColumn id="21" xr3:uid="{5084FB58-C82F-41E5-A2B2-15A7632A1BEA}" name="TAZ/SAR" dataDxfId="320" totalsRowDxfId="280" dataCellStyle="Normal 2"/>
    <tableColumn id="20" xr3:uid="{66436F12-F860-44EF-B3A6-FFD54DC8AFC8}" name=" % ECV SAR" dataDxfId="319" totalsRowDxfId="279" dataCellStyle="Normal 2"/>
    <tableColumn id="6" xr3:uid="{4438EA12-D59A-4F0A-AA36-C59397D029D5}" name="ECV (bar) SAR" dataDxfId="318" totalsRowDxfId="278" dataCellStyle="Normal 2"/>
    <tableColumn id="3" xr3:uid="{5C7CE9FC-7273-4F20-97D1-277D70176732}" name="(S/S) AJD" dataDxfId="317" totalsRowDxfId="277"/>
    <tableColumn id="36" xr3:uid="{6672827C-38A3-4694-A87C-BC06C39D02A5}" name="S/S_CON." dataDxfId="316" totalsRowDxfId="276">
      <calculatedColumnFormula>TABL123[[#This Row],[ (S/S) SAR]]-TABL123[[#This Row],[(S/S) AJD]]</calculatedColumnFormula>
    </tableColumn>
    <tableColumn id="5" xr3:uid="{DF02E977-976C-497A-90D6-F963B833E43A}" name="(T/B) AJD" dataDxfId="315" totalsRowDxfId="275"/>
    <tableColumn id="35" xr3:uid="{EA1BE12C-3660-4876-BFF2-4646FCDB4BA4}" name="T/B-CON." dataDxfId="314" totalsRowDxfId="274">
      <calculatedColumnFormula>TABL123[[#This Row],[ (T/B) SAR]]-TABL123[[#This Row],[(T/B) AJD]]</calculatedColumnFormula>
    </tableColumn>
    <tableColumn id="37" xr3:uid="{CD73554D-A9F7-4280-84E5-B46659328447}" name="(S/S-T/B)-CON." dataDxfId="313" totalsRowDxfId="273">
      <calculatedColumnFormula>TABL123[[#This Row],[T/B-CON.]]+TABL123[[#This Row],[S/S_CON.]]</calculatedColumnFormula>
    </tableColumn>
    <tableColumn id="13" xr3:uid="{01AE2A1C-21BD-46A6-A4AA-D88652C86F49}" name="( S/S+T/B) AJD" dataDxfId="312" totalsRowDxfId="272">
      <calculatedColumnFormula>TABL123[[#This Row],[(S/S) AJD]]+TABL123[[#This Row],[(T/B) AJD]]</calculatedColumnFormula>
    </tableColumn>
    <tableColumn id="7" xr3:uid="{21BC058B-8A61-431E-BCD6-7FDA77C9E7C5}" name="(A/B) AJD" dataDxfId="311" totalsRowDxfId="271"/>
    <tableColumn id="9" xr3:uid="{E4125AA8-4C18-482A-92C7-44662200A444}" name="(A/S) AJD" dataDxfId="310" totalsRowDxfId="270"/>
    <tableColumn id="14" xr3:uid="{A5BCC66E-3B62-4C06-92B8-78FF88D4151A}" name="(A/B + A/S) AJD" dataDxfId="309" totalsRowDxfId="269">
      <calculatedColumnFormula>TABL123[[#This Row],[(A/B) AJD]]+TABL123[[#This Row],[(A/S) AJD]]</calculatedColumnFormula>
    </tableColumn>
    <tableColumn id="15" xr3:uid="{3BBEAFA6-6146-471B-A18A-86F379088B70}" name="(IN-OUT) AJD" dataDxfId="308" totalsRowDxfId="268">
      <calculatedColumnFormula>TABL123[[#This Row],[( S/S+T/B) AJD]]-TABL123[[#This Row],[(A/B + A/S) AJD]]</calculatedColumnFormula>
    </tableColumn>
    <tableColumn id="10" xr3:uid="{876922B5-A4E9-45ED-86BF-10C757F7DE2A}" name="(RES. LEVEL) AJD" dataDxfId="307" totalsRowDxfId="267"/>
    <tableColumn id="11" xr3:uid="{2F9A8435-0058-45F7-AA38-B4B4E3E3322D}" name="(RESV. STORGE) AJD" dataDxfId="306" totalsRowDxfId="266"/>
    <tableColumn id="40" xr3:uid="{F87A19EF-5769-4625-AC0A-777F3AC43946}" name="AJD_STORG.* 10" dataDxfId="305" totalsRowDxfId="265" dataCellStyle="Normal 2">
      <calculatedColumnFormula>TABL123[[#This Row],[(RESV. STORGE) AJD]]/10</calculatedColumnFormula>
    </tableColumn>
    <tableColumn id="4" xr3:uid="{F15E20D7-B8EF-4163-9E31-6D3BF77A73A3}" name="(STORGE DIFF.) AJD" dataDxfId="304" totalsRowDxfId="264"/>
    <tableColumn id="12" xr3:uid="{BC2F8435-ACF2-46F4-8794-4AC9C2B6C9E9}" name="AJD_Evaporation" dataDxfId="303" totalsRowDxfId="263" dataCellStyle="Normal 2"/>
    <tableColumn id="39" xr3:uid="{FCD950FB-697C-49D6-8E16-0E7ECE2CAB54}" name="AJD_LOSES" dataDxfId="302" totalsRowDxfId="262">
      <calculatedColumnFormula>TABL123[[#This Row],[( S/S+T/B) AJD]]-(TABL123[[#This Row],[(A/B + A/S) AJD]]+TABL123[[#This Row],[(STORGE DIFF.) AJD]]+(TABL123[[#This Row],[AJD_Evaporation]])/1000)</calculatedColumnFormula>
    </tableColumn>
    <tableColumn id="30" xr3:uid="{8CFBC8C8-233F-4A7C-8008-ADE64EB24554}" name="BER_IN" dataDxfId="301" totalsRowDxfId="261"/>
    <tableColumn id="31" xr3:uid="{5D2F464C-C9F4-4576-8552-66822FE5010C}" name="(RES. LEVEL) BER" dataDxfId="300" totalsRowDxfId="260"/>
    <tableColumn id="28" xr3:uid="{79AC9202-E111-492A-A1C7-C20EAB7DB475}" name=" (RESV. STORGE) BER" dataDxfId="299" totalsRowDxfId="259"/>
    <tableColumn id="29" xr3:uid="{0D3228DA-C740-4CD4-8142-FA2E5314F93F}" name="BER_STORG. * 10" dataDxfId="298" totalsRowDxfId="258"/>
    <tableColumn id="34" xr3:uid="{5733C1F9-D466-469C-ABB3-E7F7DB0EE0F1}" name="BER_Evap." dataDxfId="297" totalsRowDxfId="257"/>
    <tableColumn id="32" xr3:uid="{4CE1412A-4E2F-44FE-A87E-085A0A9129ED}" name="A/B_CON." dataDxfId="296" totalsRowDxfId="256">
      <calculatedColumnFormula>TABL123[[#This Row],[(A/B) AJD]]-TABL123[[#This Row],[BER_IN]]</calculatedColumnFormula>
    </tableColumn>
    <tableColumn id="33" xr3:uid="{2395CD46-6205-4986-BD68-620680EE6F2E}" name="SER_IN" dataDxfId="295" totalsRowDxfId="255"/>
    <tableColumn id="27" xr3:uid="{3AEA8C61-AA99-45B5-9461-2FF3EDCC8EA9}" name="(RES. LEVEL) SER " dataDxfId="294" totalsRowDxfId="254"/>
    <tableColumn id="2" xr3:uid="{7A48A26A-7876-4082-9402-59ED4782C9D4}" name=" (RESV. STORGE) SER" dataDxfId="293" totalsRowDxfId="253" dataCellStyle="Normal 2"/>
    <tableColumn id="23" xr3:uid="{CDFEC5F7-08FE-41DC-8D56-FDC100C5A4D5}" name="SER_STORG.* 10" dataDxfId="292" totalsRowDxfId="252" dataCellStyle="Normal 2">
      <calculatedColumnFormula>TABL123[[#This Row],[ (RESV. STORGE) SER]]/10</calculatedColumnFormula>
    </tableColumn>
    <tableColumn id="42" xr3:uid="{BEA2B6C9-A747-4952-BA2D-D4DE723F4074}" name="SER_Evap." dataDxfId="338"/>
    <tableColumn id="43" xr3:uid="{B393EE02-A71B-4CC5-BB4E-081FA4FD0162}" name="A/S_CON." dataDxfId="33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431" headerRowBorderDxfId="430" tableBorderDxfId="429">
  <autoFilter ref="A1:AP366" xr:uid="{5FCB9D25-BF41-4AB4-98FB-CE010629717D}"/>
  <tableColumns count="42">
    <tableColumn id="1" xr3:uid="{CF2CC824-BD23-4EED-93E0-3B9E45F278EC}" name=" اليوم" dataDxfId="428" totalsRowDxfId="251" dataCellStyle="Normal 2"/>
    <tableColumn id="19" xr3:uid="{11FDAE88-09F6-4E94-8617-B2BA9147CD51}" name="آبار منتجة TAZ" dataDxfId="427" totalsRowDxfId="250" dataCellStyle="Normal 2"/>
    <tableColumn id="18" xr3:uid="{076C74DF-4714-4AD5-8210-E3B3407FBA13}" name="الانتاج 1000 (م3) TAZ" dataDxfId="426" totalsRowDxfId="249" dataCellStyle="Normal 2"/>
    <tableColumn id="17" xr3:uid="{C7220FDF-726E-40FC-99CD-A67D880F1387}" name="آبار عاملة TAZ" dataDxfId="425" totalsRowDxfId="248" dataCellStyle="Normal 2"/>
    <tableColumn id="16" xr3:uid="{DC504DC8-6426-4941-99CB-73AC50EFF406}" name="آبار احتياطية" dataDxfId="424" totalsRowDxfId="247" dataCellStyle="Normal 2"/>
    <tableColumn id="26" xr3:uid="{FF8B3ED8-B830-4308-B6C8-CB915A8ED015}" name="آبار منتجة SAR" dataDxfId="423" totalsRowDxfId="246" dataCellStyle="Normal 2"/>
    <tableColumn id="25" xr3:uid="{FA3000E5-6566-416F-921D-1508B5FB714F}" name="إنتاج آبار  SAR" dataDxfId="422" totalsRowDxfId="245" dataCellStyle="Normal 2"/>
    <tableColumn id="24" xr3:uid="{0AD83C01-DEC0-4843-A2F7-84F74F81F9CC}" name="آبار احتياطية  SAR" dataDxfId="421" totalsRowDxfId="244" dataCellStyle="Normal 2">
      <calculatedColumnFormula>103-F2</calculatedColumnFormula>
    </tableColumn>
    <tableColumn id="8" xr3:uid="{7253E698-DAEB-48C5-A750-7FE54CB2AA8A}" name=" (T/B) SAR" dataDxfId="420" totalsRowDxfId="243" dataCellStyle="Normal 2"/>
    <tableColumn id="22" xr3:uid="{876E68A1-B3C2-447A-AB99-8D4E310E232B}" name=" (S/S) SAR" dataDxfId="419" totalsRowDxfId="242" dataCellStyle="Normal 2"/>
    <tableColumn id="38" xr3:uid="{453CB68D-B69C-4F00-BDB3-40499D0BFC97}" name="(S/S+TB)SAR" dataDxfId="418" totalsRowDxfId="241" dataCellStyle="Normal 2">
      <calculatedColumnFormula>TABL1234[[#This Row],[ (T/B) SAR]]+TABL1234[[#This Row],[ (S/S) SAR]]</calculatedColumnFormula>
    </tableColumn>
    <tableColumn id="21" xr3:uid="{272404DA-C793-4A72-B0CB-0EB75185F322}" name="TAZ/SAR" dataDxfId="417" totalsRowDxfId="240" dataCellStyle="Normal 2"/>
    <tableColumn id="20" xr3:uid="{E1B79B18-AF6A-4A21-A847-69543D5853D3}" name=" % ECV SAR" dataDxfId="416" totalsRowDxfId="239" dataCellStyle="Normal 2"/>
    <tableColumn id="6" xr3:uid="{563D8C0C-0449-4C27-8802-1597757EAD90}" name="ECV (bar) SAR" dataDxfId="415" totalsRowDxfId="238" dataCellStyle="Normal 2"/>
    <tableColumn id="3" xr3:uid="{F8817DDA-13BF-41EE-A4AB-3E28920DA12E}" name="(S/S) AJD" dataDxfId="414" totalsRowDxfId="237"/>
    <tableColumn id="36" xr3:uid="{1AEC5609-B8DD-415A-B860-5CA0A2B19CE9}" name="S/S_CON." dataDxfId="413" totalsRowDxfId="236">
      <calculatedColumnFormula>TABL1234[[#This Row],[ (S/S) SAR]]-TABL1234[[#This Row],[(S/S) AJD]]</calculatedColumnFormula>
    </tableColumn>
    <tableColumn id="5" xr3:uid="{479D7584-5FE3-471E-B7AD-E43FC1963CC2}" name="(T/B) AJD" dataDxfId="412" totalsRowDxfId="235"/>
    <tableColumn id="35" xr3:uid="{A8D868F1-5EFC-4A0C-9EDC-13DB03872867}" name="T/B-CON." dataDxfId="411" totalsRowDxfId="234">
      <calculatedColumnFormula>TABL1234[[#This Row],[ (T/B) SAR]]-TABL1234[[#This Row],[(T/B) AJD]]</calculatedColumnFormula>
    </tableColumn>
    <tableColumn id="37" xr3:uid="{AA566E6C-9D8D-4B70-B216-3F23038B5006}" name="(S/S-T/B)-CON." dataDxfId="410" totalsRowDxfId="233">
      <calculatedColumnFormula>TABL1234[[#This Row],[T/B-CON.]]+TABL1234[[#This Row],[S/S_CON.]]</calculatedColumnFormula>
    </tableColumn>
    <tableColumn id="13" xr3:uid="{5DED3E6B-48E1-4C56-9CED-69CF638DBC14}" name="( S/S+T/B) AJD" dataDxfId="409" totalsRowDxfId="232">
      <calculatedColumnFormula>TABL1234[[#This Row],[(S/S) AJD]]+TABL1234[[#This Row],[(T/B) AJD]]</calculatedColumnFormula>
    </tableColumn>
    <tableColumn id="7" xr3:uid="{2F33E916-32B0-4678-8AF4-810EB069F853}" name="(A/B) AJD" dataDxfId="408" totalsRowDxfId="231"/>
    <tableColumn id="9" xr3:uid="{FE3BEA3B-570A-4810-85AD-CA10BE4443F4}" name="(A/S) AJD" dataDxfId="407" totalsRowDxfId="230"/>
    <tableColumn id="14" xr3:uid="{C6961044-444C-4633-81B0-E220652A0956}" name="(A/B + A/S) AJD" dataDxfId="406" totalsRowDxfId="229">
      <calculatedColumnFormula>TABL1234[[#This Row],[(A/B) AJD]]+TABL1234[[#This Row],[(A/S) AJD]]</calculatedColumnFormula>
    </tableColumn>
    <tableColumn id="15" xr3:uid="{084A6C51-A878-48CC-8273-CFCD05C0A26F}" name="(IN-OUT) AJD" dataDxfId="405" totalsRowDxfId="228">
      <calculatedColumnFormula>TABL1234[[#This Row],[( S/S+T/B) AJD]]-TABL1234[[#This Row],[(A/B + A/S) AJD]]</calculatedColumnFormula>
    </tableColumn>
    <tableColumn id="10" xr3:uid="{00FDC030-FCB6-400F-BDC0-59478D75D7A6}" name="(RES. LEVEL) AJD" dataDxfId="404" totalsRowDxfId="227"/>
    <tableColumn id="11" xr3:uid="{75090017-34DE-44D2-BD87-EF83DB956968}" name="(RESV. STORGE) AJD" dataDxfId="403" totalsRowDxfId="226"/>
    <tableColumn id="40" xr3:uid="{DF1E881D-1F9A-435B-BA4E-D02A45A7E3F5}" name="AJD_STORG.* 10" dataDxfId="402" totalsRowDxfId="225" dataCellStyle="Normal 2">
      <calculatedColumnFormula>TABL1234[[#This Row],[(RESV. STORGE) AJD]]/10</calculatedColumnFormula>
    </tableColumn>
    <tableColumn id="4" xr3:uid="{2B5AF874-2B4A-4BF8-9FF3-43DDA618D54F}" name="(STORGE DIFF.) AJD" dataDxfId="401" totalsRowDxfId="224">
      <calculatedColumnFormula>(TABL123[[#This Row],[(RESV. STORGE) AJD]]-500797)/1000</calculatedColumnFormula>
    </tableColumn>
    <tableColumn id="12" xr3:uid="{F362C966-6D40-4FD8-BEB9-91AD30F56531}" name="AJD_Evaporation" dataDxfId="400" totalsRowDxfId="223" dataCellStyle="Normal 2"/>
    <tableColumn id="39" xr3:uid="{F6CC0FCA-E331-472D-B69B-B56A51958C65}" name="AJD_LOSES" dataDxfId="399" totalsRowDxfId="222">
      <calculatedColumnFormula>TABL1234[[#This Row],[( S/S+T/B) AJD]]-(TABL1234[[#This Row],[(A/B + A/S) AJD]]+(TABL1234[[#This Row],[(STORGE DIFF.) AJD]]*1000)+TABL1234[[#This Row],[AJD_Evaporation]])</calculatedColumnFormula>
    </tableColumn>
    <tableColumn id="30" xr3:uid="{CBA7638F-53DA-4308-98C2-D8502C62FE53}" name="BER_IN" dataDxfId="398" totalsRowDxfId="221"/>
    <tableColumn id="31" xr3:uid="{6A01F181-E82D-4F2D-86AB-EDF51D7FA079}" name="(RES. LEVEL) BER" dataDxfId="397" totalsRowDxfId="220"/>
    <tableColumn id="28" xr3:uid="{FE95C7D8-F5FD-4278-BB5F-1F990B036A22}" name=" (RESV. STORGE) BER" dataDxfId="396" totalsRowDxfId="219"/>
    <tableColumn id="29" xr3:uid="{1BBABB8C-A2C2-442C-B886-2D89A404BDEB}" name="BER_STORG. * 10" dataDxfId="395" totalsRowDxfId="218"/>
    <tableColumn id="34" xr3:uid="{332C7D2C-C6A3-4A26-8AC2-FCD8106086E6}" name="BER_Evap." dataDxfId="394" totalsRowDxfId="217"/>
    <tableColumn id="32" xr3:uid="{C96F884E-1EEB-4DF2-9AA4-149162914A89}" name="A/B_CON." dataDxfId="393" totalsRowDxfId="216">
      <calculatedColumnFormula>TABL1234[[#This Row],[(A/B) AJD]]-TABL1234[[#This Row],[BER_IN]]</calculatedColumnFormula>
    </tableColumn>
    <tableColumn id="33" xr3:uid="{617EB27D-221C-4A84-8637-DB1B7E5C8E4C}" name="SER_IN" dataDxfId="392" totalsRowDxfId="215"/>
    <tableColumn id="27" xr3:uid="{F00A2A8B-D14F-4358-8227-4F0CF59784C3}" name="(RES. LEVEL) SER " dataDxfId="391" totalsRowDxfId="214"/>
    <tableColumn id="2" xr3:uid="{838E1437-DDEE-489A-9F90-354DE69A5FBD}" name=" (RESV. STORGE) SER" dataDxfId="390" totalsRowDxfId="213" dataCellStyle="Normal 2"/>
    <tableColumn id="23" xr3:uid="{09A5AB44-BC9D-4BE3-B380-C113AD5BED90}" name="SER_STORG.* 10" dataDxfId="389" totalsRowDxfId="212" dataCellStyle="Normal 2">
      <calculatedColumnFormula>TABL1234[[#This Row],[ (RESV. STORGE) SER]]/10</calculatedColumnFormula>
    </tableColumn>
    <tableColumn id="41" xr3:uid="{E4770EDE-8ED4-4463-B885-7849D12BD6A0}" name="SER_Evap." dataDxfId="388"/>
    <tableColumn id="42" xr3:uid="{EFDA9A53-0CFE-4CCE-95F2-20AE62E22C56}" name="A/S_CON." dataDxfId="387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8" totalsRowCount="1" headerRowDxfId="336" headerRowBorderDxfId="335" tableBorderDxfId="334">
  <autoFilter ref="A1:AP367" xr:uid="{E27AB35F-C506-4638-82E0-C9375E719914}"/>
  <tableColumns count="42">
    <tableColumn id="1" xr3:uid="{02DACF0D-7EB8-407A-B9F7-7C2292288349}" name=" اليوم" dataDxfId="211" totalsRowDxfId="171" dataCellStyle="Normal 2"/>
    <tableColumn id="19" xr3:uid="{43E17B12-9F51-4E38-809C-0DC2FB9D2198}" name="آبار منتجة TAZ" dataDxfId="210" totalsRowDxfId="170" dataCellStyle="Normal 2"/>
    <tableColumn id="18" xr3:uid="{AE342FC5-E6EF-41F4-A320-A8389AD104C8}" name="الانتاج 1000 (م3) TAZ" dataDxfId="209" totalsRowDxfId="169" dataCellStyle="Normal 2"/>
    <tableColumn id="17" xr3:uid="{B3C5CB3A-D0F1-49AC-B037-6C320FADF260}" name="آبار عاملة TAZ" dataDxfId="208" totalsRowDxfId="168" dataCellStyle="Normal 2"/>
    <tableColumn id="16" xr3:uid="{B716E35D-9012-40EA-AC38-60E9F6339C0D}" name="آبار احتياطية" dataDxfId="207" totalsRowDxfId="167" dataCellStyle="Normal 2"/>
    <tableColumn id="26" xr3:uid="{BEC03712-E2DC-4DF5-9B30-7E545FD4FB18}" name="آبار منتجة SAR" dataDxfId="206" totalsRowDxfId="166" dataCellStyle="Normal 2"/>
    <tableColumn id="25" xr3:uid="{5D056D5F-DD4D-4B13-9030-D38421746905}" name="إنتاج آبار  SAR" dataDxfId="205" totalsRowDxfId="165" dataCellStyle="Normal 2"/>
    <tableColumn id="24" xr3:uid="{E0F5724B-8BCB-47AC-BCF7-0DBD0CF9C33E}" name="آبار احتياطية  SAR" dataDxfId="204" totalsRowDxfId="164" dataCellStyle="Normal 2"/>
    <tableColumn id="8" xr3:uid="{61D18039-EDAC-4612-86A4-AFF23A4064AC}" name=" (T/B) SAR" dataDxfId="203" totalsRowDxfId="163" dataCellStyle="Normal 2"/>
    <tableColumn id="22" xr3:uid="{2C3F81BA-C095-49B2-BF14-75F548667ECB}" name=" (S/S) SAR" dataDxfId="202" totalsRowDxfId="162" dataCellStyle="Normal 2"/>
    <tableColumn id="38" xr3:uid="{1679208C-75B3-4E3C-A4D6-0EECE2F8E911}" name="(S/S+TB)SAR" dataDxfId="201" totalsRowDxfId="161" dataCellStyle="Normal 2">
      <calculatedColumnFormula>TABL12345[[#This Row],[ (T/B) SAR]]+TABL12345[[#This Row],[ (S/S) SAR]]</calculatedColumnFormula>
    </tableColumn>
    <tableColumn id="21" xr3:uid="{D2194429-B14F-4E7B-97D2-E7110F4C07FC}" name="TAZ/SAR" dataDxfId="200" totalsRowDxfId="160" dataCellStyle="Normal 2"/>
    <tableColumn id="20" xr3:uid="{35B39C80-C517-4DB5-B3E6-2C24ACD3BA7C}" name=" % ECV SAR" dataDxfId="199" totalsRowDxfId="159" dataCellStyle="Normal 2"/>
    <tableColumn id="6" xr3:uid="{22D7E0F8-B392-42D3-806C-5E133C18B9F0}" name="ECV (bar) SAR" dataDxfId="198" totalsRowDxfId="158" dataCellStyle="Normal 2"/>
    <tableColumn id="3" xr3:uid="{3907C5E1-E143-4AF6-8647-6264088EB00F}" name="(S/S) AJD" dataDxfId="197" totalsRowDxfId="157"/>
    <tableColumn id="36" xr3:uid="{1631F47D-658D-4528-AA1F-B9937050D436}" name="S/S_CON." dataDxfId="196" totalsRowDxfId="156">
      <calculatedColumnFormula>TABL12345[[#This Row],[ (S/S) SAR]]-TABL12345[[#This Row],[(S/S) AJD]]</calculatedColumnFormula>
    </tableColumn>
    <tableColumn id="5" xr3:uid="{D53678E2-A269-4C4F-8B0A-9BAE8FA907ED}" name="(T/B) AJD" dataDxfId="195" totalsRowDxfId="155"/>
    <tableColumn id="35" xr3:uid="{5D374896-D11B-4B17-A855-150CE88C0760}" name="T/B-CON." dataDxfId="194" totalsRowDxfId="154">
      <calculatedColumnFormula>TABL12345[[#This Row],[ (T/B) SAR]]-TABL12345[[#This Row],[(T/B) AJD]]</calculatedColumnFormula>
    </tableColumn>
    <tableColumn id="37" xr3:uid="{09D6D753-1A3C-4535-BA78-4BF8327D882B}" name="(S/S-T/B)-CON." dataDxfId="193" totalsRowDxfId="153">
      <calculatedColumnFormula>TABL12345[[#This Row],[S/S_CON.]]+TABL12345[[#This Row],[T/B-CON.]]</calculatedColumnFormula>
    </tableColumn>
    <tableColumn id="13" xr3:uid="{C58643E7-024E-443D-83D0-9EB1C639B54D}" name="( S/S+T/B) AJD" dataDxfId="192" totalsRowDxfId="152">
      <calculatedColumnFormula>O2+Q2</calculatedColumnFormula>
    </tableColumn>
    <tableColumn id="7" xr3:uid="{78547799-DE98-4575-BA47-DD3795A95957}" name="(A/B) AJD" dataDxfId="191" totalsRowDxfId="151"/>
    <tableColumn id="9" xr3:uid="{07CD512D-7DBD-4DD8-A984-F7676F67A268}" name="(A/S) AJD" dataDxfId="190" totalsRowDxfId="150"/>
    <tableColumn id="14" xr3:uid="{0213E337-B3B2-47BB-B8E3-6770CDF25454}" name="(A/B + A/S) AJD" dataDxfId="189" totalsRowDxfId="149">
      <calculatedColumnFormula>U2+V2</calculatedColumnFormula>
    </tableColumn>
    <tableColumn id="15" xr3:uid="{84EC5F01-D93C-4CD0-894A-EF313BB95D21}" name="(IN-OUT) AJD" dataDxfId="188" totalsRowDxfId="148">
      <calculatedColumnFormula>T2-W2</calculatedColumnFormula>
    </tableColumn>
    <tableColumn id="10" xr3:uid="{0BD7EC09-04AD-4217-9B85-C8B6B7E453F7}" name="(RES. LEVEL) AJD" dataDxfId="187" totalsRowDxfId="147"/>
    <tableColumn id="11" xr3:uid="{E3E279F5-1486-4471-939B-55F7B0DA545B}" name="(RESV. STORGE) AJD" dataDxfId="186" totalsRowDxfId="146"/>
    <tableColumn id="40" xr3:uid="{AF2423A7-B305-48AC-A45C-F40DDE6E1EDC}" name="AJD_STORG.* 10" dataDxfId="185" totalsRowDxfId="145" dataCellStyle="Normal 2">
      <calculatedColumnFormula>TABL12345[[#This Row],[(RESV. STORGE) AJD]]/10</calculatedColumnFormula>
    </tableColumn>
    <tableColumn id="4" xr3:uid="{349662B3-3FED-4026-98BD-67FC3B66D23C}" name="(STORGE DIFF.) AJD" dataDxfId="184" totalsRowDxfId="144"/>
    <tableColumn id="12" xr3:uid="{852CAD1E-93C7-4B16-AA21-29103890C024}" name="AJD_Evaporation" dataDxfId="183" totalsRowDxfId="143" dataCellStyle="Normal 2"/>
    <tableColumn id="39" xr3:uid="{E8544CA2-A272-4E28-9BF8-A6613CA962F9}" name="AJD_LOSES" dataDxfId="182" totalsRowDxfId="14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xr3:uid="{D5ED7AC2-6D51-4E79-8A60-BA6A9C05CE5E}" name="BER_IN" dataDxfId="181" totalsRowDxfId="141"/>
    <tableColumn id="31" xr3:uid="{6AB09860-41B2-43B9-9D14-E120039D4952}" name="(RES. LEVEL) BER" dataDxfId="180" totalsRowDxfId="140"/>
    <tableColumn id="28" xr3:uid="{49154F88-FC89-408C-8485-83AC6DB6FE9D}" name=" (RESV. STORGE) BER" dataDxfId="179" totalsRowDxfId="139"/>
    <tableColumn id="29" xr3:uid="{57AD5D30-9B52-48CE-81E9-4506CB0FF416}" name="BER_STORG. * 10" dataDxfId="178" totalsRowDxfId="138">
      <calculatedColumnFormula>TABL12345[[#This Row],[ (RESV. STORGE) BER]]/10</calculatedColumnFormula>
    </tableColumn>
    <tableColumn id="34" xr3:uid="{03FFF891-77B0-43E4-9D01-7AA2BB5AEA1B}" name="BER_Evap." dataDxfId="177" totalsRowDxfId="137"/>
    <tableColumn id="32" xr3:uid="{03EB162E-C5F0-4278-B7BA-4E7D6BDCA6AC}" name="A/B_CON." dataDxfId="176" totalsRowDxfId="136">
      <calculatedColumnFormula>TABL12345[[#This Row],[(A/B) AJD]]-TABL12345[[#This Row],[BER_IN]]</calculatedColumnFormula>
    </tableColumn>
    <tableColumn id="33" xr3:uid="{A605DDD5-2F17-45B7-899A-FD1B18D252A5}" name="SER_IN" dataDxfId="175" totalsRowDxfId="135"/>
    <tableColumn id="27" xr3:uid="{8EAA7A02-F906-476E-939D-D3BC9104B7ED}" name="(RES. LEVEL) SER " dataDxfId="174" totalsRowDxfId="134"/>
    <tableColumn id="2" xr3:uid="{8AA4184C-E831-4C5F-85E8-3E83C570A450}" name=" (RESV. STORGE) SER" dataDxfId="173" totalsRowDxfId="133" dataCellStyle="Normal 2"/>
    <tableColumn id="23" xr3:uid="{A3F2F42E-A42B-4160-AB32-0553ADC6D120}" name="SER_STORG.* 10" dataDxfId="172" totalsRowDxfId="132" dataCellStyle="Normal 2">
      <calculatedColumnFormula>TABL12345[[#This Row],[ (RESV. STORGE) SER]]/10</calculatedColumnFormula>
    </tableColumn>
    <tableColumn id="41" xr3:uid="{9BF764BC-F0F0-4E32-9F3F-BA2F58E16484}" name="SER_Evap." dataDxfId="333"/>
    <tableColumn id="42" xr3:uid="{569575F4-872C-43F8-A630-9E5D78196769}" name="A/S_CON." dataDxfId="332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3BACDC3-6B9F-46A5-BC1B-B801DD8411EE}" name="Table5" displayName="Table5" ref="A1:AP366" totalsRowShown="0" headerRowDxfId="97" headerRowBorderDxfId="130" tableBorderDxfId="131">
  <autoFilter ref="A1:AP366" xr:uid="{13BACDC3-6B9F-46A5-BC1B-B801DD8411EE}"/>
  <tableColumns count="42">
    <tableColumn id="1" xr3:uid="{BE423D5E-E6FB-4E6D-BCAD-7FC56E9D7B02}" name=" اليوم" dataDxfId="129" dataCellStyle="Normal 2"/>
    <tableColumn id="2" xr3:uid="{EA1FF18F-9EDC-4384-9C7E-EB8A47EB7DDA}" name="آبار منتجة TAZ" dataDxfId="128"/>
    <tableColumn id="3" xr3:uid="{6BF8AAEB-C1D9-4A92-B828-C393EB4401A8}" name="الانتاج 1000 (م3) TAZ" dataDxfId="127"/>
    <tableColumn id="4" xr3:uid="{5046DA03-05C8-4B4E-A035-2DD4AE7B3620}" name="آبار عاملة TAZ" dataDxfId="126"/>
    <tableColumn id="5" xr3:uid="{D4629C44-2DD7-45DB-954F-F8B968AA523F}" name="آبار احتياطية" dataDxfId="125"/>
    <tableColumn id="6" xr3:uid="{F59EEF52-C21B-4920-905A-8949F9668D9E}" name="آبار منتجة SAR" dataDxfId="124"/>
    <tableColumn id="7" xr3:uid="{A39CA2C1-642F-4573-9B2F-45BC7CE9C33B}" name="إنتاج آبار  SAR" dataDxfId="123"/>
    <tableColumn id="8" xr3:uid="{21877EC5-207C-4D9D-8DF8-3C8F34AA3C66}" name="آبار احتياطية  SAR" dataDxfId="122"/>
    <tableColumn id="9" xr3:uid="{90539B6A-E430-4933-90B4-AD130179647E}" name=" (T/B) SAR" dataDxfId="121"/>
    <tableColumn id="10" xr3:uid="{6A053E26-9716-4BA7-91E5-2B7966FE67DB}" name=" (S/S) SAR" dataDxfId="120"/>
    <tableColumn id="11" xr3:uid="{2724EB01-3231-47C3-910F-D6D679DB713E}" name="(S/S+TB)SAR" dataDxfId="9" dataCellStyle="Normal 2">
      <calculatedColumnFormula>Table5[[#This Row],[ (T/B) SAR]]+Table5[[#This Row],[ (S/S) SAR]]</calculatedColumnFormula>
    </tableColumn>
    <tableColumn id="12" xr3:uid="{A907CC27-018B-47C7-919E-6B4433B8B6B7}" name="TAZ/SAR" dataDxfId="119"/>
    <tableColumn id="13" xr3:uid="{7B3C5A08-EF0C-40A5-B84A-473CCCB8F6AA}" name=" % ECV SAR" dataDxfId="118"/>
    <tableColumn id="14" xr3:uid="{C6AAED5C-454E-47EF-A703-EE7252268710}" name="ECV (bar) SAR" dataDxfId="117"/>
    <tableColumn id="15" xr3:uid="{443B29AE-30E7-4E43-9A02-3519E70590D6}" name="(S/S) AJD" dataDxfId="116"/>
    <tableColumn id="16" xr3:uid="{3089CC45-FAB6-4089-A47F-7809E5791F0E}" name="S/S_CON." dataDxfId="8">
      <calculatedColumnFormula>Table5[[#This Row],[ (S/S) SAR]]-Table5[[#This Row],[(S/S) AJD]]</calculatedColumnFormula>
    </tableColumn>
    <tableColumn id="17" xr3:uid="{3C21E3CA-B318-4FCE-A058-81EA0774935F}" name="(T/B) AJD" dataDxfId="115"/>
    <tableColumn id="18" xr3:uid="{44743DE8-C60A-437C-91E6-6D1F9B88689D}" name="T/B-CON." dataDxfId="7">
      <calculatedColumnFormula>Table5[[#This Row],[ (T/B) SAR]]-Table5[[#This Row],[(T/B) AJD]]</calculatedColumnFormula>
    </tableColumn>
    <tableColumn id="19" xr3:uid="{AA052FEF-5A26-47CE-9F0B-F8F1923AD8E9}" name="(S/S-T/B)-CON." dataDxfId="6">
      <calculatedColumnFormula>Table5[[#This Row],[S/S_CON.]]+Table5[[#This Row],[T/B-CON.]]</calculatedColumnFormula>
    </tableColumn>
    <tableColumn id="20" xr3:uid="{61057A5A-24CC-4E0A-BD0E-5FDE96F98806}" name="( S/S+T/B) AJD" dataDxfId="114">
      <calculatedColumnFormula>O2+Q2</calculatedColumnFormula>
    </tableColumn>
    <tableColumn id="21" xr3:uid="{EDA3D673-DD20-4163-B2F4-680FF4D5119E}" name="(A/B) AJD" dataDxfId="113"/>
    <tableColumn id="22" xr3:uid="{217BC4DA-6A52-4D8A-80D7-4AEFDA006950}" name="(A/S) AJD" dataDxfId="112"/>
    <tableColumn id="23" xr3:uid="{1F150EF5-1006-43A7-B78A-1AA32AB491FB}" name="(A/B + A/S) AJD" dataDxfId="111">
      <calculatedColumnFormula>U2+V2</calculatedColumnFormula>
    </tableColumn>
    <tableColumn id="24" xr3:uid="{028D3F2E-B6F9-4338-BFFB-4F28EE3B3DFE}" name="(IN-OUT) AJD" dataDxfId="110">
      <calculatedColumnFormula>T2-W2</calculatedColumnFormula>
    </tableColumn>
    <tableColumn id="25" xr3:uid="{BB486173-635A-405F-8C05-C3D61B63A542}" name="(RES. LEVEL) AJD" dataDxfId="109"/>
    <tableColumn id="26" xr3:uid="{F9AB66F0-9BBC-48DD-BF04-3F0A2EEBC825}" name="(RESV. STORGE) AJD" dataDxfId="108"/>
    <tableColumn id="27" xr3:uid="{D412D6AF-1DEE-4597-883E-6BE27B9113AA}" name="AJD_STORG.* 10" dataDxfId="5" dataCellStyle="Normal 2">
      <calculatedColumnFormula>Table5[[#This Row],[(RESV. STORGE) AJD]]/10</calculatedColumnFormula>
    </tableColumn>
    <tableColumn id="28" xr3:uid="{03311B88-714C-4EF7-9B3B-159260247FD2}" name="(STORGE DIFF.) AJD" dataDxfId="107" dataCellStyle="Normal 2">
      <calculatedColumnFormula>IF(TRIM(Z2)="",,(Z2-Z1)/1000)</calculatedColumnFormula>
    </tableColumn>
    <tableColumn id="29" xr3:uid="{088C3454-BF57-43A1-93C2-46EDB2DF5204}" name="AJD_Evaporation" dataDxfId="106"/>
    <tableColumn id="30" xr3:uid="{CD718CC7-8DF0-4EBF-BE86-87A5B6E324EC}" name="AJD_LOSES" dataDxfId="4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xr3:uid="{99E98B5A-1729-444E-B468-85AEC5550E7F}" name="BER_IN" dataDxfId="105"/>
    <tableColumn id="32" xr3:uid="{7FA81E22-A798-4ADC-A4E7-37207568211F}" name="(RES. LEVEL) BER" dataDxfId="104"/>
    <tableColumn id="33" xr3:uid="{13D8CA7B-5757-4B72-95FE-27A1ABFC2C14}" name=" (RESV. STORGE) BER" dataDxfId="103"/>
    <tableColumn id="34" xr3:uid="{4DE64583-37D3-4880-B10A-43A0808F8872}" name="BER_STORG. * 10" dataDxfId="3">
      <calculatedColumnFormula>Table5[[#This Row],[ (RESV. STORGE) BER]]/10</calculatedColumnFormula>
    </tableColumn>
    <tableColumn id="35" xr3:uid="{FA7B911C-943C-43C1-ABFF-D617A16D1179}" name="BER_Evap." dataDxfId="102"/>
    <tableColumn id="36" xr3:uid="{4CAB8E57-9C4D-4EFE-B025-146F4D5B5769}" name="A/B_CON." dataDxfId="2">
      <calculatedColumnFormula>Table5[[#This Row],[(A/B) AJD]]-Table5[[#This Row],[BER_IN]]</calculatedColumnFormula>
    </tableColumn>
    <tableColumn id="37" xr3:uid="{FBFF6553-47B6-4EAD-9231-750810EE96EF}" name="SER_IN" dataDxfId="101"/>
    <tableColumn id="38" xr3:uid="{6024D423-CC2D-41C8-9830-2E0F6BA8692C}" name="(RES. LEVEL) SER " dataDxfId="100"/>
    <tableColumn id="39" xr3:uid="{5AD1DAF4-FCDD-4860-886F-A82B8A222265}" name=" (RESV. STORGE) SER" dataDxfId="99" dataCellStyle="Normal 2"/>
    <tableColumn id="40" xr3:uid="{3B2FC753-2F35-4E0E-9D02-0E1D90AA1AFF}" name="SER_STORG.* 10" dataDxfId="1" dataCellStyle="Normal 2">
      <calculatedColumnFormula>Table5[[#This Row],[ (RESV. STORGE) SER]]/10</calculatedColumnFormula>
    </tableColumn>
    <tableColumn id="41" xr3:uid="{B417C35A-9D85-488F-8C72-8CEAA1313600}" name="SER_Evap." dataDxfId="98"/>
    <tableColumn id="42" xr3:uid="{E670D05A-F244-40CD-AA7A-2F409489FF47}" name="A/S_CON." dataDxfId="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BA95992-32F0-4371-BD4F-71001CD6FCE8}" name="Table6" displayName="Table6" ref="A1:AP366" totalsRowShown="0" headerRowDxfId="62" headerRowBorderDxfId="95" tableBorderDxfId="96">
  <autoFilter ref="A1:AP366" xr:uid="{ABA95992-32F0-4371-BD4F-71001CD6FCE8}"/>
  <tableColumns count="42">
    <tableColumn id="1" xr3:uid="{3AAD961A-0EA2-4060-A0F4-DB6DA87B5A89}" name=" اليوم" dataDxfId="94" dataCellStyle="Normal 2"/>
    <tableColumn id="2" xr3:uid="{D69A5379-9BF0-4120-B0B1-7279EA2099D1}" name="آبار منتجة TAZ" dataDxfId="93"/>
    <tableColumn id="3" xr3:uid="{93BF39E9-A443-42B6-9F79-64FCF17F8BED}" name="الانتاج 1000 (م3) TAZ" dataDxfId="92"/>
    <tableColumn id="4" xr3:uid="{36E38679-7009-4B53-9F4C-63E3F7BF8ABC}" name="آبار عاملة TAZ" dataDxfId="91"/>
    <tableColumn id="5" xr3:uid="{7B7FA81F-FBDA-4E38-8864-839661E31786}" name="آبار احتياطية" dataDxfId="90"/>
    <tableColumn id="6" xr3:uid="{DCBDFCBA-913C-4322-820F-4D8A5618FE44}" name="آبار منتجة SAR" dataDxfId="89"/>
    <tableColumn id="7" xr3:uid="{EE5AC1A5-8B41-4302-B9CC-CC1160F81D24}" name="إنتاج آبار  SAR" dataDxfId="88"/>
    <tableColumn id="8" xr3:uid="{BB033CC7-6DEB-4344-905E-3907E3344E3F}" name="آبار احتياطية  SAR" dataDxfId="87"/>
    <tableColumn id="9" xr3:uid="{6C1B0152-1FA6-44BB-BBA7-B7764572B43D}" name=" (T/B) SAR" dataDxfId="86"/>
    <tableColumn id="10" xr3:uid="{0AF82EE9-62D5-4B76-9B8D-660A35F5A68A}" name=" (S/S) SAR" dataDxfId="85"/>
    <tableColumn id="11" xr3:uid="{B715342D-2959-4118-9E77-C34B0BEE5D97}" name="(S/S+TB)SAR" dataDxfId="10" dataCellStyle="Normal 2">
      <calculatedColumnFormula>Table6[[#This Row],[ (T/B) SAR]]+Table6[[#This Row],[ (S/S) SAR]]</calculatedColumnFormula>
    </tableColumn>
    <tableColumn id="12" xr3:uid="{4B7C05FB-91B3-419B-8DA3-C59EFFAB316D}" name="TAZ/SAR" dataDxfId="84"/>
    <tableColumn id="13" xr3:uid="{5A3F516A-A815-48C9-BEB1-38AC9F062258}" name=" % ECV SAR" dataDxfId="83"/>
    <tableColumn id="14" xr3:uid="{D7C3067F-91A9-4464-8C4F-865FAAAFA6D9}" name="ECV (bar) SAR" dataDxfId="82"/>
    <tableColumn id="15" xr3:uid="{BEC76ABF-E75D-453A-BD63-540473C1D261}" name="(S/S) AJD" dataDxfId="81"/>
    <tableColumn id="16" xr3:uid="{36523FD2-ECB3-40ED-AC89-48DA8F250540}" name="S/S_CON." dataDxfId="11">
      <calculatedColumnFormula>Table6[[#This Row],[ (S/S) SAR]]-Table6[[#This Row],[(S/S) AJD]]</calculatedColumnFormula>
    </tableColumn>
    <tableColumn id="17" xr3:uid="{88E8678A-7BAF-4E85-ABCD-C29D789015AD}" name="(T/B) AJD" dataDxfId="80"/>
    <tableColumn id="18" xr3:uid="{6E1332DC-3767-44A4-9A11-9AE0BEADCA79}" name="T/B-CON." dataDxfId="12">
      <calculatedColumnFormula>Table6[[#This Row],[ (T/B) SAR]]-Table6[[#This Row],[(T/B) AJD]]</calculatedColumnFormula>
    </tableColumn>
    <tableColumn id="19" xr3:uid="{C52C27F3-4B07-4BA5-8CE0-011D85413617}" name="(S/S-T/B)-CON." dataDxfId="13">
      <calculatedColumnFormula>Table6[[#This Row],[S/S_CON.]]+Table6[[#This Row],[T/B-CON.]]</calculatedColumnFormula>
    </tableColumn>
    <tableColumn id="20" xr3:uid="{38789CF2-24AF-46E5-A983-B1A665463C3B}" name="( S/S+T/B) AJD" dataDxfId="79">
      <calculatedColumnFormula>O2+Q2</calculatedColumnFormula>
    </tableColumn>
    <tableColumn id="21" xr3:uid="{8E9FB7CB-D3A6-40A1-8AC3-0BF50C9704D8}" name="(A/B) AJD" dataDxfId="78"/>
    <tableColumn id="22" xr3:uid="{114F197D-D733-486E-9A53-B1DE06245923}" name="(A/S) AJD" dataDxfId="77"/>
    <tableColumn id="23" xr3:uid="{D2BAD358-E8CA-469D-BE91-D75C9630173B}" name="(A/B + A/S) AJD" dataDxfId="76">
      <calculatedColumnFormula>U2+V2</calculatedColumnFormula>
    </tableColumn>
    <tableColumn id="24" xr3:uid="{54698257-F300-4087-B740-5F8E5B3DFA53}" name="(IN-OUT) AJD" dataDxfId="75">
      <calculatedColumnFormula>T2-W2</calculatedColumnFormula>
    </tableColumn>
    <tableColumn id="25" xr3:uid="{0843EE83-D149-4815-8B9A-6228C7BBEDDD}" name="(RES. LEVEL) AJD" dataDxfId="74"/>
    <tableColumn id="26" xr3:uid="{4F6F5B48-AD32-4E85-A9DE-92F2B116F388}" name="(RESV. STORGE) AJD" dataDxfId="73"/>
    <tableColumn id="27" xr3:uid="{0FA15C0D-AB2D-496B-BB1B-BFC268A95AEF}" name="AJD_STORG.* 10" dataDxfId="14" dataCellStyle="Normal 2">
      <calculatedColumnFormula>Table6[[#This Row],[(RESV. STORGE) AJD]]/10</calculatedColumnFormula>
    </tableColumn>
    <tableColumn id="28" xr3:uid="{9D4D06C7-9B98-4717-B01D-30E16683ED4B}" name="(STORGE DIFF.) AJD" dataDxfId="72" dataCellStyle="Normal 2">
      <calculatedColumnFormula>IF(TRIM(Z2)="",,(Z2-Z1)/1000)</calculatedColumnFormula>
    </tableColumn>
    <tableColumn id="29" xr3:uid="{E9A9FB0D-86C9-453A-BC4F-6F9D56DEA297}" name="AJD_Evaporation" dataDxfId="71"/>
    <tableColumn id="30" xr3:uid="{511C7B1A-6AD6-4FB4-8BF2-614B612276AA}" name="AJD_LOSES" dataDxfId="15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xr3:uid="{BF829786-C4CB-4573-ADD1-19706DBDE919}" name="BER_IN" dataDxfId="70"/>
    <tableColumn id="32" xr3:uid="{733A3D0B-6F50-4A24-9189-C4198E37DBB2}" name="(RES. LEVEL) BER" dataDxfId="69"/>
    <tableColumn id="33" xr3:uid="{A51325EC-2491-4C40-AEBB-62FB7AC62248}" name=" (RESV. STORGE) BER" dataDxfId="68"/>
    <tableColumn id="34" xr3:uid="{3D8B6D97-CC02-4952-9C5B-9768692227F0}" name="BER_STORG. * 10" dataDxfId="16">
      <calculatedColumnFormula>Table6[[#This Row],[ (RESV. STORGE) BER]]/10</calculatedColumnFormula>
    </tableColumn>
    <tableColumn id="35" xr3:uid="{B05905F4-7D80-44AF-96AE-56DAE7664654}" name="BER_Evap." dataDxfId="67"/>
    <tableColumn id="36" xr3:uid="{68E0F622-3A77-4C7E-9569-DC284F66DC7C}" name="A/B_CON." dataDxfId="17">
      <calculatedColumnFormula>Table6[[#This Row],[(A/B) AJD]]-TABL12345[[#This Row],[BER_IN]]</calculatedColumnFormula>
    </tableColumn>
    <tableColumn id="37" xr3:uid="{FFA93E5D-2F54-4034-8329-8D20E1A72D65}" name="SER_IN" dataDxfId="66"/>
    <tableColumn id="38" xr3:uid="{7D6746C9-8868-42BD-A60D-36F5B0FFD0B0}" name="(RES. LEVEL) SER " dataDxfId="65"/>
    <tableColumn id="39" xr3:uid="{E07C676A-2D08-4AA7-B0FB-8F41B65D5FA7}" name=" (RESV. STORGE) SER" dataDxfId="64" dataCellStyle="Normal 2"/>
    <tableColumn id="40" xr3:uid="{519BB4ED-7944-4336-B38B-8E163134E964}" name="SER_STORG.* 10" dataDxfId="18" dataCellStyle="Normal 2">
      <calculatedColumnFormula>Table6[[#This Row],[ (RESV. STORGE) SER]]/10</calculatedColumnFormula>
    </tableColumn>
    <tableColumn id="41" xr3:uid="{EF6508D2-0825-4F38-AB6C-592DE67024F7}" name="SER_Evap." dataDxfId="63"/>
    <tableColumn id="42" xr3:uid="{B7CB3816-0223-4D56-8ABD-8208D3D9C8B8}" name="A/S_CON." dataDxfId="19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opLeftCell="AG1" zoomScale="115" zoomScaleNormal="115" workbookViewId="0">
      <selection activeCell="AN2" sqref="AN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2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 (T/B) SAR]]+TABL12[[#This Row],[ (S/S) SAR]]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 (S/S) SAR]]-TABL12[[#This Row],[(S/S) AJD]]</f>
        <v>46</v>
      </c>
      <c r="Q2" s="3">
        <v>426</v>
      </c>
      <c r="R2" s="3">
        <f>TABL12[[#This Row],[ (T/B) SAR]]-TABL12[[#This Row],[(T/B) AJD]]</f>
        <v>-12</v>
      </c>
      <c r="S2" s="3">
        <f>TABL12[[#This Row],[S/S_CON.]]+TABL12[[#This Row],[T/B-CON.]]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TABL12[[#This Row],[( S/S+T/B) AJD]]-(TABL12[[#This Row],[(A/B + A/S) AJD]]+TABL12[[#This Row],[(STORGE DIFF.) AJD]]+(TABL12[[#This Row],[AJD_Evaporation]]))</f>
        <v>-856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Row],[(A/B) AJD]]-TABL12[[#This Row],[BER_IN]]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Row],[(A/S) AJD]]-TABL12[[#This Row],[SER_IN]]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 (T/B) SAR]]+TABL12[[#This Row],[ (S/S) SAR]]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 (S/S) SAR]]-TABL12[[#This Row],[(S/S) AJD]]</f>
        <v>39</v>
      </c>
      <c r="Q3" s="3">
        <v>425</v>
      </c>
      <c r="R3" s="3">
        <f>TABL12[[#This Row],[ (T/B) SAR]]-TABL12[[#This Row],[(T/B) AJD]]</f>
        <v>-17</v>
      </c>
      <c r="S3" s="3">
        <f>TABL12[[#This Row],[S/S_CON.]]+TABL12[[#This Row],[T/B-CON.]]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TABL12[[#This Row],[( S/S+T/B) AJD]]-(TABL12[[#This Row],[(A/B + A/S) AJD]]+TABL12[[#This Row],[(STORGE DIFF.) AJD]]+(TABL12[[#This Row],[AJD_Evaporation]]))</f>
        <v>-748.58399999999983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Row],[(A/B) AJD]]-TABL12[[#This Row],[BER_IN]]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Row],[(A/S) AJD]]-TABL12[[#This Row],[SER_IN]]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 (T/B) SAR]]+TABL12[[#This Row],[ (S/S) SAR]]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 (S/S) SAR]]-TABL12[[#This Row],[(S/S) AJD]]</f>
        <v>42</v>
      </c>
      <c r="Q4" s="3">
        <v>423</v>
      </c>
      <c r="R4" s="3">
        <f>TABL12[[#This Row],[ (T/B) SAR]]-TABL12[[#This Row],[(T/B) AJD]]</f>
        <v>-16</v>
      </c>
      <c r="S4" s="3">
        <f>TABL12[[#This Row],[S/S_CON.]]+TABL12[[#This Row],[T/B-CON.]]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TABL12[[#This Row],[( S/S+T/B) AJD]]-(TABL12[[#This Row],[(A/B + A/S) AJD]]+TABL12[[#This Row],[(STORGE DIFF.) AJD]]+(TABL12[[#This Row],[AJD_Evaporation]]))</f>
        <v>-772.49800000000005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Row],[(A/B) AJD]]-TABL12[[#This Row],[BER_IN]]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Row],[(A/S) AJD]]-TABL12[[#This Row],[SER_IN]]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 (T/B) SAR]]+TABL12[[#This Row],[ (S/S) SAR]]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 (S/S) SAR]]-TABL12[[#This Row],[(S/S) AJD]]</f>
        <v>42</v>
      </c>
      <c r="Q5" s="3">
        <v>416</v>
      </c>
      <c r="R5" s="3">
        <f>TABL12[[#This Row],[ (T/B) SAR]]-TABL12[[#This Row],[(T/B) AJD]]</f>
        <v>-15</v>
      </c>
      <c r="S5" s="3">
        <f>TABL12[[#This Row],[S/S_CON.]]+TABL12[[#This Row],[T/B-CON.]]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TABL12[[#This Row],[( S/S+T/B) AJD]]-(TABL12[[#This Row],[(A/B + A/S) AJD]]+TABL12[[#This Row],[(STORGE DIFF.) AJD]]+(TABL12[[#This Row],[AJD_Evaporation]]))</f>
        <v>-941.52500000000009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Row],[(A/B) AJD]]-TABL12[[#This Row],[BER_IN]]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Row],[(A/S) AJD]]-TABL12[[#This Row],[SER_IN]]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 (T/B) SAR]]+TABL12[[#This Row],[ (S/S) SAR]]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 (S/S) SAR]]-TABL12[[#This Row],[(S/S) AJD]]</f>
        <v>41</v>
      </c>
      <c r="Q6" s="3">
        <v>412</v>
      </c>
      <c r="R6" s="3">
        <f>TABL12[[#This Row],[ (T/B) SAR]]-TABL12[[#This Row],[(T/B) AJD]]</f>
        <v>-15</v>
      </c>
      <c r="S6" s="3">
        <f>TABL12[[#This Row],[S/S_CON.]]+TABL12[[#This Row],[T/B-CON.]]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TABL12[[#This Row],[( S/S+T/B) AJD]]-(TABL12[[#This Row],[(A/B + A/S) AJD]]+TABL12[[#This Row],[(STORGE DIFF.) AJD]]+(TABL12[[#This Row],[AJD_Evaporation]]))</f>
        <v>-1077.5160000000001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Row],[(A/B) AJD]]-TABL12[[#This Row],[BER_IN]]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Row],[(A/S) AJD]]-TABL12[[#This Row],[SER_IN]]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 (T/B) SAR]]+TABL12[[#This Row],[ (S/S) SAR]]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 (S/S) SAR]]-TABL12[[#This Row],[(S/S) AJD]]</f>
        <v>50</v>
      </c>
      <c r="Q7" s="3">
        <v>410</v>
      </c>
      <c r="R7" s="3">
        <f>TABL12[[#This Row],[ (T/B) SAR]]-TABL12[[#This Row],[(T/B) AJD]]</f>
        <v>-9</v>
      </c>
      <c r="S7" s="3">
        <f>TABL12[[#This Row],[S/S_CON.]]+TABL12[[#This Row],[T/B-CON.]]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TABL12[[#This Row],[( S/S+T/B) AJD]]-(TABL12[[#This Row],[(A/B + A/S) AJD]]+TABL12[[#This Row],[(STORGE DIFF.) AJD]]+(TABL12[[#This Row],[AJD_Evaporation]]))</f>
        <v>-1146.9380000000001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Row],[(A/B) AJD]]-TABL12[[#This Row],[BER_IN]]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Row],[(A/S) AJD]]-TABL12[[#This Row],[SER_IN]]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 (T/B) SAR]]+TABL12[[#This Row],[ (S/S) SAR]]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 (S/S) SAR]]-TABL12[[#This Row],[(S/S) AJD]]</f>
        <v>45</v>
      </c>
      <c r="Q8" s="3">
        <v>412</v>
      </c>
      <c r="R8" s="3">
        <f>TABL12[[#This Row],[ (T/B) SAR]]-TABL12[[#This Row],[(T/B) AJD]]</f>
        <v>-13</v>
      </c>
      <c r="S8" s="3">
        <f>TABL12[[#This Row],[S/S_CON.]]+TABL12[[#This Row],[T/B-CON.]]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TABL12[[#This Row],[( S/S+T/B) AJD]]-(TABL12[[#This Row],[(A/B + A/S) AJD]]+TABL12[[#This Row],[(STORGE DIFF.) AJD]]+(TABL12[[#This Row],[AJD_Evaporation]]))</f>
        <v>-1143.6489999999999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Row],[(A/B) AJD]]-TABL12[[#This Row],[BER_IN]]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Row],[(A/S) AJD]]-TABL12[[#This Row],[SER_IN]]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 (T/B) SAR]]+TABL12[[#This Row],[ (S/S) SAR]]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 (S/S) SAR]]-TABL12[[#This Row],[(S/S) AJD]]</f>
        <v>47</v>
      </c>
      <c r="Q9" s="3">
        <v>414</v>
      </c>
      <c r="R9" s="3">
        <f>TABL12[[#This Row],[ (T/B) SAR]]-TABL12[[#This Row],[(T/B) AJD]]</f>
        <v>-12</v>
      </c>
      <c r="S9" s="3">
        <f>TABL12[[#This Row],[S/S_CON.]]+TABL12[[#This Row],[T/B-CON.]]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TABL12[[#This Row],[( S/S+T/B) AJD]]-(TABL12[[#This Row],[(A/B + A/S) AJD]]+TABL12[[#This Row],[(STORGE DIFF.) AJD]]+(TABL12[[#This Row],[AJD_Evaporation]]))</f>
        <v>-1142.2649999999999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Row],[(A/B) AJD]]-TABL12[[#This Row],[BER_IN]]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Row],[(A/S) AJD]]-TABL12[[#This Row],[SER_IN]]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 (T/B) SAR]]+TABL12[[#This Row],[ (S/S) SAR]]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 (S/S) SAR]]-TABL12[[#This Row],[(S/S) AJD]]</f>
        <v>49</v>
      </c>
      <c r="Q10" s="3">
        <v>414</v>
      </c>
      <c r="R10" s="3">
        <f>TABL12[[#This Row],[ (T/B) SAR]]-TABL12[[#This Row],[(T/B) AJD]]</f>
        <v>-9</v>
      </c>
      <c r="S10" s="3">
        <f>TABL12[[#This Row],[S/S_CON.]]+TABL12[[#This Row],[T/B-CON.]]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TABL12[[#This Row],[( S/S+T/B) AJD]]-(TABL12[[#This Row],[(A/B + A/S) AJD]]+TABL12[[#This Row],[(STORGE DIFF.) AJD]]+(TABL12[[#This Row],[AJD_Evaporation]]))</f>
        <v>-1062.807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Row],[(A/B) AJD]]-TABL12[[#This Row],[BER_IN]]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Row],[(A/S) AJD]]-TABL12[[#This Row],[SER_IN]]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 (T/B) SAR]]+TABL12[[#This Row],[ (S/S) SAR]]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 (S/S) SAR]]-TABL12[[#This Row],[(S/S) AJD]]</f>
        <v>46</v>
      </c>
      <c r="Q11" s="3">
        <v>418</v>
      </c>
      <c r="R11" s="3">
        <f>TABL12[[#This Row],[ (T/B) SAR]]-TABL12[[#This Row],[(T/B) AJD]]</f>
        <v>-14</v>
      </c>
      <c r="S11" s="3">
        <f>TABL12[[#This Row],[S/S_CON.]]+TABL12[[#This Row],[T/B-CON.]]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TABL12[[#This Row],[( S/S+T/B) AJD]]-(TABL12[[#This Row],[(A/B + A/S) AJD]]+TABL12[[#This Row],[(STORGE DIFF.) AJD]]+(TABL12[[#This Row],[AJD_Evaporation]]))</f>
        <v>-1071.203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Row],[(A/B) AJD]]-TABL12[[#This Row],[BER_IN]]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Row],[(A/S) AJD]]-TABL12[[#This Row],[SER_IN]]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 (T/B) SAR]]+TABL12[[#This Row],[ (S/S) SAR]]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 (S/S) SAR]]-TABL12[[#This Row],[(S/S) AJD]]</f>
        <v>27</v>
      </c>
      <c r="Q12" s="3">
        <v>418</v>
      </c>
      <c r="R12" s="3">
        <f>TABL12[[#This Row],[ (T/B) SAR]]-TABL12[[#This Row],[(T/B) AJD]]</f>
        <v>6</v>
      </c>
      <c r="S12" s="3">
        <f>TABL12[[#This Row],[S/S_CON.]]+TABL12[[#This Row],[T/B-CON.]]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TABL12[[#This Row],[( S/S+T/B) AJD]]-(TABL12[[#This Row],[(A/B + A/S) AJD]]+TABL12[[#This Row],[(STORGE DIFF.) AJD]]+(TABL12[[#This Row],[AJD_Evaporation]]))</f>
        <v>-879.98199999999997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Row],[(A/B) AJD]]-TABL12[[#This Row],[BER_IN]]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Row],[(A/S) AJD]]-TABL12[[#This Row],[SER_IN]]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 (T/B) SAR]]+TABL12[[#This Row],[ (S/S) SAR]]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 (S/S) SAR]]-TABL12[[#This Row],[(S/S) AJD]]</f>
        <v>49</v>
      </c>
      <c r="Q13" s="3">
        <v>419</v>
      </c>
      <c r="R13" s="3">
        <f>TABL12[[#This Row],[ (T/B) SAR]]-TABL12[[#This Row],[(T/B) AJD]]</f>
        <v>-10</v>
      </c>
      <c r="S13" s="3">
        <f>TABL12[[#This Row],[S/S_CON.]]+TABL12[[#This Row],[T/B-CON.]]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TABL12[[#This Row],[( S/S+T/B) AJD]]-(TABL12[[#This Row],[(A/B + A/S) AJD]]+TABL12[[#This Row],[(STORGE DIFF.) AJD]]+(TABL12[[#This Row],[AJD_Evaporation]]))</f>
        <v>-1045.787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Row],[(A/B) AJD]]-TABL12[[#This Row],[BER_IN]]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Row],[(A/S) AJD]]-TABL12[[#This Row],[SER_IN]]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 (T/B) SAR]]+TABL12[[#This Row],[ (S/S) SAR]]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 (S/S) SAR]]-TABL12[[#This Row],[(S/S) AJD]]</f>
        <v>57.740000000000009</v>
      </c>
      <c r="Q14" s="3">
        <v>424</v>
      </c>
      <c r="R14" s="3">
        <f>TABL12[[#This Row],[ (T/B) SAR]]-TABL12[[#This Row],[(T/B) AJD]]</f>
        <v>20.740000000000009</v>
      </c>
      <c r="S14" s="3">
        <f>TABL12[[#This Row],[S/S_CON.]]+TABL12[[#This Row],[T/B-CON.]]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TABL12[[#This Row],[( S/S+T/B) AJD]]-(TABL12[[#This Row],[(A/B + A/S) AJD]]+TABL12[[#This Row],[(STORGE DIFF.) AJD]]+(TABL12[[#This Row],[AJD_Evaporation]]))</f>
        <v>-1109.1610000000001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Row],[(A/B) AJD]]-TABL12[[#This Row],[BER_IN]]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Row],[(A/S) AJD]]-TABL12[[#This Row],[SER_IN]]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 (T/B) SAR]]+TABL12[[#This Row],[ (S/S) SAR]]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 (S/S) SAR]]-TABL12[[#This Row],[(S/S) AJD]]</f>
        <v>54.680000000000007</v>
      </c>
      <c r="Q15" s="3">
        <v>427</v>
      </c>
      <c r="R15" s="3">
        <f>TABL12[[#This Row],[ (T/B) SAR]]-TABL12[[#This Row],[(T/B) AJD]]</f>
        <v>18.680000000000007</v>
      </c>
      <c r="S15" s="3">
        <f>TABL12[[#This Row],[S/S_CON.]]+TABL12[[#This Row],[T/B-CON.]]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TABL12[[#This Row],[( S/S+T/B) AJD]]-(TABL12[[#This Row],[(A/B + A/S) AJD]]+TABL12[[#This Row],[(STORGE DIFF.) AJD]]+(TABL12[[#This Row],[AJD_Evaporation]]))</f>
        <v>-965.74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Row],[(A/B) AJD]]-TABL12[[#This Row],[BER_IN]]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Row],[(A/S) AJD]]-TABL12[[#This Row],[SER_IN]]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 (T/B) SAR]]+TABL12[[#This Row],[ (S/S) SAR]]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 (S/S) SAR]]-TABL12[[#This Row],[(S/S) AJD]]</f>
        <v>56.979999999999961</v>
      </c>
      <c r="Q16" s="3">
        <v>428</v>
      </c>
      <c r="R16" s="3">
        <f>TABL12[[#This Row],[ (T/B) SAR]]-TABL12[[#This Row],[(T/B) AJD]]</f>
        <v>19.979999999999961</v>
      </c>
      <c r="S16" s="3">
        <f>TABL12[[#This Row],[S/S_CON.]]+TABL12[[#This Row],[T/B-CON.]]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TABL12[[#This Row],[( S/S+T/B) AJD]]-(TABL12[[#This Row],[(A/B + A/S) AJD]]+TABL12[[#This Row],[(STORGE DIFF.) AJD]]+(TABL12[[#This Row],[AJD_Evaporation]]))</f>
        <v>-1104.0340000000001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Row],[(A/B) AJD]]-TABL12[[#This Row],[BER_IN]]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Row],[(A/S) AJD]]-TABL12[[#This Row],[SER_IN]]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 (T/B) SAR]]+TABL12[[#This Row],[ (S/S) SAR]]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 (S/S) SAR]]-TABL12[[#This Row],[(S/S) AJD]]</f>
        <v>45.240000000000009</v>
      </c>
      <c r="Q17" s="3">
        <v>430</v>
      </c>
      <c r="R17" s="3">
        <f>TABL12[[#This Row],[ (T/B) SAR]]-TABL12[[#This Row],[(T/B) AJD]]</f>
        <v>8.2400000000000091</v>
      </c>
      <c r="S17" s="3">
        <f>TABL12[[#This Row],[S/S_CON.]]+TABL12[[#This Row],[T/B-CON.]]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TABL12[[#This Row],[( S/S+T/B) AJD]]-(TABL12[[#This Row],[(A/B + A/S) AJD]]+TABL12[[#This Row],[(STORGE DIFF.) AJD]]+(TABL12[[#This Row],[AJD_Evaporation]]))</f>
        <v>-1227.972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Row],[(A/B) AJD]]-TABL12[[#This Row],[BER_IN]]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Row],[(A/S) AJD]]-TABL12[[#This Row],[SER_IN]]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 (T/B) SAR]]+TABL12[[#This Row],[ (S/S) SAR]]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 (S/S) SAR]]-TABL12[[#This Row],[(S/S) AJD]]</f>
        <v>44</v>
      </c>
      <c r="Q18" s="3">
        <v>435</v>
      </c>
      <c r="R18" s="3">
        <f>TABL12[[#This Row],[ (T/B) SAR]]-TABL12[[#This Row],[(T/B) AJD]]</f>
        <v>8</v>
      </c>
      <c r="S18" s="3">
        <f>TABL12[[#This Row],[S/S_CON.]]+TABL12[[#This Row],[T/B-CON.]]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TABL12[[#This Row],[( S/S+T/B) AJD]]-(TABL12[[#This Row],[(A/B + A/S) AJD]]+TABL12[[#This Row],[(STORGE DIFF.) AJD]]+(TABL12[[#This Row],[AJD_Evaporation]]))</f>
        <v>-1772.9760000000001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Row],[(A/B) AJD]]-TABL12[[#This Row],[BER_IN]]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Row],[(A/S) AJD]]-TABL12[[#This Row],[SER_IN]]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 (T/B) SAR]]+TABL12[[#This Row],[ (S/S) SAR]]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 (S/S) SAR]]-TABL12[[#This Row],[(S/S) AJD]]</f>
        <v>43.979999999999961</v>
      </c>
      <c r="Q19" s="3">
        <v>437</v>
      </c>
      <c r="R19" s="3">
        <f>TABL12[[#This Row],[ (T/B) SAR]]-TABL12[[#This Row],[(T/B) AJD]]</f>
        <v>5.9799999999999613</v>
      </c>
      <c r="S19" s="3">
        <f>TABL12[[#This Row],[S/S_CON.]]+TABL12[[#This Row],[T/B-CON.]]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TABL12[[#This Row],[( S/S+T/B) AJD]]-(TABL12[[#This Row],[(A/B + A/S) AJD]]+TABL12[[#This Row],[(STORGE DIFF.) AJD]]+(TABL12[[#This Row],[AJD_Evaporation]]))</f>
        <v>-1821.2200000000003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Row],[(A/B) AJD]]-TABL12[[#This Row],[BER_IN]]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Row],[(A/S) AJD]]-TABL12[[#This Row],[SER_IN]]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 (T/B) SAR]]+TABL12[[#This Row],[ (S/S) SAR]]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 (S/S) SAR]]-TABL12[[#This Row],[(S/S) AJD]]</f>
        <v>45.740000000000009</v>
      </c>
      <c r="Q20" s="3">
        <v>436</v>
      </c>
      <c r="R20" s="3">
        <f>TABL12[[#This Row],[ (T/B) SAR]]-TABL12[[#This Row],[(T/B) AJD]]</f>
        <v>8.7400000000000091</v>
      </c>
      <c r="S20" s="3">
        <f>TABL12[[#This Row],[S/S_CON.]]+TABL12[[#This Row],[T/B-CON.]]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TABL12[[#This Row],[( S/S+T/B) AJD]]-(TABL12[[#This Row],[(A/B + A/S) AJD]]+TABL12[[#This Row],[(STORGE DIFF.) AJD]]+(TABL12[[#This Row],[AJD_Evaporation]]))</f>
        <v>-1104.982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Row],[(A/B) AJD]]-TABL12[[#This Row],[BER_IN]]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Row],[(A/S) AJD]]-TABL12[[#This Row],[SER_IN]]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 (T/B) SAR]]+TABL12[[#This Row],[ (S/S) SAR]]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 (S/S) SAR]]-TABL12[[#This Row],[(S/S) AJD]]</f>
        <v>43.680000000000007</v>
      </c>
      <c r="Q21" s="3">
        <v>435</v>
      </c>
      <c r="R21" s="3">
        <f>TABL12[[#This Row],[ (T/B) SAR]]-TABL12[[#This Row],[(T/B) AJD]]</f>
        <v>7.6800000000000068</v>
      </c>
      <c r="S21" s="3">
        <f>TABL12[[#This Row],[S/S_CON.]]+TABL12[[#This Row],[T/B-CON.]]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TABL12[[#This Row],[( S/S+T/B) AJD]]-(TABL12[[#This Row],[(A/B + A/S) AJD]]+TABL12[[#This Row],[(STORGE DIFF.) AJD]]+(TABL12[[#This Row],[AJD_Evaporation]]))</f>
        <v>-1670.8969999999999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Row],[(A/B) AJD]]-TABL12[[#This Row],[BER_IN]]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Row],[(A/S) AJD]]-TABL12[[#This Row],[SER_IN]]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 (T/B) SAR]]+TABL12[[#This Row],[ (S/S) SAR]]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 (S/S) SAR]]-TABL12[[#This Row],[(S/S) AJD]]</f>
        <v>41.979999999999961</v>
      </c>
      <c r="Q22" s="3">
        <v>436</v>
      </c>
      <c r="R22" s="3">
        <f>TABL12[[#This Row],[ (T/B) SAR]]-TABL12[[#This Row],[(T/B) AJD]]</f>
        <v>3.9799999999999613</v>
      </c>
      <c r="S22" s="3">
        <f>TABL12[[#This Row],[S/S_CON.]]+TABL12[[#This Row],[T/B-CON.]]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TABL12[[#This Row],[( S/S+T/B) AJD]]-(TABL12[[#This Row],[(A/B + A/S) AJD]]+TABL12[[#This Row],[(STORGE DIFF.) AJD]]+(TABL12[[#This Row],[AJD_Evaporation]]))</f>
        <v>-373.15599999999995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Row],[(A/B) AJD]]-TABL12[[#This Row],[BER_IN]]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Row],[(A/S) AJD]]-TABL12[[#This Row],[SER_IN]]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 (T/B) SAR]]+TABL12[[#This Row],[ (S/S) SAR]]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 (S/S) SAR]]-TABL12[[#This Row],[(S/S) AJD]]</f>
        <v>38.240000000000009</v>
      </c>
      <c r="Q23" s="3">
        <v>435</v>
      </c>
      <c r="R23" s="3">
        <f>TABL12[[#This Row],[ (T/B) SAR]]-TABL12[[#This Row],[(T/B) AJD]]</f>
        <v>0.24000000000000909</v>
      </c>
      <c r="S23" s="3">
        <f>TABL12[[#This Row],[S/S_CON.]]+TABL12[[#This Row],[T/B-CON.]]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TABL12[[#This Row],[( S/S+T/B) AJD]]-(TABL12[[#This Row],[(A/B + A/S) AJD]]+TABL12[[#This Row],[(STORGE DIFF.) AJD]]+(TABL12[[#This Row],[AJD_Evaporation]]))</f>
        <v>-948.69900000000007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Row],[(A/B) AJD]]-TABL12[[#This Row],[BER_IN]]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Row],[(A/S) AJD]]-TABL12[[#This Row],[SER_IN]]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 (T/B) SAR]]+TABL12[[#This Row],[ (S/S) SAR]]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 (S/S) SAR]]-TABL12[[#This Row],[(S/S) AJD]]</f>
        <v>34.680000000000007</v>
      </c>
      <c r="Q24" s="3">
        <v>434</v>
      </c>
      <c r="R24" s="3">
        <f>TABL12[[#This Row],[ (T/B) SAR]]-TABL12[[#This Row],[(T/B) AJD]]</f>
        <v>-0.31999999999999318</v>
      </c>
      <c r="S24" s="3">
        <f>TABL12[[#This Row],[S/S_CON.]]+TABL12[[#This Row],[T/B-CON.]]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TABL12[[#This Row],[( S/S+T/B) AJD]]-(TABL12[[#This Row],[(A/B + A/S) AJD]]+TABL12[[#This Row],[(STORGE DIFF.) AJD]]+(TABL12[[#This Row],[AJD_Evaporation]]))</f>
        <v>-793.97600000000011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Row],[(A/B) AJD]]-TABL12[[#This Row],[BER_IN]]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Row],[(A/S) AJD]]-TABL12[[#This Row],[SER_IN]]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 (T/B) SAR]]+TABL12[[#This Row],[ (S/S) SAR]]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 (S/S) SAR]]-TABL12[[#This Row],[(S/S) AJD]]</f>
        <v>38.979999999999961</v>
      </c>
      <c r="Q25" s="3">
        <v>434</v>
      </c>
      <c r="R25" s="3">
        <f>TABL12[[#This Row],[ (T/B) SAR]]-TABL12[[#This Row],[(T/B) AJD]]</f>
        <v>2.9799999999999613</v>
      </c>
      <c r="S25" s="3">
        <f>TABL12[[#This Row],[S/S_CON.]]+TABL12[[#This Row],[T/B-CON.]]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TABL12[[#This Row],[( S/S+T/B) AJD]]-(TABL12[[#This Row],[(A/B + A/S) AJD]]+TABL12[[#This Row],[(STORGE DIFF.) AJD]]+(TABL12[[#This Row],[AJD_Evaporation]]))</f>
        <v>-895.74499999999989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Row],[(A/B) AJD]]-TABL12[[#This Row],[BER_IN]]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Row],[(A/S) AJD]]-TABL12[[#This Row],[SER_IN]]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 (T/B) SAR]]+TABL12[[#This Row],[ (S/S) SAR]]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 (S/S) SAR]]-TABL12[[#This Row],[(S/S) AJD]]</f>
        <v>49.240000000000009</v>
      </c>
      <c r="Q26" s="3">
        <v>433</v>
      </c>
      <c r="R26" s="3">
        <f>TABL12[[#This Row],[ (T/B) SAR]]-TABL12[[#This Row],[(T/B) AJD]]</f>
        <v>11.240000000000009</v>
      </c>
      <c r="S26" s="3">
        <f>TABL12[[#This Row],[S/S_CON.]]+TABL12[[#This Row],[T/B-CON.]]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TABL12[[#This Row],[( S/S+T/B) AJD]]-(TABL12[[#This Row],[(A/B + A/S) AJD]]+TABL12[[#This Row],[(STORGE DIFF.) AJD]]+(TABL12[[#This Row],[AJD_Evaporation]]))</f>
        <v>-1114.201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Row],[(A/B) AJD]]-TABL12[[#This Row],[BER_IN]]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Row],[(A/S) AJD]]-TABL12[[#This Row],[SER_IN]]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 (T/B) SAR]]+TABL12[[#This Row],[ (S/S) SAR]]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 (S/S) SAR]]-TABL12[[#This Row],[(S/S) AJD]]</f>
        <v>50.680000000000007</v>
      </c>
      <c r="Q27" s="3">
        <v>433</v>
      </c>
      <c r="R27" s="3">
        <f>TABL12[[#This Row],[ (T/B) SAR]]-TABL12[[#This Row],[(T/B) AJD]]</f>
        <v>12.680000000000007</v>
      </c>
      <c r="S27" s="3">
        <f>TABL12[[#This Row],[S/S_CON.]]+TABL12[[#This Row],[T/B-CON.]]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TABL12[[#This Row],[( S/S+T/B) AJD]]-(TABL12[[#This Row],[(A/B + A/S) AJD]]+TABL12[[#This Row],[(STORGE DIFF.) AJD]]+(TABL12[[#This Row],[AJD_Evaporation]]))</f>
        <v>-1098.607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Row],[(A/B) AJD]]-TABL12[[#This Row],[BER_IN]]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Row],[(A/S) AJD]]-TABL12[[#This Row],[SER_IN]]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 (T/B) SAR]]+TABL12[[#This Row],[ (S/S) SAR]]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 (S/S) SAR]]-TABL12[[#This Row],[(S/S) AJD]]</f>
        <v>50.479999999999961</v>
      </c>
      <c r="Q28" s="3">
        <v>431</v>
      </c>
      <c r="R28" s="3">
        <f>TABL12[[#This Row],[ (T/B) SAR]]-TABL12[[#This Row],[(T/B) AJD]]</f>
        <v>12.479999999999961</v>
      </c>
      <c r="S28" s="3">
        <f>TABL12[[#This Row],[S/S_CON.]]+TABL12[[#This Row],[T/B-CON.]]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TABL12[[#This Row],[( S/S+T/B) AJD]]-(TABL12[[#This Row],[(A/B + A/S) AJD]]+TABL12[[#This Row],[(STORGE DIFF.) AJD]]+(TABL12[[#This Row],[AJD_Evaporation]]))</f>
        <v>-1338.7429999999999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Row],[(A/B) AJD]]-TABL12[[#This Row],[BER_IN]]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Row],[(A/S) AJD]]-TABL12[[#This Row],[SER_IN]]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 (T/B) SAR]]+TABL12[[#This Row],[ (S/S) SAR]]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 (S/S) SAR]]-TABL12[[#This Row],[(S/S) AJD]]</f>
        <v>54.180000000000007</v>
      </c>
      <c r="Q29" s="3">
        <v>429</v>
      </c>
      <c r="R29" s="3">
        <f>TABL12[[#This Row],[ (T/B) SAR]]-TABL12[[#This Row],[(T/B) AJD]]</f>
        <v>17.180000000000007</v>
      </c>
      <c r="S29" s="3">
        <f>TABL12[[#This Row],[S/S_CON.]]+TABL12[[#This Row],[T/B-CON.]]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TABL12[[#This Row],[( S/S+T/B) AJD]]-(TABL12[[#This Row],[(A/B + A/S) AJD]]+TABL12[[#This Row],[(STORGE DIFF.) AJD]]+(TABL12[[#This Row],[AJD_Evaporation]]))</f>
        <v>-1105.0709999999999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Row],[(A/B) AJD]]-TABL12[[#This Row],[BER_IN]]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Row],[(A/S) AJD]]-TABL12[[#This Row],[SER_IN]]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 (T/B) SAR]]+TABL12[[#This Row],[ (S/S) SAR]]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 (S/S) SAR]]-TABL12[[#This Row],[(S/S) AJD]]</f>
        <v>31.129999999999995</v>
      </c>
      <c r="Q30" s="3">
        <v>425</v>
      </c>
      <c r="R30" s="3">
        <f>TABL12[[#This Row],[ (T/B) SAR]]-TABL12[[#This Row],[(T/B) AJD]]</f>
        <v>-5.8700000000000045</v>
      </c>
      <c r="S30" s="3">
        <f>TABL12[[#This Row],[S/S_CON.]]+TABL12[[#This Row],[T/B-CON.]]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TABL12[[#This Row],[( S/S+T/B) AJD]]-(TABL12[[#This Row],[(A/B + A/S) AJD]]+TABL12[[#This Row],[(STORGE DIFF.) AJD]]+(TABL12[[#This Row],[AJD_Evaporation]]))</f>
        <v>-1339.998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Row],[(A/B) AJD]]-TABL12[[#This Row],[BER_IN]]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Row],[(A/S) AJD]]-TABL12[[#This Row],[SER_IN]]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 (T/B) SAR]]+TABL12[[#This Row],[ (S/S) SAR]]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 (S/S) SAR]]-TABL12[[#This Row],[(S/S) AJD]]</f>
        <v>46.509999999999991</v>
      </c>
      <c r="Q31" s="3">
        <v>411</v>
      </c>
      <c r="R31" s="3">
        <f>TABL12[[#This Row],[ (T/B) SAR]]-TABL12[[#This Row],[(T/B) AJD]]</f>
        <v>9.5099999999999909</v>
      </c>
      <c r="S31" s="3">
        <f>TABL12[[#This Row],[S/S_CON.]]+TABL12[[#This Row],[T/B-CON.]]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TABL12[[#This Row],[( S/S+T/B) AJD]]-(TABL12[[#This Row],[(A/B + A/S) AJD]]+TABL12[[#This Row],[(STORGE DIFF.) AJD]]+(TABL12[[#This Row],[AJD_Evaporation]]))</f>
        <v>-1399.556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Row],[(A/B) AJD]]-TABL12[[#This Row],[BER_IN]]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Row],[(A/S) AJD]]-TABL12[[#This Row],[SER_IN]]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 (T/B) SAR]]+TABL12[[#This Row],[ (S/S) SAR]]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 (S/S) SAR]]-TABL12[[#This Row],[(S/S) AJD]]</f>
        <v>54.535000000000025</v>
      </c>
      <c r="Q32" s="3">
        <v>409</v>
      </c>
      <c r="R32" s="3">
        <f>TABL12[[#This Row],[ (T/B) SAR]]-TABL12[[#This Row],[(T/B) AJD]]</f>
        <v>16.535000000000025</v>
      </c>
      <c r="S32" s="3">
        <f>TABL12[[#This Row],[S/S_CON.]]+TABL12[[#This Row],[T/B-CON.]]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TABL12[[#This Row],[( S/S+T/B) AJD]]-(TABL12[[#This Row],[(A/B + A/S) AJD]]+TABL12[[#This Row],[(STORGE DIFF.) AJD]]+(TABL12[[#This Row],[AJD_Evaporation]]))</f>
        <v>-1901.0860000000002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Row],[(A/B) AJD]]-TABL12[[#This Row],[BER_IN]]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Row],[(A/S) AJD]]-TABL12[[#This Row],[SER_IN]]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 (T/B) SAR]]+TABL12[[#This Row],[ (S/S) SAR]]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 (S/S) SAR]]-TABL12[[#This Row],[(S/S) AJD]]</f>
        <v>54.129999999999995</v>
      </c>
      <c r="Q33" s="3">
        <v>409</v>
      </c>
      <c r="R33" s="3">
        <f>TABL12[[#This Row],[ (T/B) SAR]]-TABL12[[#This Row],[(T/B) AJD]]</f>
        <v>16.129999999999995</v>
      </c>
      <c r="S33" s="3">
        <f>TABL12[[#This Row],[S/S_CON.]]+TABL12[[#This Row],[T/B-CON.]]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TABL12[[#This Row],[( S/S+T/B) AJD]]-(TABL12[[#This Row],[(A/B + A/S) AJD]]+TABL12[[#This Row],[(STORGE DIFF.) AJD]]+(TABL12[[#This Row],[AJD_Evaporation]]))</f>
        <v>-1448.8969999999999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Row],[(A/B) AJD]]-TABL12[[#This Row],[BER_IN]]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Row],[(A/S) AJD]]-TABL12[[#This Row],[SER_IN]]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 (T/B) SAR]]+TABL12[[#This Row],[ (S/S) SAR]]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 (S/S) SAR]]-TABL12[[#This Row],[(S/S) AJD]]</f>
        <v>55.035000000000025</v>
      </c>
      <c r="Q34" s="3">
        <v>410</v>
      </c>
      <c r="R34" s="3">
        <f>TABL12[[#This Row],[ (T/B) SAR]]-TABL12[[#This Row],[(T/B) AJD]]</f>
        <v>16.035000000000025</v>
      </c>
      <c r="S34" s="3">
        <f>TABL12[[#This Row],[S/S_CON.]]+TABL12[[#This Row],[T/B-CON.]]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TABL12[[#This Row],[( S/S+T/B) AJD]]-(TABL12[[#This Row],[(A/B + A/S) AJD]]+TABL12[[#This Row],[(STORGE DIFF.) AJD]]+(TABL12[[#This Row],[AJD_Evaporation]]))</f>
        <v>-1371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Row],[(A/B) AJD]]-TABL12[[#This Row],[BER_IN]]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Row],[(A/S) AJD]]-TABL12[[#This Row],[SER_IN]]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 (T/B) SAR]]+TABL12[[#This Row],[ (S/S) SAR]]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 (S/S) SAR]]-TABL12[[#This Row],[(S/S) AJD]]</f>
        <v>54.035000000000025</v>
      </c>
      <c r="Q35" s="3">
        <v>409</v>
      </c>
      <c r="R35" s="3">
        <f>TABL12[[#This Row],[ (T/B) SAR]]-TABL12[[#This Row],[(T/B) AJD]]</f>
        <v>16.035000000000025</v>
      </c>
      <c r="S35" s="3">
        <f>TABL12[[#This Row],[S/S_CON.]]+TABL12[[#This Row],[T/B-CON.]]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TABL12[[#This Row],[( S/S+T/B) AJD]]-(TABL12[[#This Row],[(A/B + A/S) AJD]]+TABL12[[#This Row],[(STORGE DIFF.) AJD]]+(TABL12[[#This Row],[AJD_Evaporation]]))</f>
        <v>-1561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Row],[(A/B) AJD]]-TABL12[[#This Row],[BER_IN]]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Row],[(A/S) AJD]]-TABL12[[#This Row],[SER_IN]]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 (T/B) SAR]]+TABL12[[#This Row],[ (S/S) SAR]]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 (S/S) SAR]]-TABL12[[#This Row],[(S/S) AJD]]</f>
        <v>51.129999999999995</v>
      </c>
      <c r="Q36" s="3">
        <v>411</v>
      </c>
      <c r="R36" s="3">
        <f>TABL12[[#This Row],[ (T/B) SAR]]-TABL12[[#This Row],[(T/B) AJD]]</f>
        <v>13.129999999999995</v>
      </c>
      <c r="S36" s="3">
        <f>TABL12[[#This Row],[S/S_CON.]]+TABL12[[#This Row],[T/B-CON.]]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TABL12[[#This Row],[( S/S+T/B) AJD]]-(TABL12[[#This Row],[(A/B + A/S) AJD]]+TABL12[[#This Row],[(STORGE DIFF.) AJD]]+(TABL12[[#This Row],[AJD_Evaporation]]))</f>
        <v>-1777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Row],[(A/B) AJD]]-TABL12[[#This Row],[BER_IN]]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Row],[(A/S) AJD]]-TABL12[[#This Row],[SER_IN]]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 (T/B) SAR]]+TABL12[[#This Row],[ (S/S) SAR]]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 (S/S) SAR]]-TABL12[[#This Row],[(S/S) AJD]]</f>
        <v>44.629999999999995</v>
      </c>
      <c r="Q37" s="3">
        <v>412</v>
      </c>
      <c r="R37" s="3">
        <f>TABL12[[#This Row],[ (T/B) SAR]]-TABL12[[#This Row],[(T/B) AJD]]</f>
        <v>10.629999999999995</v>
      </c>
      <c r="S37" s="3">
        <f>TABL12[[#This Row],[S/S_CON.]]+TABL12[[#This Row],[T/B-CON.]]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TABL12[[#This Row],[( S/S+T/B) AJD]]-(TABL12[[#This Row],[(A/B + A/S) AJD]]+TABL12[[#This Row],[(STORGE DIFF.) AJD]]+(TABL12[[#This Row],[AJD_Evaporation]]))</f>
        <v>-1663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Row],[(A/B) AJD]]-TABL12[[#This Row],[BER_IN]]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Row],[(A/S) AJD]]-TABL12[[#This Row],[SER_IN]]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 (T/B) SAR]]+TABL12[[#This Row],[ (S/S) SAR]]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 (S/S) SAR]]-TABL12[[#This Row],[(S/S) AJD]]</f>
        <v>50.129999999999995</v>
      </c>
      <c r="Q38" s="3">
        <v>410</v>
      </c>
      <c r="R38" s="3">
        <f>TABL12[[#This Row],[ (T/B) SAR]]-TABL12[[#This Row],[(T/B) AJD]]</f>
        <v>16.129999999999995</v>
      </c>
      <c r="S38" s="3">
        <f>TABL12[[#This Row],[S/S_CON.]]+TABL12[[#This Row],[T/B-CON.]]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TABL12[[#This Row],[( S/S+T/B) AJD]]-(TABL12[[#This Row],[(A/B + A/S) AJD]]+TABL12[[#This Row],[(STORGE DIFF.) AJD]]+(TABL12[[#This Row],[AJD_Evaporation]]))</f>
        <v>-1808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Row],[(A/B) AJD]]-TABL12[[#This Row],[BER_IN]]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Row],[(A/S) AJD]]-TABL12[[#This Row],[SER_IN]]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 (T/B) SAR]]+TABL12[[#This Row],[ (S/S) SAR]]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 (S/S) SAR]]-TABL12[[#This Row],[(S/S) AJD]]</f>
        <v>48.129999999999995</v>
      </c>
      <c r="Q39" s="3">
        <v>408</v>
      </c>
      <c r="R39" s="3">
        <f>TABL12[[#This Row],[ (T/B) SAR]]-TABL12[[#This Row],[(T/B) AJD]]</f>
        <v>14.129999999999995</v>
      </c>
      <c r="S39" s="3">
        <f>TABL12[[#This Row],[S/S_CON.]]+TABL12[[#This Row],[T/B-CON.]]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TABL12[[#This Row],[( S/S+T/B) AJD]]-(TABL12[[#This Row],[(A/B + A/S) AJD]]+TABL12[[#This Row],[(STORGE DIFF.) AJD]]+(TABL12[[#This Row],[AJD_Evaporation]]))</f>
        <v>-1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Row],[(A/B) AJD]]-TABL12[[#This Row],[BER_IN]]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Row],[(A/S) AJD]]-TABL12[[#This Row],[SER_IN]]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 (T/B) SAR]]+TABL12[[#This Row],[ (S/S) SAR]]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 (S/S) SAR]]-TABL12[[#This Row],[(S/S) AJD]]</f>
        <v>46.629999999999995</v>
      </c>
      <c r="Q40" s="3">
        <v>413</v>
      </c>
      <c r="R40" s="3">
        <f>TABL12[[#This Row],[ (T/B) SAR]]-TABL12[[#This Row],[(T/B) AJD]]</f>
        <v>10.629999999999995</v>
      </c>
      <c r="S40" s="3">
        <f>TABL12[[#This Row],[S/S_CON.]]+TABL12[[#This Row],[T/B-CON.]]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TABL12[[#This Row],[( S/S+T/B) AJD]]-(TABL12[[#This Row],[(A/B + A/S) AJD]]+TABL12[[#This Row],[(STORGE DIFF.) AJD]]+(TABL12[[#This Row],[AJD_Evaporation]]))</f>
        <v>-2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Row],[(A/B) AJD]]-TABL12[[#This Row],[BER_IN]]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Row],[(A/S) AJD]]-TABL12[[#This Row],[SER_IN]]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 (T/B) SAR]]+TABL12[[#This Row],[ (S/S) SAR]]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 (S/S) SAR]]-TABL12[[#This Row],[(S/S) AJD]]</f>
        <v>44.129999999999995</v>
      </c>
      <c r="Q41" s="3">
        <v>415</v>
      </c>
      <c r="R41" s="3">
        <f>TABL12[[#This Row],[ (T/B) SAR]]-TABL12[[#This Row],[(T/B) AJD]]</f>
        <v>6.1299999999999955</v>
      </c>
      <c r="S41" s="3">
        <f>TABL12[[#This Row],[S/S_CON.]]+TABL12[[#This Row],[T/B-CON.]]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TABL12[[#This Row],[( S/S+T/B) AJD]]-(TABL12[[#This Row],[(A/B + A/S) AJD]]+TABL12[[#This Row],[(STORGE DIFF.) AJD]]+(TABL12[[#This Row],[AJD_Evaporation]]))</f>
        <v>-5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Row],[(A/B) AJD]]-TABL12[[#This Row],[BER_IN]]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Row],[(A/S) AJD]]-TABL12[[#This Row],[SER_IN]]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 (T/B) SAR]]+TABL12[[#This Row],[ (S/S) SAR]]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 (S/S) SAR]]-TABL12[[#This Row],[(S/S) AJD]]</f>
        <v>43.534999999999968</v>
      </c>
      <c r="Q42" s="3">
        <v>414</v>
      </c>
      <c r="R42" s="3">
        <f>TABL12[[#This Row],[ (T/B) SAR]]-TABL12[[#This Row],[(T/B) AJD]]</f>
        <v>6.5349999999999682</v>
      </c>
      <c r="S42" s="3">
        <f>TABL12[[#This Row],[S/S_CON.]]+TABL12[[#This Row],[T/B-CON.]]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TABL12[[#This Row],[( S/S+T/B) AJD]]-(TABL12[[#This Row],[(A/B + A/S) AJD]]+TABL12[[#This Row],[(STORGE DIFF.) AJD]]+(TABL12[[#This Row],[AJD_Evaporation]]))</f>
        <v>4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Row],[(A/B) AJD]]-TABL12[[#This Row],[BER_IN]]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Row],[(A/S) AJD]]-TABL12[[#This Row],[SER_IN]]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 (T/B) SAR]]+TABL12[[#This Row],[ (S/S) SAR]]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 (S/S) SAR]]-TABL12[[#This Row],[(S/S) AJD]]</f>
        <v>39.534999999999968</v>
      </c>
      <c r="Q43" s="3">
        <v>415</v>
      </c>
      <c r="R43" s="3">
        <f>TABL12[[#This Row],[ (T/B) SAR]]-TABL12[[#This Row],[(T/B) AJD]]</f>
        <v>1.5349999999999682</v>
      </c>
      <c r="S43" s="3">
        <f>TABL12[[#This Row],[S/S_CON.]]+TABL12[[#This Row],[T/B-CON.]]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TABL12[[#This Row],[( S/S+T/B) AJD]]-(TABL12[[#This Row],[(A/B + A/S) AJD]]+TABL12[[#This Row],[(STORGE DIFF.) AJD]]+(TABL12[[#This Row],[AJD_Evaporation]]))</f>
        <v>-2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Row],[(A/B) AJD]]-TABL12[[#This Row],[BER_IN]]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Row],[(A/S) AJD]]-TABL12[[#This Row],[SER_IN]]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 (T/B) SAR]]+TABL12[[#This Row],[ (S/S) SAR]]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 (S/S) SAR]]-TABL12[[#This Row],[(S/S) AJD]]</f>
        <v>38.590000000000032</v>
      </c>
      <c r="Q44" s="3">
        <v>413</v>
      </c>
      <c r="R44" s="3">
        <f>TABL12[[#This Row],[ (T/B) SAR]]-TABL12[[#This Row],[(T/B) AJD]]</f>
        <v>1.5900000000000318</v>
      </c>
      <c r="S44" s="3">
        <f>TABL12[[#This Row],[S/S_CON.]]+TABL12[[#This Row],[T/B-CON.]]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TABL12[[#This Row],[( S/S+T/B) AJD]]-(TABL12[[#This Row],[(A/B + A/S) AJD]]+TABL12[[#This Row],[(STORGE DIFF.) AJD]]+(TABL12[[#This Row],[AJD_Evaporation]]))</f>
        <v>-3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Row],[(A/B) AJD]]-TABL12[[#This Row],[BER_IN]]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Row],[(A/S) AJD]]-TABL12[[#This Row],[SER_IN]]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 (T/B) SAR]]+TABL12[[#This Row],[ (S/S) SAR]]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 (S/S) SAR]]-TABL12[[#This Row],[(S/S) AJD]]</f>
        <v>38.629999999999995</v>
      </c>
      <c r="Q45" s="3">
        <v>413</v>
      </c>
      <c r="R45" s="3">
        <f>TABL12[[#This Row],[ (T/B) SAR]]-TABL12[[#This Row],[(T/B) AJD]]</f>
        <v>-0.37000000000000455</v>
      </c>
      <c r="S45" s="3">
        <f>TABL12[[#This Row],[S/S_CON.]]+TABL12[[#This Row],[T/B-CON.]]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TABL12[[#This Row],[( S/S+T/B) AJD]]-(TABL12[[#This Row],[(A/B + A/S) AJD]]+TABL12[[#This Row],[(STORGE DIFF.) AJD]]+(TABL12[[#This Row],[AJD_Evaporation]]))</f>
        <v>-1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Row],[(A/B) AJD]]-TABL12[[#This Row],[BER_IN]]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Row],[(A/S) AJD]]-TABL12[[#This Row],[SER_IN]]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 (T/B) SAR]]+TABL12[[#This Row],[ (S/S) SAR]]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 (S/S) SAR]]-TABL12[[#This Row],[(S/S) AJD]]</f>
        <v>38.504999999999995</v>
      </c>
      <c r="Q46" s="3">
        <v>413</v>
      </c>
      <c r="R46" s="3">
        <f>TABL12[[#This Row],[ (T/B) SAR]]-TABL12[[#This Row],[(T/B) AJD]]</f>
        <v>0.50499999999999545</v>
      </c>
      <c r="S46" s="3">
        <f>TABL12[[#This Row],[S/S_CON.]]+TABL12[[#This Row],[T/B-CON.]]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TABL12[[#This Row],[( S/S+T/B) AJD]]-(TABL12[[#This Row],[(A/B + A/S) AJD]]+TABL12[[#This Row],[(STORGE DIFF.) AJD]]+(TABL12[[#This Row],[AJD_Evaporation]]))</f>
        <v>5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Row],[(A/B) AJD]]-TABL12[[#This Row],[BER_IN]]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Row],[(A/S) AJD]]-TABL12[[#This Row],[SER_IN]]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 (T/B) SAR]]+TABL12[[#This Row],[ (S/S) SAR]]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 (S/S) SAR]]-TABL12[[#This Row],[(S/S) AJD]]</f>
        <v>46.930000000000007</v>
      </c>
      <c r="Q47" s="3">
        <v>413</v>
      </c>
      <c r="R47" s="3">
        <f>TABL12[[#This Row],[ (T/B) SAR]]-TABL12[[#This Row],[(T/B) AJD]]</f>
        <v>8.9300000000000068</v>
      </c>
      <c r="S47" s="3">
        <f>TABL12[[#This Row],[S/S_CON.]]+TABL12[[#This Row],[T/B-CON.]]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TABL12[[#This Row],[( S/S+T/B) AJD]]-(TABL12[[#This Row],[(A/B + A/S) AJD]]+TABL12[[#This Row],[(STORGE DIFF.) AJD]]+(TABL12[[#This Row],[AJD_Evaporation]]))</f>
        <v>-2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Row],[(A/B) AJD]]-TABL12[[#This Row],[BER_IN]]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Row],[(A/S) AJD]]-TABL12[[#This Row],[SER_IN]]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 (T/B) SAR]]+TABL12[[#This Row],[ (S/S) SAR]]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 (S/S) SAR]]-TABL12[[#This Row],[(S/S) AJD]]</f>
        <v>44.590000000000032</v>
      </c>
      <c r="Q48" s="3">
        <v>413</v>
      </c>
      <c r="R48" s="3">
        <f>TABL12[[#This Row],[ (T/B) SAR]]-TABL12[[#This Row],[(T/B) AJD]]</f>
        <v>6.5900000000000318</v>
      </c>
      <c r="S48" s="3">
        <f>TABL12[[#This Row],[S/S_CON.]]+TABL12[[#This Row],[T/B-CON.]]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TABL12[[#This Row],[( S/S+T/B) AJD]]-(TABL12[[#This Row],[(A/B + A/S) AJD]]+TABL12[[#This Row],[(STORGE DIFF.) AJD]]+(TABL12[[#This Row],[AJD_Evaporation]]))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Row],[(A/B) AJD]]-TABL12[[#This Row],[BER_IN]]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Row],[(A/S) AJD]]-TABL12[[#This Row],[SER_IN]]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 (T/B) SAR]]+TABL12[[#This Row],[ (S/S) SAR]]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 (S/S) SAR]]-TABL12[[#This Row],[(S/S) AJD]]</f>
        <v>41.004999999999995</v>
      </c>
      <c r="Q49" s="3">
        <v>413</v>
      </c>
      <c r="R49" s="3">
        <f>TABL12[[#This Row],[ (T/B) SAR]]-TABL12[[#This Row],[(T/B) AJD]]</f>
        <v>4.0049999999999955</v>
      </c>
      <c r="S49" s="3">
        <f>TABL12[[#This Row],[S/S_CON.]]+TABL12[[#This Row],[T/B-CON.]]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TABL12[[#This Row],[( S/S+T/B) AJD]]-(TABL12[[#This Row],[(A/B + A/S) AJD]]+TABL12[[#This Row],[(STORGE DIFF.) AJD]]+(TABL12[[#This Row],[AJD_Evaporation]]))</f>
        <v>-2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Row],[(A/B) AJD]]-TABL12[[#This Row],[BER_IN]]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Row],[(A/S) AJD]]-TABL12[[#This Row],[SER_IN]]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 (T/B) SAR]]+TABL12[[#This Row],[ (S/S) SAR]]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 (S/S) SAR]]-TABL12[[#This Row],[(S/S) AJD]]</f>
        <v>37.430000000000007</v>
      </c>
      <c r="Q50" s="3">
        <v>413</v>
      </c>
      <c r="R50" s="3">
        <f>TABL12[[#This Row],[ (T/B) SAR]]-TABL12[[#This Row],[(T/B) AJD]]</f>
        <v>-0.56999999999999318</v>
      </c>
      <c r="S50" s="3">
        <f>TABL12[[#This Row],[S/S_CON.]]+TABL12[[#This Row],[T/B-CON.]]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TABL12[[#This Row],[( S/S+T/B) AJD]]-(TABL12[[#This Row],[(A/B + A/S) AJD]]+TABL12[[#This Row],[(STORGE DIFF.) AJD]]+(TABL12[[#This Row],[AJD_Evaporation]]))</f>
        <v>-3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Row],[(A/B) AJD]]-TABL12[[#This Row],[BER_IN]]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Row],[(A/S) AJD]]-TABL12[[#This Row],[SER_IN]]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 (T/B) SAR]]+TABL12[[#This Row],[ (S/S) SAR]]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 (S/S) SAR]]-TABL12[[#This Row],[(S/S) AJD]]</f>
        <v>38.590000000000032</v>
      </c>
      <c r="Q51" s="3">
        <v>412</v>
      </c>
      <c r="R51" s="3">
        <f>TABL12[[#This Row],[ (T/B) SAR]]-TABL12[[#This Row],[(T/B) AJD]]</f>
        <v>0.59000000000003183</v>
      </c>
      <c r="S51" s="3">
        <f>TABL12[[#This Row],[S/S_CON.]]+TABL12[[#This Row],[T/B-CON.]]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TABL12[[#This Row],[( S/S+T/B) AJD]]-(TABL12[[#This Row],[(A/B + A/S) AJD]]+TABL12[[#This Row],[(STORGE DIFF.) AJD]]+(TABL12[[#This Row],[AJD_Evaporation]]))</f>
        <v>-4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Row],[(A/B) AJD]]-TABL12[[#This Row],[BER_IN]]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Row],[(A/S) AJD]]-TABL12[[#This Row],[SER_IN]]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 (T/B) SAR]]+TABL12[[#This Row],[ (S/S) SAR]]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 (S/S) SAR]]-TABL12[[#This Row],[(S/S) AJD]]</f>
        <v>45.504999999999995</v>
      </c>
      <c r="Q52" s="3">
        <v>412</v>
      </c>
      <c r="R52" s="3">
        <f>TABL12[[#This Row],[ (T/B) SAR]]-TABL12[[#This Row],[(T/B) AJD]]</f>
        <v>8.5049999999999955</v>
      </c>
      <c r="S52" s="3">
        <f>TABL12[[#This Row],[S/S_CON.]]+TABL12[[#This Row],[T/B-CON.]]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TABL12[[#This Row],[( S/S+T/B) AJD]]-(TABL12[[#This Row],[(A/B + A/S) AJD]]+TABL12[[#This Row],[(STORGE DIFF.) AJD]]+(TABL12[[#This Row],[AJD_Evaporation]]))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Row],[(A/B) AJD]]-TABL12[[#This Row],[BER_IN]]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Row],[(A/S) AJD]]-TABL12[[#This Row],[SER_IN]]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 (T/B) SAR]]+TABL12[[#This Row],[ (S/S) SAR]]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 (S/S) SAR]]-TABL12[[#This Row],[(S/S) AJD]]</f>
        <v>49.430000000000007</v>
      </c>
      <c r="Q53" s="3">
        <v>411</v>
      </c>
      <c r="R53" s="3">
        <f>TABL12[[#This Row],[ (T/B) SAR]]-TABL12[[#This Row],[(T/B) AJD]]</f>
        <v>12.430000000000007</v>
      </c>
      <c r="S53" s="3">
        <f>TABL12[[#This Row],[S/S_CON.]]+TABL12[[#This Row],[T/B-CON.]]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TABL12[[#This Row],[( S/S+T/B) AJD]]-(TABL12[[#This Row],[(A/B + A/S) AJD]]+TABL12[[#This Row],[(STORGE DIFF.) AJD]]+(TABL12[[#This Row],[AJD_Evaporation]]))</f>
        <v>-4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Row],[(A/B) AJD]]-TABL12[[#This Row],[BER_IN]]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Row],[(A/S) AJD]]-TABL12[[#This Row],[SER_IN]]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 (T/B) SAR]]+TABL12[[#This Row],[ (S/S) SAR]]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 (S/S) SAR]]-TABL12[[#This Row],[(S/S) AJD]]</f>
        <v>43.090000000000032</v>
      </c>
      <c r="Q54" s="3">
        <v>412</v>
      </c>
      <c r="R54" s="3">
        <f>TABL12[[#This Row],[ (T/B) SAR]]-TABL12[[#This Row],[(T/B) AJD]]</f>
        <v>6.0900000000000318</v>
      </c>
      <c r="S54" s="3">
        <f>TABL12[[#This Row],[S/S_CON.]]+TABL12[[#This Row],[T/B-CON.]]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TABL12[[#This Row],[( S/S+T/B) AJD]]-(TABL12[[#This Row],[(A/B + A/S) AJD]]+TABL12[[#This Row],[(STORGE DIFF.) AJD]]+(TABL12[[#This Row],[AJD_Evaporation]]))</f>
        <v>-1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Row],[(A/B) AJD]]-TABL12[[#This Row],[BER_IN]]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Row],[(A/S) AJD]]-TABL12[[#This Row],[SER_IN]]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 (T/B) SAR]]+TABL12[[#This Row],[ (S/S) SAR]]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 (S/S) SAR]]-TABL12[[#This Row],[(S/S) AJD]]</f>
        <v>44.504999999999995</v>
      </c>
      <c r="Q55" s="3">
        <v>412</v>
      </c>
      <c r="R55" s="3">
        <f>TABL12[[#This Row],[ (T/B) SAR]]-TABL12[[#This Row],[(T/B) AJD]]</f>
        <v>7.5049999999999955</v>
      </c>
      <c r="S55" s="3">
        <f>TABL12[[#This Row],[S/S_CON.]]+TABL12[[#This Row],[T/B-CON.]]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TABL12[[#This Row],[( S/S+T/B) AJD]]-(TABL12[[#This Row],[(A/B + A/S) AJD]]+TABL12[[#This Row],[(STORGE DIFF.) AJD]]+(TABL12[[#This Row],[AJD_Evaporation]]))</f>
        <v>-3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Row],[(A/B) AJD]]-TABL12[[#This Row],[BER_IN]]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Row],[(A/S) AJD]]-TABL12[[#This Row],[SER_IN]]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 (T/B) SAR]]+TABL12[[#This Row],[ (S/S) SAR]]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 (S/S) SAR]]-TABL12[[#This Row],[(S/S) AJD]]</f>
        <v>94.93</v>
      </c>
      <c r="Q56" s="3">
        <v>412</v>
      </c>
      <c r="R56" s="3">
        <f>TABL12[[#This Row],[ (T/B) SAR]]-TABL12[[#This Row],[(T/B) AJD]]</f>
        <v>3.9300000000000068</v>
      </c>
      <c r="S56" s="3">
        <f>TABL12[[#This Row],[S/S_CON.]]+TABL12[[#This Row],[T/B-CON.]]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TABL12[[#This Row],[( S/S+T/B) AJD]]-(TABL12[[#This Row],[(A/B + A/S) AJD]]+TABL12[[#This Row],[(STORGE DIFF.) AJD]]+(TABL12[[#This Row],[AJD_Evaporation]]))</f>
        <v>-51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Row],[(A/B) AJD]]-TABL12[[#This Row],[BER_IN]]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Row],[(A/S) AJD]]-TABL12[[#This Row],[SER_IN]]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 (T/B) SAR]]+TABL12[[#This Row],[ (S/S) SAR]]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 (S/S) SAR]]-TABL12[[#This Row],[(S/S) AJD]]</f>
        <v>39.090000000000032</v>
      </c>
      <c r="Q57" s="3">
        <v>412</v>
      </c>
      <c r="R57" s="3">
        <f>TABL12[[#This Row],[ (T/B) SAR]]-TABL12[[#This Row],[(T/B) AJD]]</f>
        <v>2.0900000000000318</v>
      </c>
      <c r="S57" s="3">
        <f>TABL12[[#This Row],[S/S_CON.]]+TABL12[[#This Row],[T/B-CON.]]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TABL12[[#This Row],[( S/S+T/B) AJD]]-(TABL12[[#This Row],[(A/B + A/S) AJD]]+TABL12[[#This Row],[(STORGE DIFF.) AJD]]+(TABL12[[#This Row],[AJD_Evaporation]]))</f>
        <v>-1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Row],[(A/B) AJD]]-TABL12[[#This Row],[BER_IN]]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Row],[(A/S) AJD]]-TABL12[[#This Row],[SER_IN]]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 (T/B) SAR]]+TABL12[[#This Row],[ (S/S) SAR]]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 (S/S) SAR]]-TABL12[[#This Row],[(S/S) AJD]]</f>
        <v>42.004999999999995</v>
      </c>
      <c r="Q58" s="3">
        <v>411</v>
      </c>
      <c r="R58" s="3">
        <f>TABL12[[#This Row],[ (T/B) SAR]]-TABL12[[#This Row],[(T/B) AJD]]</f>
        <v>6.0049999999999955</v>
      </c>
      <c r="S58" s="3">
        <f>TABL12[[#This Row],[S/S_CON.]]+TABL12[[#This Row],[T/B-CON.]]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TABL12[[#This Row],[( S/S+T/B) AJD]]-(TABL12[[#This Row],[(A/B + A/S) AJD]]+TABL12[[#This Row],[(STORGE DIFF.) AJD]]+(TABL12[[#This Row],[AJD_Evaporation]]))</f>
        <v>-3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Row],[(A/B) AJD]]-TABL12[[#This Row],[BER_IN]]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Row],[(A/S) AJD]]-TABL12[[#This Row],[SER_IN]]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 (T/B) SAR]]+TABL12[[#This Row],[ (S/S) SAR]]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 (S/S) SAR]]-TABL12[[#This Row],[(S/S) AJD]]</f>
        <v>45.930000000000007</v>
      </c>
      <c r="Q59" s="3">
        <v>411</v>
      </c>
      <c r="R59" s="3">
        <f>TABL12[[#This Row],[ (T/B) SAR]]-TABL12[[#This Row],[(T/B) AJD]]</f>
        <v>8.9300000000000068</v>
      </c>
      <c r="S59" s="3">
        <f>TABL12[[#This Row],[S/S_CON.]]+TABL12[[#This Row],[T/B-CON.]]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TABL12[[#This Row],[( S/S+T/B) AJD]]-(TABL12[[#This Row],[(A/B + A/S) AJD]]+TABL12[[#This Row],[(STORGE DIFF.) AJD]]+(TABL12[[#This Row],[AJD_Evaporation]]))</f>
        <v>-2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Row],[(A/B) AJD]]-TABL12[[#This Row],[BER_IN]]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Row],[(A/S) AJD]]-TABL12[[#This Row],[SER_IN]]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 (T/B) SAR]]+TABL12[[#This Row],[ (S/S) SAR]]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 (S/S) SAR]]-TABL12[[#This Row],[(S/S) AJD]]</f>
        <v>50.004999999999995</v>
      </c>
      <c r="Q60" s="3">
        <v>412</v>
      </c>
      <c r="R60" s="3">
        <f>TABL12[[#This Row],[ (T/B) SAR]]-TABL12[[#This Row],[(T/B) AJD]]</f>
        <v>12.004999999999995</v>
      </c>
      <c r="S60" s="3">
        <f>TABL12[[#This Row],[S/S_CON.]]+TABL12[[#This Row],[T/B-CON.]]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TABL12[[#This Row],[( S/S+T/B) AJD]]-(TABL12[[#This Row],[(A/B + A/S) AJD]]+TABL12[[#This Row],[(STORGE DIFF.) AJD]]+(TABL12[[#This Row],[AJD_Evaporation]]))</f>
        <v>-2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Row],[(A/B) AJD]]-TABL12[[#This Row],[BER_IN]]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Row],[(A/S) AJD]]-TABL12[[#This Row],[SER_IN]]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 (T/B) SAR]]+TABL12[[#This Row],[ (S/S) SAR]]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 (S/S) SAR]]-TABL12[[#This Row],[(S/S) AJD]]</f>
        <v>46</v>
      </c>
      <c r="Q61" s="3">
        <v>411</v>
      </c>
      <c r="R61" s="3">
        <f>TABL12[[#This Row],[ (T/B) SAR]]-TABL12[[#This Row],[(T/B) AJD]]</f>
        <v>10</v>
      </c>
      <c r="S61" s="3">
        <f>TABL12[[#This Row],[S/S_CON.]]+TABL12[[#This Row],[T/B-CON.]]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TABL12[[#This Row],[( S/S+T/B) AJD]]-(TABL12[[#This Row],[(A/B + A/S) AJD]]+TABL12[[#This Row],[(STORGE DIFF.) AJD]]+(TABL12[[#This Row],[AJD_Evaporation]]))</f>
        <v>1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Row],[(A/B) AJD]]-TABL12[[#This Row],[BER_IN]]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Row],[(A/S) AJD]]-TABL12[[#This Row],[SER_IN]]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 (T/B) SAR]]+TABL12[[#This Row],[ (S/S) SAR]]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 (S/S) SAR]]-TABL12[[#This Row],[(S/S) AJD]]</f>
        <v>46</v>
      </c>
      <c r="Q62" s="3">
        <v>412</v>
      </c>
      <c r="R62" s="3">
        <f>TABL12[[#This Row],[ (T/B) SAR]]-TABL12[[#This Row],[(T/B) AJD]]</f>
        <v>9</v>
      </c>
      <c r="S62" s="3">
        <f>TABL12[[#This Row],[S/S_CON.]]+TABL12[[#This Row],[T/B-CON.]]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TABL12[[#This Row],[( S/S+T/B) AJD]]-(TABL12[[#This Row],[(A/B + A/S) AJD]]+TABL12[[#This Row],[(STORGE DIFF.) AJD]]+(TABL12[[#This Row],[AJD_Evaporation]]))</f>
        <v>1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Row],[(A/B) AJD]]-TABL12[[#This Row],[BER_IN]]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Row],[(A/S) AJD]]-TABL12[[#This Row],[SER_IN]]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 (T/B) SAR]]+TABL12[[#This Row],[ (S/S) SAR]]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 (S/S) SAR]]-TABL12[[#This Row],[(S/S) AJD]]</f>
        <v>47</v>
      </c>
      <c r="Q63" s="3">
        <v>411</v>
      </c>
      <c r="R63" s="3">
        <f>TABL12[[#This Row],[ (T/B) SAR]]-TABL12[[#This Row],[(T/B) AJD]]</f>
        <v>11</v>
      </c>
      <c r="S63" s="3">
        <f>TABL12[[#This Row],[S/S_CON.]]+TABL12[[#This Row],[T/B-CON.]]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TABL12[[#This Row],[( S/S+T/B) AJD]]-(TABL12[[#This Row],[(A/B + A/S) AJD]]+TABL12[[#This Row],[(STORGE DIFF.) AJD]]+(TABL12[[#This Row],[AJD_Evaporation]]))</f>
        <v>-4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Row],[(A/B) AJD]]-TABL12[[#This Row],[BER_IN]]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Row],[(A/S) AJD]]-TABL12[[#This Row],[SER_IN]]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 (T/B) SAR]]+TABL12[[#This Row],[ (S/S) SAR]]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 (S/S) SAR]]-TABL12[[#This Row],[(S/S) AJD]]</f>
        <v>62</v>
      </c>
      <c r="Q64" s="3">
        <v>412</v>
      </c>
      <c r="R64" s="3">
        <f>TABL12[[#This Row],[ (T/B) SAR]]-TABL12[[#This Row],[(T/B) AJD]]</f>
        <v>24</v>
      </c>
      <c r="S64" s="3">
        <f>TABL12[[#This Row],[S/S_CON.]]+TABL12[[#This Row],[T/B-CON.]]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TABL12[[#This Row],[( S/S+T/B) AJD]]-(TABL12[[#This Row],[(A/B + A/S) AJD]]+TABL12[[#This Row],[(STORGE DIFF.) AJD]]+(TABL12[[#This Row],[AJD_Evaporation]]))</f>
        <v>-2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Row],[(A/B) AJD]]-TABL12[[#This Row],[BER_IN]]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Row],[(A/S) AJD]]-TABL12[[#This Row],[SER_IN]]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 (T/B) SAR]]+TABL12[[#This Row],[ (S/S) SAR]]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 (S/S) SAR]]-TABL12[[#This Row],[(S/S) AJD]]</f>
        <v>48</v>
      </c>
      <c r="Q65" s="3">
        <v>410</v>
      </c>
      <c r="R65" s="3">
        <f>TABL12[[#This Row],[ (T/B) SAR]]-TABL12[[#This Row],[(T/B) AJD]]</f>
        <v>-11</v>
      </c>
      <c r="S65" s="3">
        <f>TABL12[[#This Row],[S/S_CON.]]+TABL12[[#This Row],[T/B-CON.]]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TABL12[[#This Row],[( S/S+T/B) AJD]]-(TABL12[[#This Row],[(A/B + A/S) AJD]]+TABL12[[#This Row],[(STORGE DIFF.) AJD]]+(TABL12[[#This Row],[AJD_Evaporation]]))</f>
        <v>-2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Row],[(A/B) AJD]]-TABL12[[#This Row],[BER_IN]]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Row],[(A/S) AJD]]-TABL12[[#This Row],[SER_IN]]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 (T/B) SAR]]+TABL12[[#This Row],[ (S/S) SAR]]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 (S/S) SAR]]-TABL12[[#This Row],[(S/S) AJD]]</f>
        <v>49</v>
      </c>
      <c r="Q66" s="3">
        <v>411</v>
      </c>
      <c r="R66" s="3">
        <f>TABL12[[#This Row],[ (T/B) SAR]]-TABL12[[#This Row],[(T/B) AJD]]</f>
        <v>-10</v>
      </c>
      <c r="S66" s="3">
        <f>TABL12[[#This Row],[S/S_CON.]]+TABL12[[#This Row],[T/B-CON.]]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TABL12[[#This Row],[( S/S+T/B) AJD]]-(TABL12[[#This Row],[(A/B + A/S) AJD]]+TABL12[[#This Row],[(STORGE DIFF.) AJD]]+(TABL12[[#This Row],[AJD_Evaporation]]))</f>
        <v>-2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Row],[(A/B) AJD]]-TABL12[[#This Row],[BER_IN]]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Row],[(A/S) AJD]]-TABL12[[#This Row],[SER_IN]]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 (T/B) SAR]]+TABL12[[#This Row],[ (S/S) SAR]]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 (S/S) SAR]]-TABL12[[#This Row],[(S/S) AJD]]</f>
        <v>46</v>
      </c>
      <c r="Q67" s="3">
        <v>412</v>
      </c>
      <c r="R67" s="3">
        <f>TABL12[[#This Row],[ (T/B) SAR]]-TABL12[[#This Row],[(T/B) AJD]]</f>
        <v>-10</v>
      </c>
      <c r="S67" s="3">
        <f>TABL12[[#This Row],[S/S_CON.]]+TABL12[[#This Row],[T/B-CON.]]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TABL12[[#This Row],[( S/S+T/B) AJD]]-(TABL12[[#This Row],[(A/B + A/S) AJD]]+TABL12[[#This Row],[(STORGE DIFF.) AJD]]+(TABL12[[#This Row],[AJD_Evaporation]]))</f>
        <v>-1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Row],[(A/B) AJD]]-TABL12[[#This Row],[BER_IN]]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Row],[(A/S) AJD]]-TABL12[[#This Row],[SER_IN]]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 (T/B) SAR]]+TABL12[[#This Row],[ (S/S) SAR]]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 (S/S) SAR]]-TABL12[[#This Row],[(S/S) AJD]]</f>
        <v>51</v>
      </c>
      <c r="Q68" s="3">
        <v>413</v>
      </c>
      <c r="R68" s="3">
        <f>TABL12[[#This Row],[ (T/B) SAR]]-TABL12[[#This Row],[(T/B) AJD]]</f>
        <v>-7</v>
      </c>
      <c r="S68" s="3">
        <f>TABL12[[#This Row],[S/S_CON.]]+TABL12[[#This Row],[T/B-CON.]]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TABL12[[#This Row],[( S/S+T/B) AJD]]-(TABL12[[#This Row],[(A/B + A/S) AJD]]+TABL12[[#This Row],[(STORGE DIFF.) AJD]]+(TABL12[[#This Row],[AJD_Evaporation]]))</f>
        <v>3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Row],[(A/B) AJD]]-TABL12[[#This Row],[BER_IN]]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Row],[(A/S) AJD]]-TABL12[[#This Row],[SER_IN]]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 (T/B) SAR]]+TABL12[[#This Row],[ (S/S) SAR]]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 (S/S) SAR]]-TABL12[[#This Row],[(S/S) AJD]]</f>
        <v>48</v>
      </c>
      <c r="Q69" s="3">
        <v>416</v>
      </c>
      <c r="R69" s="3">
        <f>TABL12[[#This Row],[ (T/B) SAR]]-TABL12[[#This Row],[(T/B) AJD]]</f>
        <v>-7</v>
      </c>
      <c r="S69" s="3">
        <f>TABL12[[#This Row],[S/S_CON.]]+TABL12[[#This Row],[T/B-CON.]]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TABL12[[#This Row],[( S/S+T/B) AJD]]-(TABL12[[#This Row],[(A/B + A/S) AJD]]+TABL12[[#This Row],[(STORGE DIFF.) AJD]]+(TABL12[[#This Row],[AJD_Evaporation]]))</f>
        <v>5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Row],[(A/B) AJD]]-TABL12[[#This Row],[BER_IN]]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Row],[(A/S) AJD]]-TABL12[[#This Row],[SER_IN]]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 (T/B) SAR]]+TABL12[[#This Row],[ (S/S) SAR]]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 (S/S) SAR]]-TABL12[[#This Row],[(S/S) AJD]]</f>
        <v>51</v>
      </c>
      <c r="Q70" s="3">
        <v>419</v>
      </c>
      <c r="R70" s="3">
        <f>TABL12[[#This Row],[ (T/B) SAR]]-TABL12[[#This Row],[(T/B) AJD]]</f>
        <v>-8</v>
      </c>
      <c r="S70" s="3">
        <f>TABL12[[#This Row],[S/S_CON.]]+TABL12[[#This Row],[T/B-CON.]]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TABL12[[#This Row],[( S/S+T/B) AJD]]-(TABL12[[#This Row],[(A/B + A/S) AJD]]+TABL12[[#This Row],[(STORGE DIFF.) AJD]]+(TABL12[[#This Row],[AJD_Evaporation]]))</f>
        <v>3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Row],[(A/B) AJD]]-TABL12[[#This Row],[BER_IN]]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Row],[(A/S) AJD]]-TABL12[[#This Row],[SER_IN]]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 (T/B) SAR]]+TABL12[[#This Row],[ (S/S) SAR]]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 (S/S) SAR]]-TABL12[[#This Row],[(S/S) AJD]]</f>
        <v>46</v>
      </c>
      <c r="Q71" s="3">
        <v>418</v>
      </c>
      <c r="R71" s="3">
        <f>TABL12[[#This Row],[ (T/B) SAR]]-TABL12[[#This Row],[(T/B) AJD]]</f>
        <v>-13</v>
      </c>
      <c r="S71" s="3">
        <f>TABL12[[#This Row],[S/S_CON.]]+TABL12[[#This Row],[T/B-CON.]]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TABL12[[#This Row],[( S/S+T/B) AJD]]-(TABL12[[#This Row],[(A/B + A/S) AJD]]+TABL12[[#This Row],[(STORGE DIFF.) AJD]]+(TABL12[[#This Row],[AJD_Evaporation]]))</f>
        <v>-4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Row],[(A/B) AJD]]-TABL12[[#This Row],[BER_IN]]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Row],[(A/S) AJD]]-TABL12[[#This Row],[SER_IN]]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 (T/B) SAR]]+TABL12[[#This Row],[ (S/S) SAR]]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 (S/S) SAR]]-TABL12[[#This Row],[(S/S) AJD]]</f>
        <v>47</v>
      </c>
      <c r="Q72" s="3">
        <v>416</v>
      </c>
      <c r="R72" s="3">
        <f>TABL12[[#This Row],[ (T/B) SAR]]-TABL12[[#This Row],[(T/B) AJD]]</f>
        <v>-12</v>
      </c>
      <c r="S72" s="3">
        <f>TABL12[[#This Row],[S/S_CON.]]+TABL12[[#This Row],[T/B-CON.]]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TABL12[[#This Row],[( S/S+T/B) AJD]]-(TABL12[[#This Row],[(A/B + A/S) AJD]]+TABL12[[#This Row],[(STORGE DIFF.) AJD]]+(TABL12[[#This Row],[AJD_Evaporation]]))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Row],[(A/B) AJD]]-TABL12[[#This Row],[BER_IN]]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Row],[(A/S) AJD]]-TABL12[[#This Row],[SER_IN]]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 (T/B) SAR]]+TABL12[[#This Row],[ (S/S) SAR]]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 (S/S) SAR]]-TABL12[[#This Row],[(S/S) AJD]]</f>
        <v>50</v>
      </c>
      <c r="Q73" s="3">
        <v>415</v>
      </c>
      <c r="R73" s="3">
        <f>TABL12[[#This Row],[ (T/B) SAR]]-TABL12[[#This Row],[(T/B) AJD]]</f>
        <v>-11</v>
      </c>
      <c r="S73" s="3">
        <f>TABL12[[#This Row],[S/S_CON.]]+TABL12[[#This Row],[T/B-CON.]]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TABL12[[#This Row],[( S/S+T/B) AJD]]-(TABL12[[#This Row],[(A/B + A/S) AJD]]+TABL12[[#This Row],[(STORGE DIFF.) AJD]]+(TABL12[[#This Row],[AJD_Evaporation]]))</f>
        <v>-1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Row],[(A/B) AJD]]-TABL12[[#This Row],[BER_IN]]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Row],[(A/S) AJD]]-TABL12[[#This Row],[SER_IN]]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 (T/B) SAR]]+TABL12[[#This Row],[ (S/S) SAR]]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 (S/S) SAR]]-TABL12[[#This Row],[(S/S) AJD]]</f>
        <v>48</v>
      </c>
      <c r="Q74" s="3">
        <v>415</v>
      </c>
      <c r="R74" s="3">
        <f>TABL12[[#This Row],[ (T/B) SAR]]-TABL12[[#This Row],[(T/B) AJD]]</f>
        <v>-12</v>
      </c>
      <c r="S74" s="3">
        <f>TABL12[[#This Row],[S/S_CON.]]+TABL12[[#This Row],[T/B-CON.]]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TABL12[[#This Row],[( S/S+T/B) AJD]]-(TABL12[[#This Row],[(A/B + A/S) AJD]]+TABL12[[#This Row],[(STORGE DIFF.) AJD]]+(TABL12[[#This Row],[AJD_Evaporation]]))</f>
        <v>-2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Row],[(A/B) AJD]]-TABL12[[#This Row],[BER_IN]]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Row],[(A/S) AJD]]-TABL12[[#This Row],[SER_IN]]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 (T/B) SAR]]+TABL12[[#This Row],[ (S/S) SAR]]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 (S/S) SAR]]-TABL12[[#This Row],[(S/S) AJD]]</f>
        <v>50</v>
      </c>
      <c r="Q75" s="3">
        <v>416</v>
      </c>
      <c r="R75" s="3">
        <f>TABL12[[#This Row],[ (T/B) SAR]]-TABL12[[#This Row],[(T/B) AJD]]</f>
        <v>-10</v>
      </c>
      <c r="S75" s="3">
        <f>TABL12[[#This Row],[S/S_CON.]]+TABL12[[#This Row],[T/B-CON.]]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TABL12[[#This Row],[( S/S+T/B) AJD]]-(TABL12[[#This Row],[(A/B + A/S) AJD]]+TABL12[[#This Row],[(STORGE DIFF.) AJD]]+(TABL12[[#This Row],[AJD_Evaporation]]))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Row],[(A/B) AJD]]-TABL12[[#This Row],[BER_IN]]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Row],[(A/S) AJD]]-TABL12[[#This Row],[SER_IN]]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 (T/B) SAR]]+TABL12[[#This Row],[ (S/S) SAR]]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 (S/S) SAR]]-TABL12[[#This Row],[(S/S) AJD]]</f>
        <v>51</v>
      </c>
      <c r="Q76" s="3">
        <v>417</v>
      </c>
      <c r="R76" s="3">
        <f>TABL12[[#This Row],[ (T/B) SAR]]-TABL12[[#This Row],[(T/B) AJD]]</f>
        <v>-9</v>
      </c>
      <c r="S76" s="3">
        <f>TABL12[[#This Row],[S/S_CON.]]+TABL12[[#This Row],[T/B-CON.]]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TABL12[[#This Row],[( S/S+T/B) AJD]]-(TABL12[[#This Row],[(A/B + A/S) AJD]]+TABL12[[#This Row],[(STORGE DIFF.) AJD]]+(TABL12[[#This Row],[AJD_Evaporation]]))</f>
        <v>-6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Row],[(A/B) AJD]]-TABL12[[#This Row],[BER_IN]]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Row],[(A/S) AJD]]-TABL12[[#This Row],[SER_IN]]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 (T/B) SAR]]+TABL12[[#This Row],[ (S/S) SAR]]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 (S/S) SAR]]-TABL12[[#This Row],[(S/S) AJD]]</f>
        <v>48</v>
      </c>
      <c r="Q77" s="3">
        <v>418</v>
      </c>
      <c r="R77" s="3">
        <f>TABL12[[#This Row],[ (T/B) SAR]]-TABL12[[#This Row],[(T/B) AJD]]</f>
        <v>-10</v>
      </c>
      <c r="S77" s="3">
        <f>TABL12[[#This Row],[S/S_CON.]]+TABL12[[#This Row],[T/B-CON.]]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TABL12[[#This Row],[( S/S+T/B) AJD]]-(TABL12[[#This Row],[(A/B + A/S) AJD]]+TABL12[[#This Row],[(STORGE DIFF.) AJD]]+(TABL12[[#This Row],[AJD_Evaporation]]))</f>
        <v>4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Row],[(A/B) AJD]]-TABL12[[#This Row],[BER_IN]]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Row],[(A/S) AJD]]-TABL12[[#This Row],[SER_IN]]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 (T/B) SAR]]+TABL12[[#This Row],[ (S/S) SAR]]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 (S/S) SAR]]-TABL12[[#This Row],[(S/S) AJD]]</f>
        <v>47</v>
      </c>
      <c r="Q78" s="3">
        <v>418</v>
      </c>
      <c r="R78" s="3">
        <f>TABL12[[#This Row],[ (T/B) SAR]]-TABL12[[#This Row],[(T/B) AJD]]</f>
        <v>-14</v>
      </c>
      <c r="S78" s="3">
        <f>TABL12[[#This Row],[S/S_CON.]]+TABL12[[#This Row],[T/B-CON.]]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TABL12[[#This Row],[( S/S+T/B) AJD]]-(TABL12[[#This Row],[(A/B + A/S) AJD]]+TABL12[[#This Row],[(STORGE DIFF.) AJD]]+(TABL12[[#This Row],[AJD_Evaporation]]))</f>
        <v>-5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Row],[(A/B) AJD]]-TABL12[[#This Row],[BER_IN]]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Row],[(A/S) AJD]]-TABL12[[#This Row],[SER_IN]]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 (T/B) SAR]]+TABL12[[#This Row],[ (S/S) SAR]]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 (S/S) SAR]]-TABL12[[#This Row],[(S/S) AJD]]</f>
        <v>50</v>
      </c>
      <c r="Q79" s="3">
        <v>416</v>
      </c>
      <c r="R79" s="3">
        <f>TABL12[[#This Row],[ (T/B) SAR]]-TABL12[[#This Row],[(T/B) AJD]]</f>
        <v>-15</v>
      </c>
      <c r="S79" s="3">
        <f>TABL12[[#This Row],[S/S_CON.]]+TABL12[[#This Row],[T/B-CON.]]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TABL12[[#This Row],[( S/S+T/B) AJD]]-(TABL12[[#This Row],[(A/B + A/S) AJD]]+TABL12[[#This Row],[(STORGE DIFF.) AJD]]+(TABL12[[#This Row],[AJD_Evaporation]]))</f>
        <v>-2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Row],[(A/B) AJD]]-TABL12[[#This Row],[BER_IN]]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Row],[(A/S) AJD]]-TABL12[[#This Row],[SER_IN]]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 (T/B) SAR]]+TABL12[[#This Row],[ (S/S) SAR]]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 (S/S) SAR]]-TABL12[[#This Row],[(S/S) AJD]]</f>
        <v>54</v>
      </c>
      <c r="Q80" s="3">
        <v>414</v>
      </c>
      <c r="R80" s="3">
        <f>TABL12[[#This Row],[ (T/B) SAR]]-TABL12[[#This Row],[(T/B) AJD]]</f>
        <v>-7</v>
      </c>
      <c r="S80" s="3">
        <f>TABL12[[#This Row],[S/S_CON.]]+TABL12[[#This Row],[T/B-CON.]]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TABL12[[#This Row],[( S/S+T/B) AJD]]-(TABL12[[#This Row],[(A/B + A/S) AJD]]+TABL12[[#This Row],[(STORGE DIFF.) AJD]]+(TABL12[[#This Row],[AJD_Evaporation]]))</f>
        <v>1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Row],[(A/B) AJD]]-TABL12[[#This Row],[BER_IN]]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Row],[(A/S) AJD]]-TABL12[[#This Row],[SER_IN]]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 (T/B) SAR]]+TABL12[[#This Row],[ (S/S) SAR]]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 (S/S) SAR]]-TABL12[[#This Row],[(S/S) AJD]]</f>
        <v>46</v>
      </c>
      <c r="Q81" s="3">
        <v>415</v>
      </c>
      <c r="R81" s="3">
        <f>TABL12[[#This Row],[ (T/B) SAR]]-TABL12[[#This Row],[(T/B) AJD]]</f>
        <v>-14</v>
      </c>
      <c r="S81" s="3">
        <f>TABL12[[#This Row],[S/S_CON.]]+TABL12[[#This Row],[T/B-CON.]]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TABL12[[#This Row],[( S/S+T/B) AJD]]-(TABL12[[#This Row],[(A/B + A/S) AJD]]+TABL12[[#This Row],[(STORGE DIFF.) AJD]]+(TABL12[[#This Row],[AJD_Evaporation]]))</f>
        <v>2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Row],[(A/B) AJD]]-TABL12[[#This Row],[BER_IN]]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Row],[(A/S) AJD]]-TABL12[[#This Row],[SER_IN]]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 (T/B) SAR]]+TABL12[[#This Row],[ (S/S) SAR]]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 (S/S) SAR]]-TABL12[[#This Row],[(S/S) AJD]]</f>
        <v>46</v>
      </c>
      <c r="Q82" s="3">
        <v>415</v>
      </c>
      <c r="R82" s="3">
        <f>TABL12[[#This Row],[ (T/B) SAR]]-TABL12[[#This Row],[(T/B) AJD]]</f>
        <v>-14</v>
      </c>
      <c r="S82" s="3">
        <f>TABL12[[#This Row],[S/S_CON.]]+TABL12[[#This Row],[T/B-CON.]]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TABL12[[#This Row],[( S/S+T/B) AJD]]-(TABL12[[#This Row],[(A/B + A/S) AJD]]+TABL12[[#This Row],[(STORGE DIFF.) AJD]]+(TABL12[[#This Row],[AJD_Evaporation]]))</f>
        <v>-7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Row],[(A/B) AJD]]-TABL12[[#This Row],[BER_IN]]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Row],[(A/S) AJD]]-TABL12[[#This Row],[SER_IN]]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 (T/B) SAR]]+TABL12[[#This Row],[ (S/S) SAR]]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 (S/S) SAR]]-TABL12[[#This Row],[(S/S) AJD]]</f>
        <v>51</v>
      </c>
      <c r="Q83" s="3">
        <v>417</v>
      </c>
      <c r="R83" s="3">
        <f>TABL12[[#This Row],[ (T/B) SAR]]-TABL12[[#This Row],[(T/B) AJD]]</f>
        <v>-12</v>
      </c>
      <c r="S83" s="3">
        <f>TABL12[[#This Row],[S/S_CON.]]+TABL12[[#This Row],[T/B-CON.]]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TABL12[[#This Row],[( S/S+T/B) AJD]]-(TABL12[[#This Row],[(A/B + A/S) AJD]]+TABL12[[#This Row],[(STORGE DIFF.) AJD]]+(TABL12[[#This Row],[AJD_Evaporation]]))</f>
        <v>2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Row],[(A/B) AJD]]-TABL12[[#This Row],[BER_IN]]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Row],[(A/S) AJD]]-TABL12[[#This Row],[SER_IN]]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 (T/B) SAR]]+TABL12[[#This Row],[ (S/S) SAR]]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 (S/S) SAR]]-TABL12[[#This Row],[(S/S) AJD]]</f>
        <v>48</v>
      </c>
      <c r="Q84" s="3">
        <v>417</v>
      </c>
      <c r="R84" s="3">
        <f>TABL12[[#This Row],[ (T/B) SAR]]-TABL12[[#This Row],[(T/B) AJD]]</f>
        <v>-12</v>
      </c>
      <c r="S84" s="3">
        <f>TABL12[[#This Row],[S/S_CON.]]+TABL12[[#This Row],[T/B-CON.]]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TABL12[[#This Row],[( S/S+T/B) AJD]]-(TABL12[[#This Row],[(A/B + A/S) AJD]]+TABL12[[#This Row],[(STORGE DIFF.) AJD]]+(TABL12[[#This Row],[AJD_Evaporation]]))</f>
        <v>5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Row],[(A/B) AJD]]-TABL12[[#This Row],[BER_IN]]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Row],[(A/S) AJD]]-TABL12[[#This Row],[SER_IN]]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 (T/B) SAR]]+TABL12[[#This Row],[ (S/S) SAR]]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 (S/S) SAR]]-TABL12[[#This Row],[(S/S) AJD]]</f>
        <v>50</v>
      </c>
      <c r="Q85" s="3">
        <v>417</v>
      </c>
      <c r="R85" s="3">
        <f>TABL12[[#This Row],[ (T/B) SAR]]-TABL12[[#This Row],[(T/B) AJD]]</f>
        <v>-12</v>
      </c>
      <c r="S85" s="3">
        <f>TABL12[[#This Row],[S/S_CON.]]+TABL12[[#This Row],[T/B-CON.]]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TABL12[[#This Row],[( S/S+T/B) AJD]]-(TABL12[[#This Row],[(A/B + A/S) AJD]]+TABL12[[#This Row],[(STORGE DIFF.) AJD]]+(TABL12[[#This Row],[AJD_Evaporation]]))</f>
        <v>-3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Row],[(A/B) AJD]]-TABL12[[#This Row],[BER_IN]]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Row],[(A/S) AJD]]-TABL12[[#This Row],[SER_IN]]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 (T/B) SAR]]+TABL12[[#This Row],[ (S/S) SAR]]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 (S/S) SAR]]-TABL12[[#This Row],[(S/S) AJD]]</f>
        <v>51</v>
      </c>
      <c r="Q86" s="3">
        <v>415</v>
      </c>
      <c r="R86" s="3">
        <f>TABL12[[#This Row],[ (T/B) SAR]]-TABL12[[#This Row],[(T/B) AJD]]</f>
        <v>-8</v>
      </c>
      <c r="S86" s="3">
        <f>TABL12[[#This Row],[S/S_CON.]]+TABL12[[#This Row],[T/B-CON.]]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TABL12[[#This Row],[( S/S+T/B) AJD]]-(TABL12[[#This Row],[(A/B + A/S) AJD]]+TABL12[[#This Row],[(STORGE DIFF.) AJD]]+(TABL12[[#This Row],[AJD_Evaporation]]))</f>
        <v>-1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Row],[(A/B) AJD]]-TABL12[[#This Row],[BER_IN]]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Row],[(A/S) AJD]]-TABL12[[#This Row],[SER_IN]]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 (T/B) SAR]]+TABL12[[#This Row],[ (S/S) SAR]]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 (S/S) SAR]]-TABL12[[#This Row],[(S/S) AJD]]</f>
        <v>49</v>
      </c>
      <c r="Q87" s="3">
        <v>418</v>
      </c>
      <c r="R87" s="3">
        <f>TABL12[[#This Row],[ (T/B) SAR]]-TABL12[[#This Row],[(T/B) AJD]]</f>
        <v>-10</v>
      </c>
      <c r="S87" s="3">
        <f>TABL12[[#This Row],[S/S_CON.]]+TABL12[[#This Row],[T/B-CON.]]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TABL12[[#This Row],[( S/S+T/B) AJD]]-(TABL12[[#This Row],[(A/B + A/S) AJD]]+TABL12[[#This Row],[(STORGE DIFF.) AJD]]+(TABL12[[#This Row],[AJD_Evaporation]]))</f>
        <v>-2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Row],[(A/B) AJD]]-TABL12[[#This Row],[BER_IN]]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Row],[(A/S) AJD]]-TABL12[[#This Row],[SER_IN]]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 (T/B) SAR]]+TABL12[[#This Row],[ (S/S) SAR]]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 (S/S) SAR]]-TABL12[[#This Row],[(S/S) AJD]]</f>
        <v>56</v>
      </c>
      <c r="Q88" s="3">
        <v>421</v>
      </c>
      <c r="R88" s="3">
        <f>TABL12[[#This Row],[ (T/B) SAR]]-TABL12[[#This Row],[(T/B) AJD]]</f>
        <v>-4</v>
      </c>
      <c r="S88" s="3">
        <f>TABL12[[#This Row],[S/S_CON.]]+TABL12[[#This Row],[T/B-CON.]]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TABL12[[#This Row],[( S/S+T/B) AJD]]-(TABL12[[#This Row],[(A/B + A/S) AJD]]+TABL12[[#This Row],[(STORGE DIFF.) AJD]]+(TABL12[[#This Row],[AJD_Evaporation]]))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Row],[(A/B) AJD]]-TABL12[[#This Row],[BER_IN]]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Row],[(A/S) AJD]]-TABL12[[#This Row],[SER_IN]]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 (T/B) SAR]]+TABL12[[#This Row],[ (S/S) SAR]]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 (S/S) SAR]]-TABL12[[#This Row],[(S/S) AJD]]</f>
        <v>51</v>
      </c>
      <c r="Q89" s="3">
        <v>429</v>
      </c>
      <c r="R89" s="3">
        <f>TABL12[[#This Row],[ (T/B) SAR]]-TABL12[[#This Row],[(T/B) AJD]]</f>
        <v>-12</v>
      </c>
      <c r="S89" s="3">
        <f>TABL12[[#This Row],[S/S_CON.]]+TABL12[[#This Row],[T/B-CON.]]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TABL12[[#This Row],[( S/S+T/B) AJD]]-(TABL12[[#This Row],[(A/B + A/S) AJD]]+TABL12[[#This Row],[(STORGE DIFF.) AJD]]+(TABL12[[#This Row],[AJD_Evaporation]]))</f>
        <v>34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Row],[(A/B) AJD]]-TABL12[[#This Row],[BER_IN]]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Row],[(A/S) AJD]]-TABL12[[#This Row],[SER_IN]]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 (T/B) SAR]]+TABL12[[#This Row],[ (S/S) SAR]]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 (S/S) SAR]]-TABL12[[#This Row],[(S/S) AJD]]</f>
        <v>50</v>
      </c>
      <c r="Q90" s="3">
        <v>429</v>
      </c>
      <c r="R90" s="3">
        <f>TABL12[[#This Row],[ (T/B) SAR]]-TABL12[[#This Row],[(T/B) AJD]]</f>
        <v>-12</v>
      </c>
      <c r="S90" s="3">
        <f>TABL12[[#This Row],[S/S_CON.]]+TABL12[[#This Row],[T/B-CON.]]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TABL12[[#This Row],[( S/S+T/B) AJD]]-(TABL12[[#This Row],[(A/B + A/S) AJD]]+TABL12[[#This Row],[(STORGE DIFF.) AJD]]+(TABL12[[#This Row],[AJD_Evaporation]]))</f>
        <v>3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Row],[(A/B) AJD]]-TABL12[[#This Row],[BER_IN]]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Row],[(A/S) AJD]]-TABL12[[#This Row],[SER_IN]]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 (T/B) SAR]]+TABL12[[#This Row],[ (S/S) SAR]]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 (S/S) SAR]]-TABL12[[#This Row],[(S/S) AJD]]</f>
        <v>51</v>
      </c>
      <c r="Q91" s="3">
        <v>428</v>
      </c>
      <c r="R91" s="3">
        <f>TABL12[[#This Row],[ (T/B) SAR]]-TABL12[[#This Row],[(T/B) AJD]]</f>
        <v>-11</v>
      </c>
      <c r="S91" s="3">
        <f>TABL12[[#This Row],[S/S_CON.]]+TABL12[[#This Row],[T/B-CON.]]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TABL12[[#This Row],[( S/S+T/B) AJD]]-(TABL12[[#This Row],[(A/B + A/S) AJD]]+TABL12[[#This Row],[(STORGE DIFF.) AJD]]+(TABL12[[#This Row],[AJD_Evaporation]]))</f>
        <v>-6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Row],[(A/B) AJD]]-TABL12[[#This Row],[BER_IN]]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Row],[(A/S) AJD]]-TABL12[[#This Row],[SER_IN]]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 (T/B) SAR]]+TABL12[[#This Row],[ (S/S) SAR]]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 (S/S) SAR]]-TABL12[[#This Row],[(S/S) AJD]]</f>
        <v>52</v>
      </c>
      <c r="Q92" s="3">
        <v>426</v>
      </c>
      <c r="R92" s="3">
        <f>TABL12[[#This Row],[ (T/B) SAR]]-TABL12[[#This Row],[(T/B) AJD]]</f>
        <v>-8</v>
      </c>
      <c r="S92" s="3">
        <f>TABL12[[#This Row],[S/S_CON.]]+TABL12[[#This Row],[T/B-CON.]]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TABL12[[#This Row],[( S/S+T/B) AJD]]-(TABL12[[#This Row],[(A/B + A/S) AJD]]+TABL12[[#This Row],[(STORGE DIFF.) AJD]]+(TABL12[[#This Row],[AJD_Evaporation]]))</f>
        <v>1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Row],[(A/B) AJD]]-TABL12[[#This Row],[BER_IN]]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Row],[(A/S) AJD]]-TABL12[[#This Row],[SER_IN]]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 (T/B) SAR]]+TABL12[[#This Row],[ (S/S) SAR]]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 (S/S) SAR]]-TABL12[[#This Row],[(S/S) AJD]]</f>
        <v>47</v>
      </c>
      <c r="Q93" s="3">
        <v>424</v>
      </c>
      <c r="R93" s="3">
        <f>TABL12[[#This Row],[ (T/B) SAR]]-TABL12[[#This Row],[(T/B) AJD]]</f>
        <v>-13</v>
      </c>
      <c r="S93" s="3">
        <f>TABL12[[#This Row],[S/S_CON.]]+TABL12[[#This Row],[T/B-CON.]]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TABL12[[#This Row],[( S/S+T/B) AJD]]-(TABL12[[#This Row],[(A/B + A/S) AJD]]+TABL12[[#This Row],[(STORGE DIFF.) AJD]]+(TABL12[[#This Row],[AJD_Evaporation]]))</f>
        <v>-4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Row],[(A/B) AJD]]-TABL12[[#This Row],[BER_IN]]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Row],[(A/S) AJD]]-TABL12[[#This Row],[SER_IN]]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 (T/B) SAR]]+TABL12[[#This Row],[ (S/S) SAR]]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 (S/S) SAR]]-TABL12[[#This Row],[(S/S) AJD]]</f>
        <v>47</v>
      </c>
      <c r="Q94" s="3">
        <v>420</v>
      </c>
      <c r="R94" s="3">
        <f>TABL12[[#This Row],[ (T/B) SAR]]-TABL12[[#This Row],[(T/B) AJD]]</f>
        <v>-14</v>
      </c>
      <c r="S94" s="3">
        <f>TABL12[[#This Row],[S/S_CON.]]+TABL12[[#This Row],[T/B-CON.]]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TABL12[[#This Row],[( S/S+T/B) AJD]]-(TABL12[[#This Row],[(A/B + A/S) AJD]]+TABL12[[#This Row],[(STORGE DIFF.) AJD]]+(TABL12[[#This Row],[AJD_Evaporation]]))</f>
        <v>-5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Row],[(A/B) AJD]]-TABL12[[#This Row],[BER_IN]]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Row],[(A/S) AJD]]-TABL12[[#This Row],[SER_IN]]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 (T/B) SAR]]+TABL12[[#This Row],[ (S/S) SAR]]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 (S/S) SAR]]-TABL12[[#This Row],[(S/S) AJD]]</f>
        <v>46</v>
      </c>
      <c r="Q95" s="3">
        <v>415</v>
      </c>
      <c r="R95" s="3">
        <f>TABL12[[#This Row],[ (T/B) SAR]]-TABL12[[#This Row],[(T/B) AJD]]</f>
        <v>-16</v>
      </c>
      <c r="S95" s="3">
        <f>TABL12[[#This Row],[S/S_CON.]]+TABL12[[#This Row],[T/B-CON.]]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TABL12[[#This Row],[( S/S+T/B) AJD]]-(TABL12[[#This Row],[(A/B + A/S) AJD]]+TABL12[[#This Row],[(STORGE DIFF.) AJD]]+(TABL12[[#This Row],[AJD_Evaporation]]))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Row],[(A/B) AJD]]-TABL12[[#This Row],[BER_IN]]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Row],[(A/S) AJD]]-TABL12[[#This Row],[SER_IN]]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 (T/B) SAR]]+TABL12[[#This Row],[ (S/S) SAR]]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 (S/S) SAR]]-TABL12[[#This Row],[(S/S) AJD]]</f>
        <v>52</v>
      </c>
      <c r="Q96" s="3">
        <v>413</v>
      </c>
      <c r="R96" s="3">
        <f>TABL12[[#This Row],[ (T/B) SAR]]-TABL12[[#This Row],[(T/B) AJD]]</f>
        <v>-9</v>
      </c>
      <c r="S96" s="3">
        <f>TABL12[[#This Row],[S/S_CON.]]+TABL12[[#This Row],[T/B-CON.]]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TABL12[[#This Row],[( S/S+T/B) AJD]]-(TABL12[[#This Row],[(A/B + A/S) AJD]]+TABL12[[#This Row],[(STORGE DIFF.) AJD]]+(TABL12[[#This Row],[AJD_Evaporation]]))</f>
        <v>-4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Row],[(A/B) AJD]]-TABL12[[#This Row],[BER_IN]]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Row],[(A/S) AJD]]-TABL12[[#This Row],[SER_IN]]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 (T/B) SAR]]+TABL12[[#This Row],[ (S/S) SAR]]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 (S/S) SAR]]-TABL12[[#This Row],[(S/S) AJD]]</f>
        <v>45</v>
      </c>
      <c r="Q97" s="3">
        <v>417</v>
      </c>
      <c r="R97" s="3">
        <f>TABL12[[#This Row],[ (T/B) SAR]]-TABL12[[#This Row],[(T/B) AJD]]</f>
        <v>-16</v>
      </c>
      <c r="S97" s="3">
        <f>TABL12[[#This Row],[S/S_CON.]]+TABL12[[#This Row],[T/B-CON.]]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TABL12[[#This Row],[( S/S+T/B) AJD]]-(TABL12[[#This Row],[(A/B + A/S) AJD]]+TABL12[[#This Row],[(STORGE DIFF.) AJD]]+(TABL12[[#This Row],[AJD_Evaporation]]))</f>
        <v>5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Row],[(A/B) AJD]]-TABL12[[#This Row],[BER_IN]]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Row],[(A/S) AJD]]-TABL12[[#This Row],[SER_IN]]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 (T/B) SAR]]+TABL12[[#This Row],[ (S/S) SAR]]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 (S/S) SAR]]-TABL12[[#This Row],[(S/S) AJD]]</f>
        <v>41</v>
      </c>
      <c r="Q98" s="3">
        <v>420</v>
      </c>
      <c r="R98" s="3">
        <f>TABL12[[#This Row],[ (T/B) SAR]]-TABL12[[#This Row],[(T/B) AJD]]</f>
        <v>-18</v>
      </c>
      <c r="S98" s="3">
        <f>TABL12[[#This Row],[S/S_CON.]]+TABL12[[#This Row],[T/B-CON.]]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TABL12[[#This Row],[( S/S+T/B) AJD]]-(TABL12[[#This Row],[(A/B + A/S) AJD]]+TABL12[[#This Row],[(STORGE DIFF.) AJD]]+(TABL12[[#This Row],[AJD_Evaporation]]))</f>
        <v>-3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Row],[(A/B) AJD]]-TABL12[[#This Row],[BER_IN]]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Row],[(A/S) AJD]]-TABL12[[#This Row],[SER_IN]]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 (T/B) SAR]]+TABL12[[#This Row],[ (S/S) SAR]]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 (S/S) SAR]]-TABL12[[#This Row],[(S/S) AJD]]</f>
        <v>49</v>
      </c>
      <c r="Q99" s="3">
        <v>420</v>
      </c>
      <c r="R99" s="3">
        <f>TABL12[[#This Row],[ (T/B) SAR]]-TABL12[[#This Row],[(T/B) AJD]]</f>
        <v>-12</v>
      </c>
      <c r="S99" s="3">
        <f>TABL12[[#This Row],[S/S_CON.]]+TABL12[[#This Row],[T/B-CON.]]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TABL12[[#This Row],[( S/S+T/B) AJD]]-(TABL12[[#This Row],[(A/B + A/S) AJD]]+TABL12[[#This Row],[(STORGE DIFF.) AJD]]+(TABL12[[#This Row],[AJD_Evaporation]]))</f>
        <v>2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Row],[(A/B) AJD]]-TABL12[[#This Row],[BER_IN]]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Row],[(A/S) AJD]]-TABL12[[#This Row],[SER_IN]]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 (T/B) SAR]]+TABL12[[#This Row],[ (S/S) SAR]]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 (S/S) SAR]]-TABL12[[#This Row],[(S/S) AJD]]</f>
        <v>45</v>
      </c>
      <c r="Q100" s="3">
        <v>421</v>
      </c>
      <c r="R100" s="3">
        <f>TABL12[[#This Row],[ (T/B) SAR]]-TABL12[[#This Row],[(T/B) AJD]]</f>
        <v>-12</v>
      </c>
      <c r="S100" s="3">
        <f>TABL12[[#This Row],[S/S_CON.]]+TABL12[[#This Row],[T/B-CON.]]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TABL12[[#This Row],[( S/S+T/B) AJD]]-(TABL12[[#This Row],[(A/B + A/S) AJD]]+TABL12[[#This Row],[(STORGE DIFF.) AJD]]+(TABL12[[#This Row],[AJD_Evaporation]]))</f>
        <v>7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Row],[(A/B) AJD]]-TABL12[[#This Row],[BER_IN]]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Row],[(A/S) AJD]]-TABL12[[#This Row],[SER_IN]]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 (T/B) SAR]]+TABL12[[#This Row],[ (S/S) SAR]]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 (S/S) SAR]]-TABL12[[#This Row],[(S/S) AJD]]</f>
        <v>46</v>
      </c>
      <c r="Q101" s="3">
        <v>424</v>
      </c>
      <c r="R101" s="3">
        <f>TABL12[[#This Row],[ (T/B) SAR]]-TABL12[[#This Row],[(T/B) AJD]]</f>
        <v>-15</v>
      </c>
      <c r="S101" s="3">
        <f>TABL12[[#This Row],[S/S_CON.]]+TABL12[[#This Row],[T/B-CON.]]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TABL12[[#This Row],[( S/S+T/B) AJD]]-(TABL12[[#This Row],[(A/B + A/S) AJD]]+TABL12[[#This Row],[(STORGE DIFF.) AJD]]+(TABL12[[#This Row],[AJD_Evaporation]]))</f>
        <v>6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Row],[(A/B) AJD]]-TABL12[[#This Row],[BER_IN]]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Row],[(A/S) AJD]]-TABL12[[#This Row],[SER_IN]]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 (T/B) SAR]]+TABL12[[#This Row],[ (S/S) SAR]]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 (S/S) SAR]]-TABL12[[#This Row],[(S/S) AJD]]</f>
        <v>47</v>
      </c>
      <c r="Q102" s="3">
        <v>425</v>
      </c>
      <c r="R102" s="3">
        <f>TABL12[[#This Row],[ (T/B) SAR]]-TABL12[[#This Row],[(T/B) AJD]]</f>
        <v>-13</v>
      </c>
      <c r="S102" s="3">
        <f>TABL12[[#This Row],[S/S_CON.]]+TABL12[[#This Row],[T/B-CON.]]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TABL12[[#This Row],[( S/S+T/B) AJD]]-(TABL12[[#This Row],[(A/B + A/S) AJD]]+TABL12[[#This Row],[(STORGE DIFF.) AJD]]+(TABL12[[#This Row],[AJD_Evaporation]]))</f>
        <v>-1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Row],[(A/B) AJD]]-TABL12[[#This Row],[BER_IN]]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Row],[(A/S) AJD]]-TABL12[[#This Row],[SER_IN]]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 (T/B) SAR]]+TABL12[[#This Row],[ (S/S) SAR]]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 (S/S) SAR]]-TABL12[[#This Row],[(S/S) AJD]]</f>
        <v>46</v>
      </c>
      <c r="Q103" s="3">
        <v>430</v>
      </c>
      <c r="R103" s="3">
        <f>TABL12[[#This Row],[ (T/B) SAR]]-TABL12[[#This Row],[(T/B) AJD]]</f>
        <v>-26</v>
      </c>
      <c r="S103" s="3">
        <f>TABL12[[#This Row],[S/S_CON.]]+TABL12[[#This Row],[T/B-CON.]]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TABL12[[#This Row],[( S/S+T/B) AJD]]-(TABL12[[#This Row],[(A/B + A/S) AJD]]+TABL12[[#This Row],[(STORGE DIFF.) AJD]]+(TABL12[[#This Row],[AJD_Evaporation]]))</f>
        <v>-8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Row],[(A/B) AJD]]-TABL12[[#This Row],[BER_IN]]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Row],[(A/S) AJD]]-TABL12[[#This Row],[SER_IN]]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 (T/B) SAR]]+TABL12[[#This Row],[ (S/S) SAR]]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 (S/S) SAR]]-TABL12[[#This Row],[(S/S) AJD]]</f>
        <v>48</v>
      </c>
      <c r="Q104" s="3">
        <v>426</v>
      </c>
      <c r="R104" s="3">
        <f>TABL12[[#This Row],[ (T/B) SAR]]-TABL12[[#This Row],[(T/B) AJD]]</f>
        <v>-12</v>
      </c>
      <c r="S104" s="3">
        <f>TABL12[[#This Row],[S/S_CON.]]+TABL12[[#This Row],[T/B-CON.]]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TABL12[[#This Row],[( S/S+T/B) AJD]]-(TABL12[[#This Row],[(A/B + A/S) AJD]]+TABL12[[#This Row],[(STORGE DIFF.) AJD]]+(TABL12[[#This Row],[AJD_Evaporation]]))</f>
        <v>1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Row],[(A/B) AJD]]-TABL12[[#This Row],[BER_IN]]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Row],[(A/S) AJD]]-TABL12[[#This Row],[SER_IN]]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 (T/B) SAR]]+TABL12[[#This Row],[ (S/S) SAR]]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 (S/S) SAR]]-TABL12[[#This Row],[(S/S) AJD]]</f>
        <v>50</v>
      </c>
      <c r="Q105" s="3">
        <v>426</v>
      </c>
      <c r="R105" s="3">
        <f>TABL12[[#This Row],[ (T/B) SAR]]-TABL12[[#This Row],[(T/B) AJD]]</f>
        <v>-13</v>
      </c>
      <c r="S105" s="3">
        <f>TABL12[[#This Row],[S/S_CON.]]+TABL12[[#This Row],[T/B-CON.]]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TABL12[[#This Row],[( S/S+T/B) AJD]]-(TABL12[[#This Row],[(A/B + A/S) AJD]]+TABL12[[#This Row],[(STORGE DIFF.) AJD]]+(TABL12[[#This Row],[AJD_Evaporation]]))</f>
        <v>6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Row],[(A/B) AJD]]-TABL12[[#This Row],[BER_IN]]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Row],[(A/S) AJD]]-TABL12[[#This Row],[SER_IN]]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 (T/B) SAR]]+TABL12[[#This Row],[ (S/S) SAR]]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 (S/S) SAR]]-TABL12[[#This Row],[(S/S) AJD]]</f>
        <v>53</v>
      </c>
      <c r="Q106" s="3">
        <v>428</v>
      </c>
      <c r="R106" s="3">
        <f>TABL12[[#This Row],[ (T/B) SAR]]-TABL12[[#This Row],[(T/B) AJD]]</f>
        <v>-8</v>
      </c>
      <c r="S106" s="3">
        <f>TABL12[[#This Row],[S/S_CON.]]+TABL12[[#This Row],[T/B-CON.]]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TABL12[[#This Row],[( S/S+T/B) AJD]]-(TABL12[[#This Row],[(A/B + A/S) AJD]]+TABL12[[#This Row],[(STORGE DIFF.) AJD]]+(TABL12[[#This Row],[AJD_Evaporation]]))</f>
        <v>-3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Row],[(A/B) AJD]]-TABL12[[#This Row],[BER_IN]]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Row],[(A/S) AJD]]-TABL12[[#This Row],[SER_IN]]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 (T/B) SAR]]+TABL12[[#This Row],[ (S/S) SAR]]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 (S/S) SAR]]-TABL12[[#This Row],[(S/S) AJD]]</f>
        <v>48</v>
      </c>
      <c r="Q107" s="3">
        <v>431</v>
      </c>
      <c r="R107" s="3">
        <f>TABL12[[#This Row],[ (T/B) SAR]]-TABL12[[#This Row],[(T/B) AJD]]</f>
        <v>-14</v>
      </c>
      <c r="S107" s="3">
        <f>TABL12[[#This Row],[S/S_CON.]]+TABL12[[#This Row],[T/B-CON.]]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TABL12[[#This Row],[( S/S+T/B) AJD]]-(TABL12[[#This Row],[(A/B + A/S) AJD]]+TABL12[[#This Row],[(STORGE DIFF.) AJD]]+(TABL12[[#This Row],[AJD_Evaporation]]))</f>
        <v>4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Row],[(A/B) AJD]]-TABL12[[#This Row],[BER_IN]]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Row],[(A/S) AJD]]-TABL12[[#This Row],[SER_IN]]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 (T/B) SAR]]+TABL12[[#This Row],[ (S/S) SAR]]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 (S/S) SAR]]-TABL12[[#This Row],[(S/S) AJD]]</f>
        <v>50</v>
      </c>
      <c r="Q108" s="3">
        <v>431</v>
      </c>
      <c r="R108" s="3">
        <f>TABL12[[#This Row],[ (T/B) SAR]]-TABL12[[#This Row],[(T/B) AJD]]</f>
        <v>-13</v>
      </c>
      <c r="S108" s="3">
        <f>TABL12[[#This Row],[S/S_CON.]]+TABL12[[#This Row],[T/B-CON.]]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TABL12[[#This Row],[( S/S+T/B) AJD]]-(TABL12[[#This Row],[(A/B + A/S) AJD]]+TABL12[[#This Row],[(STORGE DIFF.) AJD]]+(TABL12[[#This Row],[AJD_Evaporation]]))</f>
        <v>-2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Row],[(A/B) AJD]]-TABL12[[#This Row],[BER_IN]]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Row],[(A/S) AJD]]-TABL12[[#This Row],[SER_IN]]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 (T/B) SAR]]+TABL12[[#This Row],[ (S/S) SAR]]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 (S/S) SAR]]-TABL12[[#This Row],[(S/S) AJD]]</f>
        <v>51</v>
      </c>
      <c r="Q109" s="3">
        <v>430</v>
      </c>
      <c r="R109" s="3">
        <f>TABL12[[#This Row],[ (T/B) SAR]]-TABL12[[#This Row],[(T/B) AJD]]</f>
        <v>-10</v>
      </c>
      <c r="S109" s="3">
        <f>TABL12[[#This Row],[S/S_CON.]]+TABL12[[#This Row],[T/B-CON.]]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TABL12[[#This Row],[( S/S+T/B) AJD]]-(TABL12[[#This Row],[(A/B + A/S) AJD]]+TABL12[[#This Row],[(STORGE DIFF.) AJD]]+(TABL12[[#This Row],[AJD_Evaporation]]))</f>
        <v>-1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Row],[(A/B) AJD]]-TABL12[[#This Row],[BER_IN]]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Row],[(A/S) AJD]]-TABL12[[#This Row],[SER_IN]]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 (T/B) SAR]]+TABL12[[#This Row],[ (S/S) SAR]]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 (S/S) SAR]]-TABL12[[#This Row],[(S/S) AJD]]</f>
        <v>48</v>
      </c>
      <c r="Q110" s="3">
        <v>430</v>
      </c>
      <c r="R110" s="3">
        <f>TABL12[[#This Row],[ (T/B) SAR]]-TABL12[[#This Row],[(T/B) AJD]]</f>
        <v>-13</v>
      </c>
      <c r="S110" s="3">
        <f>TABL12[[#This Row],[S/S_CON.]]+TABL12[[#This Row],[T/B-CON.]]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TABL12[[#This Row],[( S/S+T/B) AJD]]-(TABL12[[#This Row],[(A/B + A/S) AJD]]+TABL12[[#This Row],[(STORGE DIFF.) AJD]]+(TABL12[[#This Row],[AJD_Evaporation]]))</f>
        <v>-4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Row],[(A/B) AJD]]-TABL12[[#This Row],[BER_IN]]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Row],[(A/S) AJD]]-TABL12[[#This Row],[SER_IN]]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 (T/B) SAR]]+TABL12[[#This Row],[ (S/S) SAR]]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 (S/S) SAR]]-TABL12[[#This Row],[(S/S) AJD]]</f>
        <v>42</v>
      </c>
      <c r="Q111" s="3">
        <v>428</v>
      </c>
      <c r="R111" s="3">
        <f>TABL12[[#This Row],[ (T/B) SAR]]-TABL12[[#This Row],[(T/B) AJD]]</f>
        <v>-17</v>
      </c>
      <c r="S111" s="3">
        <f>TABL12[[#This Row],[S/S_CON.]]+TABL12[[#This Row],[T/B-CON.]]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TABL12[[#This Row],[( S/S+T/B) AJD]]-(TABL12[[#This Row],[(A/B + A/S) AJD]]+TABL12[[#This Row],[(STORGE DIFF.) AJD]]+(TABL12[[#This Row],[AJD_Evaporation]]))</f>
        <v>-5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Row],[(A/B) AJD]]-TABL12[[#This Row],[BER_IN]]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Row],[(A/S) AJD]]-TABL12[[#This Row],[SER_IN]]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 (T/B) SAR]]+TABL12[[#This Row],[ (S/S) SAR]]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 (S/S) SAR]]-TABL12[[#This Row],[(S/S) AJD]]</f>
        <v>52</v>
      </c>
      <c r="Q112" s="3">
        <v>427</v>
      </c>
      <c r="R112" s="3">
        <f>TABL12[[#This Row],[ (T/B) SAR]]-TABL12[[#This Row],[(T/B) AJD]]</f>
        <v>-10</v>
      </c>
      <c r="S112" s="3">
        <f>TABL12[[#This Row],[S/S_CON.]]+TABL12[[#This Row],[T/B-CON.]]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TABL12[[#This Row],[( S/S+T/B) AJD]]-(TABL12[[#This Row],[(A/B + A/S) AJD]]+TABL12[[#This Row],[(STORGE DIFF.) AJD]]+(TABL12[[#This Row],[AJD_Evaporation]]))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Row],[(A/B) AJD]]-TABL12[[#This Row],[BER_IN]]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Row],[(A/S) AJD]]-TABL12[[#This Row],[SER_IN]]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 (T/B) SAR]]+TABL12[[#This Row],[ (S/S) SAR]]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 (S/S) SAR]]-TABL12[[#This Row],[(S/S) AJD]]</f>
        <v>45</v>
      </c>
      <c r="Q113" s="3">
        <v>426</v>
      </c>
      <c r="R113" s="3">
        <f>TABL12[[#This Row],[ (T/B) SAR]]-TABL12[[#This Row],[(T/B) AJD]]</f>
        <v>-14</v>
      </c>
      <c r="S113" s="3">
        <f>TABL12[[#This Row],[S/S_CON.]]+TABL12[[#This Row],[T/B-CON.]]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TABL12[[#This Row],[( S/S+T/B) AJD]]-(TABL12[[#This Row],[(A/B + A/S) AJD]]+TABL12[[#This Row],[(STORGE DIFF.) AJD]]+(TABL12[[#This Row],[AJD_Evaporation]]))</f>
        <v>-4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Row],[(A/B) AJD]]-TABL12[[#This Row],[BER_IN]]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Row],[(A/S) AJD]]-TABL12[[#This Row],[SER_IN]]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 (T/B) SAR]]+TABL12[[#This Row],[ (S/S) SAR]]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 (S/S) SAR]]-TABL12[[#This Row],[(S/S) AJD]]</f>
        <v>52</v>
      </c>
      <c r="Q114" s="3">
        <v>426</v>
      </c>
      <c r="R114" s="3">
        <f>TABL12[[#This Row],[ (T/B) SAR]]-TABL12[[#This Row],[(T/B) AJD]]</f>
        <v>-9</v>
      </c>
      <c r="S114" s="3">
        <f>TABL12[[#This Row],[S/S_CON.]]+TABL12[[#This Row],[T/B-CON.]]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TABL12[[#This Row],[( S/S+T/B) AJD]]-(TABL12[[#This Row],[(A/B + A/S) AJD]]+TABL12[[#This Row],[(STORGE DIFF.) AJD]]+(TABL12[[#This Row],[AJD_Evaporation]]))</f>
        <v>-1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Row],[(A/B) AJD]]-TABL12[[#This Row],[BER_IN]]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Row],[(A/S) AJD]]-TABL12[[#This Row],[SER_IN]]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 (T/B) SAR]]+TABL12[[#This Row],[ (S/S) SAR]]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 (S/S) SAR]]-TABL12[[#This Row],[(S/S) AJD]]</f>
        <v>52</v>
      </c>
      <c r="Q115" s="3">
        <v>426</v>
      </c>
      <c r="R115" s="3">
        <f>TABL12[[#This Row],[ (T/B) SAR]]-TABL12[[#This Row],[(T/B) AJD]]</f>
        <v>-10</v>
      </c>
      <c r="S115" s="3">
        <f>TABL12[[#This Row],[S/S_CON.]]+TABL12[[#This Row],[T/B-CON.]]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TABL12[[#This Row],[( S/S+T/B) AJD]]-(TABL12[[#This Row],[(A/B + A/S) AJD]]+TABL12[[#This Row],[(STORGE DIFF.) AJD]]+(TABL12[[#This Row],[AJD_Evaporation]]))</f>
        <v>-3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Row],[(A/B) AJD]]-TABL12[[#This Row],[BER_IN]]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Row],[(A/S) AJD]]-TABL12[[#This Row],[SER_IN]]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 (T/B) SAR]]+TABL12[[#This Row],[ (S/S) SAR]]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 (S/S) SAR]]-TABL12[[#This Row],[(S/S) AJD]]</f>
        <v>51</v>
      </c>
      <c r="Q116" s="3">
        <v>427</v>
      </c>
      <c r="R116" s="3">
        <f>TABL12[[#This Row],[ (T/B) SAR]]-TABL12[[#This Row],[(T/B) AJD]]</f>
        <v>-10</v>
      </c>
      <c r="S116" s="3">
        <f>TABL12[[#This Row],[S/S_CON.]]+TABL12[[#This Row],[T/B-CON.]]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TABL12[[#This Row],[( S/S+T/B) AJD]]-(TABL12[[#This Row],[(A/B + A/S) AJD]]+TABL12[[#This Row],[(STORGE DIFF.) AJD]]+(TABL12[[#This Row],[AJD_Evaporation]]))</f>
        <v>-1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Row],[(A/B) AJD]]-TABL12[[#This Row],[BER_IN]]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Row],[(A/S) AJD]]-TABL12[[#This Row],[SER_IN]]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 (T/B) SAR]]+TABL12[[#This Row],[ (S/S) SAR]]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 (S/S) SAR]]-TABL12[[#This Row],[(S/S) AJD]]</f>
        <v>49</v>
      </c>
      <c r="Q117" s="3">
        <v>427</v>
      </c>
      <c r="R117" s="3">
        <f>TABL12[[#This Row],[ (T/B) SAR]]-TABL12[[#This Row],[(T/B) AJD]]</f>
        <v>-12</v>
      </c>
      <c r="S117" s="3">
        <f>TABL12[[#This Row],[S/S_CON.]]+TABL12[[#This Row],[T/B-CON.]]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TABL12[[#This Row],[( S/S+T/B) AJD]]-(TABL12[[#This Row],[(A/B + A/S) AJD]]+TABL12[[#This Row],[(STORGE DIFF.) AJD]]+(TABL12[[#This Row],[AJD_Evaporation]]))</f>
        <v>-3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Row],[(A/B) AJD]]-TABL12[[#This Row],[BER_IN]]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Row],[(A/S) AJD]]-TABL12[[#This Row],[SER_IN]]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 (T/B) SAR]]+TABL12[[#This Row],[ (S/S) SAR]]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 (S/S) SAR]]-TABL12[[#This Row],[(S/S) AJD]]</f>
        <v>50</v>
      </c>
      <c r="Q118" s="3">
        <v>429</v>
      </c>
      <c r="R118" s="3">
        <f>TABL12[[#This Row],[ (T/B) SAR]]-TABL12[[#This Row],[(T/B) AJD]]</f>
        <v>-11</v>
      </c>
      <c r="S118" s="3">
        <f>TABL12[[#This Row],[S/S_CON.]]+TABL12[[#This Row],[T/B-CON.]]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TABL12[[#This Row],[( S/S+T/B) AJD]]-(TABL12[[#This Row],[(A/B + A/S) AJD]]+TABL12[[#This Row],[(STORGE DIFF.) AJD]]+(TABL12[[#This Row],[AJD_Evaporation]]))</f>
        <v>-4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Row],[(A/B) AJD]]-TABL12[[#This Row],[BER_IN]]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Row],[(A/S) AJD]]-TABL12[[#This Row],[SER_IN]]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 (T/B) SAR]]+TABL12[[#This Row],[ (S/S) SAR]]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 (S/S) SAR]]-TABL12[[#This Row],[(S/S) AJD]]</f>
        <v>49</v>
      </c>
      <c r="Q119" s="3">
        <v>428</v>
      </c>
      <c r="R119" s="3">
        <f>TABL12[[#This Row],[ (T/B) SAR]]-TABL12[[#This Row],[(T/B) AJD]]</f>
        <v>-12</v>
      </c>
      <c r="S119" s="3">
        <f>TABL12[[#This Row],[S/S_CON.]]+TABL12[[#This Row],[T/B-CON.]]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TABL12[[#This Row],[( S/S+T/B) AJD]]-(TABL12[[#This Row],[(A/B + A/S) AJD]]+TABL12[[#This Row],[(STORGE DIFF.) AJD]]+(TABL12[[#This Row],[AJD_Evaporation]]))</f>
        <v>-2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Row],[(A/B) AJD]]-TABL12[[#This Row],[BER_IN]]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Row],[(A/S) AJD]]-TABL12[[#This Row],[SER_IN]]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 (T/B) SAR]]+TABL12[[#This Row],[ (S/S) SAR]]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 (S/S) SAR]]-TABL12[[#This Row],[(S/S) AJD]]</f>
        <v>52</v>
      </c>
      <c r="Q120" s="3">
        <v>426</v>
      </c>
      <c r="R120" s="3">
        <f>TABL12[[#This Row],[ (T/B) SAR]]-TABL12[[#This Row],[(T/B) AJD]]</f>
        <v>-9</v>
      </c>
      <c r="S120" s="3">
        <f>TABL12[[#This Row],[S/S_CON.]]+TABL12[[#This Row],[T/B-CON.]]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TABL12[[#This Row],[( S/S+T/B) AJD]]-(TABL12[[#This Row],[(A/B + A/S) AJD]]+TABL12[[#This Row],[(STORGE DIFF.) AJD]]+(TABL12[[#This Row],[AJD_Evaporation]]))</f>
        <v>-2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Row],[(A/B) AJD]]-TABL12[[#This Row],[BER_IN]]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Row],[(A/S) AJD]]-TABL12[[#This Row],[SER_IN]]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 (T/B) SAR]]+TABL12[[#This Row],[ (S/S) SAR]]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 (S/S) SAR]]-TABL12[[#This Row],[(S/S) AJD]]</f>
        <v>50</v>
      </c>
      <c r="Q121" s="3">
        <v>427</v>
      </c>
      <c r="R121" s="3">
        <f>TABL12[[#This Row],[ (T/B) SAR]]-TABL12[[#This Row],[(T/B) AJD]]</f>
        <v>-12</v>
      </c>
      <c r="S121" s="3">
        <f>TABL12[[#This Row],[S/S_CON.]]+TABL12[[#This Row],[T/B-CON.]]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TABL12[[#This Row],[( S/S+T/B) AJD]]-(TABL12[[#This Row],[(A/B + A/S) AJD]]+TABL12[[#This Row],[(STORGE DIFF.) AJD]]+(TABL12[[#This Row],[AJD_Evaporation]]))</f>
        <v>-2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Row],[(A/B) AJD]]-TABL12[[#This Row],[BER_IN]]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Row],[(A/S) AJD]]-TABL12[[#This Row],[SER_IN]]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 (T/B) SAR]]+TABL12[[#This Row],[ (S/S) SAR]]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 (S/S) SAR]]-TABL12[[#This Row],[(S/S) AJD]]</f>
        <v>49</v>
      </c>
      <c r="Q122" s="3">
        <v>426</v>
      </c>
      <c r="R122" s="3">
        <f>TABL12[[#This Row],[ (T/B) SAR]]-TABL12[[#This Row],[(T/B) AJD]]</f>
        <v>-12</v>
      </c>
      <c r="S122" s="3">
        <f>TABL12[[#This Row],[S/S_CON.]]+TABL12[[#This Row],[T/B-CON.]]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TABL12[[#This Row],[( S/S+T/B) AJD]]-(TABL12[[#This Row],[(A/B + A/S) AJD]]+TABL12[[#This Row],[(STORGE DIFF.) AJD]]+(TABL12[[#This Row],[AJD_Evaporation]]))</f>
        <v>2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Row],[(A/B) AJD]]-TABL12[[#This Row],[BER_IN]]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Row],[(A/S) AJD]]-TABL12[[#This Row],[SER_IN]]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 (T/B) SAR]]+TABL12[[#This Row],[ (S/S) SAR]]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 (S/S) SAR]]-TABL12[[#This Row],[(S/S) AJD]]</f>
        <v>50</v>
      </c>
      <c r="Q123" s="3">
        <v>427</v>
      </c>
      <c r="R123" s="3">
        <f>TABL12[[#This Row],[ (T/B) SAR]]-TABL12[[#This Row],[(T/B) AJD]]</f>
        <v>-12</v>
      </c>
      <c r="S123" s="3">
        <f>TABL12[[#This Row],[S/S_CON.]]+TABL12[[#This Row],[T/B-CON.]]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TABL12[[#This Row],[( S/S+T/B) AJD]]-(TABL12[[#This Row],[(A/B + A/S) AJD]]+TABL12[[#This Row],[(STORGE DIFF.) AJD]]+(TABL12[[#This Row],[AJD_Evaporation]]))</f>
        <v>-2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Row],[(A/B) AJD]]-TABL12[[#This Row],[BER_IN]]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Row],[(A/S) AJD]]-TABL12[[#This Row],[SER_IN]]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 (T/B) SAR]]+TABL12[[#This Row],[ (S/S) SAR]]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 (S/S) SAR]]-TABL12[[#This Row],[(S/S) AJD]]</f>
        <v>45</v>
      </c>
      <c r="Q124" s="3">
        <v>430</v>
      </c>
      <c r="R124" s="3">
        <f>TABL12[[#This Row],[ (T/B) SAR]]-TABL12[[#This Row],[(T/B) AJD]]</f>
        <v>-14</v>
      </c>
      <c r="S124" s="3">
        <f>TABL12[[#This Row],[S/S_CON.]]+TABL12[[#This Row],[T/B-CON.]]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TABL12[[#This Row],[( S/S+T/B) AJD]]-(TABL12[[#This Row],[(A/B + A/S) AJD]]+TABL12[[#This Row],[(STORGE DIFF.) AJD]]+(TABL12[[#This Row],[AJD_Evaporation]]))</f>
        <v>-1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Row],[(A/B) AJD]]-TABL12[[#This Row],[BER_IN]]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Row],[(A/S) AJD]]-TABL12[[#This Row],[SER_IN]]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 (T/B) SAR]]+TABL12[[#This Row],[ (S/S) SAR]]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 (S/S) SAR]]-TABL12[[#This Row],[(S/S) AJD]]</f>
        <v>49</v>
      </c>
      <c r="Q125" s="3">
        <v>429</v>
      </c>
      <c r="R125" s="3">
        <f>TABL12[[#This Row],[ (T/B) SAR]]-TABL12[[#This Row],[(T/B) AJD]]</f>
        <v>-14</v>
      </c>
      <c r="S125" s="3">
        <f>TABL12[[#This Row],[S/S_CON.]]+TABL12[[#This Row],[T/B-CON.]]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TABL12[[#This Row],[( S/S+T/B) AJD]]-(TABL12[[#This Row],[(A/B + A/S) AJD]]+TABL12[[#This Row],[(STORGE DIFF.) AJD]]+(TABL12[[#This Row],[AJD_Evaporation]]))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Row],[(A/B) AJD]]-TABL12[[#This Row],[BER_IN]]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Row],[(A/S) AJD]]-TABL12[[#This Row],[SER_IN]]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 (T/B) SAR]]+TABL12[[#This Row],[ (S/S) SAR]]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 (S/S) SAR]]-TABL12[[#This Row],[(S/S) AJD]]</f>
        <v>52</v>
      </c>
      <c r="Q126" s="3">
        <v>428</v>
      </c>
      <c r="R126" s="3">
        <f>TABL12[[#This Row],[ (T/B) SAR]]-TABL12[[#This Row],[(T/B) AJD]]</f>
        <v>-11</v>
      </c>
      <c r="S126" s="3">
        <f>TABL12[[#This Row],[S/S_CON.]]+TABL12[[#This Row],[T/B-CON.]]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TABL12[[#This Row],[( S/S+T/B) AJD]]-(TABL12[[#This Row],[(A/B + A/S) AJD]]+TABL12[[#This Row],[(STORGE DIFF.) AJD]]+(TABL12[[#This Row],[AJD_Evaporation]]))</f>
        <v>-4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Row],[(A/B) AJD]]-TABL12[[#This Row],[BER_IN]]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Row],[(A/S) AJD]]-TABL12[[#This Row],[SER_IN]]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 (T/B) SAR]]+TABL12[[#This Row],[ (S/S) SAR]]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 (S/S) SAR]]-TABL12[[#This Row],[(S/S) AJD]]</f>
        <v>47</v>
      </c>
      <c r="Q127" s="3">
        <v>429</v>
      </c>
      <c r="R127" s="3">
        <f>TABL12[[#This Row],[ (T/B) SAR]]-TABL12[[#This Row],[(T/B) AJD]]</f>
        <v>-16</v>
      </c>
      <c r="S127" s="3">
        <f>TABL12[[#This Row],[S/S_CON.]]+TABL12[[#This Row],[T/B-CON.]]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TABL12[[#This Row],[( S/S+T/B) AJD]]-(TABL12[[#This Row],[(A/B + A/S) AJD]]+TABL12[[#This Row],[(STORGE DIFF.) AJD]]+(TABL12[[#This Row],[AJD_Evaporation]]))</f>
        <v>-5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Row],[(A/B) AJD]]-TABL12[[#This Row],[BER_IN]]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Row],[(A/S) AJD]]-TABL12[[#This Row],[SER_IN]]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 (T/B) SAR]]+TABL12[[#This Row],[ (S/S) SAR]]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 (S/S) SAR]]-TABL12[[#This Row],[(S/S) AJD]]</f>
        <v>51</v>
      </c>
      <c r="Q128" s="3">
        <v>430</v>
      </c>
      <c r="R128" s="3">
        <f>TABL12[[#This Row],[ (T/B) SAR]]-TABL12[[#This Row],[(T/B) AJD]]</f>
        <v>-11</v>
      </c>
      <c r="S128" s="3">
        <f>TABL12[[#This Row],[S/S_CON.]]+TABL12[[#This Row],[T/B-CON.]]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TABL12[[#This Row],[( S/S+T/B) AJD]]-(TABL12[[#This Row],[(A/B + A/S) AJD]]+TABL12[[#This Row],[(STORGE DIFF.) AJD]]+(TABL12[[#This Row],[AJD_Evaporation]]))</f>
        <v>-2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Row],[(A/B) AJD]]-TABL12[[#This Row],[BER_IN]]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Row],[(A/S) AJD]]-TABL12[[#This Row],[SER_IN]]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 (T/B) SAR]]+TABL12[[#This Row],[ (S/S) SAR]]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 (S/S) SAR]]-TABL12[[#This Row],[(S/S) AJD]]</f>
        <v>54</v>
      </c>
      <c r="Q129" s="3">
        <v>429</v>
      </c>
      <c r="R129" s="3">
        <f>TABL12[[#This Row],[ (T/B) SAR]]-TABL12[[#This Row],[(T/B) AJD]]</f>
        <v>-9</v>
      </c>
      <c r="S129" s="3">
        <f>TABL12[[#This Row],[S/S_CON.]]+TABL12[[#This Row],[T/B-CON.]]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TABL12[[#This Row],[( S/S+T/B) AJD]]-(TABL12[[#This Row],[(A/B + A/S) AJD]]+TABL12[[#This Row],[(STORGE DIFF.) AJD]]+(TABL12[[#This Row],[AJD_Evaporation]]))</f>
        <v>-2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Row],[(A/B) AJD]]-TABL12[[#This Row],[BER_IN]]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Row],[(A/S) AJD]]-TABL12[[#This Row],[SER_IN]]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 (T/B) SAR]]+TABL12[[#This Row],[ (S/S) SAR]]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 (S/S) SAR]]-TABL12[[#This Row],[(S/S) AJD]]</f>
        <v>45</v>
      </c>
      <c r="Q130" s="3">
        <v>435</v>
      </c>
      <c r="R130" s="3">
        <f>TABL12[[#This Row],[ (T/B) SAR]]-TABL12[[#This Row],[(T/B) AJD]]</f>
        <v>-15</v>
      </c>
      <c r="S130" s="3">
        <f>TABL12[[#This Row],[S/S_CON.]]+TABL12[[#This Row],[T/B-CON.]]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TABL12[[#This Row],[( S/S+T/B) AJD]]-(TABL12[[#This Row],[(A/B + A/S) AJD]]+TABL12[[#This Row],[(STORGE DIFF.) AJD]]+(TABL12[[#This Row],[AJD_Evaporation]]))</f>
        <v>-5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Row],[(A/B) AJD]]-TABL12[[#This Row],[BER_IN]]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Row],[(A/S) AJD]]-TABL12[[#This Row],[SER_IN]]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 (T/B) SAR]]+TABL12[[#This Row],[ (S/S) SAR]]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 (S/S) SAR]]-TABL12[[#This Row],[(S/S) AJD]]</f>
        <v>52</v>
      </c>
      <c r="Q131" s="3">
        <v>430</v>
      </c>
      <c r="R131" s="3">
        <f>TABL12[[#This Row],[ (T/B) SAR]]-TABL12[[#This Row],[(T/B) AJD]]</f>
        <v>-10</v>
      </c>
      <c r="S131" s="3">
        <f>TABL12[[#This Row],[S/S_CON.]]+TABL12[[#This Row],[T/B-CON.]]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TABL12[[#This Row],[( S/S+T/B) AJD]]-(TABL12[[#This Row],[(A/B + A/S) AJD]]+TABL12[[#This Row],[(STORGE DIFF.) AJD]]+(TABL12[[#This Row],[AJD_Evaporation]]))</f>
        <v>-3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Row],[(A/B) AJD]]-TABL12[[#This Row],[BER_IN]]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Row],[(A/S) AJD]]-TABL12[[#This Row],[SER_IN]]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 (T/B) SAR]]+TABL12[[#This Row],[ (S/S) SAR]]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 (S/S) SAR]]-TABL12[[#This Row],[(S/S) AJD]]</f>
        <v>50</v>
      </c>
      <c r="Q132" s="3">
        <v>430</v>
      </c>
      <c r="R132" s="3">
        <f>TABL12[[#This Row],[ (T/B) SAR]]-TABL12[[#This Row],[(T/B) AJD]]</f>
        <v>-13</v>
      </c>
      <c r="S132" s="3">
        <f>TABL12[[#This Row],[S/S_CON.]]+TABL12[[#This Row],[T/B-CON.]]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TABL12[[#This Row],[( S/S+T/B) AJD]]-(TABL12[[#This Row],[(A/B + A/S) AJD]]+TABL12[[#This Row],[(STORGE DIFF.) AJD]]+(TABL12[[#This Row],[AJD_Evaporation]]))</f>
        <v>9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Row],[(A/B) AJD]]-TABL12[[#This Row],[BER_IN]]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Row],[(A/S) AJD]]-TABL12[[#This Row],[SER_IN]]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 (T/B) SAR]]+TABL12[[#This Row],[ (S/S) SAR]]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 (S/S) SAR]]-TABL12[[#This Row],[(S/S) AJD]]</f>
        <v>51</v>
      </c>
      <c r="Q133" s="3">
        <v>429</v>
      </c>
      <c r="R133" s="3">
        <f>TABL12[[#This Row],[ (T/B) SAR]]-TABL12[[#This Row],[(T/B) AJD]]</f>
        <v>-12</v>
      </c>
      <c r="S133" s="3">
        <f>TABL12[[#This Row],[S/S_CON.]]+TABL12[[#This Row],[T/B-CON.]]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TABL12[[#This Row],[( S/S+T/B) AJD]]-(TABL12[[#This Row],[(A/B + A/S) AJD]]+TABL12[[#This Row],[(STORGE DIFF.) AJD]]+(TABL12[[#This Row],[AJD_Evaporation]]))</f>
        <v>-2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Row],[(A/B) AJD]]-TABL12[[#This Row],[BER_IN]]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Row],[(A/S) AJD]]-TABL12[[#This Row],[SER_IN]]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 (T/B) SAR]]+TABL12[[#This Row],[ (S/S) SAR]]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 (S/S) SAR]]-TABL12[[#This Row],[(S/S) AJD]]</f>
        <v>49</v>
      </c>
      <c r="Q134" s="3">
        <v>429</v>
      </c>
      <c r="R134" s="3">
        <f>TABL12[[#This Row],[ (T/B) SAR]]-TABL12[[#This Row],[(T/B) AJD]]</f>
        <v>-11</v>
      </c>
      <c r="S134" s="3">
        <f>TABL12[[#This Row],[S/S_CON.]]+TABL12[[#This Row],[T/B-CON.]]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TABL12[[#This Row],[( S/S+T/B) AJD]]-(TABL12[[#This Row],[(A/B + A/S) AJD]]+TABL12[[#This Row],[(STORGE DIFF.) AJD]]+(TABL12[[#This Row],[AJD_Evaporation]]))</f>
        <v>-3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Row],[(A/B) AJD]]-TABL12[[#This Row],[BER_IN]]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Row],[(A/S) AJD]]-TABL12[[#This Row],[SER_IN]]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 (T/B) SAR]]+TABL12[[#This Row],[ (S/S) SAR]]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 (S/S) SAR]]-TABL12[[#This Row],[(S/S) AJD]]</f>
        <v>51</v>
      </c>
      <c r="Q135" s="3">
        <v>430</v>
      </c>
      <c r="R135" s="3">
        <f>TABL12[[#This Row],[ (T/B) SAR]]-TABL12[[#This Row],[(T/B) AJD]]</f>
        <v>-12</v>
      </c>
      <c r="S135" s="3">
        <f>TABL12[[#This Row],[S/S_CON.]]+TABL12[[#This Row],[T/B-CON.]]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TABL12[[#This Row],[( S/S+T/B) AJD]]-(TABL12[[#This Row],[(A/B + A/S) AJD]]+TABL12[[#This Row],[(STORGE DIFF.) AJD]]+(TABL12[[#This Row],[AJD_Evaporation]]))</f>
        <v>-3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Row],[(A/B) AJD]]-TABL12[[#This Row],[BER_IN]]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Row],[(A/S) AJD]]-TABL12[[#This Row],[SER_IN]]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 (T/B) SAR]]+TABL12[[#This Row],[ (S/S) SAR]]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 (S/S) SAR]]-TABL12[[#This Row],[(S/S) AJD]]</f>
        <v>52</v>
      </c>
      <c r="Q136" s="3">
        <v>431</v>
      </c>
      <c r="R136" s="3">
        <f>TABL12[[#This Row],[ (T/B) SAR]]-TABL12[[#This Row],[(T/B) AJD]]</f>
        <v>-6</v>
      </c>
      <c r="S136" s="3">
        <f>TABL12[[#This Row],[S/S_CON.]]+TABL12[[#This Row],[T/B-CON.]]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TABL12[[#This Row],[( S/S+T/B) AJD]]-(TABL12[[#This Row],[(A/B + A/S) AJD]]+TABL12[[#This Row],[(STORGE DIFF.) AJD]]+(TABL12[[#This Row],[AJD_Evaporation]]))</f>
        <v>-1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Row],[(A/B) AJD]]-TABL12[[#This Row],[BER_IN]]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Row],[(A/S) AJD]]-TABL12[[#This Row],[SER_IN]]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 (T/B) SAR]]+TABL12[[#This Row],[ (S/S) SAR]]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 (S/S) SAR]]-TABL12[[#This Row],[(S/S) AJD]]</f>
        <v>48</v>
      </c>
      <c r="Q137" s="3">
        <v>435</v>
      </c>
      <c r="R137" s="3">
        <f>TABL12[[#This Row],[ (T/B) SAR]]-TABL12[[#This Row],[(T/B) AJD]]</f>
        <v>-15</v>
      </c>
      <c r="S137" s="3">
        <f>TABL12[[#This Row],[S/S_CON.]]+TABL12[[#This Row],[T/B-CON.]]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TABL12[[#This Row],[( S/S+T/B) AJD]]-(TABL12[[#This Row],[(A/B + A/S) AJD]]+TABL12[[#This Row],[(STORGE DIFF.) AJD]]+(TABL12[[#This Row],[AJD_Evaporation]]))</f>
        <v>-5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Row],[(A/B) AJD]]-TABL12[[#This Row],[BER_IN]]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Row],[(A/S) AJD]]-TABL12[[#This Row],[SER_IN]]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 (T/B) SAR]]+TABL12[[#This Row],[ (S/S) SAR]]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 (S/S) SAR]]-TABL12[[#This Row],[(S/S) AJD]]</f>
        <v>46</v>
      </c>
      <c r="Q138" s="3">
        <v>432</v>
      </c>
      <c r="R138" s="3">
        <f>TABL12[[#This Row],[ (T/B) SAR]]-TABL12[[#This Row],[(T/B) AJD]]</f>
        <v>-12</v>
      </c>
      <c r="S138" s="3">
        <f>TABL12[[#This Row],[S/S_CON.]]+TABL12[[#This Row],[T/B-CON.]]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TABL12[[#This Row],[( S/S+T/B) AJD]]-(TABL12[[#This Row],[(A/B + A/S) AJD]]+TABL12[[#This Row],[(STORGE DIFF.) AJD]]+(TABL12[[#This Row],[AJD_Evaporation]]))</f>
        <v>4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Row],[(A/B) AJD]]-TABL12[[#This Row],[BER_IN]]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Row],[(A/S) AJD]]-TABL12[[#This Row],[SER_IN]]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 (T/B) SAR]]+TABL12[[#This Row],[ (S/S) SAR]]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 (S/S) SAR]]-TABL12[[#This Row],[(S/S) AJD]]</f>
        <v>47</v>
      </c>
      <c r="Q139" s="3">
        <v>430</v>
      </c>
      <c r="R139" s="3">
        <f>TABL12[[#This Row],[ (T/B) SAR]]-TABL12[[#This Row],[(T/B) AJD]]</f>
        <v>-10</v>
      </c>
      <c r="S139" s="3">
        <f>TABL12[[#This Row],[S/S_CON.]]+TABL12[[#This Row],[T/B-CON.]]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TABL12[[#This Row],[( S/S+T/B) AJD]]-(TABL12[[#This Row],[(A/B + A/S) AJD]]+TABL12[[#This Row],[(STORGE DIFF.) AJD]]+(TABL12[[#This Row],[AJD_Evaporation]]))</f>
        <v>-3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Row],[(A/B) AJD]]-TABL12[[#This Row],[BER_IN]]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Row],[(A/S) AJD]]-TABL12[[#This Row],[SER_IN]]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 (T/B) SAR]]+TABL12[[#This Row],[ (S/S) SAR]]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 (S/S) SAR]]-TABL12[[#This Row],[(S/S) AJD]]</f>
        <v>45</v>
      </c>
      <c r="Q140" s="3">
        <v>426</v>
      </c>
      <c r="R140" s="3">
        <f>TABL12[[#This Row],[ (T/B) SAR]]-TABL12[[#This Row],[(T/B) AJD]]</f>
        <v>11</v>
      </c>
      <c r="S140" s="3">
        <f>TABL12[[#This Row],[S/S_CON.]]+TABL12[[#This Row],[T/B-CON.]]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TABL12[[#This Row],[( S/S+T/B) AJD]]-(TABL12[[#This Row],[(A/B + A/S) AJD]]+TABL12[[#This Row],[(STORGE DIFF.) AJD]]+(TABL12[[#This Row],[AJD_Evaporation]]))</f>
        <v>12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Row],[(A/B) AJD]]-TABL12[[#This Row],[BER_IN]]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Row],[(A/S) AJD]]-TABL12[[#This Row],[SER_IN]]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 (T/B) SAR]]+TABL12[[#This Row],[ (S/S) SAR]]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 (S/S) SAR]]-TABL12[[#This Row],[(S/S) AJD]]</f>
        <v>49</v>
      </c>
      <c r="Q141" s="3">
        <v>427</v>
      </c>
      <c r="R141" s="3">
        <f>TABL12[[#This Row],[ (T/B) SAR]]-TABL12[[#This Row],[(T/B) AJD]]</f>
        <v>-9</v>
      </c>
      <c r="S141" s="3">
        <f>TABL12[[#This Row],[S/S_CON.]]+TABL12[[#This Row],[T/B-CON.]]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TABL12[[#This Row],[( S/S+T/B) AJD]]-(TABL12[[#This Row],[(A/B + A/S) AJD]]+TABL12[[#This Row],[(STORGE DIFF.) AJD]]+(TABL12[[#This Row],[AJD_Evaporation]]))</f>
        <v>3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Row],[(A/B) AJD]]-TABL12[[#This Row],[BER_IN]]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Row],[(A/S) AJD]]-TABL12[[#This Row],[SER_IN]]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 (T/B) SAR]]+TABL12[[#This Row],[ (S/S) SAR]]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 (S/S) SAR]]-TABL12[[#This Row],[(S/S) AJD]]</f>
        <v>51</v>
      </c>
      <c r="Q142" s="3">
        <v>427</v>
      </c>
      <c r="R142" s="3">
        <f>TABL12[[#This Row],[ (T/B) SAR]]-TABL12[[#This Row],[(T/B) AJD]]</f>
        <v>-9</v>
      </c>
      <c r="S142" s="3">
        <f>TABL12[[#This Row],[S/S_CON.]]+TABL12[[#This Row],[T/B-CON.]]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TABL12[[#This Row],[( S/S+T/B) AJD]]-(TABL12[[#This Row],[(A/B + A/S) AJD]]+TABL12[[#This Row],[(STORGE DIFF.) AJD]]+(TABL12[[#This Row],[AJD_Evaporation]]))</f>
        <v>1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Row],[(A/B) AJD]]-TABL12[[#This Row],[BER_IN]]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Row],[(A/S) AJD]]-TABL12[[#This Row],[SER_IN]]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 (T/B) SAR]]+TABL12[[#This Row],[ (S/S) SAR]]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 (S/S) SAR]]-TABL12[[#This Row],[(S/S) AJD]]</f>
        <v>50</v>
      </c>
      <c r="Q143" s="3">
        <v>426</v>
      </c>
      <c r="R143" s="3">
        <f>TABL12[[#This Row],[ (T/B) SAR]]-TABL12[[#This Row],[(T/B) AJD]]</f>
        <v>-11</v>
      </c>
      <c r="S143" s="3">
        <f>TABL12[[#This Row],[S/S_CON.]]+TABL12[[#This Row],[T/B-CON.]]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TABL12[[#This Row],[( S/S+T/B) AJD]]-(TABL12[[#This Row],[(A/B + A/S) AJD]]+TABL12[[#This Row],[(STORGE DIFF.) AJD]]+(TABL12[[#This Row],[AJD_Evaporation]]))</f>
        <v>2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Row],[(A/B) AJD]]-TABL12[[#This Row],[BER_IN]]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Row],[(A/S) AJD]]-TABL12[[#This Row],[SER_IN]]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 (T/B) SAR]]+TABL12[[#This Row],[ (S/S) SAR]]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 (S/S) SAR]]-TABL12[[#This Row],[(S/S) AJD]]</f>
        <v>47</v>
      </c>
      <c r="Q144" s="3">
        <v>422</v>
      </c>
      <c r="R144" s="3">
        <f>TABL12[[#This Row],[ (T/B) SAR]]-TABL12[[#This Row],[(T/B) AJD]]</f>
        <v>-12</v>
      </c>
      <c r="S144" s="3">
        <f>TABL12[[#This Row],[S/S_CON.]]+TABL12[[#This Row],[T/B-CON.]]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TABL12[[#This Row],[( S/S+T/B) AJD]]-(TABL12[[#This Row],[(A/B + A/S) AJD]]+TABL12[[#This Row],[(STORGE DIFF.) AJD]]+(TABL12[[#This Row],[AJD_Evaporation]]))</f>
        <v>-1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Row],[(A/B) AJD]]-TABL12[[#This Row],[BER_IN]]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Row],[(A/S) AJD]]-TABL12[[#This Row],[SER_IN]]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 (T/B) SAR]]+TABL12[[#This Row],[ (S/S) SAR]]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 (S/S) SAR]]-TABL12[[#This Row],[(S/S) AJD]]</f>
        <v>-47</v>
      </c>
      <c r="Q145" s="3">
        <v>314</v>
      </c>
      <c r="R145" s="3">
        <f>TABL12[[#This Row],[ (T/B) SAR]]-TABL12[[#This Row],[(T/B) AJD]]</f>
        <v>-30</v>
      </c>
      <c r="S145" s="3">
        <f>TABL12[[#This Row],[S/S_CON.]]+TABL12[[#This Row],[T/B-CON.]]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TABL12[[#This Row],[( S/S+T/B) AJD]]-(TABL12[[#This Row],[(A/B + A/S) AJD]]+TABL12[[#This Row],[(STORGE DIFF.) AJD]]+(TABL12[[#This Row],[AJD_Evaporation]]))</f>
        <v>-88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Row],[(A/B) AJD]]-TABL12[[#This Row],[BER_IN]]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Row],[(A/S) AJD]]-TABL12[[#This Row],[SER_IN]]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 (T/B) SAR]]+TABL12[[#This Row],[ (S/S) SAR]]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 (S/S) SAR]]-TABL12[[#This Row],[(S/S) AJD]]</f>
        <v>95</v>
      </c>
      <c r="Q146" s="3">
        <v>312</v>
      </c>
      <c r="R146" s="3">
        <f>TABL12[[#This Row],[ (T/B) SAR]]-TABL12[[#This Row],[(T/B) AJD]]</f>
        <v>62</v>
      </c>
      <c r="S146" s="3">
        <f>TABL12[[#This Row],[S/S_CON.]]+TABL12[[#This Row],[T/B-CON.]]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TABL12[[#This Row],[( S/S+T/B) AJD]]-(TABL12[[#This Row],[(A/B + A/S) AJD]]+TABL12[[#This Row],[(STORGE DIFF.) AJD]]+(TABL12[[#This Row],[AJD_Evaporation]]))</f>
        <v>-1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Row],[(A/B) AJD]]-TABL12[[#This Row],[BER_IN]]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Row],[(A/S) AJD]]-TABL12[[#This Row],[SER_IN]]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 (T/B) SAR]]+TABL12[[#This Row],[ (S/S) SAR]]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 (S/S) SAR]]-TABL12[[#This Row],[(S/S) AJD]]</f>
        <v>57</v>
      </c>
      <c r="Q147" s="3">
        <v>366</v>
      </c>
      <c r="R147" s="3">
        <f>TABL12[[#This Row],[ (T/B) SAR]]-TABL12[[#This Row],[(T/B) AJD]]</f>
        <v>32</v>
      </c>
      <c r="S147" s="3">
        <f>TABL12[[#This Row],[S/S_CON.]]+TABL12[[#This Row],[T/B-CON.]]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TABL12[[#This Row],[( S/S+T/B) AJD]]-(TABL12[[#This Row],[(A/B + A/S) AJD]]+TABL12[[#This Row],[(STORGE DIFF.) AJD]]+(TABL12[[#This Row],[AJD_Evaporation]]))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Row],[(A/B) AJD]]-TABL12[[#This Row],[BER_IN]]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Row],[(A/S) AJD]]-TABL12[[#This Row],[SER_IN]]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 (T/B) SAR]]+TABL12[[#This Row],[ (S/S) SAR]]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 (S/S) SAR]]-TABL12[[#This Row],[(S/S) AJD]]</f>
        <v>61</v>
      </c>
      <c r="Q148" s="3">
        <v>377</v>
      </c>
      <c r="R148" s="3">
        <f>TABL12[[#This Row],[ (T/B) SAR]]-TABL12[[#This Row],[(T/B) AJD]]</f>
        <v>32</v>
      </c>
      <c r="S148" s="3">
        <f>TABL12[[#This Row],[S/S_CON.]]+TABL12[[#This Row],[T/B-CON.]]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TABL12[[#This Row],[( S/S+T/B) AJD]]-(TABL12[[#This Row],[(A/B + A/S) AJD]]+TABL12[[#This Row],[(STORGE DIFF.) AJD]]+(TABL12[[#This Row],[AJD_Evaporation]]))</f>
        <v>-1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Row],[(A/B) AJD]]-TABL12[[#This Row],[BER_IN]]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Row],[(A/S) AJD]]-TABL12[[#This Row],[SER_IN]]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 (T/B) SAR]]+TABL12[[#This Row],[ (S/S) SAR]]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 (S/S) SAR]]-TABL12[[#This Row],[(S/S) AJD]]</f>
        <v>62</v>
      </c>
      <c r="Q149" s="3">
        <v>392</v>
      </c>
      <c r="R149" s="3">
        <f>TABL12[[#This Row],[ (T/B) SAR]]-TABL12[[#This Row],[(T/B) AJD]]</f>
        <v>26</v>
      </c>
      <c r="S149" s="3">
        <f>TABL12[[#This Row],[S/S_CON.]]+TABL12[[#This Row],[T/B-CON.]]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TABL12[[#This Row],[( S/S+T/B) AJD]]-(TABL12[[#This Row],[(A/B + A/S) AJD]]+TABL12[[#This Row],[(STORGE DIFF.) AJD]]+(TABL12[[#This Row],[AJD_Evaporation]]))</f>
        <v>-3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Row],[(A/B) AJD]]-TABL12[[#This Row],[BER_IN]]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Row],[(A/S) AJD]]-TABL12[[#This Row],[SER_IN]]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 (T/B) SAR]]+TABL12[[#This Row],[ (S/S) SAR]]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 (S/S) SAR]]-TABL12[[#This Row],[(S/S) AJD]]</f>
        <v>59</v>
      </c>
      <c r="Q150" s="3">
        <v>404</v>
      </c>
      <c r="R150" s="3">
        <f>TABL12[[#This Row],[ (T/B) SAR]]-TABL12[[#This Row],[(T/B) AJD]]</f>
        <v>16</v>
      </c>
      <c r="S150" s="3">
        <f>TABL12[[#This Row],[S/S_CON.]]+TABL12[[#This Row],[T/B-CON.]]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TABL12[[#This Row],[( S/S+T/B) AJD]]-(TABL12[[#This Row],[(A/B + A/S) AJD]]+TABL12[[#This Row],[(STORGE DIFF.) AJD]]+(TABL12[[#This Row],[AJD_Evaporation]]))</f>
        <v>-1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Row],[(A/B) AJD]]-TABL12[[#This Row],[BER_IN]]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Row],[(A/S) AJD]]-TABL12[[#This Row],[SER_IN]]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 (T/B) SAR]]+TABL12[[#This Row],[ (S/S) SAR]]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 (S/S) SAR]]-TABL12[[#This Row],[(S/S) AJD]]</f>
        <v>53</v>
      </c>
      <c r="Q151" s="3">
        <v>409</v>
      </c>
      <c r="R151" s="3">
        <f>TABL12[[#This Row],[ (T/B) SAR]]-TABL12[[#This Row],[(T/B) AJD]]</f>
        <v>10</v>
      </c>
      <c r="S151" s="3">
        <f>TABL12[[#This Row],[S/S_CON.]]+TABL12[[#This Row],[T/B-CON.]]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TABL12[[#This Row],[( S/S+T/B) AJD]]-(TABL12[[#This Row],[(A/B + A/S) AJD]]+TABL12[[#This Row],[(STORGE DIFF.) AJD]]+(TABL12[[#This Row],[AJD_Evaporation]]))</f>
        <v>-5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Row],[(A/B) AJD]]-TABL12[[#This Row],[BER_IN]]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Row],[(A/S) AJD]]-TABL12[[#This Row],[SER_IN]]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 (T/B) SAR]]+TABL12[[#This Row],[ (S/S) SAR]]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 (S/S) SAR]]-TABL12[[#This Row],[(S/S) AJD]]</f>
        <v>57</v>
      </c>
      <c r="Q152" s="3">
        <v>409</v>
      </c>
      <c r="R152" s="3">
        <f>TABL12[[#This Row],[ (T/B) SAR]]-TABL12[[#This Row],[(T/B) AJD]]</f>
        <v>16</v>
      </c>
      <c r="S152" s="3">
        <f>TABL12[[#This Row],[S/S_CON.]]+TABL12[[#This Row],[T/B-CON.]]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TABL12[[#This Row],[( S/S+T/B) AJD]]-(TABL12[[#This Row],[(A/B + A/S) AJD]]+TABL12[[#This Row],[(STORGE DIFF.) AJD]]+(TABL12[[#This Row],[AJD_Evaporation]]))</f>
        <v>-1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Row],[(A/B) AJD]]-TABL12[[#This Row],[BER_IN]]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Row],[(A/S) AJD]]-TABL12[[#This Row],[SER_IN]]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 (T/B) SAR]]+TABL12[[#This Row],[ (S/S) SAR]]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 (S/S) SAR]]-TABL12[[#This Row],[(S/S) AJD]]</f>
        <v>60</v>
      </c>
      <c r="Q153" s="10">
        <v>416</v>
      </c>
      <c r="R153" s="10">
        <f>TABL12[[#This Row],[ (T/B) SAR]]-TABL12[[#This Row],[(T/B) AJD]]</f>
        <v>4</v>
      </c>
      <c r="S153" s="10">
        <f>TABL12[[#This Row],[S/S_CON.]]+TABL12[[#This Row],[T/B-CON.]]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TABL12[[#This Row],[( S/S+T/B) AJD]]-(TABL12[[#This Row],[(A/B + A/S) AJD]]+TABL12[[#This Row],[(STORGE DIFF.) AJD]]+(TABL12[[#This Row],[AJD_Evaporation]]))</f>
        <v>-4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Row],[(A/B) AJD]]-TABL12[[#This Row],[BER_IN]]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Row],[(A/S) AJD]]-TABL12[[#This Row],[SER_IN]]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 (T/B) SAR]]+TABL12[[#This Row],[ (S/S) SAR]]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 (S/S) SAR]]-TABL12[[#This Row],[(S/S) AJD]]</f>
        <v>56</v>
      </c>
      <c r="Q154" s="10">
        <v>428</v>
      </c>
      <c r="R154" s="10">
        <f>TABL12[[#This Row],[ (T/B) SAR]]-TABL12[[#This Row],[(T/B) AJD]]</f>
        <v>-6</v>
      </c>
      <c r="S154" s="10">
        <f>TABL12[[#This Row],[S/S_CON.]]+TABL12[[#This Row],[T/B-CON.]]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TABL12[[#This Row],[( S/S+T/B) AJD]]-(TABL12[[#This Row],[(A/B + A/S) AJD]]+TABL12[[#This Row],[(STORGE DIFF.) AJD]]+(TABL12[[#This Row],[AJD_Evaporation]]))</f>
        <v>4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Row],[(A/B) AJD]]-TABL12[[#This Row],[BER_IN]]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Row],[(A/S) AJD]]-TABL12[[#This Row],[SER_IN]]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 (T/B) SAR]]+TABL12[[#This Row],[ (S/S) SAR]]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 (S/S) SAR]]-TABL12[[#This Row],[(S/S) AJD]]</f>
        <v>45</v>
      </c>
      <c r="Q155" s="10">
        <v>432</v>
      </c>
      <c r="R155" s="10">
        <f>TABL12[[#This Row],[ (T/B) SAR]]-TABL12[[#This Row],[(T/B) AJD]]</f>
        <v>-18</v>
      </c>
      <c r="S155" s="10">
        <f>TABL12[[#This Row],[S/S_CON.]]+TABL12[[#This Row],[T/B-CON.]]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TABL12[[#This Row],[( S/S+T/B) AJD]]-(TABL12[[#This Row],[(A/B + A/S) AJD]]+TABL12[[#This Row],[(STORGE DIFF.) AJD]]+(TABL12[[#This Row],[AJD_Evaporation]]))</f>
        <v>-4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Row],[(A/B) AJD]]-TABL12[[#This Row],[BER_IN]]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Row],[(A/S) AJD]]-TABL12[[#This Row],[SER_IN]]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 (T/B) SAR]]+TABL12[[#This Row],[ (S/S) SAR]]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 (S/S) SAR]]-TABL12[[#This Row],[(S/S) AJD]]</f>
        <v>56</v>
      </c>
      <c r="Q156" s="10">
        <v>427</v>
      </c>
      <c r="R156" s="10">
        <f>TABL12[[#This Row],[ (T/B) SAR]]-TABL12[[#This Row],[(T/B) AJD]]</f>
        <v>-5</v>
      </c>
      <c r="S156" s="10">
        <f>TABL12[[#This Row],[S/S_CON.]]+TABL12[[#This Row],[T/B-CON.]]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TABL12[[#This Row],[( S/S+T/B) AJD]]-(TABL12[[#This Row],[(A/B + A/S) AJD]]+TABL12[[#This Row],[(STORGE DIFF.) AJD]]+(TABL12[[#This Row],[AJD_Evaporation]]))</f>
        <v>-3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Row],[(A/B) AJD]]-TABL12[[#This Row],[BER_IN]]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Row],[(A/S) AJD]]-TABL12[[#This Row],[SER_IN]]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 (T/B) SAR]]+TABL12[[#This Row],[ (S/S) SAR]]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 (S/S) SAR]]-TABL12[[#This Row],[(S/S) AJD]]</f>
        <v>52</v>
      </c>
      <c r="Q157" s="10">
        <v>431</v>
      </c>
      <c r="R157" s="10">
        <f>TABL12[[#This Row],[ (T/B) SAR]]-TABL12[[#This Row],[(T/B) AJD]]</f>
        <v>-9</v>
      </c>
      <c r="S157" s="10">
        <f>TABL12[[#This Row],[S/S_CON.]]+TABL12[[#This Row],[T/B-CON.]]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TABL12[[#This Row],[( S/S+T/B) AJD]]-(TABL12[[#This Row],[(A/B + A/S) AJD]]+TABL12[[#This Row],[(STORGE DIFF.) AJD]]+(TABL12[[#This Row],[AJD_Evaporation]]))</f>
        <v>-3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Row],[(A/B) AJD]]-TABL12[[#This Row],[BER_IN]]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Row],[(A/S) AJD]]-TABL12[[#This Row],[SER_IN]]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 (T/B) SAR]]+TABL12[[#This Row],[ (S/S) SAR]]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 (S/S) SAR]]-TABL12[[#This Row],[(S/S) AJD]]</f>
        <v>50</v>
      </c>
      <c r="Q158" s="10">
        <v>425</v>
      </c>
      <c r="R158" s="10">
        <f>TABL12[[#This Row],[ (T/B) SAR]]-TABL12[[#This Row],[(T/B) AJD]]</f>
        <v>-10</v>
      </c>
      <c r="S158" s="10">
        <f>TABL12[[#This Row],[S/S_CON.]]+TABL12[[#This Row],[T/B-CON.]]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TABL12[[#This Row],[( S/S+T/B) AJD]]-(TABL12[[#This Row],[(A/B + A/S) AJD]]+TABL12[[#This Row],[(STORGE DIFF.) AJD]]+(TABL12[[#This Row],[AJD_Evaporation]]))</f>
        <v>-3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Row],[(A/B) AJD]]-TABL12[[#This Row],[BER_IN]]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Row],[(A/S) AJD]]-TABL12[[#This Row],[SER_IN]]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 (T/B) SAR]]+TABL12[[#This Row],[ (S/S) SAR]]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 (S/S) SAR]]-TABL12[[#This Row],[(S/S) AJD]]</f>
        <v>53</v>
      </c>
      <c r="Q159" s="10">
        <v>426</v>
      </c>
      <c r="R159" s="10">
        <f>TABL12[[#This Row],[ (T/B) SAR]]-TABL12[[#This Row],[(T/B) AJD]]</f>
        <v>-8</v>
      </c>
      <c r="S159" s="10">
        <f>TABL12[[#This Row],[S/S_CON.]]+TABL12[[#This Row],[T/B-CON.]]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TABL12[[#This Row],[( S/S+T/B) AJD]]-(TABL12[[#This Row],[(A/B + A/S) AJD]]+TABL12[[#This Row],[(STORGE DIFF.) AJD]]+(TABL12[[#This Row],[AJD_Evaporation]]))</f>
        <v>-1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Row],[(A/B) AJD]]-TABL12[[#This Row],[BER_IN]]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Row],[(A/S) AJD]]-TABL12[[#This Row],[SER_IN]]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 (T/B) SAR]]+TABL12[[#This Row],[ (S/S) SAR]]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 (S/S) SAR]]-TABL12[[#This Row],[(S/S) AJD]]</f>
        <v>51</v>
      </c>
      <c r="Q160" s="10">
        <v>425</v>
      </c>
      <c r="R160" s="10">
        <f>TABL12[[#This Row],[ (T/B) SAR]]-TABL12[[#This Row],[(T/B) AJD]]</f>
        <v>-9</v>
      </c>
      <c r="S160" s="10">
        <f>TABL12[[#This Row],[S/S_CON.]]+TABL12[[#This Row],[T/B-CON.]]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TABL12[[#This Row],[( S/S+T/B) AJD]]-(TABL12[[#This Row],[(A/B + A/S) AJD]]+TABL12[[#This Row],[(STORGE DIFF.) AJD]]+(TABL12[[#This Row],[AJD_Evaporation]]))</f>
        <v>-3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Row],[(A/B) AJD]]-TABL12[[#This Row],[BER_IN]]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Row],[(A/S) AJD]]-TABL12[[#This Row],[SER_IN]]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 (T/B) SAR]]+TABL12[[#This Row],[ (S/S) SAR]]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 (S/S) SAR]]-TABL12[[#This Row],[(S/S) AJD]]</f>
        <v>52</v>
      </c>
      <c r="Q161" s="10">
        <v>424</v>
      </c>
      <c r="R161" s="10">
        <f>TABL12[[#This Row],[ (T/B) SAR]]-TABL12[[#This Row],[(T/B) AJD]]</f>
        <v>-8</v>
      </c>
      <c r="S161" s="10">
        <f>TABL12[[#This Row],[S/S_CON.]]+TABL12[[#This Row],[T/B-CON.]]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TABL12[[#This Row],[( S/S+T/B) AJD]]-(TABL12[[#This Row],[(A/B + A/S) AJD]]+TABL12[[#This Row],[(STORGE DIFF.) AJD]]+(TABL12[[#This Row],[AJD_Evaporation]]))</f>
        <v>1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Row],[(A/B) AJD]]-TABL12[[#This Row],[BER_IN]]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Row],[(A/S) AJD]]-TABL12[[#This Row],[SER_IN]]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 (T/B) SAR]]+TABL12[[#This Row],[ (S/S) SAR]]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 (S/S) SAR]]-TABL12[[#This Row],[(S/S) AJD]]</f>
        <v>53</v>
      </c>
      <c r="Q162" s="10">
        <v>423</v>
      </c>
      <c r="R162" s="10">
        <f>TABL12[[#This Row],[ (T/B) SAR]]-TABL12[[#This Row],[(T/B) AJD]]</f>
        <v>-6</v>
      </c>
      <c r="S162" s="10">
        <f>TABL12[[#This Row],[S/S_CON.]]+TABL12[[#This Row],[T/B-CON.]]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TABL12[[#This Row],[( S/S+T/B) AJD]]-(TABL12[[#This Row],[(A/B + A/S) AJD]]+TABL12[[#This Row],[(STORGE DIFF.) AJD]]+(TABL12[[#This Row],[AJD_Evaporation]]))</f>
        <v>2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Row],[(A/B) AJD]]-TABL12[[#This Row],[BER_IN]]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Row],[(A/S) AJD]]-TABL12[[#This Row],[SER_IN]]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 (T/B) SAR]]+TABL12[[#This Row],[ (S/S) SAR]]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 (S/S) SAR]]-TABL12[[#This Row],[(S/S) AJD]]</f>
        <v>51</v>
      </c>
      <c r="Q163" s="10">
        <v>423</v>
      </c>
      <c r="R163" s="10">
        <f>TABL12[[#This Row],[ (T/B) SAR]]-TABL12[[#This Row],[(T/B) AJD]]</f>
        <v>-5</v>
      </c>
      <c r="S163" s="10">
        <f>TABL12[[#This Row],[S/S_CON.]]+TABL12[[#This Row],[T/B-CON.]]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TABL12[[#This Row],[( S/S+T/B) AJD]]-(TABL12[[#This Row],[(A/B + A/S) AJD]]+TABL12[[#This Row],[(STORGE DIFF.) AJD]]+(TABL12[[#This Row],[AJD_Evaporation]]))</f>
        <v>-3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Row],[(A/B) AJD]]-TABL12[[#This Row],[BER_IN]]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Row],[(A/S) AJD]]-TABL12[[#This Row],[SER_IN]]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 (T/B) SAR]]+TABL12[[#This Row],[ (S/S) SAR]]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 (S/S) SAR]]-TABL12[[#This Row],[(S/S) AJD]]</f>
        <v>47</v>
      </c>
      <c r="Q164" s="10">
        <v>419</v>
      </c>
      <c r="R164" s="10">
        <f>TABL12[[#This Row],[ (T/B) SAR]]-TABL12[[#This Row],[(T/B) AJD]]</f>
        <v>-3</v>
      </c>
      <c r="S164" s="10">
        <f>TABL12[[#This Row],[S/S_CON.]]+TABL12[[#This Row],[T/B-CON.]]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TABL12[[#This Row],[( S/S+T/B) AJD]]-(TABL12[[#This Row],[(A/B + A/S) AJD]]+TABL12[[#This Row],[(STORGE DIFF.) AJD]]+(TABL12[[#This Row],[AJD_Evaporation]]))</f>
        <v>3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Row],[(A/B) AJD]]-TABL12[[#This Row],[BER_IN]]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Row],[(A/S) AJD]]-TABL12[[#This Row],[SER_IN]]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 (T/B) SAR]]+TABL12[[#This Row],[ (S/S) SAR]]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 (S/S) SAR]]-TABL12[[#This Row],[(S/S) AJD]]</f>
        <v>48</v>
      </c>
      <c r="Q165" s="10">
        <v>415</v>
      </c>
      <c r="R165" s="10">
        <f>TABL12[[#This Row],[ (T/B) SAR]]-TABL12[[#This Row],[(T/B) AJD]]</f>
        <v>0</v>
      </c>
      <c r="S165" s="10">
        <f>TABL12[[#This Row],[S/S_CON.]]+TABL12[[#This Row],[T/B-CON.]]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TABL12[[#This Row],[( S/S+T/B) AJD]]-(TABL12[[#This Row],[(A/B + A/S) AJD]]+TABL12[[#This Row],[(STORGE DIFF.) AJD]]+(TABL12[[#This Row],[AJD_Evaporation]]))</f>
        <v>-1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Row],[(A/B) AJD]]-TABL12[[#This Row],[BER_IN]]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Row],[(A/S) AJD]]-TABL12[[#This Row],[SER_IN]]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 (T/B) SAR]]+TABL12[[#This Row],[ (S/S) SAR]]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 (S/S) SAR]]-TABL12[[#This Row],[(S/S) AJD]]</f>
        <v>51</v>
      </c>
      <c r="Q166" s="10">
        <v>414</v>
      </c>
      <c r="R166" s="10">
        <f>TABL12[[#This Row],[ (T/B) SAR]]-TABL12[[#This Row],[(T/B) AJD]]</f>
        <v>2</v>
      </c>
      <c r="S166" s="10">
        <f>TABL12[[#This Row],[S/S_CON.]]+TABL12[[#This Row],[T/B-CON.]]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TABL12[[#This Row],[( S/S+T/B) AJD]]-(TABL12[[#This Row],[(A/B + A/S) AJD]]+TABL12[[#This Row],[(STORGE DIFF.) AJD]]+(TABL12[[#This Row],[AJD_Evaporation]]))</f>
        <v>-4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Row],[(A/B) AJD]]-TABL12[[#This Row],[BER_IN]]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Row],[(A/S) AJD]]-TABL12[[#This Row],[SER_IN]]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 (T/B) SAR]]+TABL12[[#This Row],[ (S/S) SAR]]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 (S/S) SAR]]-TABL12[[#This Row],[(S/S) AJD]]</f>
        <v>45</v>
      </c>
      <c r="Q167" s="10">
        <v>415</v>
      </c>
      <c r="R167" s="10">
        <f>TABL12[[#This Row],[ (T/B) SAR]]-TABL12[[#This Row],[(T/B) AJD]]</f>
        <v>4</v>
      </c>
      <c r="S167" s="10">
        <f>TABL12[[#This Row],[S/S_CON.]]+TABL12[[#This Row],[T/B-CON.]]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TABL12[[#This Row],[( S/S+T/B) AJD]]-(TABL12[[#This Row],[(A/B + A/S) AJD]]+TABL12[[#This Row],[(STORGE DIFF.) AJD]]+(TABL12[[#This Row],[AJD_Evaporation]]))</f>
        <v>-1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Row],[(A/B) AJD]]-TABL12[[#This Row],[BER_IN]]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Row],[(A/S) AJD]]-TABL12[[#This Row],[SER_IN]]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 (T/B) SAR]]+TABL12[[#This Row],[ (S/S) SAR]]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 (S/S) SAR]]-TABL12[[#This Row],[(S/S) AJD]]</f>
        <v>58</v>
      </c>
      <c r="Q168" s="10">
        <v>415</v>
      </c>
      <c r="R168" s="10">
        <f>TABL12[[#This Row],[ (T/B) SAR]]-TABL12[[#This Row],[(T/B) AJD]]</f>
        <v>5</v>
      </c>
      <c r="S168" s="10">
        <f>TABL12[[#This Row],[S/S_CON.]]+TABL12[[#This Row],[T/B-CON.]]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TABL12[[#This Row],[( S/S+T/B) AJD]]-(TABL12[[#This Row],[(A/B + A/S) AJD]]+TABL12[[#This Row],[(STORGE DIFF.) AJD]]+(TABL12[[#This Row],[AJD_Evaporation]]))</f>
        <v>-3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Row],[(A/B) AJD]]-TABL12[[#This Row],[BER_IN]]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Row],[(A/S) AJD]]-TABL12[[#This Row],[SER_IN]]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 (T/B) SAR]]+TABL12[[#This Row],[ (S/S) SAR]]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 (S/S) SAR]]-TABL12[[#This Row],[(S/S) AJD]]</f>
        <v>56</v>
      </c>
      <c r="Q169" s="10">
        <v>418</v>
      </c>
      <c r="R169" s="10">
        <f>TABL12[[#This Row],[ (T/B) SAR]]-TABL12[[#This Row],[(T/B) AJD]]</f>
        <v>2</v>
      </c>
      <c r="S169" s="10">
        <f>TABL12[[#This Row],[S/S_CON.]]+TABL12[[#This Row],[T/B-CON.]]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TABL12[[#This Row],[( S/S+T/B) AJD]]-(TABL12[[#This Row],[(A/B + A/S) AJD]]+TABL12[[#This Row],[(STORGE DIFF.) AJD]]+(TABL12[[#This Row],[AJD_Evaporation]]))</f>
        <v>-1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Row],[(A/B) AJD]]-TABL12[[#This Row],[BER_IN]]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Row],[(A/S) AJD]]-TABL12[[#This Row],[SER_IN]]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 (T/B) SAR]]+TABL12[[#This Row],[ (S/S) SAR]]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 (S/S) SAR]]-TABL12[[#This Row],[(S/S) AJD]]</f>
        <v>63</v>
      </c>
      <c r="Q170" s="3">
        <v>423</v>
      </c>
      <c r="R170" s="3">
        <f>TABL12[[#This Row],[ (T/B) SAR]]-TABL12[[#This Row],[(T/B) AJD]]</f>
        <v>14</v>
      </c>
      <c r="S170" s="3">
        <f>TABL12[[#This Row],[S/S_CON.]]+TABL12[[#This Row],[T/B-CON.]]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TABL12[[#This Row],[( S/S+T/B) AJD]]-(TABL12[[#This Row],[(A/B + A/S) AJD]]+TABL12[[#This Row],[(STORGE DIFF.) AJD]]+(TABL12[[#This Row],[AJD_Evaporation]]))</f>
        <v>3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Row],[(A/B) AJD]]-TABL12[[#This Row],[BER_IN]]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Row],[(A/S) AJD]]-TABL12[[#This Row],[SER_IN]]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 (T/B) SAR]]+TABL12[[#This Row],[ (S/S) SAR]]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 (S/S) SAR]]-TABL12[[#This Row],[(S/S) AJD]]</f>
        <v>55</v>
      </c>
      <c r="Q171" s="3">
        <v>418</v>
      </c>
      <c r="R171" s="3">
        <f>TABL12[[#This Row],[ (T/B) SAR]]-TABL12[[#This Row],[(T/B) AJD]]</f>
        <v>22</v>
      </c>
      <c r="S171" s="3">
        <f>TABL12[[#This Row],[S/S_CON.]]+TABL12[[#This Row],[T/B-CON.]]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TABL12[[#This Row],[( S/S+T/B) AJD]]-(TABL12[[#This Row],[(A/B + A/S) AJD]]+TABL12[[#This Row],[(STORGE DIFF.) AJD]]+(TABL12[[#This Row],[AJD_Evaporation]]))</f>
        <v>6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Row],[(A/B) AJD]]-TABL12[[#This Row],[BER_IN]]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Row],[(A/S) AJD]]-TABL12[[#This Row],[SER_IN]]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 (T/B) SAR]]+TABL12[[#This Row],[ (S/S) SAR]]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 (S/S) SAR]]-TABL12[[#This Row],[(S/S) AJD]]</f>
        <v>57</v>
      </c>
      <c r="Q172" s="3">
        <v>420</v>
      </c>
      <c r="R172" s="3">
        <f>TABL12[[#This Row],[ (T/B) SAR]]-TABL12[[#This Row],[(T/B) AJD]]</f>
        <v>24</v>
      </c>
      <c r="S172" s="3">
        <f>TABL12[[#This Row],[S/S_CON.]]+TABL12[[#This Row],[T/B-CON.]]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TABL12[[#This Row],[( S/S+T/B) AJD]]-(TABL12[[#This Row],[(A/B + A/S) AJD]]+TABL12[[#This Row],[(STORGE DIFF.) AJD]]+(TABL12[[#This Row],[AJD_Evaporation]]))</f>
        <v>-1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Row],[(A/B) AJD]]-TABL12[[#This Row],[BER_IN]]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Row],[(A/S) AJD]]-TABL12[[#This Row],[SER_IN]]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 (T/B) SAR]]+TABL12[[#This Row],[ (S/S) SAR]]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 (S/S) SAR]]-TABL12[[#This Row],[(S/S) AJD]]</f>
        <v>54</v>
      </c>
      <c r="Q173" s="3">
        <v>422</v>
      </c>
      <c r="R173" s="3">
        <f>TABL12[[#This Row],[ (T/B) SAR]]-TABL12[[#This Row],[(T/B) AJD]]</f>
        <v>24</v>
      </c>
      <c r="S173" s="3">
        <f>TABL12[[#This Row],[S/S_CON.]]+TABL12[[#This Row],[T/B-CON.]]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TABL12[[#This Row],[( S/S+T/B) AJD]]-(TABL12[[#This Row],[(A/B + A/S) AJD]]+TABL12[[#This Row],[(STORGE DIFF.) AJD]]+(TABL12[[#This Row],[AJD_Evaporation]]))</f>
        <v>-3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Row],[(A/B) AJD]]-TABL12[[#This Row],[BER_IN]]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Row],[(A/S) AJD]]-TABL12[[#This Row],[SER_IN]]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 (T/B) SAR]]+TABL12[[#This Row],[ (S/S) SAR]]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 (S/S) SAR]]-TABL12[[#This Row],[(S/S) AJD]]</f>
        <v>50</v>
      </c>
      <c r="Q174" s="3">
        <v>425</v>
      </c>
      <c r="R174" s="3">
        <f>TABL12[[#This Row],[ (T/B) SAR]]-TABL12[[#This Row],[(T/B) AJD]]</f>
        <v>18</v>
      </c>
      <c r="S174" s="3">
        <f>TABL12[[#This Row],[S/S_CON.]]+TABL12[[#This Row],[T/B-CON.]]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TABL12[[#This Row],[( S/S+T/B) AJD]]-(TABL12[[#This Row],[(A/B + A/S) AJD]]+TABL12[[#This Row],[(STORGE DIFF.) AJD]]+(TABL12[[#This Row],[AJD_Evaporation]]))</f>
        <v>-8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Row],[(A/B) AJD]]-TABL12[[#This Row],[BER_IN]]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Row],[(A/S) AJD]]-TABL12[[#This Row],[SER_IN]]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 (T/B) SAR]]+TABL12[[#This Row],[ (S/S) SAR]]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 (S/S) SAR]]-TABL12[[#This Row],[(S/S) AJD]]</f>
        <v>52</v>
      </c>
      <c r="Q175" s="3">
        <v>420</v>
      </c>
      <c r="R175" s="3">
        <f>TABL12[[#This Row],[ (T/B) SAR]]-TABL12[[#This Row],[(T/B) AJD]]</f>
        <v>24</v>
      </c>
      <c r="S175" s="3">
        <f>TABL12[[#This Row],[S/S_CON.]]+TABL12[[#This Row],[T/B-CON.]]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TABL12[[#This Row],[( S/S+T/B) AJD]]-(TABL12[[#This Row],[(A/B + A/S) AJD]]+TABL12[[#This Row],[(STORGE DIFF.) AJD]]+(TABL12[[#This Row],[AJD_Evaporation]]))</f>
        <v>7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Row],[(A/B) AJD]]-TABL12[[#This Row],[BER_IN]]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Row],[(A/S) AJD]]-TABL12[[#This Row],[SER_IN]]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 (T/B) SAR]]+TABL12[[#This Row],[ (S/S) SAR]]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 (S/S) SAR]]-TABL12[[#This Row],[(S/S) AJD]]</f>
        <v>50</v>
      </c>
      <c r="Q176" s="3">
        <v>422</v>
      </c>
      <c r="R176" s="3">
        <f>TABL12[[#This Row],[ (T/B) SAR]]-TABL12[[#This Row],[(T/B) AJD]]</f>
        <v>21</v>
      </c>
      <c r="S176" s="3">
        <f>TABL12[[#This Row],[S/S_CON.]]+TABL12[[#This Row],[T/B-CON.]]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TABL12[[#This Row],[( S/S+T/B) AJD]]-(TABL12[[#This Row],[(A/B + A/S) AJD]]+TABL12[[#This Row],[(STORGE DIFF.) AJD]]+(TABL12[[#This Row],[AJD_Evaporation]]))</f>
        <v>31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Row],[(A/B) AJD]]-TABL12[[#This Row],[BER_IN]]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Row],[(A/S) AJD]]-TABL12[[#This Row],[SER_IN]]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 (T/B) SAR]]+TABL12[[#This Row],[ (S/S) SAR]]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 (S/S) SAR]]-TABL12[[#This Row],[(S/S) AJD]]</f>
        <v>55</v>
      </c>
      <c r="Q177" s="3">
        <v>421</v>
      </c>
      <c r="R177" s="3">
        <f>TABL12[[#This Row],[ (T/B) SAR]]-TABL12[[#This Row],[(T/B) AJD]]</f>
        <v>27</v>
      </c>
      <c r="S177" s="3">
        <f>TABL12[[#This Row],[S/S_CON.]]+TABL12[[#This Row],[T/B-CON.]]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TABL12[[#This Row],[( S/S+T/B) AJD]]-(TABL12[[#This Row],[(A/B + A/S) AJD]]+TABL12[[#This Row],[(STORGE DIFF.) AJD]]+(TABL12[[#This Row],[AJD_Evaporation]]))</f>
        <v>-5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Row],[(A/B) AJD]]-TABL12[[#This Row],[BER_IN]]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Row],[(A/S) AJD]]-TABL12[[#This Row],[SER_IN]]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 (T/B) SAR]]+TABL12[[#This Row],[ (S/S) SAR]]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 (S/S) SAR]]-TABL12[[#This Row],[(S/S) AJD]]</f>
        <v>61</v>
      </c>
      <c r="Q178" s="3">
        <v>430</v>
      </c>
      <c r="R178" s="3">
        <f>TABL12[[#This Row],[ (T/B) SAR]]-TABL12[[#This Row],[(T/B) AJD]]</f>
        <v>36</v>
      </c>
      <c r="S178" s="3">
        <f>TABL12[[#This Row],[S/S_CON.]]+TABL12[[#This Row],[T/B-CON.]]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TABL12[[#This Row],[( S/S+T/B) AJD]]-(TABL12[[#This Row],[(A/B + A/S) AJD]]+TABL12[[#This Row],[(STORGE DIFF.) AJD]]+(TABL12[[#This Row],[AJD_Evaporation]]))</f>
        <v>64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Row],[(A/B) AJD]]-TABL12[[#This Row],[BER_IN]]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Row],[(A/S) AJD]]-TABL12[[#This Row],[SER_IN]]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 (T/B) SAR]]+TABL12[[#This Row],[ (S/S) SAR]]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 (S/S) SAR]]-TABL12[[#This Row],[(S/S) AJD]]</f>
        <v>50</v>
      </c>
      <c r="Q179" s="3">
        <v>435</v>
      </c>
      <c r="R179" s="3">
        <f>TABL12[[#This Row],[ (T/B) SAR]]-TABL12[[#This Row],[(T/B) AJD]]</f>
        <v>27</v>
      </c>
      <c r="S179" s="3">
        <f>TABL12[[#This Row],[S/S_CON.]]+TABL12[[#This Row],[T/B-CON.]]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TABL12[[#This Row],[( S/S+T/B) AJD]]-(TABL12[[#This Row],[(A/B + A/S) AJD]]+TABL12[[#This Row],[(STORGE DIFF.) AJD]]+(TABL12[[#This Row],[AJD_Evaporation]]))</f>
        <v>70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Row],[(A/B) AJD]]-TABL12[[#This Row],[BER_IN]]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Row],[(A/S) AJD]]-TABL12[[#This Row],[SER_IN]]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 (T/B) SAR]]+TABL12[[#This Row],[ (S/S) SAR]]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 (S/S) SAR]]-TABL12[[#This Row],[(S/S) AJD]]</f>
        <v>59</v>
      </c>
      <c r="Q180" s="3">
        <v>440</v>
      </c>
      <c r="R180" s="3">
        <f>TABL12[[#This Row],[ (T/B) SAR]]-TABL12[[#This Row],[(T/B) AJD]]</f>
        <v>40</v>
      </c>
      <c r="S180" s="3">
        <f>TABL12[[#This Row],[S/S_CON.]]+TABL12[[#This Row],[T/B-CON.]]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TABL12[[#This Row],[( S/S+T/B) AJD]]-(TABL12[[#This Row],[(A/B + A/S) AJD]]+TABL12[[#This Row],[(STORGE DIFF.) AJD]]+(TABL12[[#This Row],[AJD_Evaporation]]))</f>
        <v>82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Row],[(A/B) AJD]]-TABL12[[#This Row],[BER_IN]]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Row],[(A/S) AJD]]-TABL12[[#This Row],[SER_IN]]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 (T/B) SAR]]+TABL12[[#This Row],[ (S/S) SAR]]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 (S/S) SAR]]-TABL12[[#This Row],[(S/S) AJD]]</f>
        <v>52</v>
      </c>
      <c r="Q181" s="3">
        <v>446</v>
      </c>
      <c r="R181" s="3">
        <f>TABL12[[#This Row],[ (T/B) SAR]]-TABL12[[#This Row],[(T/B) AJD]]</f>
        <v>27</v>
      </c>
      <c r="S181" s="3">
        <f>TABL12[[#This Row],[S/S_CON.]]+TABL12[[#This Row],[T/B-CON.]]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TABL12[[#This Row],[( S/S+T/B) AJD]]-(TABL12[[#This Row],[(A/B + A/S) AJD]]+TABL12[[#This Row],[(STORGE DIFF.) AJD]]+(TABL12[[#This Row],[AJD_Evaporation]]))</f>
        <v>-89.283999999999992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Row],[(A/B) AJD]]-TABL12[[#This Row],[BER_IN]]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Row],[(A/S) AJD]]-TABL12[[#This Row],[SER_IN]]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 (T/B) SAR]]+TABL12[[#This Row],[ (S/S) SAR]]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 (S/S) SAR]]-TABL12[[#This Row],[(S/S) AJD]]</f>
        <v>54</v>
      </c>
      <c r="Q182" s="3">
        <v>448</v>
      </c>
      <c r="R182" s="3">
        <f>TABL12[[#This Row],[ (T/B) SAR]]-TABL12[[#This Row],[(T/B) AJD]]</f>
        <v>29</v>
      </c>
      <c r="S182" s="3">
        <f>TABL12[[#This Row],[S/S_CON.]]+TABL12[[#This Row],[T/B-CON.]]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TABL12[[#This Row],[( S/S+T/B) AJD]]-(TABL12[[#This Row],[(A/B + A/S) AJD]]+TABL12[[#This Row],[(STORGE DIFF.) AJD]]+(TABL12[[#This Row],[AJD_Evaporation]]))</f>
        <v>21.48599999999999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Row],[(A/B) AJD]]-TABL12[[#This Row],[BER_IN]]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Row],[(A/S) AJD]]-TABL12[[#This Row],[SER_IN]]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 (T/B) SAR]]+TABL12[[#This Row],[ (S/S) SAR]]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 (S/S) SAR]]-TABL12[[#This Row],[(S/S) AJD]]</f>
        <v>51</v>
      </c>
      <c r="Q183" s="12">
        <v>450</v>
      </c>
      <c r="R183" s="12">
        <f>TABL12[[#This Row],[ (T/B) SAR]]-TABL12[[#This Row],[(T/B) AJD]]</f>
        <v>25</v>
      </c>
      <c r="S183" s="12">
        <f>TABL12[[#This Row],[S/S_CON.]]+TABL12[[#This Row],[T/B-CON.]]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TABL12[[#This Row],[( S/S+T/B) AJD]]-(TABL12[[#This Row],[(A/B + A/S) AJD]]+TABL12[[#This Row],[(STORGE DIFF.) AJD]]+(TABL12[[#This Row],[AJD_Evaporation]]))</f>
        <v>3.4600000000000364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Row],[(A/B) AJD]]-TABL12[[#This Row],[BER_IN]]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Row],[(A/S) AJD]]-TABL12[[#This Row],[SER_IN]]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 (T/B) SAR]]+TABL12[[#This Row],[ (S/S) SAR]]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 (S/S) SAR]]-TABL12[[#This Row],[(S/S) AJD]]</f>
        <v>53</v>
      </c>
      <c r="Q184" s="12">
        <v>450</v>
      </c>
      <c r="R184" s="12">
        <f>TABL12[[#This Row],[ (T/B) SAR]]-TABL12[[#This Row],[(T/B) AJD]]</f>
        <v>28</v>
      </c>
      <c r="S184" s="12">
        <f>TABL12[[#This Row],[S/S_CON.]]+TABL12[[#This Row],[T/B-CON.]]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TABL12[[#This Row],[( S/S+T/B) AJD]]-(TABL12[[#This Row],[(A/B + A/S) AJD]]+TABL12[[#This Row],[(STORGE DIFF.) AJD]]+(TABL12[[#This Row],[AJD_Evaporation]]))</f>
        <v>4.0800000000000409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Row],[(A/B) AJD]]-TABL12[[#This Row],[BER_IN]]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Row],[(A/S) AJD]]-TABL12[[#This Row],[SER_IN]]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 (T/B) SAR]]+TABL12[[#This Row],[ (S/S) SAR]]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 (S/S) SAR]]-TABL12[[#This Row],[(S/S) AJD]]</f>
        <v>49</v>
      </c>
      <c r="Q185" s="12">
        <v>450</v>
      </c>
      <c r="R185" s="12">
        <f>TABL12[[#This Row],[ (T/B) SAR]]-TABL12[[#This Row],[(T/B) AJD]]</f>
        <v>29</v>
      </c>
      <c r="S185" s="12">
        <f>TABL12[[#This Row],[S/S_CON.]]+TABL12[[#This Row],[T/B-CON.]]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TABL12[[#This Row],[( S/S+T/B) AJD]]-(TABL12[[#This Row],[(A/B + A/S) AJD]]+TABL12[[#This Row],[(STORGE DIFF.) AJD]]+(TABL12[[#This Row],[AJD_Evaporation]]))</f>
        <v>19.835000000000036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Row],[(A/B) AJD]]-TABL12[[#This Row],[BER_IN]]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Row],[(A/S) AJD]]-TABL12[[#This Row],[SER_IN]]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 (T/B) SAR]]+TABL12[[#This Row],[ (S/S) SAR]]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 (S/S) SAR]]-TABL12[[#This Row],[(S/S) AJD]]</f>
        <v>51</v>
      </c>
      <c r="Q186" s="12">
        <v>451</v>
      </c>
      <c r="R186" s="12">
        <f>TABL12[[#This Row],[ (T/B) SAR]]-TABL12[[#This Row],[(T/B) AJD]]</f>
        <v>26</v>
      </c>
      <c r="S186" s="12">
        <f>TABL12[[#This Row],[S/S_CON.]]+TABL12[[#This Row],[T/B-CON.]]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TABL12[[#This Row],[( S/S+T/B) AJD]]-(TABL12[[#This Row],[(A/B + A/S) AJD]]+TABL12[[#This Row],[(STORGE DIFF.) AJD]]+(TABL12[[#This Row],[AJD_Evaporation]]))</f>
        <v>-2477.5950000000003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Row],[(A/B) AJD]]-TABL12[[#This Row],[BER_IN]]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Row],[(A/S) AJD]]-TABL12[[#This Row],[SER_IN]]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 (T/B) SAR]]+TABL12[[#This Row],[ (S/S) SAR]]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 (S/S) SAR]]-TABL12[[#This Row],[(S/S) AJD]]</f>
        <v>52</v>
      </c>
      <c r="Q187" s="12">
        <v>452</v>
      </c>
      <c r="R187" s="12">
        <f>TABL12[[#This Row],[ (T/B) SAR]]-TABL12[[#This Row],[(T/B) AJD]]</f>
        <v>24</v>
      </c>
      <c r="S187" s="12">
        <f>TABL12[[#This Row],[S/S_CON.]]+TABL12[[#This Row],[T/B-CON.]]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TABL12[[#This Row],[( S/S+T/B) AJD]]-(TABL12[[#This Row],[(A/B + A/S) AJD]]+TABL12[[#This Row],[(STORGE DIFF.) AJD]]+(TABL12[[#This Row],[AJD_Evaporation]]))</f>
        <v>-1864.7339999999999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Row],[(A/B) AJD]]-TABL12[[#This Row],[BER_IN]]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Row],[(A/S) AJD]]-TABL12[[#This Row],[SER_IN]]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 (T/B) SAR]]+TABL12[[#This Row],[ (S/S) SAR]]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 (S/S) SAR]]-TABL12[[#This Row],[(S/S) AJD]]</f>
        <v>49</v>
      </c>
      <c r="Q188" s="12">
        <v>453</v>
      </c>
      <c r="R188" s="12">
        <f>TABL12[[#This Row],[ (T/B) SAR]]-TABL12[[#This Row],[(T/B) AJD]]</f>
        <v>22</v>
      </c>
      <c r="S188" s="12">
        <f>TABL12[[#This Row],[S/S_CON.]]+TABL12[[#This Row],[T/B-CON.]]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TABL12[[#This Row],[( S/S+T/B) AJD]]-(TABL12[[#This Row],[(A/B + A/S) AJD]]+TABL12[[#This Row],[(STORGE DIFF.) AJD]]+(TABL12[[#This Row],[AJD_Evaporation]]))</f>
        <v>5.2509999999999764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Row],[(A/B) AJD]]-TABL12[[#This Row],[BER_IN]]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Row],[(A/S) AJD]]-TABL12[[#This Row],[SER_IN]]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 (T/B) SAR]]+TABL12[[#This Row],[ (S/S) SAR]]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 (S/S) SAR]]-TABL12[[#This Row],[(S/S) AJD]]</f>
        <v>44</v>
      </c>
      <c r="Q189" s="12">
        <v>449</v>
      </c>
      <c r="R189" s="12">
        <f>TABL12[[#This Row],[ (T/B) SAR]]-TABL12[[#This Row],[(T/B) AJD]]</f>
        <v>21</v>
      </c>
      <c r="S189" s="12">
        <f>TABL12[[#This Row],[S/S_CON.]]+TABL12[[#This Row],[T/B-CON.]]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TABL12[[#This Row],[( S/S+T/B) AJD]]-(TABL12[[#This Row],[(A/B + A/S) AJD]]+TABL12[[#This Row],[(STORGE DIFF.) AJD]]+(TABL12[[#This Row],[AJD_Evaporation]]))</f>
        <v>9.6929999999999836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Row],[(A/B) AJD]]-TABL12[[#This Row],[BER_IN]]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Row],[(A/S) AJD]]-TABL12[[#This Row],[SER_IN]]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 (T/B) SAR]]+TABL12[[#This Row],[ (S/S) SAR]]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 (S/S) SAR]]-TABL12[[#This Row],[(S/S) AJD]]</f>
        <v>58</v>
      </c>
      <c r="Q190" s="12">
        <v>443</v>
      </c>
      <c r="R190" s="12">
        <f>TABL12[[#This Row],[ (T/B) SAR]]-TABL12[[#This Row],[(T/B) AJD]]</f>
        <v>28</v>
      </c>
      <c r="S190" s="12">
        <f>TABL12[[#This Row],[S/S_CON.]]+TABL12[[#This Row],[T/B-CON.]]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TABL12[[#This Row],[( S/S+T/B) AJD]]-(TABL12[[#This Row],[(A/B + A/S) AJD]]+TABL12[[#This Row],[(STORGE DIFF.) AJD]]+(TABL12[[#This Row],[AJD_Evaporation]]))</f>
        <v>-2599.0259999999998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Row],[(A/B) AJD]]-TABL12[[#This Row],[BER_IN]]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Row],[(A/S) AJD]]-TABL12[[#This Row],[SER_IN]]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 (T/B) SAR]]+TABL12[[#This Row],[ (S/S) SAR]]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 (S/S) SAR]]-TABL12[[#This Row],[(S/S) AJD]]</f>
        <v>54</v>
      </c>
      <c r="Q191" s="12">
        <v>447</v>
      </c>
      <c r="R191" s="12">
        <f>TABL12[[#This Row],[ (T/B) SAR]]-TABL12[[#This Row],[(T/B) AJD]]</f>
        <v>43</v>
      </c>
      <c r="S191" s="12">
        <f>TABL12[[#This Row],[S/S_CON.]]+TABL12[[#This Row],[T/B-CON.]]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TABL12[[#This Row],[( S/S+T/B) AJD]]-(TABL12[[#This Row],[(A/B + A/S) AJD]]+TABL12[[#This Row],[(STORGE DIFF.) AJD]]+(TABL12[[#This Row],[AJD_Evaporation]]))</f>
        <v>-2759.5299999999997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Row],[(A/B) AJD]]-TABL12[[#This Row],[BER_IN]]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Row],[(A/S) AJD]]-TABL12[[#This Row],[SER_IN]]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 (T/B) SAR]]+TABL12[[#This Row],[ (S/S) SAR]]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 (S/S) SAR]]-TABL12[[#This Row],[(S/S) AJD]]</f>
        <v>54</v>
      </c>
      <c r="Q192" s="12">
        <v>444</v>
      </c>
      <c r="R192" s="12">
        <f>TABL12[[#This Row],[ (T/B) SAR]]-TABL12[[#This Row],[(T/B) AJD]]</f>
        <v>17</v>
      </c>
      <c r="S192" s="12">
        <f>TABL12[[#This Row],[S/S_CON.]]+TABL12[[#This Row],[T/B-CON.]]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TABL12[[#This Row],[( S/S+T/B) AJD]]-(TABL12[[#This Row],[(A/B + A/S) AJD]]+TABL12[[#This Row],[(STORGE DIFF.) AJD]]+(TABL12[[#This Row],[AJD_Evaporation]]))</f>
        <v>21.427999999999997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Row],[(A/B) AJD]]-TABL12[[#This Row],[BER_IN]]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Row],[(A/S) AJD]]-TABL12[[#This Row],[SER_IN]]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 (T/B) SAR]]+TABL12[[#This Row],[ (S/S) SAR]]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 (S/S) SAR]]-TABL12[[#This Row],[(S/S) AJD]]</f>
        <v>44</v>
      </c>
      <c r="Q193" s="12">
        <v>436</v>
      </c>
      <c r="R193" s="12">
        <f>TABL12[[#This Row],[ (T/B) SAR]]-TABL12[[#This Row],[(T/B) AJD]]</f>
        <v>34</v>
      </c>
      <c r="S193" s="12">
        <f>TABL12[[#This Row],[S/S_CON.]]+TABL12[[#This Row],[T/B-CON.]]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TABL12[[#This Row],[( S/S+T/B) AJD]]-(TABL12[[#This Row],[(A/B + A/S) AJD]]+TABL12[[#This Row],[(STORGE DIFF.) AJD]]+(TABL12[[#This Row],[AJD_Evaporation]]))</f>
        <v>20.635999999999967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Row],[(A/B) AJD]]-TABL12[[#This Row],[BER_IN]]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Row],[(A/S) AJD]]-TABL12[[#This Row],[SER_IN]]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 (T/B) SAR]]+TABL12[[#This Row],[ (S/S) SAR]]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 (S/S) SAR]]-TABL12[[#This Row],[(S/S) AJD]]</f>
        <v>49</v>
      </c>
      <c r="Q194" s="12">
        <v>441</v>
      </c>
      <c r="R194" s="12">
        <f>TABL12[[#This Row],[ (T/B) SAR]]-TABL12[[#This Row],[(T/B) AJD]]</f>
        <v>27</v>
      </c>
      <c r="S194" s="12">
        <f>TABL12[[#This Row],[S/S_CON.]]+TABL12[[#This Row],[T/B-CON.]]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TABL12[[#This Row],[( S/S+T/B) AJD]]-(TABL12[[#This Row],[(A/B + A/S) AJD]]+TABL12[[#This Row],[(STORGE DIFF.) AJD]]+(TABL12[[#This Row],[AJD_Evaporation]]))</f>
        <v>-2285.36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Row],[(A/B) AJD]]-TABL12[[#This Row],[BER_IN]]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Row],[(A/S) AJD]]-TABL12[[#This Row],[SER_IN]]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 (T/B) SAR]]+TABL12[[#This Row],[ (S/S) SAR]]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 (S/S) SAR]]-TABL12[[#This Row],[(S/S) AJD]]</f>
        <v>52</v>
      </c>
      <c r="Q195" s="12">
        <v>438</v>
      </c>
      <c r="R195" s="12">
        <f>TABL12[[#This Row],[ (T/B) SAR]]-TABL12[[#This Row],[(T/B) AJD]]</f>
        <v>28</v>
      </c>
      <c r="S195" s="12">
        <f>TABL12[[#This Row],[S/S_CON.]]+TABL12[[#This Row],[T/B-CON.]]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TABL12[[#This Row],[( S/S+T/B) AJD]]-(TABL12[[#This Row],[(A/B + A/S) AJD]]+TABL12[[#This Row],[(STORGE DIFF.) AJD]]+(TABL12[[#This Row],[AJD_Evaporation]]))</f>
        <v>10.645999999999958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Row],[(A/B) AJD]]-TABL12[[#This Row],[BER_IN]]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Row],[(A/S) AJD]]-TABL12[[#This Row],[SER_IN]]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 (T/B) SAR]]+TABL12[[#This Row],[ (S/S) SAR]]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 (S/S) SAR]]-TABL12[[#This Row],[(S/S) AJD]]</f>
        <v>47</v>
      </c>
      <c r="Q196" s="12">
        <v>441</v>
      </c>
      <c r="R196" s="12">
        <f>TABL12[[#This Row],[ (T/B) SAR]]-TABL12[[#This Row],[(T/B) AJD]]</f>
        <v>24</v>
      </c>
      <c r="S196" s="12">
        <f>TABL12[[#This Row],[S/S_CON.]]+TABL12[[#This Row],[T/B-CON.]]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TABL12[[#This Row],[( S/S+T/B) AJD]]-(TABL12[[#This Row],[(A/B + A/S) AJD]]+TABL12[[#This Row],[(STORGE DIFF.) AJD]]+(TABL12[[#This Row],[AJD_Evaporation]]))</f>
        <v>2.5019999999999527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Row],[(A/B) AJD]]-TABL12[[#This Row],[BER_IN]]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Row],[(A/S) AJD]]-TABL12[[#This Row],[SER_IN]]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 (T/B) SAR]]+TABL12[[#This Row],[ (S/S) SAR]]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 (S/S) SAR]]-TABL12[[#This Row],[(S/S) AJD]]</f>
        <v>53</v>
      </c>
      <c r="Q197" s="12">
        <v>436</v>
      </c>
      <c r="R197" s="12">
        <f>TABL12[[#This Row],[ (T/B) SAR]]-TABL12[[#This Row],[(T/B) AJD]]</f>
        <v>31</v>
      </c>
      <c r="S197" s="12">
        <f>TABL12[[#This Row],[S/S_CON.]]+TABL12[[#This Row],[T/B-CON.]]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TABL12[[#This Row],[( S/S+T/B) AJD]]-(TABL12[[#This Row],[(A/B + A/S) AJD]]+TABL12[[#This Row],[(STORGE DIFF.) AJD]]+(TABL12[[#This Row],[AJD_Evaporation]]))</f>
        <v>14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Row],[(A/B) AJD]]-TABL12[[#This Row],[BER_IN]]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Row],[(A/S) AJD]]-TABL12[[#This Row],[SER_IN]]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 (T/B) SAR]]+TABL12[[#This Row],[ (S/S) SAR]]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 (S/S) SAR]]-TABL12[[#This Row],[(S/S) AJD]]</f>
        <v>61</v>
      </c>
      <c r="Q198" s="12">
        <v>419</v>
      </c>
      <c r="R198" s="12">
        <f>TABL12[[#This Row],[ (T/B) SAR]]-TABL12[[#This Row],[(T/B) AJD]]</f>
        <v>53</v>
      </c>
      <c r="S198" s="12">
        <f>TABL12[[#This Row],[S/S_CON.]]+TABL12[[#This Row],[T/B-CON.]]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TABL12[[#This Row],[( S/S+T/B) AJD]]-(TABL12[[#This Row],[(A/B + A/S) AJD]]+TABL12[[#This Row],[(STORGE DIFF.) AJD]]+(TABL12[[#This Row],[AJD_Evaporation]]))</f>
        <v>-12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Row],[(A/B) AJD]]-TABL12[[#This Row],[BER_IN]]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Row],[(A/S) AJD]]-TABL12[[#This Row],[SER_IN]]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 (T/B) SAR]]+TABL12[[#This Row],[ (S/S) SAR]]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 (S/S) SAR]]-TABL12[[#This Row],[(S/S) AJD]]</f>
        <v>54</v>
      </c>
      <c r="Q199" s="12">
        <v>443</v>
      </c>
      <c r="R199" s="12">
        <f>TABL12[[#This Row],[ (T/B) SAR]]-TABL12[[#This Row],[(T/B) AJD]]</f>
        <v>32</v>
      </c>
      <c r="S199" s="12">
        <f>TABL12[[#This Row],[S/S_CON.]]+TABL12[[#This Row],[T/B-CON.]]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TABL12[[#This Row],[( S/S+T/B) AJD]]-(TABL12[[#This Row],[(A/B + A/S) AJD]]+TABL12[[#This Row],[(STORGE DIFF.) AJD]]+(TABL12[[#This Row],[AJD_Evaporation]]))</f>
        <v>73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Row],[(A/B) AJD]]-TABL12[[#This Row],[BER_IN]]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Row],[(A/S) AJD]]-TABL12[[#This Row],[SER_IN]]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 (T/B) SAR]]+TABL12[[#This Row],[ (S/S) SAR]]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 (S/S) SAR]]-TABL12[[#This Row],[(S/S) AJD]]</f>
        <v>50</v>
      </c>
      <c r="Q200" s="12">
        <v>447</v>
      </c>
      <c r="R200" s="12">
        <f>TABL12[[#This Row],[ (T/B) SAR]]-TABL12[[#This Row],[(T/B) AJD]]</f>
        <v>28</v>
      </c>
      <c r="S200" s="12">
        <f>TABL12[[#This Row],[S/S_CON.]]+TABL12[[#This Row],[T/B-CON.]]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TABL12[[#This Row],[( S/S+T/B) AJD]]-(TABL12[[#This Row],[(A/B + A/S) AJD]]+TABL12[[#This Row],[(STORGE DIFF.) AJD]]+(TABL12[[#This Row],[AJD_Evaporation]]))</f>
        <v>-42.809999999999945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Row],[(A/B) AJD]]-TABL12[[#This Row],[BER_IN]]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Row],[(A/S) AJD]]-TABL12[[#This Row],[SER_IN]]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 (T/B) SAR]]+TABL12[[#This Row],[ (S/S) SAR]]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 (S/S) SAR]]-TABL12[[#This Row],[(S/S) AJD]]</f>
        <v>44</v>
      </c>
      <c r="Q201" s="12">
        <v>448</v>
      </c>
      <c r="R201" s="12">
        <f>TABL12[[#This Row],[ (T/B) SAR]]-TABL12[[#This Row],[(T/B) AJD]]</f>
        <v>23</v>
      </c>
      <c r="S201" s="12">
        <f>TABL12[[#This Row],[S/S_CON.]]+TABL12[[#This Row],[T/B-CON.]]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TABL12[[#This Row],[( S/S+T/B) AJD]]-(TABL12[[#This Row],[(A/B + A/S) AJD]]+TABL12[[#This Row],[(STORGE DIFF.) AJD]]+(TABL12[[#This Row],[AJD_Evaporation]]))</f>
        <v>10.272000000000048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Row],[(A/B) AJD]]-TABL12[[#This Row],[BER_IN]]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Row],[(A/S) AJD]]-TABL12[[#This Row],[SER_IN]]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 (T/B) SAR]]+TABL12[[#This Row],[ (S/S) SAR]]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 (S/S) SAR]]-TABL12[[#This Row],[(S/S) AJD]]</f>
        <v>48</v>
      </c>
      <c r="Q202" s="12">
        <v>446</v>
      </c>
      <c r="R202" s="12">
        <f>TABL12[[#This Row],[ (T/B) SAR]]-TABL12[[#This Row],[(T/B) AJD]]</f>
        <v>24</v>
      </c>
      <c r="S202" s="12">
        <f>TABL12[[#This Row],[S/S_CON.]]+TABL12[[#This Row],[T/B-CON.]]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TABL12[[#This Row],[( S/S+T/B) AJD]]-(TABL12[[#This Row],[(A/B + A/S) AJD]]+TABL12[[#This Row],[(STORGE DIFF.) AJD]]+(TABL12[[#This Row],[AJD_Evaporation]]))</f>
        <v>21.514999999999986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Row],[(A/B) AJD]]-TABL12[[#This Row],[BER_IN]]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Row],[(A/S) AJD]]-TABL12[[#This Row],[SER_IN]]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 (T/B) SAR]]+TABL12[[#This Row],[ (S/S) SAR]]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 (S/S) SAR]]-TABL12[[#This Row],[(S/S) AJD]]</f>
        <v>49</v>
      </c>
      <c r="Q203" s="12">
        <v>443</v>
      </c>
      <c r="R203" s="12">
        <f>TABL12[[#This Row],[ (T/B) SAR]]-TABL12[[#This Row],[(T/B) AJD]]</f>
        <v>27</v>
      </c>
      <c r="S203" s="12">
        <f>TABL12[[#This Row],[S/S_CON.]]+TABL12[[#This Row],[T/B-CON.]]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TABL12[[#This Row],[( S/S+T/B) AJD]]-(TABL12[[#This Row],[(A/B + A/S) AJD]]+TABL12[[#This Row],[(STORGE DIFF.) AJD]]+(TABL12[[#This Row],[AJD_Evaporation]]))</f>
        <v>16.730000000000018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Row],[(A/B) AJD]]-TABL12[[#This Row],[BER_IN]]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Row],[(A/S) AJD]]-TABL12[[#This Row],[SER_IN]]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 (T/B) SAR]]+TABL12[[#This Row],[ (S/S) SAR]]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 (S/S) SAR]]-TABL12[[#This Row],[(S/S) AJD]]</f>
        <v>47</v>
      </c>
      <c r="Q204" s="12">
        <v>442</v>
      </c>
      <c r="R204" s="12">
        <f>TABL12[[#This Row],[ (T/B) SAR]]-TABL12[[#This Row],[(T/B) AJD]]</f>
        <v>26</v>
      </c>
      <c r="S204" s="12">
        <f>TABL12[[#This Row],[S/S_CON.]]+TABL12[[#This Row],[T/B-CON.]]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TABL12[[#This Row],[( S/S+T/B) AJD]]-(TABL12[[#This Row],[(A/B + A/S) AJD]]+TABL12[[#This Row],[(STORGE DIFF.) AJD]]+(TABL12[[#This Row],[AJD_Evaporation]]))</f>
        <v>18.15300000000002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Row],[(A/B) AJD]]-TABL12[[#This Row],[BER_IN]]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Row],[(A/S) AJD]]-TABL12[[#This Row],[SER_IN]]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 (T/B) SAR]]+TABL12[[#This Row],[ (S/S) SAR]]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 (S/S) SAR]]-TABL12[[#This Row],[(S/S) AJD]]</f>
        <v>51</v>
      </c>
      <c r="Q205" s="12">
        <v>438</v>
      </c>
      <c r="R205" s="12">
        <f>TABL12[[#This Row],[ (T/B) SAR]]-TABL12[[#This Row],[(T/B) AJD]]</f>
        <v>31</v>
      </c>
      <c r="S205" s="12">
        <f>TABL12[[#This Row],[S/S_CON.]]+TABL12[[#This Row],[T/B-CON.]]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TABL12[[#This Row],[( S/S+T/B) AJD]]-(TABL12[[#This Row],[(A/B + A/S) AJD]]+TABL12[[#This Row],[(STORGE DIFF.) AJD]]+(TABL12[[#This Row],[AJD_Evaporation]]))</f>
        <v>17.15300000000002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Row],[(A/B) AJD]]-TABL12[[#This Row],[BER_IN]]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Row],[(A/S) AJD]]-TABL12[[#This Row],[SER_IN]]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 (T/B) SAR]]+TABL12[[#This Row],[ (S/S) SAR]]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 (S/S) SAR]]-TABL12[[#This Row],[(S/S) AJD]]</f>
        <v>50</v>
      </c>
      <c r="Q206" s="12">
        <v>439</v>
      </c>
      <c r="R206" s="12">
        <f>TABL12[[#This Row],[ (T/B) SAR]]-TABL12[[#This Row],[(T/B) AJD]]</f>
        <v>30</v>
      </c>
      <c r="S206" s="12">
        <f>TABL12[[#This Row],[S/S_CON.]]+TABL12[[#This Row],[T/B-CON.]]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TABL12[[#This Row],[( S/S+T/B) AJD]]-(TABL12[[#This Row],[(A/B + A/S) AJD]]+TABL12[[#This Row],[(STORGE DIFF.) AJD]]+(TABL12[[#This Row],[AJD_Evaporation]]))</f>
        <v>19.293999999999983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Row],[(A/B) AJD]]-TABL12[[#This Row],[BER_IN]]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Row],[(A/S) AJD]]-TABL12[[#This Row],[SER_IN]]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 (T/B) SAR]]+TABL12[[#This Row],[ (S/S) SAR]]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 (S/S) SAR]]-TABL12[[#This Row],[(S/S) AJD]]</f>
        <v>50</v>
      </c>
      <c r="Q207" s="12">
        <v>439</v>
      </c>
      <c r="R207" s="12">
        <f>TABL12[[#This Row],[ (T/B) SAR]]-TABL12[[#This Row],[(T/B) AJD]]</f>
        <v>29</v>
      </c>
      <c r="S207" s="12">
        <f>TABL12[[#This Row],[S/S_CON.]]+TABL12[[#This Row],[T/B-CON.]]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TABL12[[#This Row],[( S/S+T/B) AJD]]-(TABL12[[#This Row],[(A/B + A/S) AJD]]+TABL12[[#This Row],[(STORGE DIFF.) AJD]]+(TABL12[[#This Row],[AJD_Evaporation]]))</f>
        <v>-4453.7420000000002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Row],[(A/B) AJD]]-TABL12[[#This Row],[BER_IN]]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Row],[(A/S) AJD]]-TABL12[[#This Row],[SER_IN]]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 (T/B) SAR]]+TABL12[[#This Row],[ (S/S) SAR]]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 (S/S) SAR]]-TABL12[[#This Row],[(S/S) AJD]]</f>
        <v>50</v>
      </c>
      <c r="Q208" s="12">
        <v>442</v>
      </c>
      <c r="R208" s="12">
        <f>TABL12[[#This Row],[ (T/B) SAR]]-TABL12[[#This Row],[(T/B) AJD]]</f>
        <v>26</v>
      </c>
      <c r="S208" s="12">
        <f>TABL12[[#This Row],[S/S_CON.]]+TABL12[[#This Row],[T/B-CON.]]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TABL12[[#This Row],[( S/S+T/B) AJD]]-(TABL12[[#This Row],[(A/B + A/S) AJD]]+TABL12[[#This Row],[(STORGE DIFF.) AJD]]+(TABL12[[#This Row],[AJD_Evaporation]]))</f>
        <v>-3615.9290000000001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Row],[(A/B) AJD]]-TABL12[[#This Row],[BER_IN]]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Row],[(A/S) AJD]]-TABL12[[#This Row],[SER_IN]]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 (T/B) SAR]]+TABL12[[#This Row],[ (S/S) SAR]]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 (S/S) SAR]]-TABL12[[#This Row],[(S/S) AJD]]</f>
        <v>49</v>
      </c>
      <c r="Q209" s="12">
        <v>442</v>
      </c>
      <c r="R209" s="12">
        <f>TABL12[[#This Row],[ (T/B) SAR]]-TABL12[[#This Row],[(T/B) AJD]]</f>
        <v>26</v>
      </c>
      <c r="S209" s="12">
        <f>TABL12[[#This Row],[S/S_CON.]]+TABL12[[#This Row],[T/B-CON.]]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TABL12[[#This Row],[( S/S+T/B) AJD]]-(TABL12[[#This Row],[(A/B + A/S) AJD]]+TABL12[[#This Row],[(STORGE DIFF.) AJD]]+(TABL12[[#This Row],[AJD_Evaporation]]))</f>
        <v>-3983.0560000000005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Row],[(A/B) AJD]]-TABL12[[#This Row],[BER_IN]]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Row],[(A/S) AJD]]-TABL12[[#This Row],[SER_IN]]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 (T/B) SAR]]+TABL12[[#This Row],[ (S/S) SAR]]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 (S/S) SAR]]-TABL12[[#This Row],[(S/S) AJD]]</f>
        <v>47</v>
      </c>
      <c r="Q210" s="12">
        <v>444</v>
      </c>
      <c r="R210" s="12">
        <f>TABL12[[#This Row],[ (T/B) SAR]]-TABL12[[#This Row],[(T/B) AJD]]</f>
        <v>25</v>
      </c>
      <c r="S210" s="12">
        <f>TABL12[[#This Row],[S/S_CON.]]+TABL12[[#This Row],[T/B-CON.]]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TABL12[[#This Row],[( S/S+T/B) AJD]]-(TABL12[[#This Row],[(A/B + A/S) AJD]]+TABL12[[#This Row],[(STORGE DIFF.) AJD]]+(TABL12[[#This Row],[AJD_Evaporation]]))</f>
        <v>8.6459999999999582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Row],[(A/B) AJD]]-TABL12[[#This Row],[BER_IN]]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Row],[(A/S) AJD]]-TABL12[[#This Row],[SER_IN]]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 (T/B) SAR]]+TABL12[[#This Row],[ (S/S) SAR]]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 (S/S) SAR]]-TABL12[[#This Row],[(S/S) AJD]]</f>
        <v>37</v>
      </c>
      <c r="Q211" s="12">
        <v>441</v>
      </c>
      <c r="R211" s="12">
        <f>TABL12[[#This Row],[ (T/B) SAR]]-TABL12[[#This Row],[(T/B) AJD]]</f>
        <v>14</v>
      </c>
      <c r="S211" s="12">
        <f>TABL12[[#This Row],[S/S_CON.]]+TABL12[[#This Row],[T/B-CON.]]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TABL12[[#This Row],[( S/S+T/B) AJD]]-(TABL12[[#This Row],[(A/B + A/S) AJD]]+TABL12[[#This Row],[(STORGE DIFF.) AJD]]+(TABL12[[#This Row],[AJD_Evaporation]]))</f>
        <v>40.69500000000005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Row],[(A/B) AJD]]-TABL12[[#This Row],[BER_IN]]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Row],[(A/S) AJD]]-TABL12[[#This Row],[SER_IN]]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 (T/B) SAR]]+TABL12[[#This Row],[ (S/S) SAR]]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 (S/S) SAR]]-TABL12[[#This Row],[(S/S) AJD]]</f>
        <v>47</v>
      </c>
      <c r="Q212" s="12">
        <v>429</v>
      </c>
      <c r="R212" s="12">
        <f>TABL12[[#This Row],[ (T/B) SAR]]-TABL12[[#This Row],[(T/B) AJD]]</f>
        <v>26</v>
      </c>
      <c r="S212" s="12">
        <f>TABL12[[#This Row],[S/S_CON.]]+TABL12[[#This Row],[T/B-CON.]]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TABL12[[#This Row],[( S/S+T/B) AJD]]-(TABL12[[#This Row],[(A/B + A/S) AJD]]+TABL12[[#This Row],[(STORGE DIFF.) AJD]]+(TABL12[[#This Row],[AJD_Evaporation]]))</f>
        <v>18.69399999999996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Row],[(A/B) AJD]]-TABL12[[#This Row],[BER_IN]]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Row],[(A/S) AJD]]-TABL12[[#This Row],[SER_IN]]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 (T/B) SAR]]+TABL12[[#This Row],[ (S/S) SAR]]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 (S/S) SAR]]-TABL12[[#This Row],[(S/S) AJD]]</f>
        <v>48</v>
      </c>
      <c r="Q213" s="12">
        <v>431</v>
      </c>
      <c r="R213" s="12">
        <f>TABL12[[#This Row],[ (T/B) SAR]]-TABL12[[#This Row],[(T/B) AJD]]</f>
        <v>26</v>
      </c>
      <c r="S213" s="12">
        <f>TABL12[[#This Row],[S/S_CON.]]+TABL12[[#This Row],[T/B-CON.]]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TABL12[[#This Row],[( S/S+T/B) AJD]]-(TABL12[[#This Row],[(A/B + A/S) AJD]]+TABL12[[#This Row],[(STORGE DIFF.) AJD]]+(TABL12[[#This Row],[AJD_Evaporation]]))</f>
        <v>-2078.7039999999997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Row],[(A/B) AJD]]-TABL12[[#This Row],[BER_IN]]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Row],[(A/S) AJD]]-TABL12[[#This Row],[SER_IN]]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 (T/B) SAR]]+TABL12[[#This Row],[ (S/S) SAR]]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 (S/S) SAR]]-TABL12[[#This Row],[(S/S) AJD]]</f>
        <v>51</v>
      </c>
      <c r="Q214" s="3">
        <v>429</v>
      </c>
      <c r="R214" s="3">
        <f>TABL12[[#This Row],[ (T/B) SAR]]-TABL12[[#This Row],[(T/B) AJD]]</f>
        <v>28</v>
      </c>
      <c r="S214" s="3">
        <f>TABL12[[#This Row],[S/S_CON.]]+TABL12[[#This Row],[T/B-CON.]]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TABL12[[#This Row],[( S/S+T/B) AJD]]-(TABL12[[#This Row],[(A/B + A/S) AJD]]+TABL12[[#This Row],[(STORGE DIFF.) AJD]]+(TABL12[[#This Row],[AJD_Evaporation]]))</f>
        <v>18.712999999999965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Row],[(A/B) AJD]]-TABL12[[#This Row],[BER_IN]]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Row],[(A/S) AJD]]-TABL12[[#This Row],[SER_IN]]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 (T/B) SAR]]+TABL12[[#This Row],[ (S/S) SAR]]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 (S/S) SAR]]-TABL12[[#This Row],[(S/S) AJD]]</f>
        <v>67</v>
      </c>
      <c r="Q215" s="3">
        <v>434</v>
      </c>
      <c r="R215" s="3">
        <f>TABL12[[#This Row],[ (T/B) SAR]]-TABL12[[#This Row],[(T/B) AJD]]</f>
        <v>43</v>
      </c>
      <c r="S215" s="3">
        <f>TABL12[[#This Row],[S/S_CON.]]+TABL12[[#This Row],[T/B-CON.]]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TABL12[[#This Row],[( S/S+T/B) AJD]]-(TABL12[[#This Row],[(A/B + A/S) AJD]]+TABL12[[#This Row],[(STORGE DIFF.) AJD]]+(TABL12[[#This Row],[AJD_Evaporation]]))</f>
        <v>25.114000000000033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Row],[(A/B) AJD]]-TABL12[[#This Row],[BER_IN]]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Row],[(A/S) AJD]]-TABL12[[#This Row],[SER_IN]]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 (T/B) SAR]]+TABL12[[#This Row],[ (S/S) SAR]]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 (S/S) SAR]]-TABL12[[#This Row],[(S/S) AJD]]</f>
        <v>52</v>
      </c>
      <c r="Q216" s="3">
        <v>449</v>
      </c>
      <c r="R216" s="3">
        <f>TABL12[[#This Row],[ (T/B) SAR]]-TABL12[[#This Row],[(T/B) AJD]]</f>
        <v>28</v>
      </c>
      <c r="S216" s="3">
        <f>TABL12[[#This Row],[S/S_CON.]]+TABL12[[#This Row],[T/B-CON.]]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TABL12[[#This Row],[( S/S+T/B) AJD]]-(TABL12[[#This Row],[(A/B + A/S) AJD]]+TABL12[[#This Row],[(STORGE DIFF.) AJD]]+(TABL12[[#This Row],[AJD_Evaporation]]))</f>
        <v>25.008000000000038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Row],[(A/B) AJD]]-TABL12[[#This Row],[BER_IN]]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Row],[(A/S) AJD]]-TABL12[[#This Row],[SER_IN]]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 (T/B) SAR]]+TABL12[[#This Row],[ (S/S) SAR]]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 (S/S) SAR]]-TABL12[[#This Row],[(S/S) AJD]]</f>
        <v>32</v>
      </c>
      <c r="Q217" s="3">
        <v>446</v>
      </c>
      <c r="R217" s="3">
        <f>TABL12[[#This Row],[ (T/B) SAR]]-TABL12[[#This Row],[(T/B) AJD]]</f>
        <v>8</v>
      </c>
      <c r="S217" s="3">
        <f>TABL12[[#This Row],[S/S_CON.]]+TABL12[[#This Row],[T/B-CON.]]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TABL12[[#This Row],[( S/S+T/B) AJD]]-(TABL12[[#This Row],[(A/B + A/S) AJD]]+TABL12[[#This Row],[(STORGE DIFF.) AJD]]+(TABL12[[#This Row],[AJD_Evaporation]]))</f>
        <v>22.245000000000005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Row],[(A/B) AJD]]-TABL12[[#This Row],[BER_IN]]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Row],[(A/S) AJD]]-TABL12[[#This Row],[SER_IN]]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 (T/B) SAR]]+TABL12[[#This Row],[ (S/S) SAR]]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 (S/S) SAR]]-TABL12[[#This Row],[(S/S) AJD]]</f>
        <v>23</v>
      </c>
      <c r="Q218" s="3">
        <v>430</v>
      </c>
      <c r="R218" s="3">
        <f>TABL12[[#This Row],[ (T/B) SAR]]-TABL12[[#This Row],[(T/B) AJD]]</f>
        <v>0</v>
      </c>
      <c r="S218" s="3">
        <f>TABL12[[#This Row],[S/S_CON.]]+TABL12[[#This Row],[T/B-CON.]]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TABL12[[#This Row],[( S/S+T/B) AJD]]-(TABL12[[#This Row],[(A/B + A/S) AJD]]+TABL12[[#This Row],[(STORGE DIFF.) AJD]]+(TABL12[[#This Row],[AJD_Evaporation]]))</f>
        <v>26.213999999999942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Row],[(A/B) AJD]]-TABL12[[#This Row],[BER_IN]]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Row],[(A/S) AJD]]-TABL12[[#This Row],[SER_IN]]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 (T/B) SAR]]+TABL12[[#This Row],[ (S/S) SAR]]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 (S/S) SAR]]-TABL12[[#This Row],[(S/S) AJD]]</f>
        <v>47</v>
      </c>
      <c r="Q219" s="3">
        <v>405</v>
      </c>
      <c r="R219" s="3">
        <f>TABL12[[#This Row],[ (T/B) SAR]]-TABL12[[#This Row],[(T/B) AJD]]</f>
        <v>25</v>
      </c>
      <c r="S219" s="3">
        <f>TABL12[[#This Row],[S/S_CON.]]+TABL12[[#This Row],[T/B-CON.]]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TABL12[[#This Row],[( S/S+T/B) AJD]]-(TABL12[[#This Row],[(A/B + A/S) AJD]]+TABL12[[#This Row],[(STORGE DIFF.) AJD]]+(TABL12[[#This Row],[AJD_Evaporation]]))</f>
        <v>-2698.2249999999999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Row],[(A/B) AJD]]-TABL12[[#This Row],[BER_IN]]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Row],[(A/S) AJD]]-TABL12[[#This Row],[SER_IN]]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 (T/B) SAR]]+TABL12[[#This Row],[ (S/S) SAR]]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 (S/S) SAR]]-TABL12[[#This Row],[(S/S) AJD]]</f>
        <v>48</v>
      </c>
      <c r="Q220" s="3">
        <v>404</v>
      </c>
      <c r="R220" s="3">
        <f>TABL12[[#This Row],[ (T/B) SAR]]-TABL12[[#This Row],[(T/B) AJD]]</f>
        <v>26</v>
      </c>
      <c r="S220" s="3">
        <f>TABL12[[#This Row],[S/S_CON.]]+TABL12[[#This Row],[T/B-CON.]]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TABL12[[#This Row],[( S/S+T/B) AJD]]-(TABL12[[#This Row],[(A/B + A/S) AJD]]+TABL12[[#This Row],[(STORGE DIFF.) AJD]]+(TABL12[[#This Row],[AJD_Evaporation]]))</f>
        <v>-2662.0969999999998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Row],[(A/B) AJD]]-TABL12[[#This Row],[BER_IN]]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Row],[(A/S) AJD]]-TABL12[[#This Row],[SER_IN]]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 (T/B) SAR]]+TABL12[[#This Row],[ (S/S) SAR]]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 (S/S) SAR]]-TABL12[[#This Row],[(S/S) AJD]]</f>
        <v>49</v>
      </c>
      <c r="Q221" s="3">
        <v>404</v>
      </c>
      <c r="R221" s="3">
        <f>TABL12[[#This Row],[ (T/B) SAR]]-TABL12[[#This Row],[(T/B) AJD]]</f>
        <v>26</v>
      </c>
      <c r="S221" s="3">
        <f>TABL12[[#This Row],[S/S_CON.]]+TABL12[[#This Row],[T/B-CON.]]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TABL12[[#This Row],[( S/S+T/B) AJD]]-(TABL12[[#This Row],[(A/B + A/S) AJD]]+TABL12[[#This Row],[(STORGE DIFF.) AJD]]+(TABL12[[#This Row],[AJD_Evaporation]]))</f>
        <v>-2758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Row],[(A/B) AJD]]-TABL12[[#This Row],[BER_IN]]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Row],[(A/S) AJD]]-TABL12[[#This Row],[SER_IN]]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 (T/B) SAR]]+TABL12[[#This Row],[ (S/S) SAR]]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 (S/S) SAR]]-TABL12[[#This Row],[(S/S) AJD]]</f>
        <v>44</v>
      </c>
      <c r="Q222" s="3">
        <v>407</v>
      </c>
      <c r="R222" s="3">
        <f>TABL12[[#This Row],[ (T/B) SAR]]-TABL12[[#This Row],[(T/B) AJD]]</f>
        <v>25</v>
      </c>
      <c r="S222" s="3">
        <f>TABL12[[#This Row],[S/S_CON.]]+TABL12[[#This Row],[T/B-CON.]]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TABL12[[#This Row],[( S/S+T/B) AJD]]-(TABL12[[#This Row],[(A/B + A/S) AJD]]+TABL12[[#This Row],[(STORGE DIFF.) AJD]]+(TABL12[[#This Row],[AJD_Evaporation]]))</f>
        <v>-2687.9949999999999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Row],[(A/B) AJD]]-TABL12[[#This Row],[BER_IN]]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Row],[(A/S) AJD]]-TABL12[[#This Row],[SER_IN]]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 (T/B) SAR]]+TABL12[[#This Row],[ (S/S) SAR]]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 (S/S) SAR]]-TABL12[[#This Row],[(S/S) AJD]]</f>
        <v>54</v>
      </c>
      <c r="Q223" s="3">
        <v>410</v>
      </c>
      <c r="R223" s="3">
        <f>TABL12[[#This Row],[ (T/B) SAR]]-TABL12[[#This Row],[(T/B) AJD]]</f>
        <v>36</v>
      </c>
      <c r="S223" s="3">
        <f>TABL12[[#This Row],[S/S_CON.]]+TABL12[[#This Row],[T/B-CON.]]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TABL12[[#This Row],[( S/S+T/B) AJD]]-(TABL12[[#This Row],[(A/B + A/S) AJD]]+TABL12[[#This Row],[(STORGE DIFF.) AJD]]+(TABL12[[#This Row],[AJD_Evaporation]]))</f>
        <v>-2803.9360000000001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Row],[(A/B) AJD]]-TABL12[[#This Row],[BER_IN]]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Row],[(A/S) AJD]]-TABL12[[#This Row],[SER_IN]]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 (T/B) SAR]]+TABL12[[#This Row],[ (S/S) SAR]]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 (S/S) SAR]]-TABL12[[#This Row],[(S/S) AJD]]</f>
        <v>65</v>
      </c>
      <c r="Q224" s="3">
        <v>420</v>
      </c>
      <c r="R224" s="3">
        <f>TABL12[[#This Row],[ (T/B) SAR]]-TABL12[[#This Row],[(T/B) AJD]]</f>
        <v>44</v>
      </c>
      <c r="S224" s="3">
        <f>TABL12[[#This Row],[S/S_CON.]]+TABL12[[#This Row],[T/B-CON.]]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TABL12[[#This Row],[( S/S+T/B) AJD]]-(TABL12[[#This Row],[(A/B + A/S) AJD]]+TABL12[[#This Row],[(STORGE DIFF.) AJD]]+(TABL12[[#This Row],[AJD_Evaporation]]))</f>
        <v>-3443.0309999999999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Row],[(A/B) AJD]]-TABL12[[#This Row],[BER_IN]]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Row],[(A/S) AJD]]-TABL12[[#This Row],[SER_IN]]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 (T/B) SAR]]+TABL12[[#This Row],[ (S/S) SAR]]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 (S/S) SAR]]-TABL12[[#This Row],[(S/S) AJD]]</f>
        <v>1</v>
      </c>
      <c r="Q225" s="3">
        <v>433</v>
      </c>
      <c r="R225" s="3">
        <f>TABL12[[#This Row],[ (T/B) SAR]]-TABL12[[#This Row],[(T/B) AJD]]</f>
        <v>-23</v>
      </c>
      <c r="S225" s="3">
        <f>TABL12[[#This Row],[S/S_CON.]]+TABL12[[#This Row],[T/B-CON.]]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TABL12[[#This Row],[( S/S+T/B) AJD]]-(TABL12[[#This Row],[(A/B + A/S) AJD]]+TABL12[[#This Row],[(STORGE DIFF.) AJD]]+(TABL12[[#This Row],[AJD_Evaporation]]))</f>
        <v>25.936000000000035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Row],[(A/B) AJD]]-TABL12[[#This Row],[BER_IN]]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Row],[(A/S) AJD]]-TABL12[[#This Row],[SER_IN]]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 (T/B) SAR]]+TABL12[[#This Row],[ (S/S) SAR]]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 (S/S) SAR]]-TABL12[[#This Row],[(S/S) AJD]]</f>
        <v>96</v>
      </c>
      <c r="Q226" s="3">
        <v>407</v>
      </c>
      <c r="R226" s="3">
        <f>TABL12[[#This Row],[ (T/B) SAR]]-TABL12[[#This Row],[(T/B) AJD]]</f>
        <v>73</v>
      </c>
      <c r="S226" s="3">
        <f>TABL12[[#This Row],[S/S_CON.]]+TABL12[[#This Row],[T/B-CON.]]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TABL12[[#This Row],[( S/S+T/B) AJD]]-(TABL12[[#This Row],[(A/B + A/S) AJD]]+TABL12[[#This Row],[(STORGE DIFF.) AJD]]+(TABL12[[#This Row],[AJD_Evaporation]]))</f>
        <v>-3175.056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Row],[(A/B) AJD]]-TABL12[[#This Row],[BER_IN]]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Row],[(A/S) AJD]]-TABL12[[#This Row],[SER_IN]]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 (T/B) SAR]]+TABL12[[#This Row],[ (S/S) SAR]]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 (S/S) SAR]]-TABL12[[#This Row],[(S/S) AJD]]</f>
        <v>58</v>
      </c>
      <c r="Q227" s="3">
        <v>447</v>
      </c>
      <c r="R227" s="3">
        <f>TABL12[[#This Row],[ (T/B) SAR]]-TABL12[[#This Row],[(T/B) AJD]]</f>
        <v>38</v>
      </c>
      <c r="S227" s="3">
        <f>TABL12[[#This Row],[S/S_CON.]]+TABL12[[#This Row],[T/B-CON.]]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TABL12[[#This Row],[( S/S+T/B) AJD]]-(TABL12[[#This Row],[(A/B + A/S) AJD]]+TABL12[[#This Row],[(STORGE DIFF.) AJD]]+(TABL12[[#This Row],[AJD_Evaporation]]))</f>
        <v>28.000999999999976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Row],[(A/B) AJD]]-TABL12[[#This Row],[BER_IN]]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Row],[(A/S) AJD]]-TABL12[[#This Row],[SER_IN]]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 (T/B) SAR]]+TABL12[[#This Row],[ (S/S) SAR]]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 (S/S) SAR]]-TABL12[[#This Row],[(S/S) AJD]]</f>
        <v>66</v>
      </c>
      <c r="Q228" s="3">
        <v>461</v>
      </c>
      <c r="R228" s="3">
        <f>TABL12[[#This Row],[ (T/B) SAR]]-TABL12[[#This Row],[(T/B) AJD]]</f>
        <v>40</v>
      </c>
      <c r="S228" s="3">
        <f>TABL12[[#This Row],[S/S_CON.]]+TABL12[[#This Row],[T/B-CON.]]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TABL12[[#This Row],[( S/S+T/B) AJD]]-(TABL12[[#This Row],[(A/B + A/S) AJD]]+TABL12[[#This Row],[(STORGE DIFF.) AJD]]+(TABL12[[#This Row],[AJD_Evaporation]]))</f>
        <v>28.985000000000014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Row],[(A/B) AJD]]-TABL12[[#This Row],[BER_IN]]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Row],[(A/S) AJD]]-TABL12[[#This Row],[SER_IN]]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 (T/B) SAR]]+TABL12[[#This Row],[ (S/S) SAR]]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 (S/S) SAR]]-TABL12[[#This Row],[(S/S) AJD]]</f>
        <v>52</v>
      </c>
      <c r="Q229" s="3">
        <v>475</v>
      </c>
      <c r="R229" s="3">
        <f>TABL12[[#This Row],[ (T/B) SAR]]-TABL12[[#This Row],[(T/B) AJD]]</f>
        <v>27</v>
      </c>
      <c r="S229" s="3">
        <f>TABL12[[#This Row],[S/S_CON.]]+TABL12[[#This Row],[T/B-CON.]]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TABL12[[#This Row],[( S/S+T/B) AJD]]-(TABL12[[#This Row],[(A/B + A/S) AJD]]+TABL12[[#This Row],[(STORGE DIFF.) AJD]]+(TABL12[[#This Row],[AJD_Evaporation]]))</f>
        <v>-2646.7780000000002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Row],[(A/B) AJD]]-TABL12[[#This Row],[BER_IN]]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Row],[(A/S) AJD]]-TABL12[[#This Row],[SER_IN]]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 (T/B) SAR]]+TABL12[[#This Row],[ (S/S) SAR]]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 (S/S) SAR]]-TABL12[[#This Row],[(S/S) AJD]]</f>
        <v>53</v>
      </c>
      <c r="Q230" s="3">
        <v>477</v>
      </c>
      <c r="R230" s="3">
        <f>TABL12[[#This Row],[ (T/B) SAR]]-TABL12[[#This Row],[(T/B) AJD]]</f>
        <v>23</v>
      </c>
      <c r="S230" s="3">
        <f>TABL12[[#This Row],[S/S_CON.]]+TABL12[[#This Row],[T/B-CON.]]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TABL12[[#This Row],[( S/S+T/B) AJD]]-(TABL12[[#This Row],[(A/B + A/S) AJD]]+TABL12[[#This Row],[(STORGE DIFF.) AJD]]+(TABL12[[#This Row],[AJD_Evaporation]]))</f>
        <v>-2500.67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Row],[(A/B) AJD]]-TABL12[[#This Row],[BER_IN]]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Row],[(A/S) AJD]]-TABL12[[#This Row],[SER_IN]]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 (T/B) SAR]]+TABL12[[#This Row],[ (S/S) SAR]]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 (S/S) SAR]]-TABL12[[#This Row],[(S/S) AJD]]</f>
        <v>62</v>
      </c>
      <c r="Q231" s="3">
        <v>465</v>
      </c>
      <c r="R231" s="3">
        <f>TABL12[[#This Row],[ (T/B) SAR]]-TABL12[[#This Row],[(T/B) AJD]]</f>
        <v>47</v>
      </c>
      <c r="S231" s="3">
        <f>TABL12[[#This Row],[S/S_CON.]]+TABL12[[#This Row],[T/B-CON.]]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TABL12[[#This Row],[( S/S+T/B) AJD]]-(TABL12[[#This Row],[(A/B + A/S) AJD]]+TABL12[[#This Row],[(STORGE DIFF.) AJD]]+(TABL12[[#This Row],[AJD_Evaporation]]))</f>
        <v>-2574.527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Row],[(A/B) AJD]]-TABL12[[#This Row],[BER_IN]]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Row],[(A/S) AJD]]-TABL12[[#This Row],[SER_IN]]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 (T/B) SAR]]+TABL12[[#This Row],[ (S/S) SAR]]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 (S/S) SAR]]-TABL12[[#This Row],[(S/S) AJD]]</f>
        <v>41</v>
      </c>
      <c r="Q232" s="3">
        <v>502</v>
      </c>
      <c r="R232" s="3">
        <f>TABL12[[#This Row],[ (T/B) SAR]]-TABL12[[#This Row],[(T/B) AJD]]</f>
        <v>18</v>
      </c>
      <c r="S232" s="3">
        <f>TABL12[[#This Row],[S/S_CON.]]+TABL12[[#This Row],[T/B-CON.]]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TABL12[[#This Row],[( S/S+T/B) AJD]]-(TABL12[[#This Row],[(A/B + A/S) AJD]]+TABL12[[#This Row],[(STORGE DIFF.) AJD]]+(TABL12[[#This Row],[AJD_Evaporation]]))</f>
        <v>46.461000000000013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Row],[(A/B) AJD]]-TABL12[[#This Row],[BER_IN]]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Row],[(A/S) AJD]]-TABL12[[#This Row],[SER_IN]]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 (T/B) SAR]]+TABL12[[#This Row],[ (S/S) SAR]]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 (S/S) SAR]]-TABL12[[#This Row],[(S/S) AJD]]</f>
        <v>51</v>
      </c>
      <c r="Q233" s="3">
        <v>490</v>
      </c>
      <c r="R233" s="3">
        <f>TABL12[[#This Row],[ (T/B) SAR]]-TABL12[[#This Row],[(T/B) AJD]]</f>
        <v>18</v>
      </c>
      <c r="S233" s="3">
        <f>TABL12[[#This Row],[S/S_CON.]]+TABL12[[#This Row],[T/B-CON.]]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TABL12[[#This Row],[( S/S+T/B) AJD]]-(TABL12[[#This Row],[(A/B + A/S) AJD]]+TABL12[[#This Row],[(STORGE DIFF.) AJD]]+(TABL12[[#This Row],[AJD_Evaporation]]))</f>
        <v>-2392.7919999999999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Row],[(A/B) AJD]]-TABL12[[#This Row],[BER_IN]]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Row],[(A/S) AJD]]-TABL12[[#This Row],[SER_IN]]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 (T/B) SAR]]+TABL12[[#This Row],[ (S/S) SAR]]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 (S/S) SAR]]-TABL12[[#This Row],[(S/S) AJD]]</f>
        <v>51</v>
      </c>
      <c r="Q234" s="3">
        <v>491</v>
      </c>
      <c r="R234" s="3">
        <f>TABL12[[#This Row],[ (T/B) SAR]]-TABL12[[#This Row],[(T/B) AJD]]</f>
        <v>22</v>
      </c>
      <c r="S234" s="3">
        <f>TABL12[[#This Row],[S/S_CON.]]+TABL12[[#This Row],[T/B-CON.]]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TABL12[[#This Row],[( S/S+T/B) AJD]]-(TABL12[[#This Row],[(A/B + A/S) AJD]]+TABL12[[#This Row],[(STORGE DIFF.) AJD]]+(TABL12[[#This Row],[AJD_Evaporation]]))</f>
        <v>29.874000000000024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Row],[(A/B) AJD]]-TABL12[[#This Row],[BER_IN]]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Row],[(A/S) AJD]]-TABL12[[#This Row],[SER_IN]]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 (T/B) SAR]]+TABL12[[#This Row],[ (S/S) SAR]]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 (S/S) SAR]]-TABL12[[#This Row],[(S/S) AJD]]</f>
        <v>52</v>
      </c>
      <c r="Q235" s="3">
        <v>489</v>
      </c>
      <c r="R235" s="3">
        <f>TABL12[[#This Row],[ (T/B) SAR]]-TABL12[[#This Row],[(T/B) AJD]]</f>
        <v>23</v>
      </c>
      <c r="S235" s="3">
        <f>TABL12[[#This Row],[S/S_CON.]]+TABL12[[#This Row],[T/B-CON.]]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TABL12[[#This Row],[( S/S+T/B) AJD]]-(TABL12[[#This Row],[(A/B + A/S) AJD]]+TABL12[[#This Row],[(STORGE DIFF.) AJD]]+(TABL12[[#This Row],[AJD_Evaporation]]))</f>
        <v>-2048.9809999999998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Row],[(A/B) AJD]]-TABL12[[#This Row],[BER_IN]]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Row],[(A/S) AJD]]-TABL12[[#This Row],[SER_IN]]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 (T/B) SAR]]+TABL12[[#This Row],[ (S/S) SAR]]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 (S/S) SAR]]-TABL12[[#This Row],[(S/S) AJD]]</f>
        <v>71</v>
      </c>
      <c r="Q236" s="3">
        <v>468</v>
      </c>
      <c r="R236" s="3">
        <f>TABL12[[#This Row],[ (T/B) SAR]]-TABL12[[#This Row],[(T/B) AJD]]</f>
        <v>54</v>
      </c>
      <c r="S236" s="3">
        <f>TABL12[[#This Row],[S/S_CON.]]+TABL12[[#This Row],[T/B-CON.]]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TABL12[[#This Row],[( S/S+T/B) AJD]]-(TABL12[[#This Row],[(A/B + A/S) AJD]]+TABL12[[#This Row],[(STORGE DIFF.) AJD]]+(TABL12[[#This Row],[AJD_Evaporation]]))</f>
        <v>56.889999999999986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Row],[(A/B) AJD]]-TABL12[[#This Row],[BER_IN]]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Row],[(A/S) AJD]]-TABL12[[#This Row],[SER_IN]]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 (T/B) SAR]]+TABL12[[#This Row],[ (S/S) SAR]]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 (S/S) SAR]]-TABL12[[#This Row],[(S/S) AJD]]</f>
        <v>50</v>
      </c>
      <c r="Q237" s="3">
        <v>486</v>
      </c>
      <c r="R237" s="3">
        <f>TABL12[[#This Row],[ (T/B) SAR]]-TABL12[[#This Row],[(T/B) AJD]]</f>
        <v>24</v>
      </c>
      <c r="S237" s="3">
        <f>TABL12[[#This Row],[S/S_CON.]]+TABL12[[#This Row],[T/B-CON.]]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TABL12[[#This Row],[( S/S+T/B) AJD]]-(TABL12[[#This Row],[(A/B + A/S) AJD]]+TABL12[[#This Row],[(STORGE DIFF.) AJD]]+(TABL12[[#This Row],[AJD_Evaporation]]))</f>
        <v>-2694.1620000000003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Row],[(A/B) AJD]]-TABL12[[#This Row],[BER_IN]]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Row],[(A/S) AJD]]-TABL12[[#This Row],[SER_IN]]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 (T/B) SAR]]+TABL12[[#This Row],[ (S/S) SAR]]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 (S/S) SAR]]-TABL12[[#This Row],[(S/S) AJD]]</f>
        <v>57</v>
      </c>
      <c r="Q238" s="3">
        <v>484</v>
      </c>
      <c r="R238" s="3">
        <f>TABL12[[#This Row],[ (T/B) SAR]]-TABL12[[#This Row],[(T/B) AJD]]</f>
        <v>28</v>
      </c>
      <c r="S238" s="3">
        <f>TABL12[[#This Row],[S/S_CON.]]+TABL12[[#This Row],[T/B-CON.]]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TABL12[[#This Row],[( S/S+T/B) AJD]]-(TABL12[[#This Row],[(A/B + A/S) AJD]]+TABL12[[#This Row],[(STORGE DIFF.) AJD]]+(TABL12[[#This Row],[AJD_Evaporation]]))</f>
        <v>-7.9629999999999654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Row],[(A/B) AJD]]-TABL12[[#This Row],[BER_IN]]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Row],[(A/S) AJD]]-TABL12[[#This Row],[SER_IN]]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 (T/B) SAR]]+TABL12[[#This Row],[ (S/S) SAR]]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 (S/S) SAR]]-TABL12[[#This Row],[(S/S) AJD]]</f>
        <v>59</v>
      </c>
      <c r="Q239" s="3">
        <v>486</v>
      </c>
      <c r="R239" s="3">
        <f>TABL12[[#This Row],[ (T/B) SAR]]-TABL12[[#This Row],[(T/B) AJD]]</f>
        <v>26</v>
      </c>
      <c r="S239" s="3">
        <f>TABL12[[#This Row],[S/S_CON.]]+TABL12[[#This Row],[T/B-CON.]]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TABL12[[#This Row],[( S/S+T/B) AJD]]-(TABL12[[#This Row],[(A/B + A/S) AJD]]+TABL12[[#This Row],[(STORGE DIFF.) AJD]]+(TABL12[[#This Row],[AJD_Evaporation]]))</f>
        <v>49.802999999999997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Row],[(A/B) AJD]]-TABL12[[#This Row],[BER_IN]]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Row],[(A/S) AJD]]-TABL12[[#This Row],[SER_IN]]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 (T/B) SAR]]+TABL12[[#This Row],[ (S/S) SAR]]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 (S/S) SAR]]-TABL12[[#This Row],[(S/S) AJD]]</f>
        <v>52</v>
      </c>
      <c r="Q240" s="3">
        <v>486</v>
      </c>
      <c r="R240" s="3">
        <f>TABL12[[#This Row],[ (T/B) SAR]]-TABL12[[#This Row],[(T/B) AJD]]</f>
        <v>24</v>
      </c>
      <c r="S240" s="3">
        <f>TABL12[[#This Row],[S/S_CON.]]+TABL12[[#This Row],[T/B-CON.]]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TABL12[[#This Row],[( S/S+T/B) AJD]]-(TABL12[[#This Row],[(A/B + A/S) AJD]]+TABL12[[#This Row],[(STORGE DIFF.) AJD]]+(TABL12[[#This Row],[AJD_Evaporation]]))</f>
        <v>32.009999999999991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Row],[(A/B) AJD]]-TABL12[[#This Row],[BER_IN]]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Row],[(A/S) AJD]]-TABL12[[#This Row],[SER_IN]]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 (T/B) SAR]]+TABL12[[#This Row],[ (S/S) SAR]]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 (S/S) SAR]]-TABL12[[#This Row],[(S/S) AJD]]</f>
        <v>60</v>
      </c>
      <c r="Q241" s="3">
        <v>488</v>
      </c>
      <c r="R241" s="3">
        <f>TABL12[[#This Row],[ (T/B) SAR]]-TABL12[[#This Row],[(T/B) AJD]]</f>
        <v>34</v>
      </c>
      <c r="S241" s="3">
        <f>TABL12[[#This Row],[S/S_CON.]]+TABL12[[#This Row],[T/B-CON.]]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TABL12[[#This Row],[( S/S+T/B) AJD]]-(TABL12[[#This Row],[(A/B + A/S) AJD]]+TABL12[[#This Row],[(STORGE DIFF.) AJD]]+(TABL12[[#This Row],[AJD_Evaporation]]))</f>
        <v>29.888000000000034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Row],[(A/B) AJD]]-TABL12[[#This Row],[BER_IN]]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Row],[(A/S) AJD]]-TABL12[[#This Row],[SER_IN]]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 (T/B) SAR]]+TABL12[[#This Row],[ (S/S) SAR]]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 (S/S) SAR]]-TABL12[[#This Row],[(S/S) AJD]]</f>
        <v>51</v>
      </c>
      <c r="Q242" s="3">
        <v>495</v>
      </c>
      <c r="R242" s="3">
        <f>TABL12[[#This Row],[ (T/B) SAR]]-TABL12[[#This Row],[(T/B) AJD]]</f>
        <v>23</v>
      </c>
      <c r="S242" s="3">
        <f>TABL12[[#This Row],[S/S_CON.]]+TABL12[[#This Row],[T/B-CON.]]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TABL12[[#This Row],[( S/S+T/B) AJD]]-(TABL12[[#This Row],[(A/B + A/S) AJD]]+TABL12[[#This Row],[(STORGE DIFF.) AJD]]+(TABL12[[#This Row],[AJD_Evaporation]]))</f>
        <v>25.937999999999988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Row],[(A/B) AJD]]-TABL12[[#This Row],[BER_IN]]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Row],[(A/S) AJD]]-TABL12[[#This Row],[SER_IN]]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 (T/B) SAR]]+TABL12[[#This Row],[ (S/S) SAR]]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 (S/S) SAR]]-TABL12[[#This Row],[(S/S) AJD]]</f>
        <v>52</v>
      </c>
      <c r="Q243" s="3">
        <v>495</v>
      </c>
      <c r="R243" s="3">
        <f>TABL12[[#This Row],[ (T/B) SAR]]-TABL12[[#This Row],[(T/B) AJD]]</f>
        <v>24</v>
      </c>
      <c r="S243" s="3">
        <f>TABL12[[#This Row],[S/S_CON.]]+TABL12[[#This Row],[T/B-CON.]]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TABL12[[#This Row],[( S/S+T/B) AJD]]-(TABL12[[#This Row],[(A/B + A/S) AJD]]+TABL12[[#This Row],[(STORGE DIFF.) AJD]]+(TABL12[[#This Row],[AJD_Evaporation]]))</f>
        <v>31.043000000000006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Row],[(A/B) AJD]]-TABL12[[#This Row],[BER_IN]]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Row],[(A/S) AJD]]-TABL12[[#This Row],[SER_IN]]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 (T/B) SAR]]+TABL12[[#This Row],[ (S/S) SAR]]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 (S/S) SAR]]-TABL12[[#This Row],[(S/S) AJD]]</f>
        <v>55</v>
      </c>
      <c r="Q244" s="3">
        <v>496</v>
      </c>
      <c r="R244" s="3">
        <f>TABL12[[#This Row],[ (T/B) SAR]]-TABL12[[#This Row],[(T/B) AJD]]</f>
        <v>32</v>
      </c>
      <c r="S244" s="3">
        <f>TABL12[[#This Row],[S/S_CON.]]+TABL12[[#This Row],[T/B-CON.]]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TABL12[[#This Row],[( S/S+T/B) AJD]]-(TABL12[[#This Row],[(A/B + A/S) AJD]]+TABL12[[#This Row],[(STORGE DIFF.) AJD]]+(TABL12[[#This Row],[AJD_Evaporation]]))</f>
        <v>20.772000000000048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Row],[(A/B) AJD]]-TABL12[[#This Row],[BER_IN]]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Row],[(A/S) AJD]]-TABL12[[#This Row],[SER_IN]]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 (T/B) SAR]]+TABL12[[#This Row],[ (S/S) SAR]]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 (S/S) SAR]]-TABL12[[#This Row],[(S/S) AJD]]</f>
        <v>50</v>
      </c>
      <c r="Q245" s="14">
        <v>499</v>
      </c>
      <c r="R245" s="14">
        <f>TABL12[[#This Row],[ (T/B) SAR]]-TABL12[[#This Row],[(T/B) AJD]]</f>
        <v>24</v>
      </c>
      <c r="S245" s="14">
        <f>TABL12[[#This Row],[S/S_CON.]]+TABL12[[#This Row],[T/B-CON.]]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TABL12[[#This Row],[( S/S+T/B) AJD]]-(TABL12[[#This Row],[(A/B + A/S) AJD]]+TABL12[[#This Row],[(STORGE DIFF.) AJD]]+(TABL12[[#This Row],[AJD_Evaporation]]))</f>
        <v>25.168000000000006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Row],[(A/B) AJD]]-TABL12[[#This Row],[BER_IN]]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Row],[(A/S) AJD]]-TABL12[[#This Row],[SER_IN]]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 (T/B) SAR]]+TABL12[[#This Row],[ (S/S) SAR]]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 (S/S) SAR]]-TABL12[[#This Row],[(S/S) AJD]]</f>
        <v>44</v>
      </c>
      <c r="Q246" s="14">
        <v>499</v>
      </c>
      <c r="R246" s="14">
        <f>TABL12[[#This Row],[ (T/B) SAR]]-TABL12[[#This Row],[(T/B) AJD]]</f>
        <v>23</v>
      </c>
      <c r="S246" s="14">
        <f>TABL12[[#This Row],[S/S_CON.]]+TABL12[[#This Row],[T/B-CON.]]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TABL12[[#This Row],[( S/S+T/B) AJD]]-(TABL12[[#This Row],[(A/B + A/S) AJD]]+TABL12[[#This Row],[(STORGE DIFF.) AJD]]+(TABL12[[#This Row],[AJD_Evaporation]]))</f>
        <v>28.036000000000058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Row],[(A/B) AJD]]-TABL12[[#This Row],[BER_IN]]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Row],[(A/S) AJD]]-TABL12[[#This Row],[SER_IN]]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 (T/B) SAR]]+TABL12[[#This Row],[ (S/S) SAR]]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 (S/S) SAR]]-TABL12[[#This Row],[(S/S) AJD]]</f>
        <v>47</v>
      </c>
      <c r="Q247" s="14">
        <v>491</v>
      </c>
      <c r="R247" s="14">
        <f>TABL12[[#This Row],[ (T/B) SAR]]-TABL12[[#This Row],[(T/B) AJD]]</f>
        <v>21</v>
      </c>
      <c r="S247" s="14">
        <f>TABL12[[#This Row],[S/S_CON.]]+TABL12[[#This Row],[T/B-CON.]]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TABL12[[#This Row],[( S/S+T/B) AJD]]-(TABL12[[#This Row],[(A/B + A/S) AJD]]+TABL12[[#This Row],[(STORGE DIFF.) AJD]]+(TABL12[[#This Row],[AJD_Evaporation]]))</f>
        <v>43.687000000000012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Row],[(A/B) AJD]]-TABL12[[#This Row],[BER_IN]]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Row],[(A/S) AJD]]-TABL12[[#This Row],[SER_IN]]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 (T/B) SAR]]+TABL12[[#This Row],[ (S/S) SAR]]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 (S/S) SAR]]-TABL12[[#This Row],[(S/S) AJD]]</f>
        <v>52</v>
      </c>
      <c r="Q248" s="14">
        <v>491</v>
      </c>
      <c r="R248" s="14">
        <f>TABL12[[#This Row],[ (T/B) SAR]]-TABL12[[#This Row],[(T/B) AJD]]</f>
        <v>23</v>
      </c>
      <c r="S248" s="14">
        <f>TABL12[[#This Row],[S/S_CON.]]+TABL12[[#This Row],[T/B-CON.]]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TABL12[[#This Row],[( S/S+T/B) AJD]]-(TABL12[[#This Row],[(A/B + A/S) AJD]]+TABL12[[#This Row],[(STORGE DIFF.) AJD]]+(TABL12[[#This Row],[AJD_Evaporation]]))</f>
        <v>17.789999999999964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Row],[(A/B) AJD]]-TABL12[[#This Row],[BER_IN]]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Row],[(A/S) AJD]]-TABL12[[#This Row],[SER_IN]]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 (T/B) SAR]]+TABL12[[#This Row],[ (S/S) SAR]]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 (S/S) SAR]]-TABL12[[#This Row],[(S/S) AJD]]</f>
        <v>55</v>
      </c>
      <c r="Q249" s="14">
        <v>492</v>
      </c>
      <c r="R249" s="14">
        <f>TABL12[[#This Row],[ (T/B) SAR]]-TABL12[[#This Row],[(T/B) AJD]]</f>
        <v>26</v>
      </c>
      <c r="S249" s="14">
        <f>TABL12[[#This Row],[S/S_CON.]]+TABL12[[#This Row],[T/B-CON.]]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TABL12[[#This Row],[( S/S+T/B) AJD]]-(TABL12[[#This Row],[(A/B + A/S) AJD]]+TABL12[[#This Row],[(STORGE DIFF.) AJD]]+(TABL12[[#This Row],[AJD_Evaporation]]))</f>
        <v>36.052999999999997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Row],[(A/B) AJD]]-TABL12[[#This Row],[BER_IN]]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Row],[(A/S) AJD]]-TABL12[[#This Row],[SER_IN]]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 (T/B) SAR]]+TABL12[[#This Row],[ (S/S) SAR]]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 (S/S) SAR]]-TABL12[[#This Row],[(S/S) AJD]]</f>
        <v>56</v>
      </c>
      <c r="Q250" s="9">
        <v>490</v>
      </c>
      <c r="R250" s="9">
        <f>TABL12[[#This Row],[ (T/B) SAR]]-TABL12[[#This Row],[(T/B) AJD]]</f>
        <v>28</v>
      </c>
      <c r="S250" s="9">
        <f>TABL12[[#This Row],[S/S_CON.]]+TABL12[[#This Row],[T/B-CON.]]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TABL12[[#This Row],[( S/S+T/B) AJD]]-(TABL12[[#This Row],[(A/B + A/S) AJD]]+TABL12[[#This Row],[(STORGE DIFF.) AJD]]+(TABL12[[#This Row],[AJD_Evaporation]]))</f>
        <v>27.897000000000048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Row],[(A/B) AJD]]-TABL12[[#This Row],[BER_IN]]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Row],[(A/S) AJD]]-TABL12[[#This Row],[SER_IN]]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 (T/B) SAR]]+TABL12[[#This Row],[ (S/S) SAR]]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 (S/S) SAR]]-TABL12[[#This Row],[(S/S) AJD]]</f>
        <v>45</v>
      </c>
      <c r="Q251" s="9">
        <v>491</v>
      </c>
      <c r="R251" s="9">
        <f>TABL12[[#This Row],[ (T/B) SAR]]-TABL12[[#This Row],[(T/B) AJD]]</f>
        <v>19</v>
      </c>
      <c r="S251" s="9">
        <f>TABL12[[#This Row],[S/S_CON.]]+TABL12[[#This Row],[T/B-CON.]]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TABL12[[#This Row],[( S/S+T/B) AJD]]-(TABL12[[#This Row],[(A/B + A/S) AJD]]+TABL12[[#This Row],[(STORGE DIFF.) AJD]]+(TABL12[[#This Row],[AJD_Evaporation]]))</f>
        <v>22.058999999999969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Row],[(A/B) AJD]]-TABL12[[#This Row],[BER_IN]]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Row],[(A/S) AJD]]-TABL12[[#This Row],[SER_IN]]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 (T/B) SAR]]+TABL12[[#This Row],[ (S/S) SAR]]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 (S/S) SAR]]-TABL12[[#This Row],[(S/S) AJD]]</f>
        <v>49</v>
      </c>
      <c r="Q252" s="9">
        <v>485</v>
      </c>
      <c r="R252" s="9">
        <f>TABL12[[#This Row],[ (T/B) SAR]]-TABL12[[#This Row],[(T/B) AJD]]</f>
        <v>25</v>
      </c>
      <c r="S252" s="9">
        <f>TABL12[[#This Row],[S/S_CON.]]+TABL12[[#This Row],[T/B-CON.]]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TABL12[[#This Row],[( S/S+T/B) AJD]]-(TABL12[[#This Row],[(A/B + A/S) AJD]]+TABL12[[#This Row],[(STORGE DIFF.) AJD]]+(TABL12[[#This Row],[AJD_Evaporation]]))</f>
        <v>25.692999999999984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Row],[(A/B) AJD]]-TABL12[[#This Row],[BER_IN]]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Row],[(A/S) AJD]]-TABL12[[#This Row],[SER_IN]]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 (T/B) SAR]]+TABL12[[#This Row],[ (S/S) SAR]]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 (S/S) SAR]]-TABL12[[#This Row],[(S/S) AJD]]</f>
        <v>48</v>
      </c>
      <c r="Q253" s="9">
        <v>485</v>
      </c>
      <c r="R253" s="9">
        <f>TABL12[[#This Row],[ (T/B) SAR]]-TABL12[[#This Row],[(T/B) AJD]]</f>
        <v>23</v>
      </c>
      <c r="S253" s="9">
        <f>TABL12[[#This Row],[S/S_CON.]]+TABL12[[#This Row],[T/B-CON.]]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TABL12[[#This Row],[( S/S+T/B) AJD]]-(TABL12[[#This Row],[(A/B + A/S) AJD]]+TABL12[[#This Row],[(STORGE DIFF.) AJD]]+(TABL12[[#This Row],[AJD_Evaporation]]))</f>
        <v>25.072000000000003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Row],[(A/B) AJD]]-TABL12[[#This Row],[BER_IN]]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Row],[(A/S) AJD]]-TABL12[[#This Row],[SER_IN]]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 (T/B) SAR]]+TABL12[[#This Row],[ (S/S) SAR]]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 (S/S) SAR]]-TABL12[[#This Row],[(S/S) AJD]]</f>
        <v>53</v>
      </c>
      <c r="Q254" s="9">
        <v>480</v>
      </c>
      <c r="R254" s="9">
        <f>TABL12[[#This Row],[ (T/B) SAR]]-TABL12[[#This Row],[(T/B) AJD]]</f>
        <v>24</v>
      </c>
      <c r="S254" s="9">
        <f>TABL12[[#This Row],[S/S_CON.]]+TABL12[[#This Row],[T/B-CON.]]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TABL12[[#This Row],[( S/S+T/B) AJD]]-(TABL12[[#This Row],[(A/B + A/S) AJD]]+TABL12[[#This Row],[(STORGE DIFF.) AJD]]+(TABL12[[#This Row],[AJD_Evaporation]]))</f>
        <v>23.817000000000007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Row],[(A/B) AJD]]-TABL12[[#This Row],[BER_IN]]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Row],[(A/S) AJD]]-TABL12[[#This Row],[SER_IN]]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 (T/B) SAR]]+TABL12[[#This Row],[ (S/S) SAR]]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 (S/S) SAR]]-TABL12[[#This Row],[(S/S) AJD]]</f>
        <v>52</v>
      </c>
      <c r="Q255" s="9">
        <v>478</v>
      </c>
      <c r="R255" s="9">
        <f>TABL12[[#This Row],[ (T/B) SAR]]-TABL12[[#This Row],[(T/B) AJD]]</f>
        <v>28</v>
      </c>
      <c r="S255" s="9">
        <f>TABL12[[#This Row],[S/S_CON.]]+TABL12[[#This Row],[T/B-CON.]]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TABL12[[#This Row],[( S/S+T/B) AJD]]-(TABL12[[#This Row],[(A/B + A/S) AJD]]+TABL12[[#This Row],[(STORGE DIFF.) AJD]]+(TABL12[[#This Row],[AJD_Evaporation]]))</f>
        <v>29.466000000000008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Row],[(A/B) AJD]]-TABL12[[#This Row],[BER_IN]]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Row],[(A/S) AJD]]-TABL12[[#This Row],[SER_IN]]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 (T/B) SAR]]+TABL12[[#This Row],[ (S/S) SAR]]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 (S/S) SAR]]-TABL12[[#This Row],[(S/S) AJD]]</f>
        <v>54</v>
      </c>
      <c r="Q256" s="9">
        <v>481</v>
      </c>
      <c r="R256" s="9">
        <f>TABL12[[#This Row],[ (T/B) SAR]]-TABL12[[#This Row],[(T/B) AJD]]</f>
        <v>27</v>
      </c>
      <c r="S256" s="9">
        <f>TABL12[[#This Row],[S/S_CON.]]+TABL12[[#This Row],[T/B-CON.]]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TABL12[[#This Row],[( S/S+T/B) AJD]]-(TABL12[[#This Row],[(A/B + A/S) AJD]]+TABL12[[#This Row],[(STORGE DIFF.) AJD]]+(TABL12[[#This Row],[AJD_Evaporation]]))</f>
        <v>22.95799999999997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Row],[(A/B) AJD]]-TABL12[[#This Row],[BER_IN]]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Row],[(A/S) AJD]]-TABL12[[#This Row],[SER_IN]]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 (T/B) SAR]]+TABL12[[#This Row],[ (S/S) SAR]]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 (S/S) SAR]]-TABL12[[#This Row],[(S/S) AJD]]</f>
        <v>54</v>
      </c>
      <c r="Q257" s="9">
        <v>482</v>
      </c>
      <c r="R257" s="9">
        <f>TABL12[[#This Row],[ (T/B) SAR]]-TABL12[[#This Row],[(T/B) AJD]]</f>
        <v>26</v>
      </c>
      <c r="S257" s="9">
        <f>TABL12[[#This Row],[S/S_CON.]]+TABL12[[#This Row],[T/B-CON.]]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TABL12[[#This Row],[( S/S+T/B) AJD]]-(TABL12[[#This Row],[(A/B + A/S) AJD]]+TABL12[[#This Row],[(STORGE DIFF.) AJD]]+(TABL12[[#This Row],[AJD_Evaporation]]))</f>
        <v>23.38900000000001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Row],[(A/B) AJD]]-TABL12[[#This Row],[BER_IN]]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Row],[(A/S) AJD]]-TABL12[[#This Row],[SER_IN]]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 (T/B) SAR]]+TABL12[[#This Row],[ (S/S) SAR]]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 (S/S) SAR]]-TABL12[[#This Row],[(S/S) AJD]]</f>
        <v>55</v>
      </c>
      <c r="Q258" s="9">
        <v>482</v>
      </c>
      <c r="R258" s="9">
        <f>TABL12[[#This Row],[ (T/B) SAR]]-TABL12[[#This Row],[(T/B) AJD]]</f>
        <v>26</v>
      </c>
      <c r="S258" s="9">
        <f>TABL12[[#This Row],[S/S_CON.]]+TABL12[[#This Row],[T/B-CON.]]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TABL12[[#This Row],[( S/S+T/B) AJD]]-(TABL12[[#This Row],[(A/B + A/S) AJD]]+TABL12[[#This Row],[(STORGE DIFF.) AJD]]+(TABL12[[#This Row],[AJD_Evaporation]]))</f>
        <v>22.16700000000003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Row],[(A/B) AJD]]-TABL12[[#This Row],[BER_IN]]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Row],[(A/S) AJD]]-TABL12[[#This Row],[SER_IN]]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 (T/B) SAR]]+TABL12[[#This Row],[ (S/S) SAR]]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 (S/S) SAR]]-TABL12[[#This Row],[(S/S) AJD]]</f>
        <v>56</v>
      </c>
      <c r="Q259" s="9">
        <v>480</v>
      </c>
      <c r="R259" s="9">
        <f>TABL12[[#This Row],[ (T/B) SAR]]-TABL12[[#This Row],[(T/B) AJD]]</f>
        <v>28</v>
      </c>
      <c r="S259" s="9">
        <f>TABL12[[#This Row],[S/S_CON.]]+TABL12[[#This Row],[T/B-CON.]]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TABL12[[#This Row],[( S/S+T/B) AJD]]-(TABL12[[#This Row],[(A/B + A/S) AJD]]+TABL12[[#This Row],[(STORGE DIFF.) AJD]]+(TABL12[[#This Row],[AJD_Evaporation]]))</f>
        <v>26.273000000000025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Row],[(A/B) AJD]]-TABL12[[#This Row],[BER_IN]]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Row],[(A/S) AJD]]-TABL12[[#This Row],[SER_IN]]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 (T/B) SAR]]+TABL12[[#This Row],[ (S/S) SAR]]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 (S/S) SAR]]-TABL12[[#This Row],[(S/S) AJD]]</f>
        <v>57</v>
      </c>
      <c r="Q260" s="9">
        <v>478</v>
      </c>
      <c r="R260" s="9">
        <f>TABL12[[#This Row],[ (T/B) SAR]]-TABL12[[#This Row],[(T/B) AJD]]</f>
        <v>27</v>
      </c>
      <c r="S260" s="9">
        <f>TABL12[[#This Row],[S/S_CON.]]+TABL12[[#This Row],[T/B-CON.]]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TABL12[[#This Row],[( S/S+T/B) AJD]]-(TABL12[[#This Row],[(A/B + A/S) AJD]]+TABL12[[#This Row],[(STORGE DIFF.) AJD]]+(TABL12[[#This Row],[AJD_Evaporation]]))</f>
        <v>24.615000000000009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Row],[(A/B) AJD]]-TABL12[[#This Row],[BER_IN]]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Row],[(A/S) AJD]]-TABL12[[#This Row],[SER_IN]]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 (T/B) SAR]]+TABL12[[#This Row],[ (S/S) SAR]]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 (S/S) SAR]]-TABL12[[#This Row],[(S/S) AJD]]</f>
        <v>53</v>
      </c>
      <c r="Q261" s="9">
        <v>479</v>
      </c>
      <c r="R261" s="9">
        <f>TABL12[[#This Row],[ (T/B) SAR]]-TABL12[[#This Row],[(T/B) AJD]]</f>
        <v>23</v>
      </c>
      <c r="S261" s="9">
        <f>TABL12[[#This Row],[S/S_CON.]]+TABL12[[#This Row],[T/B-CON.]]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TABL12[[#This Row],[( S/S+T/B) AJD]]-(TABL12[[#This Row],[(A/B + A/S) AJD]]+TABL12[[#This Row],[(STORGE DIFF.) AJD]]+(TABL12[[#This Row],[AJD_Evaporation]]))</f>
        <v>27.018000000000029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Row],[(A/B) AJD]]-TABL12[[#This Row],[BER_IN]]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Row],[(A/S) AJD]]-TABL12[[#This Row],[SER_IN]]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 (T/B) SAR]]+TABL12[[#This Row],[ (S/S) SAR]]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 (S/S) SAR]]-TABL12[[#This Row],[(S/S) AJD]]</f>
        <v>58</v>
      </c>
      <c r="Q262" s="9">
        <v>480</v>
      </c>
      <c r="R262" s="9">
        <f>TABL12[[#This Row],[ (T/B) SAR]]-TABL12[[#This Row],[(T/B) AJD]]</f>
        <v>32</v>
      </c>
      <c r="S262" s="9">
        <f>TABL12[[#This Row],[S/S_CON.]]+TABL12[[#This Row],[T/B-CON.]]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TABL12[[#This Row],[( S/S+T/B) AJD]]-(TABL12[[#This Row],[(A/B + A/S) AJD]]+TABL12[[#This Row],[(STORGE DIFF.) AJD]]+(TABL12[[#This Row],[AJD_Evaporation]]))</f>
        <v>28.177000000000021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Row],[(A/B) AJD]]-TABL12[[#This Row],[BER_IN]]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Row],[(A/S) AJD]]-TABL12[[#This Row],[SER_IN]]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 (T/B) SAR]]+TABL12[[#This Row],[ (S/S) SAR]]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 (S/S) SAR]]-TABL12[[#This Row],[(S/S) AJD]]</f>
        <v>50</v>
      </c>
      <c r="Q263" s="9">
        <v>486</v>
      </c>
      <c r="R263" s="9">
        <f>TABL12[[#This Row],[ (T/B) SAR]]-TABL12[[#This Row],[(T/B) AJD]]</f>
        <v>22</v>
      </c>
      <c r="S263" s="9">
        <f>TABL12[[#This Row],[S/S_CON.]]+TABL12[[#This Row],[T/B-CON.]]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TABL12[[#This Row],[( S/S+T/B) AJD]]-(TABL12[[#This Row],[(A/B + A/S) AJD]]+TABL12[[#This Row],[(STORGE DIFF.) AJD]]+(TABL12[[#This Row],[AJD_Evaporation]]))</f>
        <v>37.501999999999953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Row],[(A/B) AJD]]-TABL12[[#This Row],[BER_IN]]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Row],[(A/S) AJD]]-TABL12[[#This Row],[SER_IN]]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 (T/B) SAR]]+TABL12[[#This Row],[ (S/S) SAR]]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 (S/S) SAR]]-TABL12[[#This Row],[(S/S) AJD]]</f>
        <v>52</v>
      </c>
      <c r="Q264" s="9">
        <v>484</v>
      </c>
      <c r="R264" s="9">
        <f>TABL12[[#This Row],[ (T/B) SAR]]-TABL12[[#This Row],[(T/B) AJD]]</f>
        <v>26</v>
      </c>
      <c r="S264" s="9">
        <f>TABL12[[#This Row],[S/S_CON.]]+TABL12[[#This Row],[T/B-CON.]]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TABL12[[#This Row],[( S/S+T/B) AJD]]-(TABL12[[#This Row],[(A/B + A/S) AJD]]+TABL12[[#This Row],[(STORGE DIFF.) AJD]]+(TABL12[[#This Row],[AJD_Evaporation]]))</f>
        <v>31.033000000000015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Row],[(A/B) AJD]]-TABL12[[#This Row],[BER_IN]]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Row],[(A/S) AJD]]-TABL12[[#This Row],[SER_IN]]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 (T/B) SAR]]+TABL12[[#This Row],[ (S/S) SAR]]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 (S/S) SAR]]-TABL12[[#This Row],[(S/S) AJD]]</f>
        <v>52</v>
      </c>
      <c r="Q265" s="9">
        <v>485</v>
      </c>
      <c r="R265" s="9">
        <f>TABL12[[#This Row],[ (T/B) SAR]]-TABL12[[#This Row],[(T/B) AJD]]</f>
        <v>25</v>
      </c>
      <c r="S265" s="9">
        <f>TABL12[[#This Row],[S/S_CON.]]+TABL12[[#This Row],[T/B-CON.]]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TABL12[[#This Row],[( S/S+T/B) AJD]]-(TABL12[[#This Row],[(A/B + A/S) AJD]]+TABL12[[#This Row],[(STORGE DIFF.) AJD]]+(TABL12[[#This Row],[AJD_Evaporation]]))</f>
        <v>36.918000000000006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Row],[(A/B) AJD]]-TABL12[[#This Row],[BER_IN]]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Row],[(A/S) AJD]]-TABL12[[#This Row],[SER_IN]]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 (T/B) SAR]]+TABL12[[#This Row],[ (S/S) SAR]]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 (S/S) SAR]]-TABL12[[#This Row],[(S/S) AJD]]</f>
        <v>51</v>
      </c>
      <c r="Q266" s="9">
        <v>485</v>
      </c>
      <c r="R266" s="9">
        <f>TABL12[[#This Row],[ (T/B) SAR]]-TABL12[[#This Row],[(T/B) AJD]]</f>
        <v>17</v>
      </c>
      <c r="S266" s="9">
        <f>TABL12[[#This Row],[S/S_CON.]]+TABL12[[#This Row],[T/B-CON.]]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TABL12[[#This Row],[( S/S+T/B) AJD]]-(TABL12[[#This Row],[(A/B + A/S) AJD]]+TABL12[[#This Row],[(STORGE DIFF.) AJD]]+(TABL12[[#This Row],[AJD_Evaporation]]))</f>
        <v>35.253000000000043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Row],[(A/B) AJD]]-TABL12[[#This Row],[BER_IN]]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Row],[(A/S) AJD]]-TABL12[[#This Row],[SER_IN]]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 (T/B) SAR]]+TABL12[[#This Row],[ (S/S) SAR]]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 (S/S) SAR]]-TABL12[[#This Row],[(S/S) AJD]]</f>
        <v>50</v>
      </c>
      <c r="Q267" s="9">
        <v>484</v>
      </c>
      <c r="R267" s="9">
        <f>TABL12[[#This Row],[ (T/B) SAR]]-TABL12[[#This Row],[(T/B) AJD]]</f>
        <v>24</v>
      </c>
      <c r="S267" s="9">
        <f>TABL12[[#This Row],[S/S_CON.]]+TABL12[[#This Row],[T/B-CON.]]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TABL12[[#This Row],[( S/S+T/B) AJD]]-(TABL12[[#This Row],[(A/B + A/S) AJD]]+TABL12[[#This Row],[(STORGE DIFF.) AJD]]+(TABL12[[#This Row],[AJD_Evaporation]]))</f>
        <v>-2281.2429999999999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Row],[(A/B) AJD]]-TABL12[[#This Row],[BER_IN]]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Row],[(A/S) AJD]]-TABL12[[#This Row],[SER_IN]]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 (T/B) SAR]]+TABL12[[#This Row],[ (S/S) SAR]]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 (S/S) SAR]]-TABL12[[#This Row],[(S/S) AJD]]</f>
        <v>9</v>
      </c>
      <c r="Q268" s="9">
        <v>445</v>
      </c>
      <c r="R268" s="9">
        <f>TABL12[[#This Row],[ (T/B) SAR]]-TABL12[[#This Row],[(T/B) AJD]]</f>
        <v>60</v>
      </c>
      <c r="S268" s="9">
        <f>TABL12[[#This Row],[S/S_CON.]]+TABL12[[#This Row],[T/B-CON.]]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TABL12[[#This Row],[( S/S+T/B) AJD]]-(TABL12[[#This Row],[(A/B + A/S) AJD]]+TABL12[[#This Row],[(STORGE DIFF.) AJD]]+(TABL12[[#This Row],[AJD_Evaporation]]))</f>
        <v>-3171.1900000000005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Row],[(A/B) AJD]]-TABL12[[#This Row],[BER_IN]]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Row],[(A/S) AJD]]-TABL12[[#This Row],[SER_IN]]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 (T/B) SAR]]+TABL12[[#This Row],[ (S/S) SAR]]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 (S/S) SAR]]-TABL12[[#This Row],[(S/S) AJD]]</f>
        <v>43</v>
      </c>
      <c r="Q269" s="9">
        <v>482</v>
      </c>
      <c r="R269" s="9">
        <f>TABL12[[#This Row],[ (T/B) SAR]]-TABL12[[#This Row],[(T/B) AJD]]</f>
        <v>9</v>
      </c>
      <c r="S269" s="9">
        <f>TABL12[[#This Row],[S/S_CON.]]+TABL12[[#This Row],[T/B-CON.]]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TABL12[[#This Row],[( S/S+T/B) AJD]]-(TABL12[[#This Row],[(A/B + A/S) AJD]]+TABL12[[#This Row],[(STORGE DIFF.) AJD]]+(TABL12[[#This Row],[AJD_Evaporation]]))</f>
        <v>-2242.5830000000001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Row],[(A/B) AJD]]-TABL12[[#This Row],[BER_IN]]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Row],[(A/S) AJD]]-TABL12[[#This Row],[SER_IN]]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 (T/B) SAR]]+TABL12[[#This Row],[ (S/S) SAR]]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 (S/S) SAR]]-TABL12[[#This Row],[(S/S) AJD]]</f>
        <v>53</v>
      </c>
      <c r="Q270" s="9">
        <v>469</v>
      </c>
      <c r="R270" s="9">
        <f>TABL12[[#This Row],[ (T/B) SAR]]-TABL12[[#This Row],[(T/B) AJD]]</f>
        <v>25</v>
      </c>
      <c r="S270" s="9">
        <f>TABL12[[#This Row],[S/S_CON.]]+TABL12[[#This Row],[T/B-CON.]]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TABL12[[#This Row],[( S/S+T/B) AJD]]-(TABL12[[#This Row],[(A/B + A/S) AJD]]+TABL12[[#This Row],[(STORGE DIFF.) AJD]]+(TABL12[[#This Row],[AJD_Evaporation]]))</f>
        <v>-2276.3989999999999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Row],[(A/B) AJD]]-TABL12[[#This Row],[BER_IN]]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Row],[(A/S) AJD]]-TABL12[[#This Row],[SER_IN]]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 (T/B) SAR]]+TABL12[[#This Row],[ (S/S) SAR]]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 (S/S) SAR]]-TABL12[[#This Row],[(S/S) AJD]]</f>
        <v>43</v>
      </c>
      <c r="Q271" s="9">
        <v>471</v>
      </c>
      <c r="R271" s="9">
        <f>TABL12[[#This Row],[ (T/B) SAR]]-TABL12[[#This Row],[(T/B) AJD]]</f>
        <v>19</v>
      </c>
      <c r="S271" s="9">
        <f>TABL12[[#This Row],[S/S_CON.]]+TABL12[[#This Row],[T/B-CON.]]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TABL12[[#This Row],[( S/S+T/B) AJD]]-(TABL12[[#This Row],[(A/B + A/S) AJD]]+TABL12[[#This Row],[(STORGE DIFF.) AJD]]+(TABL12[[#This Row],[AJD_Evaporation]]))</f>
        <v>-2705.8220000000001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Row],[(A/B) AJD]]-TABL12[[#This Row],[BER_IN]]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Row],[(A/S) AJD]]-TABL12[[#This Row],[SER_IN]]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 (T/B) SAR]]+TABL12[[#This Row],[ (S/S) SAR]]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 (S/S) SAR]]-TABL12[[#This Row],[(S/S) AJD]]</f>
        <v>48</v>
      </c>
      <c r="Q272" s="9">
        <v>469</v>
      </c>
      <c r="R272" s="9">
        <f>TABL12[[#This Row],[ (T/B) SAR]]-TABL12[[#This Row],[(T/B) AJD]]</f>
        <v>21</v>
      </c>
      <c r="S272" s="9">
        <f>TABL12[[#This Row],[S/S_CON.]]+TABL12[[#This Row],[T/B-CON.]]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TABL12[[#This Row],[( S/S+T/B) AJD]]-(TABL12[[#This Row],[(A/B + A/S) AJD]]+TABL12[[#This Row],[(STORGE DIFF.) AJD]]+(TABL12[[#This Row],[AJD_Evaporation]]))</f>
        <v>40.951999999999998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Row],[(A/B) AJD]]-TABL12[[#This Row],[BER_IN]]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Row],[(A/S) AJD]]-TABL12[[#This Row],[SER_IN]]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 (T/B) SAR]]+TABL12[[#This Row],[ (S/S) SAR]]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 (S/S) SAR]]-TABL12[[#This Row],[(S/S) AJD]]</f>
        <v>46</v>
      </c>
      <c r="Q273" s="9">
        <v>468</v>
      </c>
      <c r="R273" s="9">
        <f>TABL12[[#This Row],[ (T/B) SAR]]-TABL12[[#This Row],[(T/B) AJD]]</f>
        <v>23</v>
      </c>
      <c r="S273" s="9">
        <f>TABL12[[#This Row],[S/S_CON.]]+TABL12[[#This Row],[T/B-CON.]]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TABL12[[#This Row],[( S/S+T/B) AJD]]-(TABL12[[#This Row],[(A/B + A/S) AJD]]+TABL12[[#This Row],[(STORGE DIFF.) AJD]]+(TABL12[[#This Row],[AJD_Evaporation]]))</f>
        <v>-2453.0100000000002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Row],[(A/B) AJD]]-TABL12[[#This Row],[BER_IN]]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Row],[(A/S) AJD]]-TABL12[[#This Row],[SER_IN]]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 (T/B) SAR]]+TABL12[[#This Row],[ (S/S) SAR]]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 (S/S) SAR]]-TABL12[[#This Row],[(S/S) AJD]]</f>
        <v>48</v>
      </c>
      <c r="Q274" s="9">
        <v>468</v>
      </c>
      <c r="R274" s="9">
        <f>TABL12[[#This Row],[ (T/B) SAR]]-TABL12[[#This Row],[(T/B) AJD]]</f>
        <v>23</v>
      </c>
      <c r="S274" s="9">
        <f>TABL12[[#This Row],[S/S_CON.]]+TABL12[[#This Row],[T/B-CON.]]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TABL12[[#This Row],[( S/S+T/B) AJD]]-(TABL12[[#This Row],[(A/B + A/S) AJD]]+TABL12[[#This Row],[(STORGE DIFF.) AJD]]+(TABL12[[#This Row],[AJD_Evaporation]]))</f>
        <v>-2398.857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Row],[(A/B) AJD]]-TABL12[[#This Row],[BER_IN]]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Row],[(A/S) AJD]]-TABL12[[#This Row],[SER_IN]]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 (T/B) SAR]]+TABL12[[#This Row],[ (S/S) SAR]]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 (S/S) SAR]]-TABL12[[#This Row],[(S/S) AJD]]</f>
        <v>49</v>
      </c>
      <c r="Q275" s="14">
        <v>469</v>
      </c>
      <c r="R275" s="9">
        <f>TABL12[[#This Row],[ (T/B) SAR]]-TABL12[[#This Row],[(T/B) AJD]]</f>
        <v>22</v>
      </c>
      <c r="S275" s="9">
        <f>TABL12[[#This Row],[S/S_CON.]]+TABL12[[#This Row],[T/B-CON.]]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TABL12[[#This Row],[( S/S+T/B) AJD]]-(TABL12[[#This Row],[(A/B + A/S) AJD]]+TABL12[[#This Row],[(STORGE DIFF.) AJD]]+(TABL12[[#This Row],[AJD_Evaporation]]))</f>
        <v>-3511.0959999999995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Row],[(A/B) AJD]]-TABL12[[#This Row],[BER_IN]]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Row],[(A/S) AJD]]-TABL12[[#This Row],[SER_IN]]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 (T/B) SAR]]+TABL12[[#This Row],[ (S/S) SAR]]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 (S/S) SAR]]-TABL12[[#This Row],[(S/S) AJD]]</f>
        <v>-390</v>
      </c>
      <c r="Q276" s="14">
        <v>441</v>
      </c>
      <c r="R276" s="9">
        <f>TABL12[[#This Row],[ (T/B) SAR]]-TABL12[[#This Row],[(T/B) AJD]]</f>
        <v>124</v>
      </c>
      <c r="S276" s="9">
        <f>TABL12[[#This Row],[S/S_CON.]]+TABL12[[#This Row],[T/B-CON.]]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TABL12[[#This Row],[( S/S+T/B) AJD]]-(TABL12[[#This Row],[(A/B + A/S) AJD]]+TABL12[[#This Row],[(STORGE DIFF.) AJD]]+(TABL12[[#This Row],[AJD_Evaporation]]))</f>
        <v>-2155.9279999999999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Row],[(A/B) AJD]]-TABL12[[#This Row],[BER_IN]]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Row],[(A/S) AJD]]-TABL12[[#This Row],[SER_IN]]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 (T/B) SAR]]+TABL12[[#This Row],[ (S/S) SAR]]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 (S/S) SAR]]-TABL12[[#This Row],[(S/S) AJD]]</f>
        <v>-82</v>
      </c>
      <c r="Q277" s="14">
        <v>496</v>
      </c>
      <c r="R277" s="9">
        <f>TABL12[[#This Row],[ (T/B) SAR]]-TABL12[[#This Row],[(T/B) AJD]]</f>
        <v>71</v>
      </c>
      <c r="S277" s="9">
        <f>TABL12[[#This Row],[S/S_CON.]]+TABL12[[#This Row],[T/B-CON.]]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TABL12[[#This Row],[( S/S+T/B) AJD]]-(TABL12[[#This Row],[(A/B + A/S) AJD]]+TABL12[[#This Row],[(STORGE DIFF.) AJD]]+(TABL12[[#This Row],[AJD_Evaporation]]))</f>
        <v>-2143.4670000000001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Row],[(A/B) AJD]]-TABL12[[#This Row],[BER_IN]]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Row],[(A/S) AJD]]-TABL12[[#This Row],[SER_IN]]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 (T/B) SAR]]+TABL12[[#This Row],[ (S/S) SAR]]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 (S/S) SAR]]-TABL12[[#This Row],[(S/S) AJD]]</f>
        <v>0</v>
      </c>
      <c r="Q278" s="14">
        <v>559</v>
      </c>
      <c r="R278" s="9">
        <f>TABL12[[#This Row],[ (T/B) SAR]]-TABL12[[#This Row],[(T/B) AJD]]</f>
        <v>86</v>
      </c>
      <c r="S278" s="9">
        <f>TABL12[[#This Row],[S/S_CON.]]+TABL12[[#This Row],[T/B-CON.]]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TABL12[[#This Row],[( S/S+T/B) AJD]]-(TABL12[[#This Row],[(A/B + A/S) AJD]]+TABL12[[#This Row],[(STORGE DIFF.) AJD]]+(TABL12[[#This Row],[AJD_Evaporation]]))</f>
        <v>-1807.413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Row],[(A/B) AJD]]-TABL12[[#This Row],[BER_IN]]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Row],[(A/S) AJD]]-TABL12[[#This Row],[SER_IN]]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 (T/B) SAR]]+TABL12[[#This Row],[ (S/S) SAR]]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 (S/S) SAR]]-TABL12[[#This Row],[(S/S) AJD]]</f>
        <v>0</v>
      </c>
      <c r="Q279" s="14">
        <v>602</v>
      </c>
      <c r="R279" s="9">
        <f>TABL12[[#This Row],[ (T/B) SAR]]-TABL12[[#This Row],[(T/B) AJD]]</f>
        <v>46</v>
      </c>
      <c r="S279" s="9">
        <f>TABL12[[#This Row],[S/S_CON.]]+TABL12[[#This Row],[T/B-CON.]]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TABL12[[#This Row],[( S/S+T/B) AJD]]-(TABL12[[#This Row],[(A/B + A/S) AJD]]+TABL12[[#This Row],[(STORGE DIFF.) AJD]]+(TABL12[[#This Row],[AJD_Evaporation]]))</f>
        <v>-2482.0879999999997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Row],[(A/B) AJD]]-TABL12[[#This Row],[BER_IN]]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Row],[(A/S) AJD]]-TABL12[[#This Row],[SER_IN]]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 (T/B) SAR]]+TABL12[[#This Row],[ (S/S) SAR]]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 (S/S) SAR]]-TABL12[[#This Row],[(S/S) AJD]]</f>
        <v>0</v>
      </c>
      <c r="Q280" s="14">
        <v>604</v>
      </c>
      <c r="R280" s="9">
        <f>TABL12[[#This Row],[ (T/B) SAR]]-TABL12[[#This Row],[(T/B) AJD]]</f>
        <v>46</v>
      </c>
      <c r="S280" s="9">
        <f>TABL12[[#This Row],[S/S_CON.]]+TABL12[[#This Row],[T/B-CON.]]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TABL12[[#This Row],[( S/S+T/B) AJD]]-(TABL12[[#This Row],[(A/B + A/S) AJD]]+TABL12[[#This Row],[(STORGE DIFF.) AJD]]+(TABL12[[#This Row],[AJD_Evaporation]]))</f>
        <v>-2247.8989999999999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Row],[(A/B) AJD]]-TABL12[[#This Row],[BER_IN]]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Row],[(A/S) AJD]]-TABL12[[#This Row],[SER_IN]]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 (T/B) SAR]]+TABL12[[#This Row],[ (S/S) SAR]]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 (S/S) SAR]]-TABL12[[#This Row],[(S/S) AJD]]</f>
        <v>0</v>
      </c>
      <c r="Q281" s="14">
        <v>601</v>
      </c>
      <c r="R281" s="9">
        <f>TABL12[[#This Row],[ (T/B) SAR]]-TABL12[[#This Row],[(T/B) AJD]]</f>
        <v>44</v>
      </c>
      <c r="S281" s="9">
        <f>TABL12[[#This Row],[S/S_CON.]]+TABL12[[#This Row],[T/B-CON.]]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TABL12[[#This Row],[( S/S+T/B) AJD]]-(TABL12[[#This Row],[(A/B + A/S) AJD]]+TABL12[[#This Row],[(STORGE DIFF.) AJD]]+(TABL12[[#This Row],[AJD_Evaporation]]))</f>
        <v>-2899.3940000000002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Row],[(A/B) AJD]]-TABL12[[#This Row],[BER_IN]]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Row],[(A/S) AJD]]-TABL12[[#This Row],[SER_IN]]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 (T/B) SAR]]+TABL12[[#This Row],[ (S/S) SAR]]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 (S/S) SAR]]-TABL12[[#This Row],[(S/S) AJD]]</f>
        <v>0</v>
      </c>
      <c r="Q282" s="14">
        <v>600</v>
      </c>
      <c r="R282" s="9">
        <f>TABL12[[#This Row],[ (T/B) SAR]]-TABL12[[#This Row],[(T/B) AJD]]</f>
        <v>52</v>
      </c>
      <c r="S282" s="9">
        <f>TABL12[[#This Row],[S/S_CON.]]+TABL12[[#This Row],[T/B-CON.]]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TABL12[[#This Row],[( S/S+T/B) AJD]]-(TABL12[[#This Row],[(A/B + A/S) AJD]]+TABL12[[#This Row],[(STORGE DIFF.) AJD]]+(TABL12[[#This Row],[AJD_Evaporation]]))</f>
        <v>-2102.297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Row],[(A/B) AJD]]-TABL12[[#This Row],[BER_IN]]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Row],[(A/S) AJD]]-TABL12[[#This Row],[SER_IN]]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 (T/B) SAR]]+TABL12[[#This Row],[ (S/S) SAR]]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 (S/S) SAR]]-TABL12[[#This Row],[(S/S) AJD]]</f>
        <v>0</v>
      </c>
      <c r="Q283" s="14">
        <v>606</v>
      </c>
      <c r="R283" s="9">
        <f>TABL12[[#This Row],[ (T/B) SAR]]-TABL12[[#This Row],[(T/B) AJD]]</f>
        <v>46</v>
      </c>
      <c r="S283" s="9">
        <f>TABL12[[#This Row],[S/S_CON.]]+TABL12[[#This Row],[T/B-CON.]]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TABL12[[#This Row],[( S/S+T/B) AJD]]-(TABL12[[#This Row],[(A/B + A/S) AJD]]+TABL12[[#This Row],[(STORGE DIFF.) AJD]]+(TABL12[[#This Row],[AJD_Evaporation]]))</f>
        <v>-1910.4099999999999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Row],[(A/B) AJD]]-TABL12[[#This Row],[BER_IN]]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Row],[(A/S) AJD]]-TABL12[[#This Row],[SER_IN]]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 (T/B) SAR]]+TABL12[[#This Row],[ (S/S) SAR]]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 (S/S) SAR]]-TABL12[[#This Row],[(S/S) AJD]]</f>
        <v>0</v>
      </c>
      <c r="Q284" s="14">
        <v>603</v>
      </c>
      <c r="R284" s="9">
        <f>TABL12[[#This Row],[ (T/B) SAR]]-TABL12[[#This Row],[(T/B) AJD]]</f>
        <v>42</v>
      </c>
      <c r="S284" s="9">
        <f>TABL12[[#This Row],[S/S_CON.]]+TABL12[[#This Row],[T/B-CON.]]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TABL12[[#This Row],[( S/S+T/B) AJD]]-(TABL12[[#This Row],[(A/B + A/S) AJD]]+TABL12[[#This Row],[(STORGE DIFF.) AJD]]+(TABL12[[#This Row],[AJD_Evaporation]]))</f>
        <v>-2004.2889999999998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Row],[(A/B) AJD]]-TABL12[[#This Row],[BER_IN]]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Row],[(A/S) AJD]]-TABL12[[#This Row],[SER_IN]]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 (T/B) SAR]]+TABL12[[#This Row],[ (S/S) SAR]]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 (S/S) SAR]]-TABL12[[#This Row],[(S/S) AJD]]</f>
        <v>0</v>
      </c>
      <c r="Q285" s="14">
        <v>573</v>
      </c>
      <c r="R285" s="9">
        <f>TABL12[[#This Row],[ (T/B) SAR]]-TABL12[[#This Row],[(T/B) AJD]]</f>
        <v>112</v>
      </c>
      <c r="S285" s="9">
        <f>TABL12[[#This Row],[S/S_CON.]]+TABL12[[#This Row],[T/B-CON.]]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TABL12[[#This Row],[( S/S+T/B) AJD]]-(TABL12[[#This Row],[(A/B + A/S) AJD]]+TABL12[[#This Row],[(STORGE DIFF.) AJD]]+(TABL12[[#This Row],[AJD_Evaporation]]))</f>
        <v>-1780.308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Row],[(A/B) AJD]]-TABL12[[#This Row],[BER_IN]]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Row],[(A/S) AJD]]-TABL12[[#This Row],[SER_IN]]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 (T/B) SAR]]+TABL12[[#This Row],[ (S/S) SAR]]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 (S/S) SAR]]-TABL12[[#This Row],[(S/S) AJD]]</f>
        <v>0</v>
      </c>
      <c r="Q286" s="14">
        <v>597</v>
      </c>
      <c r="R286" s="9">
        <f>TABL12[[#This Row],[ (T/B) SAR]]-TABL12[[#This Row],[(T/B) AJD]]</f>
        <v>68</v>
      </c>
      <c r="S286" s="9">
        <f>TABL12[[#This Row],[S/S_CON.]]+TABL12[[#This Row],[T/B-CON.]]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TABL12[[#This Row],[( S/S+T/B) AJD]]-(TABL12[[#This Row],[(A/B + A/S) AJD]]+TABL12[[#This Row],[(STORGE DIFF.) AJD]]+(TABL12[[#This Row],[AJD_Evaporation]]))</f>
        <v>-1854.31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Row],[(A/B) AJD]]-TABL12[[#This Row],[BER_IN]]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Row],[(A/S) AJD]]-TABL12[[#This Row],[SER_IN]]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 (T/B) SAR]]+TABL12[[#This Row],[ (S/S) SAR]]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 (S/S) SAR]]-TABL12[[#This Row],[(S/S) AJD]]</f>
        <v>0</v>
      </c>
      <c r="Q287" s="14">
        <v>637</v>
      </c>
      <c r="R287" s="9">
        <f>TABL12[[#This Row],[ (T/B) SAR]]-TABL12[[#This Row],[(T/B) AJD]]</f>
        <v>23</v>
      </c>
      <c r="S287" s="9">
        <f>TABL12[[#This Row],[S/S_CON.]]+TABL12[[#This Row],[T/B-CON.]]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TABL12[[#This Row],[( S/S+T/B) AJD]]-(TABL12[[#This Row],[(A/B + A/S) AJD]]+TABL12[[#This Row],[(STORGE DIFF.) AJD]]+(TABL12[[#This Row],[AJD_Evaporation]]))</f>
        <v>-1952.576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Row],[(A/B) AJD]]-TABL12[[#This Row],[BER_IN]]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Row],[(A/S) AJD]]-TABL12[[#This Row],[SER_IN]]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 (T/B) SAR]]+TABL12[[#This Row],[ (S/S) SAR]]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 (S/S) SAR]]-TABL12[[#This Row],[(S/S) AJD]]</f>
        <v>0</v>
      </c>
      <c r="Q288" s="14">
        <v>605</v>
      </c>
      <c r="R288" s="9">
        <f>TABL12[[#This Row],[ (T/B) SAR]]-TABL12[[#This Row],[(T/B) AJD]]</f>
        <v>50</v>
      </c>
      <c r="S288" s="9">
        <f>TABL12[[#This Row],[S/S_CON.]]+TABL12[[#This Row],[T/B-CON.]]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TABL12[[#This Row],[( S/S+T/B) AJD]]-(TABL12[[#This Row],[(A/B + A/S) AJD]]+TABL12[[#This Row],[(STORGE DIFF.) AJD]]+(TABL12[[#This Row],[AJD_Evaporation]]))</f>
        <v>-2004.0879999999997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Row],[(A/B) AJD]]-TABL12[[#This Row],[BER_IN]]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Row],[(A/S) AJD]]-TABL12[[#This Row],[SER_IN]]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 (T/B) SAR]]+TABL12[[#This Row],[ (S/S) SAR]]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 (S/S) SAR]]-TABL12[[#This Row],[(S/S) AJD]]</f>
        <v>42</v>
      </c>
      <c r="Q289" s="14">
        <v>596</v>
      </c>
      <c r="R289" s="9">
        <f>TABL12[[#This Row],[ (T/B) SAR]]-TABL12[[#This Row],[(T/B) AJD]]</f>
        <v>39</v>
      </c>
      <c r="S289" s="9">
        <f>TABL12[[#This Row],[S/S_CON.]]+TABL12[[#This Row],[T/B-CON.]]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TABL12[[#This Row],[( S/S+T/B) AJD]]-(TABL12[[#This Row],[(A/B + A/S) AJD]]+TABL12[[#This Row],[(STORGE DIFF.) AJD]]+(TABL12[[#This Row],[AJD_Evaporation]]))</f>
        <v>-1845.21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Row],[(A/B) AJD]]-TABL12[[#This Row],[BER_IN]]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Row],[(A/S) AJD]]-TABL12[[#This Row],[SER_IN]]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 (T/B) SAR]]+TABL12[[#This Row],[ (S/S) SAR]]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 (S/S) SAR]]-TABL12[[#This Row],[(S/S) AJD]]</f>
        <v>38</v>
      </c>
      <c r="Q290" s="14">
        <v>585</v>
      </c>
      <c r="R290" s="9">
        <f>TABL12[[#This Row],[ (T/B) SAR]]-TABL12[[#This Row],[(T/B) AJD]]</f>
        <v>70</v>
      </c>
      <c r="S290" s="9">
        <f>TABL12[[#This Row],[S/S_CON.]]+TABL12[[#This Row],[T/B-CON.]]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TABL12[[#This Row],[( S/S+T/B) AJD]]-(TABL12[[#This Row],[(A/B + A/S) AJD]]+TABL12[[#This Row],[(STORGE DIFF.) AJD]]+(TABL12[[#This Row],[AJD_Evaporation]]))</f>
        <v>-1587.6610000000001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Row],[(A/B) AJD]]-TABL12[[#This Row],[BER_IN]]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Row],[(A/S) AJD]]-TABL12[[#This Row],[SER_IN]]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 (T/B) SAR]]+TABL12[[#This Row],[ (S/S) SAR]]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 (S/S) SAR]]-TABL12[[#This Row],[(S/S) AJD]]</f>
        <v>40</v>
      </c>
      <c r="Q291" s="14">
        <v>597</v>
      </c>
      <c r="R291" s="9">
        <f>TABL12[[#This Row],[ (T/B) SAR]]-TABL12[[#This Row],[(T/B) AJD]]</f>
        <v>53</v>
      </c>
      <c r="S291" s="9">
        <f>TABL12[[#This Row],[S/S_CON.]]+TABL12[[#This Row],[T/B-CON.]]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TABL12[[#This Row],[( S/S+T/B) AJD]]-(TABL12[[#This Row],[(A/B + A/S) AJD]]+TABL12[[#This Row],[(STORGE DIFF.) AJD]]+(TABL12[[#This Row],[AJD_Evaporation]]))</f>
        <v>-1774.183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Row],[(A/B) AJD]]-TABL12[[#This Row],[BER_IN]]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Row],[(A/S) AJD]]-TABL12[[#This Row],[SER_IN]]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 (T/B) SAR]]+TABL12[[#This Row],[ (S/S) SAR]]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 (S/S) SAR]]-TABL12[[#This Row],[(S/S) AJD]]</f>
        <v>38</v>
      </c>
      <c r="Q292" s="9">
        <v>595</v>
      </c>
      <c r="R292" s="9">
        <f>TABL12[[#This Row],[ (T/B) SAR]]-TABL12[[#This Row],[(T/B) AJD]]</f>
        <v>53</v>
      </c>
      <c r="S292" s="9">
        <f>TABL12[[#This Row],[S/S_CON.]]+TABL12[[#This Row],[T/B-CON.]]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TABL12[[#This Row],[( S/S+T/B) AJD]]-(TABL12[[#This Row],[(A/B + A/S) AJD]]+TABL12[[#This Row],[(STORGE DIFF.) AJD]]+(TABL12[[#This Row],[AJD_Evaporation]]))</f>
        <v>-1728.5410000000002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Row],[(A/B) AJD]]-TABL12[[#This Row],[BER_IN]]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Row],[(A/S) AJD]]-TABL12[[#This Row],[SER_IN]]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 (T/B) SAR]]+TABL12[[#This Row],[ (S/S) SAR]]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 (S/S) SAR]]-TABL12[[#This Row],[(S/S) AJD]]</f>
        <v>39</v>
      </c>
      <c r="Q293" s="9">
        <v>600</v>
      </c>
      <c r="R293" s="9">
        <f>TABL12[[#This Row],[ (T/B) SAR]]-TABL12[[#This Row],[(T/B) AJD]]</f>
        <v>55</v>
      </c>
      <c r="S293" s="9">
        <f>TABL12[[#This Row],[S/S_CON.]]+TABL12[[#This Row],[T/B-CON.]]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TABL12[[#This Row],[( S/S+T/B) AJD]]-(TABL12[[#This Row],[(A/B + A/S) AJD]]+TABL12[[#This Row],[(STORGE DIFF.) AJD]]+(TABL12[[#This Row],[AJD_Evaporation]]))</f>
        <v>-1766.8850000000002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Row],[(A/B) AJD]]-TABL12[[#This Row],[BER_IN]]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Row],[(A/S) AJD]]-TABL12[[#This Row],[SER_IN]]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 (T/B) SAR]]+TABL12[[#This Row],[ (S/S) SAR]]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 (S/S) SAR]]-TABL12[[#This Row],[(S/S) AJD]]</f>
        <v>40</v>
      </c>
      <c r="Q294" s="9">
        <v>603</v>
      </c>
      <c r="R294" s="9">
        <f>TABL12[[#This Row],[ (T/B) SAR]]-TABL12[[#This Row],[(T/B) AJD]]</f>
        <v>55</v>
      </c>
      <c r="S294" s="9">
        <f>TABL12[[#This Row],[S/S_CON.]]+TABL12[[#This Row],[T/B-CON.]]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TABL12[[#This Row],[( S/S+T/B) AJD]]-(TABL12[[#This Row],[(A/B + A/S) AJD]]+TABL12[[#This Row],[(STORGE DIFF.) AJD]]+(TABL12[[#This Row],[AJD_Evaporation]]))</f>
        <v>-2783.8890000000001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Row],[(A/B) AJD]]-TABL12[[#This Row],[BER_IN]]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Row],[(A/S) AJD]]-TABL12[[#This Row],[SER_IN]]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 (T/B) SAR]]+TABL12[[#This Row],[ (S/S) SAR]]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 (S/S) SAR]]-TABL12[[#This Row],[(S/S) AJD]]</f>
        <v>40</v>
      </c>
      <c r="Q295" s="9">
        <v>605</v>
      </c>
      <c r="R295" s="9">
        <f>TABL12[[#This Row],[ (T/B) SAR]]-TABL12[[#This Row],[(T/B) AJD]]</f>
        <v>53</v>
      </c>
      <c r="S295" s="9">
        <f>TABL12[[#This Row],[S/S_CON.]]+TABL12[[#This Row],[T/B-CON.]]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TABL12[[#This Row],[( S/S+T/B) AJD]]-(TABL12[[#This Row],[(A/B + A/S) AJD]]+TABL12[[#This Row],[(STORGE DIFF.) AJD]]+(TABL12[[#This Row],[AJD_Evaporation]]))</f>
        <v>-2918.0619999999999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Row],[(A/B) AJD]]-TABL12[[#This Row],[BER_IN]]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Row],[(A/S) AJD]]-TABL12[[#This Row],[SER_IN]]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 (T/B) SAR]]+TABL12[[#This Row],[ (S/S) SAR]]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 (S/S) SAR]]-TABL12[[#This Row],[(S/S) AJD]]</f>
        <v>37</v>
      </c>
      <c r="Q296" s="9">
        <v>604</v>
      </c>
      <c r="R296" s="9">
        <f>TABL12[[#This Row],[ (T/B) SAR]]-TABL12[[#This Row],[(T/B) AJD]]</f>
        <v>18</v>
      </c>
      <c r="S296" s="9">
        <f>TABL12[[#This Row],[S/S_CON.]]+TABL12[[#This Row],[T/B-CON.]]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TABL12[[#This Row],[( S/S+T/B) AJD]]-(TABL12[[#This Row],[(A/B + A/S) AJD]]+TABL12[[#This Row],[(STORGE DIFF.) AJD]]+(TABL12[[#This Row],[AJD_Evaporation]]))</f>
        <v>-2908.203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Row],[(A/B) AJD]]-TABL12[[#This Row],[BER_IN]]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Row],[(A/S) AJD]]-TABL12[[#This Row],[SER_IN]]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 (T/B) SAR]]+TABL12[[#This Row],[ (S/S) SAR]]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 (S/S) SAR]]-TABL12[[#This Row],[(S/S) AJD]]</f>
        <v>39</v>
      </c>
      <c r="Q297" s="9">
        <v>567</v>
      </c>
      <c r="R297" s="9">
        <f>TABL12[[#This Row],[ (T/B) SAR]]-TABL12[[#This Row],[(T/B) AJD]]</f>
        <v>85</v>
      </c>
      <c r="S297" s="9">
        <f>TABL12[[#This Row],[S/S_CON.]]+TABL12[[#This Row],[T/B-CON.]]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TABL12[[#This Row],[( S/S+T/B) AJD]]-(TABL12[[#This Row],[(A/B + A/S) AJD]]+TABL12[[#This Row],[(STORGE DIFF.) AJD]]+(TABL12[[#This Row],[AJD_Evaporation]]))</f>
        <v>-2087.71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Row],[(A/B) AJD]]-TABL12[[#This Row],[BER_IN]]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Row],[(A/S) AJD]]-TABL12[[#This Row],[SER_IN]]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 (T/B) SAR]]+TABL12[[#This Row],[ (S/S) SAR]]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 (S/S) SAR]]-TABL12[[#This Row],[(S/S) AJD]]</f>
        <v>39</v>
      </c>
      <c r="Q298" s="9">
        <v>602</v>
      </c>
      <c r="R298" s="9">
        <f>TABL12[[#This Row],[ (T/B) SAR]]-TABL12[[#This Row],[(T/B) AJD]]</f>
        <v>63</v>
      </c>
      <c r="S298" s="9">
        <f>TABL12[[#This Row],[S/S_CON.]]+TABL12[[#This Row],[T/B-CON.]]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TABL12[[#This Row],[( S/S+T/B) AJD]]-(TABL12[[#This Row],[(A/B + A/S) AJD]]+TABL12[[#This Row],[(STORGE DIFF.) AJD]]+(TABL12[[#This Row],[AJD_Evaporation]]))</f>
        <v>-1885.4560000000001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Row],[(A/B) AJD]]-TABL12[[#This Row],[BER_IN]]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Row],[(A/S) AJD]]-TABL12[[#This Row],[SER_IN]]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 (T/B) SAR]]+TABL12[[#This Row],[ (S/S) SAR]]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 (S/S) SAR]]-TABL12[[#This Row],[(S/S) AJD]]</f>
        <v>39</v>
      </c>
      <c r="Q299" s="9">
        <v>610</v>
      </c>
      <c r="R299" s="9">
        <f>TABL12[[#This Row],[ (T/B) SAR]]-TABL12[[#This Row],[(T/B) AJD]]</f>
        <v>55</v>
      </c>
      <c r="S299" s="9">
        <f>TABL12[[#This Row],[S/S_CON.]]+TABL12[[#This Row],[T/B-CON.]]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TABL12[[#This Row],[( S/S+T/B) AJD]]-(TABL12[[#This Row],[(A/B + A/S) AJD]]+TABL12[[#This Row],[(STORGE DIFF.) AJD]]+(TABL12[[#This Row],[AJD_Evaporation]]))</f>
        <v>-1831.5320000000002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Row],[(A/B) AJD]]-TABL12[[#This Row],[BER_IN]]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Row],[(A/S) AJD]]-TABL12[[#This Row],[SER_IN]]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 (T/B) SAR]]+TABL12[[#This Row],[ (S/S) SAR]]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 (S/S) SAR]]-TABL12[[#This Row],[(S/S) AJD]]</f>
        <v>39</v>
      </c>
      <c r="Q300" s="9">
        <v>607</v>
      </c>
      <c r="R300" s="9">
        <f>TABL12[[#This Row],[ (T/B) SAR]]-TABL12[[#This Row],[(T/B) AJD]]</f>
        <v>58</v>
      </c>
      <c r="S300" s="9">
        <f>TABL12[[#This Row],[S/S_CON.]]+TABL12[[#This Row],[T/B-CON.]]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TABL12[[#This Row],[( S/S+T/B) AJD]]-(TABL12[[#This Row],[(A/B + A/S) AJD]]+TABL12[[#This Row],[(STORGE DIFF.) AJD]]+(TABL12[[#This Row],[AJD_Evaporation]]))</f>
        <v>-2345.7530000000002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Row],[(A/B) AJD]]-TABL12[[#This Row],[BER_IN]]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Row],[(A/S) AJD]]-TABL12[[#This Row],[SER_IN]]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 (T/B) SAR]]+TABL12[[#This Row],[ (S/S) SAR]]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 (S/S) SAR]]-TABL12[[#This Row],[(S/S) AJD]]</f>
        <v>39</v>
      </c>
      <c r="Q301" s="9">
        <v>606</v>
      </c>
      <c r="R301" s="9">
        <f>TABL12[[#This Row],[ (T/B) SAR]]-TABL12[[#This Row],[(T/B) AJD]]</f>
        <v>59</v>
      </c>
      <c r="S301" s="9">
        <f>TABL12[[#This Row],[S/S_CON.]]+TABL12[[#This Row],[T/B-CON.]]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TABL12[[#This Row],[( S/S+T/B) AJD]]-(TABL12[[#This Row],[(A/B + A/S) AJD]]+TABL12[[#This Row],[(STORGE DIFF.) AJD]]+(TABL12[[#This Row],[AJD_Evaporation]]))</f>
        <v>-2221.096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Row],[(A/B) AJD]]-TABL12[[#This Row],[BER_IN]]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Row],[(A/S) AJD]]-TABL12[[#This Row],[SER_IN]]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 (T/B) SAR]]+TABL12[[#This Row],[ (S/S) SAR]]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 (S/S) SAR]]-TABL12[[#This Row],[(S/S) AJD]]</f>
        <v>39</v>
      </c>
      <c r="Q302" s="9">
        <v>604</v>
      </c>
      <c r="R302" s="9">
        <f>TABL12[[#This Row],[ (T/B) SAR]]-TABL12[[#This Row],[(T/B) AJD]]</f>
        <v>56</v>
      </c>
      <c r="S302" s="9">
        <f>TABL12[[#This Row],[S/S_CON.]]+TABL12[[#This Row],[T/B-CON.]]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TABL12[[#This Row],[( S/S+T/B) AJD]]-(TABL12[[#This Row],[(A/B + A/S) AJD]]+TABL12[[#This Row],[(STORGE DIFF.) AJD]]+(TABL12[[#This Row],[AJD_Evaporation]]))</f>
        <v>-3040.683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Row],[(A/B) AJD]]-TABL12[[#This Row],[BER_IN]]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Row],[(A/S) AJD]]-TABL12[[#This Row],[SER_IN]]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 (T/B) SAR]]+TABL12[[#This Row],[ (S/S) SAR]]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 (S/S) SAR]]-TABL12[[#This Row],[(S/S) AJD]]</f>
        <v>25</v>
      </c>
      <c r="Q303" s="9">
        <v>600</v>
      </c>
      <c r="R303" s="9">
        <f>TABL12[[#This Row],[ (T/B) SAR]]-TABL12[[#This Row],[(T/B) AJD]]</f>
        <v>65</v>
      </c>
      <c r="S303" s="9">
        <f>TABL12[[#This Row],[S/S_CON.]]+TABL12[[#This Row],[T/B-CON.]]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TABL12[[#This Row],[( S/S+T/B) AJD]]-(TABL12[[#This Row],[(A/B + A/S) AJD]]+TABL12[[#This Row],[(STORGE DIFF.) AJD]]+(TABL12[[#This Row],[AJD_Evaporation]]))</f>
        <v>-1806.9670000000001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Row],[(A/B) AJD]]-TABL12[[#This Row],[BER_IN]]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Row],[(A/S) AJD]]-TABL12[[#This Row],[SER_IN]]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 (T/B) SAR]]+TABL12[[#This Row],[ (S/S) SAR]]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 (S/S) SAR]]-TABL12[[#This Row],[(S/S) AJD]]</f>
        <v>282</v>
      </c>
      <c r="Q304" s="9">
        <v>528</v>
      </c>
      <c r="R304" s="9">
        <f>TABL12[[#This Row],[ (T/B) SAR]]-TABL12[[#This Row],[(T/B) AJD]]</f>
        <v>-192</v>
      </c>
      <c r="S304" s="9">
        <f>TABL12[[#This Row],[S/S_CON.]]+TABL12[[#This Row],[T/B-CON.]]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TABL12[[#This Row],[( S/S+T/B) AJD]]-(TABL12[[#This Row],[(A/B + A/S) AJD]]+TABL12[[#This Row],[(STORGE DIFF.) AJD]]+(TABL12[[#This Row],[AJD_Evaporation]]))</f>
        <v>-1837.5430000000001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Row],[(A/B) AJD]]-TABL12[[#This Row],[BER_IN]]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Row],[(A/S) AJD]]-TABL12[[#This Row],[SER_IN]]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 (T/B) SAR]]+TABL12[[#This Row],[ (S/S) SAR]]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 (S/S) SAR]]-TABL12[[#This Row],[(S/S) AJD]]</f>
        <v>186</v>
      </c>
      <c r="Q305" s="9">
        <v>317</v>
      </c>
      <c r="R305" s="9">
        <f>TABL12[[#This Row],[ (T/B) SAR]]-TABL12[[#This Row],[(T/B) AJD]]</f>
        <v>163</v>
      </c>
      <c r="S305" s="9">
        <f>TABL12[[#This Row],[S/S_CON.]]+TABL12[[#This Row],[T/B-CON.]]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TABL12[[#This Row],[( S/S+T/B) AJD]]-(TABL12[[#This Row],[(A/B + A/S) AJD]]+TABL12[[#This Row],[(STORGE DIFF.) AJD]]+(TABL12[[#This Row],[AJD_Evaporation]]))</f>
        <v>-20.544999999999959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Row],[(A/B) AJD]]-TABL12[[#This Row],[BER_IN]]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Row],[(A/S) AJD]]-TABL12[[#This Row],[SER_IN]]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 (T/B) SAR]]+TABL12[[#This Row],[ (S/S) SAR]]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 (S/S) SAR]]-TABL12[[#This Row],[(S/S) AJD]]</f>
        <v>38</v>
      </c>
      <c r="Q306" s="9">
        <v>423</v>
      </c>
      <c r="R306" s="9">
        <f>TABL12[[#This Row],[ (T/B) SAR]]-TABL12[[#This Row],[(T/B) AJD]]</f>
        <v>59</v>
      </c>
      <c r="S306" s="9">
        <f>TABL12[[#This Row],[S/S_CON.]]+TABL12[[#This Row],[T/B-CON.]]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TABL12[[#This Row],[( S/S+T/B) AJD]]-(TABL12[[#This Row],[(A/B + A/S) AJD]]+TABL12[[#This Row],[(STORGE DIFF.) AJD]]+(TABL12[[#This Row],[AJD_Evaporation]]))</f>
        <v>-1178.67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Row],[(A/B) AJD]]-TABL12[[#This Row],[BER_IN]]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Row],[(A/S) AJD]]-TABL12[[#This Row],[SER_IN]]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 (T/B) SAR]]+TABL12[[#This Row],[ (S/S) SAR]]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 (S/S) SAR]]-TABL12[[#This Row],[(S/S) AJD]]</f>
        <v>29</v>
      </c>
      <c r="Q307" s="9">
        <v>435</v>
      </c>
      <c r="R307" s="9">
        <f>TABL12[[#This Row],[ (T/B) SAR]]-TABL12[[#This Row],[(T/B) AJD]]</f>
        <v>50</v>
      </c>
      <c r="S307" s="9">
        <f>TABL12[[#This Row],[S/S_CON.]]+TABL12[[#This Row],[T/B-CON.]]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TABL12[[#This Row],[( S/S+T/B) AJD]]-(TABL12[[#This Row],[(A/B + A/S) AJD]]+TABL12[[#This Row],[(STORGE DIFF.) AJD]]+(TABL12[[#This Row],[AJD_Evaporation]]))</f>
        <v>-1331.4539999999997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Row],[(A/B) AJD]]-TABL12[[#This Row],[BER_IN]]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Row],[(A/S) AJD]]-TABL12[[#This Row],[SER_IN]]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 (T/B) SAR]]+TABL12[[#This Row],[ (S/S) SAR]]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 (S/S) SAR]]-TABL12[[#This Row],[(S/S) AJD]]</f>
        <v>23</v>
      </c>
      <c r="Q308" s="9">
        <v>445</v>
      </c>
      <c r="R308" s="9">
        <f>TABL12[[#This Row],[ (T/B) SAR]]-TABL12[[#This Row],[(T/B) AJD]]</f>
        <v>42</v>
      </c>
      <c r="S308" s="9">
        <f>TABL12[[#This Row],[S/S_CON.]]+TABL12[[#This Row],[T/B-CON.]]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TABL12[[#This Row],[( S/S+T/B) AJD]]-(TABL12[[#This Row],[(A/B + A/S) AJD]]+TABL12[[#This Row],[(STORGE DIFF.) AJD]]+(TABL12[[#This Row],[AJD_Evaporation]]))</f>
        <v>-1848.5860000000002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Row],[(A/B) AJD]]-TABL12[[#This Row],[BER_IN]]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Row],[(A/S) AJD]]-TABL12[[#This Row],[SER_IN]]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 (T/B) SAR]]+TABL12[[#This Row],[ (S/S) SAR]]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 (S/S) SAR]]-TABL12[[#This Row],[(S/S) AJD]]</f>
        <v>17</v>
      </c>
      <c r="Q309" s="9">
        <v>446</v>
      </c>
      <c r="R309" s="9">
        <f>TABL12[[#This Row],[ (T/B) SAR]]-TABL12[[#This Row],[(T/B) AJD]]</f>
        <v>41</v>
      </c>
      <c r="S309" s="9">
        <f>TABL12[[#This Row],[S/S_CON.]]+TABL12[[#This Row],[T/B-CON.]]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TABL12[[#This Row],[( S/S+T/B) AJD]]-(TABL12[[#This Row],[(A/B + A/S) AJD]]+TABL12[[#This Row],[(STORGE DIFF.) AJD]]+(TABL12[[#This Row],[AJD_Evaporation]]))</f>
        <v>-1587.1210000000001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Row],[(A/B) AJD]]-TABL12[[#This Row],[BER_IN]]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Row],[(A/S) AJD]]-TABL12[[#This Row],[SER_IN]]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 (T/B) SAR]]+TABL12[[#This Row],[ (S/S) SAR]]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 (S/S) SAR]]-TABL12[[#This Row],[(S/S) AJD]]</f>
        <v>29</v>
      </c>
      <c r="Q310" s="9">
        <v>445</v>
      </c>
      <c r="R310" s="9">
        <f>TABL12[[#This Row],[ (T/B) SAR]]-TABL12[[#This Row],[(T/B) AJD]]</f>
        <v>44</v>
      </c>
      <c r="S310" s="9">
        <f>TABL12[[#This Row],[S/S_CON.]]+TABL12[[#This Row],[T/B-CON.]]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TABL12[[#This Row],[( S/S+T/B) AJD]]-(TABL12[[#This Row],[(A/B + A/S) AJD]]+TABL12[[#This Row],[(STORGE DIFF.) AJD]]+(TABL12[[#This Row],[AJD_Evaporation]]))</f>
        <v>-1475.4830000000002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Row],[(A/B) AJD]]-TABL12[[#This Row],[BER_IN]]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Row],[(A/S) AJD]]-TABL12[[#This Row],[SER_IN]]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 (T/B) SAR]]+TABL12[[#This Row],[ (S/S) SAR]]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 (S/S) SAR]]-TABL12[[#This Row],[(S/S) AJD]]</f>
        <v>23</v>
      </c>
      <c r="Q311" s="9">
        <v>448</v>
      </c>
      <c r="R311" s="9">
        <f>TABL12[[#This Row],[ (T/B) SAR]]-TABL12[[#This Row],[(T/B) AJD]]</f>
        <v>41</v>
      </c>
      <c r="S311" s="9">
        <f>TABL12[[#This Row],[S/S_CON.]]+TABL12[[#This Row],[T/B-CON.]]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TABL12[[#This Row],[( S/S+T/B) AJD]]-(TABL12[[#This Row],[(A/B + A/S) AJD]]+TABL12[[#This Row],[(STORGE DIFF.) AJD]]+(TABL12[[#This Row],[AJD_Evaporation]]))</f>
        <v>42.102999999999952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Row],[(A/B) AJD]]-TABL12[[#This Row],[BER_IN]]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Row],[(A/S) AJD]]-TABL12[[#This Row],[SER_IN]]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 (T/B) SAR]]+TABL12[[#This Row],[ (S/S) SAR]]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 (S/S) SAR]]-TABL12[[#This Row],[(S/S) AJD]]</f>
        <v>28</v>
      </c>
      <c r="Q312" s="9">
        <v>447</v>
      </c>
      <c r="R312" s="9">
        <f>TABL12[[#This Row],[ (T/B) SAR]]-TABL12[[#This Row],[(T/B) AJD]]</f>
        <v>42</v>
      </c>
      <c r="S312" s="9">
        <f>TABL12[[#This Row],[S/S_CON.]]+TABL12[[#This Row],[T/B-CON.]]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TABL12[[#This Row],[( S/S+T/B) AJD]]-(TABL12[[#This Row],[(A/B + A/S) AJD]]+TABL12[[#This Row],[(STORGE DIFF.) AJD]]+(TABL12[[#This Row],[AJD_Evaporation]]))</f>
        <v>41.441000000000031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Row],[(A/B) AJD]]-TABL12[[#This Row],[BER_IN]]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Row],[(A/S) AJD]]-TABL12[[#This Row],[SER_IN]]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 (T/B) SAR]]+TABL12[[#This Row],[ (S/S) SAR]]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 (S/S) SAR]]-TABL12[[#This Row],[(S/S) AJD]]</f>
        <v>28</v>
      </c>
      <c r="Q313" s="9">
        <v>447</v>
      </c>
      <c r="R313" s="9">
        <f>TABL12[[#This Row],[ (T/B) SAR]]-TABL12[[#This Row],[(T/B) AJD]]</f>
        <v>43</v>
      </c>
      <c r="S313" s="9">
        <f>TABL12[[#This Row],[S/S_CON.]]+TABL12[[#This Row],[T/B-CON.]]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TABL12[[#This Row],[( S/S+T/B) AJD]]-(TABL12[[#This Row],[(A/B + A/S) AJD]]+TABL12[[#This Row],[(STORGE DIFF.) AJD]]+(TABL12[[#This Row],[AJD_Evaporation]]))</f>
        <v>-428.01600000000008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Row],[(A/B) AJD]]-TABL12[[#This Row],[BER_IN]]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Row],[(A/S) AJD]]-TABL12[[#This Row],[SER_IN]]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 (T/B) SAR]]+TABL12[[#This Row],[ (S/S) SAR]]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 (S/S) SAR]]-TABL12[[#This Row],[(S/S) AJD]]</f>
        <v>24</v>
      </c>
      <c r="Q314" s="9">
        <v>447</v>
      </c>
      <c r="R314" s="9">
        <f>TABL12[[#This Row],[ (T/B) SAR]]-TABL12[[#This Row],[(T/B) AJD]]</f>
        <v>38</v>
      </c>
      <c r="S314" s="9">
        <f>TABL12[[#This Row],[S/S_CON.]]+TABL12[[#This Row],[T/B-CON.]]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TABL12[[#This Row],[( S/S+T/B) AJD]]-(TABL12[[#This Row],[(A/B + A/S) AJD]]+TABL12[[#This Row],[(STORGE DIFF.) AJD]]+(TABL12[[#This Row],[AJD_Evaporation]]))</f>
        <v>-942.8119999999999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Row],[(A/B) AJD]]-TABL12[[#This Row],[BER_IN]]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Row],[(A/S) AJD]]-TABL12[[#This Row],[SER_IN]]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 (T/B) SAR]]+TABL12[[#This Row],[ (S/S) SAR]]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 (S/S) SAR]]-TABL12[[#This Row],[(S/S) AJD]]</f>
        <v>27</v>
      </c>
      <c r="Q315" s="9">
        <v>444</v>
      </c>
      <c r="R315" s="9">
        <f>TABL12[[#This Row],[ (T/B) SAR]]-TABL12[[#This Row],[(T/B) AJD]]</f>
        <v>42</v>
      </c>
      <c r="S315" s="9">
        <f>TABL12[[#This Row],[S/S_CON.]]+TABL12[[#This Row],[T/B-CON.]]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TABL12[[#This Row],[( S/S+T/B) AJD]]-(TABL12[[#This Row],[(A/B + A/S) AJD]]+TABL12[[#This Row],[(STORGE DIFF.) AJD]]+(TABL12[[#This Row],[AJD_Evaporation]]))</f>
        <v>-1406.9070000000002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Row],[(A/B) AJD]]-TABL12[[#This Row],[BER_IN]]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Row],[(A/S) AJD]]-TABL12[[#This Row],[SER_IN]]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 (T/B) SAR]]+TABL12[[#This Row],[ (S/S) SAR]]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 (S/S) SAR]]-TABL12[[#This Row],[(S/S) AJD]]</f>
        <v>25</v>
      </c>
      <c r="Q316" s="9">
        <v>443</v>
      </c>
      <c r="R316" s="9">
        <f>TABL12[[#This Row],[ (T/B) SAR]]-TABL12[[#This Row],[(T/B) AJD]]</f>
        <v>42</v>
      </c>
      <c r="S316" s="9">
        <f>TABL12[[#This Row],[S/S_CON.]]+TABL12[[#This Row],[T/B-CON.]]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TABL12[[#This Row],[( S/S+T/B) AJD]]-(TABL12[[#This Row],[(A/B + A/S) AJD]]+TABL12[[#This Row],[(STORGE DIFF.) AJD]]+(TABL12[[#This Row],[AJD_Evaporation]]))</f>
        <v>28.433999999999969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Row],[(A/B) AJD]]-TABL12[[#This Row],[BER_IN]]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Row],[(A/S) AJD]]-TABL12[[#This Row],[SER_IN]]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 (T/B) SAR]]+TABL12[[#This Row],[ (S/S) SAR]]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 (S/S) SAR]]-TABL12[[#This Row],[(S/S) AJD]]</f>
        <v>26</v>
      </c>
      <c r="Q317" s="9">
        <v>442</v>
      </c>
      <c r="R317" s="9">
        <f>TABL12[[#This Row],[ (T/B) SAR]]-TABL12[[#This Row],[(T/B) AJD]]</f>
        <v>43</v>
      </c>
      <c r="S317" s="9">
        <f>TABL12[[#This Row],[S/S_CON.]]+TABL12[[#This Row],[T/B-CON.]]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TABL12[[#This Row],[( S/S+T/B) AJD]]-(TABL12[[#This Row],[(A/B + A/S) AJD]]+TABL12[[#This Row],[(STORGE DIFF.) AJD]]+(TABL12[[#This Row],[AJD_Evaporation]]))</f>
        <v>-1206.413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Row],[(A/B) AJD]]-TABL12[[#This Row],[BER_IN]]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Row],[(A/S) AJD]]-TABL12[[#This Row],[SER_IN]]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 (T/B) SAR]]+TABL12[[#This Row],[ (S/S) SAR]]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 (S/S) SAR]]-TABL12[[#This Row],[(S/S) AJD]]</f>
        <v>27</v>
      </c>
      <c r="Q318" s="9">
        <v>440</v>
      </c>
      <c r="R318" s="9">
        <f>TABL12[[#This Row],[ (T/B) SAR]]-TABL12[[#This Row],[(T/B) AJD]]</f>
        <v>45</v>
      </c>
      <c r="S318" s="9">
        <f>TABL12[[#This Row],[S/S_CON.]]+TABL12[[#This Row],[T/B-CON.]]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TABL12[[#This Row],[( S/S+T/B) AJD]]-(TABL12[[#This Row],[(A/B + A/S) AJD]]+TABL12[[#This Row],[(STORGE DIFF.) AJD]]+(TABL12[[#This Row],[AJD_Evaporation]]))</f>
        <v>-925.66300000000001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Row],[(A/B) AJD]]-TABL12[[#This Row],[BER_IN]]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Row],[(A/S) AJD]]-TABL12[[#This Row],[SER_IN]]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 (T/B) SAR]]+TABL12[[#This Row],[ (S/S) SAR]]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 (S/S) SAR]]-TABL12[[#This Row],[(S/S) AJD]]</f>
        <v>27</v>
      </c>
      <c r="Q319" s="9">
        <v>439</v>
      </c>
      <c r="R319" s="9">
        <f>TABL12[[#This Row],[ (T/B) SAR]]-TABL12[[#This Row],[(T/B) AJD]]</f>
        <v>44</v>
      </c>
      <c r="S319" s="9">
        <f>TABL12[[#This Row],[S/S_CON.]]+TABL12[[#This Row],[T/B-CON.]]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TABL12[[#This Row],[( S/S+T/B) AJD]]-(TABL12[[#This Row],[(A/B + A/S) AJD]]+TABL12[[#This Row],[(STORGE DIFF.) AJD]]+(TABL12[[#This Row],[AJD_Evaporation]]))</f>
        <v>27.039999999999964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Row],[(A/B) AJD]]-TABL12[[#This Row],[BER_IN]]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Row],[(A/S) AJD]]-TABL12[[#This Row],[SER_IN]]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 (T/B) SAR]]+TABL12[[#This Row],[ (S/S) SAR]]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 (S/S) SAR]]-TABL12[[#This Row],[(S/S) AJD]]</f>
        <v>29</v>
      </c>
      <c r="Q320" s="9">
        <v>440</v>
      </c>
      <c r="R320" s="9">
        <f>TABL12[[#This Row],[ (T/B) SAR]]-TABL12[[#This Row],[(T/B) AJD]]</f>
        <v>43</v>
      </c>
      <c r="S320" s="9">
        <f>TABL12[[#This Row],[S/S_CON.]]+TABL12[[#This Row],[T/B-CON.]]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TABL12[[#This Row],[( S/S+T/B) AJD]]-(TABL12[[#This Row],[(A/B + A/S) AJD]]+TABL12[[#This Row],[(STORGE DIFF.) AJD]]+(TABL12[[#This Row],[AJD_Evaporation]]))</f>
        <v>31.437000000000012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Row],[(A/B) AJD]]-TABL12[[#This Row],[BER_IN]]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Row],[(A/S) AJD]]-TABL12[[#This Row],[SER_IN]]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 (T/B) SAR]]+TABL12[[#This Row],[ (S/S) SAR]]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 (S/S) SAR]]-TABL12[[#This Row],[(S/S) AJD]]</f>
        <v>28</v>
      </c>
      <c r="Q321" s="9">
        <v>440</v>
      </c>
      <c r="R321" s="9">
        <f>TABL12[[#This Row],[ (T/B) SAR]]-TABL12[[#This Row],[(T/B) AJD]]</f>
        <v>42</v>
      </c>
      <c r="S321" s="9">
        <f>TABL12[[#This Row],[S/S_CON.]]+TABL12[[#This Row],[T/B-CON.]]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TABL12[[#This Row],[( S/S+T/B) AJD]]-(TABL12[[#This Row],[(A/B + A/S) AJD]]+TABL12[[#This Row],[(STORGE DIFF.) AJD]]+(TABL12[[#This Row],[AJD_Evaporation]]))</f>
        <v>-896.84699999999998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Row],[(A/B) AJD]]-TABL12[[#This Row],[BER_IN]]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Row],[(A/S) AJD]]-TABL12[[#This Row],[SER_IN]]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 (T/B) SAR]]+TABL12[[#This Row],[ (S/S) SAR]]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 (S/S) SAR]]-TABL12[[#This Row],[(S/S) AJD]]</f>
        <v>30</v>
      </c>
      <c r="Q322" s="9">
        <v>439</v>
      </c>
      <c r="R322" s="9">
        <f>TABL12[[#This Row],[ (T/B) SAR]]-TABL12[[#This Row],[(T/B) AJD]]</f>
        <v>43</v>
      </c>
      <c r="S322" s="9">
        <f>TABL12[[#This Row],[S/S_CON.]]+TABL12[[#This Row],[T/B-CON.]]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TABL12[[#This Row],[( S/S+T/B) AJD]]-(TABL12[[#This Row],[(A/B + A/S) AJD]]+TABL12[[#This Row],[(STORGE DIFF.) AJD]]+(TABL12[[#This Row],[AJD_Evaporation]]))</f>
        <v>-1029.261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Row],[(A/B) AJD]]-TABL12[[#This Row],[BER_IN]]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Row],[(A/S) AJD]]-TABL12[[#This Row],[SER_IN]]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 (T/B) SAR]]+TABL12[[#This Row],[ (S/S) SAR]]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 (S/S) SAR]]-TABL12[[#This Row],[(S/S) AJD]]</f>
        <v>27</v>
      </c>
      <c r="Q323" s="9">
        <v>436</v>
      </c>
      <c r="R323" s="9">
        <f>TABL12[[#This Row],[ (T/B) SAR]]-TABL12[[#This Row],[(T/B) AJD]]</f>
        <v>39</v>
      </c>
      <c r="S323" s="9">
        <f>TABL12[[#This Row],[S/S_CON.]]+TABL12[[#This Row],[T/B-CON.]]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TABL12[[#This Row],[( S/S+T/B) AJD]]-(TABL12[[#This Row],[(A/B + A/S) AJD]]+TABL12[[#This Row],[(STORGE DIFF.) AJD]]+(TABL12[[#This Row],[AJD_Evaporation]]))</f>
        <v>-1031.4679999999998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Row],[(A/B) AJD]]-TABL12[[#This Row],[BER_IN]]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Row],[(A/S) AJD]]-TABL12[[#This Row],[SER_IN]]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 (T/B) SAR]]+TABL12[[#This Row],[ (S/S) SAR]]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 (S/S) SAR]]-TABL12[[#This Row],[(S/S) AJD]]</f>
        <v>23</v>
      </c>
      <c r="Q324" s="9">
        <v>435</v>
      </c>
      <c r="R324" s="9">
        <f>TABL12[[#This Row],[ (T/B) SAR]]-TABL12[[#This Row],[(T/B) AJD]]</f>
        <v>39</v>
      </c>
      <c r="S324" s="9">
        <f>TABL12[[#This Row],[S/S_CON.]]+TABL12[[#This Row],[T/B-CON.]]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f>TABL12[[#This Row],[( S/S+T/B) AJD]]-(TABL12[[#This Row],[(A/B + A/S) AJD]]+TABL12[[#This Row],[(STORGE DIFF.) AJD]]+(TABL12[[#This Row],[AJD_Evaporation]]))</f>
        <v>-947.56399999999985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Row],[(A/B) AJD]]-TABL12[[#This Row],[BER_IN]]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Row],[(A/S) AJD]]-TABL12[[#This Row],[SER_IN]]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 (T/B) SAR]]+TABL12[[#This Row],[ (S/S) SAR]]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 (S/S) SAR]]-TABL12[[#This Row],[(S/S) AJD]]</f>
        <v>26</v>
      </c>
      <c r="Q325" s="9">
        <v>431</v>
      </c>
      <c r="R325" s="9">
        <f>TABL12[[#This Row],[ (T/B) SAR]]-TABL12[[#This Row],[(T/B) AJD]]</f>
        <v>41</v>
      </c>
      <c r="S325" s="9">
        <f>TABL12[[#This Row],[S/S_CON.]]+TABL12[[#This Row],[T/B-CON.]]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TABL12[[#This Row],[( S/S+T/B) AJD]]-(TABL12[[#This Row],[(A/B + A/S) AJD]]+TABL12[[#This Row],[(STORGE DIFF.) AJD]]+(TABL12[[#This Row],[AJD_Evaporation]]))</f>
        <v>-977.96199999999999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Row],[(A/B) AJD]]-TABL12[[#This Row],[BER_IN]]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Row],[(A/S) AJD]]-TABL12[[#This Row],[SER_IN]]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 (T/B) SAR]]+TABL12[[#This Row],[ (S/S) SAR]]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 (S/S) SAR]]-TABL12[[#This Row],[(S/S) AJD]]</f>
        <v>26</v>
      </c>
      <c r="Q326" s="9">
        <v>430</v>
      </c>
      <c r="R326" s="9">
        <f>TABL12[[#This Row],[ (T/B) SAR]]-TABL12[[#This Row],[(T/B) AJD]]</f>
        <v>42</v>
      </c>
      <c r="S326" s="9">
        <f>TABL12[[#This Row],[S/S_CON.]]+TABL12[[#This Row],[T/B-CON.]]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TABL12[[#This Row],[( S/S+T/B) AJD]]-(TABL12[[#This Row],[(A/B + A/S) AJD]]+TABL12[[#This Row],[(STORGE DIFF.) AJD]]+(TABL12[[#This Row],[AJD_Evaporation]]))</f>
        <v>-1017.251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Row],[(A/B) AJD]]-TABL12[[#This Row],[BER_IN]]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Row],[(A/S) AJD]]-TABL12[[#This Row],[SER_IN]]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 (T/B) SAR]]+TABL12[[#This Row],[ (S/S) SAR]]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 (S/S) SAR]]-TABL12[[#This Row],[(S/S) AJD]]</f>
        <v>26</v>
      </c>
      <c r="Q327" s="9">
        <v>432</v>
      </c>
      <c r="R327" s="9">
        <f>TABL12[[#This Row],[ (T/B) SAR]]-TABL12[[#This Row],[(T/B) AJD]]</f>
        <v>40</v>
      </c>
      <c r="S327" s="9">
        <f>TABL12[[#This Row],[S/S_CON.]]+TABL12[[#This Row],[T/B-CON.]]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TABL12[[#This Row],[( S/S+T/B) AJD]]-(TABL12[[#This Row],[(A/B + A/S) AJD]]+TABL12[[#This Row],[(STORGE DIFF.) AJD]]+(TABL12[[#This Row],[AJD_Evaporation]]))</f>
        <v>-1037.894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Row],[(A/B) AJD]]-TABL12[[#This Row],[BER_IN]]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Row],[(A/S) AJD]]-TABL12[[#This Row],[SER_IN]]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 (T/B) SAR]]+TABL12[[#This Row],[ (S/S) SAR]]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 (S/S) SAR]]-TABL12[[#This Row],[(S/S) AJD]]</f>
        <v>27</v>
      </c>
      <c r="Q328" s="9">
        <v>430</v>
      </c>
      <c r="R328" s="9">
        <f>TABL12[[#This Row],[ (T/B) SAR]]-TABL12[[#This Row],[(T/B) AJD]]</f>
        <v>42</v>
      </c>
      <c r="S328" s="9">
        <f>TABL12[[#This Row],[S/S_CON.]]+TABL12[[#This Row],[T/B-CON.]]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TABL12[[#This Row],[( S/S+T/B) AJD]]-(TABL12[[#This Row],[(A/B + A/S) AJD]]+TABL12[[#This Row],[(STORGE DIFF.) AJD]]+(TABL12[[#This Row],[AJD_Evaporation]]))</f>
        <v>-1111.5320000000002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Row],[(A/B) AJD]]-TABL12[[#This Row],[BER_IN]]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Row],[(A/S) AJD]]-TABL12[[#This Row],[SER_IN]]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 (T/B) SAR]]+TABL12[[#This Row],[ (S/S) SAR]]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 (S/S) SAR]]-TABL12[[#This Row],[(S/S) AJD]]</f>
        <v>27</v>
      </c>
      <c r="Q329" s="9">
        <v>430</v>
      </c>
      <c r="R329" s="9">
        <f>TABL12[[#This Row],[ (T/B) SAR]]-TABL12[[#This Row],[(T/B) AJD]]</f>
        <v>39</v>
      </c>
      <c r="S329" s="9">
        <f>TABL12[[#This Row],[S/S_CON.]]+TABL12[[#This Row],[T/B-CON.]]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TABL12[[#This Row],[( S/S+T/B) AJD]]-(TABL12[[#This Row],[(A/B + A/S) AJD]]+TABL12[[#This Row],[(STORGE DIFF.) AJD]]+(TABL12[[#This Row],[AJD_Evaporation]]))</f>
        <v>-1174.4880000000001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Row],[(A/B) AJD]]-TABL12[[#This Row],[BER_IN]]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Row],[(A/S) AJD]]-TABL12[[#This Row],[SER_IN]]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 (T/B) SAR]]+TABL12[[#This Row],[ (S/S) SAR]]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 (S/S) SAR]]-TABL12[[#This Row],[(S/S) AJD]]</f>
        <v>30</v>
      </c>
      <c r="Q330" s="9">
        <v>429</v>
      </c>
      <c r="R330" s="9">
        <f>TABL12[[#This Row],[ (T/B) SAR]]-TABL12[[#This Row],[(T/B) AJD]]</f>
        <v>45</v>
      </c>
      <c r="S330" s="9">
        <f>TABL12[[#This Row],[S/S_CON.]]+TABL12[[#This Row],[T/B-CON.]]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TABL12[[#This Row],[( S/S+T/B) AJD]]-(TABL12[[#This Row],[(A/B + A/S) AJD]]+TABL12[[#This Row],[(STORGE DIFF.) AJD]]+(TABL12[[#This Row],[AJD_Evaporation]]))</f>
        <v>-1067.163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Row],[(A/B) AJD]]-TABL12[[#This Row],[BER_IN]]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Row],[(A/S) AJD]]-TABL12[[#This Row],[SER_IN]]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 (T/B) SAR]]+TABL12[[#This Row],[ (S/S) SAR]]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 (S/S) SAR]]-TABL12[[#This Row],[(S/S) AJD]]</f>
        <v>36</v>
      </c>
      <c r="Q331" s="9">
        <v>434</v>
      </c>
      <c r="R331" s="9">
        <f>TABL12[[#This Row],[ (T/B) SAR]]-TABL12[[#This Row],[(T/B) AJD]]</f>
        <v>50</v>
      </c>
      <c r="S331" s="9">
        <f>TABL12[[#This Row],[S/S_CON.]]+TABL12[[#This Row],[T/B-CON.]]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TABL12[[#This Row],[( S/S+T/B) AJD]]-(TABL12[[#This Row],[(A/B + A/S) AJD]]+TABL12[[#This Row],[(STORGE DIFF.) AJD]]+(TABL12[[#This Row],[AJD_Evaporation]]))</f>
        <v>-1098.3209999999999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Row],[(A/B) AJD]]-TABL12[[#This Row],[BER_IN]]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Row],[(A/S) AJD]]-TABL12[[#This Row],[SER_IN]]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 (T/B) SAR]]+TABL12[[#This Row],[ (S/S) SAR]]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 (S/S) SAR]]-TABL12[[#This Row],[(S/S) AJD]]</f>
        <v>24</v>
      </c>
      <c r="Q332" s="9">
        <v>438</v>
      </c>
      <c r="R332" s="9">
        <f>TABL12[[#This Row],[ (T/B) SAR]]-TABL12[[#This Row],[(T/B) AJD]]</f>
        <v>36</v>
      </c>
      <c r="S332" s="9">
        <f>TABL12[[#This Row],[S/S_CON.]]+TABL12[[#This Row],[T/B-CON.]]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TABL12[[#This Row],[( S/S+T/B) AJD]]-(TABL12[[#This Row],[(A/B + A/S) AJD]]+TABL12[[#This Row],[(STORGE DIFF.) AJD]]+(TABL12[[#This Row],[AJD_Evaporation]]))</f>
        <v>-1030.279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Row],[(A/B) AJD]]-TABL12[[#This Row],[BER_IN]]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Row],[(A/S) AJD]]-TABL12[[#This Row],[SER_IN]]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 (T/B) SAR]]+TABL12[[#This Row],[ (S/S) SAR]]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 (S/S) SAR]]-TABL12[[#This Row],[(S/S) AJD]]</f>
        <v>23</v>
      </c>
      <c r="Q333" s="9">
        <v>419</v>
      </c>
      <c r="R333" s="9">
        <f>TABL12[[#This Row],[ (T/B) SAR]]-TABL12[[#This Row],[(T/B) AJD]]</f>
        <v>53</v>
      </c>
      <c r="S333" s="9">
        <f>TABL12[[#This Row],[S/S_CON.]]+TABL12[[#This Row],[T/B-CON.]]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TABL12[[#This Row],[( S/S+T/B) AJD]]-(TABL12[[#This Row],[(A/B + A/S) AJD]]+TABL12[[#This Row],[(STORGE DIFF.) AJD]]+(TABL12[[#This Row],[AJD_Evaporation]]))</f>
        <v>-1055.2930000000001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Row],[(A/B) AJD]]-TABL12[[#This Row],[BER_IN]]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Row],[(A/S) AJD]]-TABL12[[#This Row],[SER_IN]]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 (T/B) SAR]]+TABL12[[#This Row],[ (S/S) SAR]]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 (S/S) SAR]]-TABL12[[#This Row],[(S/S) AJD]]</f>
        <v>27</v>
      </c>
      <c r="Q334" s="9">
        <v>430</v>
      </c>
      <c r="R334" s="9">
        <f>TABL12[[#This Row],[ (T/B) SAR]]-TABL12[[#This Row],[(T/B) AJD]]</f>
        <v>42</v>
      </c>
      <c r="S334" s="9">
        <f>TABL12[[#This Row],[S/S_CON.]]+TABL12[[#This Row],[T/B-CON.]]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TABL12[[#This Row],[( S/S+T/B) AJD]]-(TABL12[[#This Row],[(A/B + A/S) AJD]]+TABL12[[#This Row],[(STORGE DIFF.) AJD]]+(TABL12[[#This Row],[AJD_Evaporation]]))</f>
        <v>-923.68100000000004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Row],[(A/B) AJD]]-TABL12[[#This Row],[BER_IN]]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Row],[(A/S) AJD]]-TABL12[[#This Row],[SER_IN]]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 (T/B) SAR]]+TABL12[[#This Row],[ (S/S) SAR]]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 (S/S) SAR]]-TABL12[[#This Row],[(S/S) AJD]]</f>
        <v>27</v>
      </c>
      <c r="Q335" s="9">
        <v>430</v>
      </c>
      <c r="R335" s="9">
        <f>TABL12[[#This Row],[ (T/B) SAR]]-TABL12[[#This Row],[(T/B) AJD]]</f>
        <v>41</v>
      </c>
      <c r="S335" s="9">
        <f>TABL12[[#This Row],[S/S_CON.]]+TABL12[[#This Row],[T/B-CON.]]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TABL12[[#This Row],[( S/S+T/B) AJD]]-(TABL12[[#This Row],[(A/B + A/S) AJD]]+TABL12[[#This Row],[(STORGE DIFF.) AJD]]+(TABL12[[#This Row],[AJD_Evaporation]]))</f>
        <v>-1037.7429999999999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Row],[(A/B) AJD]]-TABL12[[#This Row],[BER_IN]]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Row],[(A/S) AJD]]-TABL12[[#This Row],[SER_IN]]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 (T/B) SAR]]+TABL12[[#This Row],[ (S/S) SAR]]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 (S/S) SAR]]-TABL12[[#This Row],[(S/S) AJD]]</f>
        <v>21</v>
      </c>
      <c r="Q336" s="39">
        <v>423</v>
      </c>
      <c r="R336" s="9">
        <f>TABL12[[#This Row],[ (T/B) SAR]]-TABL12[[#This Row],[(T/B) AJD]]</f>
        <v>47</v>
      </c>
      <c r="S336" s="9">
        <f>TABL12[[#This Row],[S/S_CON.]]+TABL12[[#This Row],[T/B-CON.]]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TABL12[[#This Row],[( S/S+T/B) AJD]]-(TABL12[[#This Row],[(A/B + A/S) AJD]]+TABL12[[#This Row],[(STORGE DIFF.) AJD]]+(TABL12[[#This Row],[AJD_Evaporation]]))</f>
        <v>258.80600000000004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Row],[(A/B) AJD]]-TABL12[[#This Row],[BER_IN]]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Row],[(A/S) AJD]]-TABL12[[#This Row],[SER_IN]]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 (T/B) SAR]]+TABL12[[#This Row],[ (S/S) SAR]]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 (S/S) SAR]]-TABL12[[#This Row],[(S/S) AJD]]</f>
        <v>27</v>
      </c>
      <c r="Q337" s="40">
        <v>424</v>
      </c>
      <c r="R337" s="9">
        <f>TABL12[[#This Row],[ (T/B) SAR]]-TABL12[[#This Row],[(T/B) AJD]]</f>
        <v>45</v>
      </c>
      <c r="S337" s="9">
        <f>TABL12[[#This Row],[S/S_CON.]]+TABL12[[#This Row],[T/B-CON.]]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TABL12[[#This Row],[( S/S+T/B) AJD]]-(TABL12[[#This Row],[(A/B + A/S) AJD]]+TABL12[[#This Row],[(STORGE DIFF.) AJD]]+(TABL12[[#This Row],[AJD_Evaporation]]))</f>
        <v>26.86099999999999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Row],[(A/B) AJD]]-TABL12[[#This Row],[BER_IN]]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Row],[(A/S) AJD]]-TABL12[[#This Row],[SER_IN]]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 (T/B) SAR]]+TABL12[[#This Row],[ (S/S) SAR]]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 (S/S) SAR]]-TABL12[[#This Row],[(S/S) AJD]]</f>
        <v>26</v>
      </c>
      <c r="Q338" s="39">
        <v>428</v>
      </c>
      <c r="R338" s="9">
        <f>TABL12[[#This Row],[ (T/B) SAR]]-TABL12[[#This Row],[(T/B) AJD]]</f>
        <v>54</v>
      </c>
      <c r="S338" s="9">
        <f>TABL12[[#This Row],[S/S_CON.]]+TABL12[[#This Row],[T/B-CON.]]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TABL12[[#This Row],[( S/S+T/B) AJD]]-(TABL12[[#This Row],[(A/B + A/S) AJD]]+TABL12[[#This Row],[(STORGE DIFF.) AJD]]+(TABL12[[#This Row],[AJD_Evaporation]]))</f>
        <v>22.121999999999957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Row],[(A/B) AJD]]-TABL12[[#This Row],[BER_IN]]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Row],[(A/S) AJD]]-TABL12[[#This Row],[SER_IN]]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 (T/B) SAR]]+TABL12[[#This Row],[ (S/S) SAR]]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 (S/S) SAR]]-TABL12[[#This Row],[(S/S) AJD]]</f>
        <v>4</v>
      </c>
      <c r="Q339" s="40">
        <v>446</v>
      </c>
      <c r="R339" s="9">
        <f>TABL12[[#This Row],[ (T/B) SAR]]-TABL12[[#This Row],[(T/B) AJD]]</f>
        <v>28</v>
      </c>
      <c r="S339" s="9">
        <f>TABL12[[#This Row],[S/S_CON.]]+TABL12[[#This Row],[T/B-CON.]]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TABL12[[#This Row],[( S/S+T/B) AJD]]-(TABL12[[#This Row],[(A/B + A/S) AJD]]+TABL12[[#This Row],[(STORGE DIFF.) AJD]]+(TABL12[[#This Row],[AJD_Evaporation]]))</f>
        <v>233.53600000000006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Row],[(A/B) AJD]]-TABL12[[#This Row],[BER_IN]]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Row],[(A/S) AJD]]-TABL12[[#This Row],[SER_IN]]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 (T/B) SAR]]+TABL12[[#This Row],[ (S/S) SAR]]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 (S/S) SAR]]-TABL12[[#This Row],[(S/S) AJD]]</f>
        <v>29</v>
      </c>
      <c r="Q340" s="39">
        <v>430</v>
      </c>
      <c r="R340" s="9">
        <f>TABL12[[#This Row],[ (T/B) SAR]]-TABL12[[#This Row],[(T/B) AJD]]</f>
        <v>46</v>
      </c>
      <c r="S340" s="9">
        <f>TABL12[[#This Row],[S/S_CON.]]+TABL12[[#This Row],[T/B-CON.]]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TABL12[[#This Row],[( S/S+T/B) AJD]]-(TABL12[[#This Row],[(A/B + A/S) AJD]]+TABL12[[#This Row],[(STORGE DIFF.) AJD]]+(TABL12[[#This Row],[AJD_Evaporation]]))</f>
        <v>10.254999999999995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Row],[(A/B) AJD]]-TABL12[[#This Row],[BER_IN]]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Row],[(A/S) AJD]]-TABL12[[#This Row],[SER_IN]]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 (T/B) SAR]]+TABL12[[#This Row],[ (S/S) SAR]]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 (S/S) SAR]]-TABL12[[#This Row],[(S/S) AJD]]</f>
        <v>28</v>
      </c>
      <c r="Q341" s="40">
        <v>434</v>
      </c>
      <c r="R341" s="9">
        <f>TABL12[[#This Row],[ (T/B) SAR]]-TABL12[[#This Row],[(T/B) AJD]]</f>
        <v>42</v>
      </c>
      <c r="S341" s="9">
        <f>TABL12[[#This Row],[S/S_CON.]]+TABL12[[#This Row],[T/B-CON.]]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TABL12[[#This Row],[( S/S+T/B) AJD]]-(TABL12[[#This Row],[(A/B + A/S) AJD]]+TABL12[[#This Row],[(STORGE DIFF.) AJD]]+(TABL12[[#This Row],[AJD_Evaporation]]))</f>
        <v>5.0900000000000318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Row],[(A/B) AJD]]-TABL12[[#This Row],[BER_IN]]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Row],[(A/S) AJD]]-TABL12[[#This Row],[SER_IN]]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 (T/B) SAR]]+TABL12[[#This Row],[ (S/S) SAR]]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 (S/S) SAR]]-TABL12[[#This Row],[(S/S) AJD]]</f>
        <v>27</v>
      </c>
      <c r="Q342" s="39">
        <v>432</v>
      </c>
      <c r="R342" s="9">
        <f>TABL12[[#This Row],[ (T/B) SAR]]-TABL12[[#This Row],[(T/B) AJD]]</f>
        <v>43</v>
      </c>
      <c r="S342" s="9">
        <f>TABL12[[#This Row],[S/S_CON.]]+TABL12[[#This Row],[T/B-CON.]]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TABL12[[#This Row],[( S/S+T/B) AJD]]-(TABL12[[#This Row],[(A/B + A/S) AJD]]+TABL12[[#This Row],[(STORGE DIFF.) AJD]]+(TABL12[[#This Row],[AJD_Evaporation]]))</f>
        <v>33.760999999999967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Row],[(A/B) AJD]]-TABL12[[#This Row],[BER_IN]]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Row],[(A/S) AJD]]-TABL12[[#This Row],[SER_IN]]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 (T/B) SAR]]+TABL12[[#This Row],[ (S/S) SAR]]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 (S/S) SAR]]-TABL12[[#This Row],[(S/S) AJD]]</f>
        <v>31</v>
      </c>
      <c r="Q343" s="40">
        <v>432</v>
      </c>
      <c r="R343" s="9">
        <f>TABL12[[#This Row],[ (T/B) SAR]]-TABL12[[#This Row],[(T/B) AJD]]</f>
        <v>46</v>
      </c>
      <c r="S343" s="9">
        <f>TABL12[[#This Row],[S/S_CON.]]+TABL12[[#This Row],[T/B-CON.]]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TABL12[[#This Row],[( S/S+T/B) AJD]]-(TABL12[[#This Row],[(A/B + A/S) AJD]]+TABL12[[#This Row],[(STORGE DIFF.) AJD]]+(TABL12[[#This Row],[AJD_Evaporation]]))</f>
        <v>9.4039999999999964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Row],[(A/B) AJD]]-TABL12[[#This Row],[BER_IN]]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Row],[(A/S) AJD]]-TABL12[[#This Row],[SER_IN]]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 (T/B) SAR]]+TABL12[[#This Row],[ (S/S) SAR]]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 (S/S) SAR]]-TABL12[[#This Row],[(S/S) AJD]]</f>
        <v>29</v>
      </c>
      <c r="Q344" s="39">
        <v>433</v>
      </c>
      <c r="R344" s="9">
        <f>TABL12[[#This Row],[ (T/B) SAR]]-TABL12[[#This Row],[(T/B) AJD]]</f>
        <v>46</v>
      </c>
      <c r="S344" s="9">
        <f>TABL12[[#This Row],[S/S_CON.]]+TABL12[[#This Row],[T/B-CON.]]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TABL12[[#This Row],[( S/S+T/B) AJD]]-(TABL12[[#This Row],[(A/B + A/S) AJD]]+TABL12[[#This Row],[(STORGE DIFF.) AJD]]+(TABL12[[#This Row],[AJD_Evaporation]]))</f>
        <v>3.31899999999996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Row],[(A/B) AJD]]-TABL12[[#This Row],[BER_IN]]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Row],[(A/S) AJD]]-TABL12[[#This Row],[SER_IN]]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 (T/B) SAR]]+TABL12[[#This Row],[ (S/S) SAR]]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 (S/S) SAR]]-TABL12[[#This Row],[(S/S) AJD]]</f>
        <v>28</v>
      </c>
      <c r="Q345" s="40">
        <v>435</v>
      </c>
      <c r="R345" s="9">
        <f>TABL12[[#This Row],[ (T/B) SAR]]-TABL12[[#This Row],[(T/B) AJD]]</f>
        <v>35</v>
      </c>
      <c r="S345" s="9">
        <f>TABL12[[#This Row],[S/S_CON.]]+TABL12[[#This Row],[T/B-CON.]]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TABL12[[#This Row],[( S/S+T/B) AJD]]-(TABL12[[#This Row],[(A/B + A/S) AJD]]+TABL12[[#This Row],[(STORGE DIFF.) AJD]]+(TABL12[[#This Row],[AJD_Evaporation]]))</f>
        <v>47.355999999999995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Row],[(A/B) AJD]]-TABL12[[#This Row],[BER_IN]]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Row],[(A/S) AJD]]-TABL12[[#This Row],[SER_IN]]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 (T/B) SAR]]+TABL12[[#This Row],[ (S/S) SAR]]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 (S/S) SAR]]-TABL12[[#This Row],[(S/S) AJD]]</f>
        <v>27</v>
      </c>
      <c r="Q346" s="39">
        <v>435</v>
      </c>
      <c r="R346" s="9">
        <f>TABL12[[#This Row],[ (T/B) SAR]]-TABL12[[#This Row],[(T/B) AJD]]</f>
        <v>42</v>
      </c>
      <c r="S346" s="9">
        <f>TABL12[[#This Row],[S/S_CON.]]+TABL12[[#This Row],[T/B-CON.]]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TABL12[[#This Row],[( S/S+T/B) AJD]]-(TABL12[[#This Row],[(A/B + A/S) AJD]]+TABL12[[#This Row],[(STORGE DIFF.) AJD]]+(TABL12[[#This Row],[AJD_Evaporation]]))</f>
        <v>29.297000000000025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Row],[(A/B) AJD]]-TABL12[[#This Row],[BER_IN]]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Row],[(A/S) AJD]]-TABL12[[#This Row],[SER_IN]]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 (T/B) SAR]]+TABL12[[#This Row],[ (S/S) SAR]]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 (S/S) SAR]]-TABL12[[#This Row],[(S/S) AJD]]</f>
        <v>27</v>
      </c>
      <c r="Q347" s="40">
        <v>436</v>
      </c>
      <c r="R347" s="9">
        <f>TABL12[[#This Row],[ (T/B) SAR]]-TABL12[[#This Row],[(T/B) AJD]]</f>
        <v>45</v>
      </c>
      <c r="S347" s="9">
        <f>TABL12[[#This Row],[S/S_CON.]]+TABL12[[#This Row],[T/B-CON.]]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TABL12[[#This Row],[( S/S+T/B) AJD]]-(TABL12[[#This Row],[(A/B + A/S) AJD]]+TABL12[[#This Row],[(STORGE DIFF.) AJD]]+(TABL12[[#This Row],[AJD_Evaporation]]))</f>
        <v>21.539999999999964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Row],[(A/B) AJD]]-TABL12[[#This Row],[BER_IN]]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Row],[(A/S) AJD]]-TABL12[[#This Row],[SER_IN]]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 (T/B) SAR]]+TABL12[[#This Row],[ (S/S) SAR]]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 (S/S) SAR]]-TABL12[[#This Row],[(S/S) AJD]]</f>
        <v>27</v>
      </c>
      <c r="Q348" s="39">
        <v>440</v>
      </c>
      <c r="R348" s="9">
        <f>TABL12[[#This Row],[ (T/B) SAR]]-TABL12[[#This Row],[(T/B) AJD]]</f>
        <v>42</v>
      </c>
      <c r="S348" s="9">
        <f>TABL12[[#This Row],[S/S_CON.]]+TABL12[[#This Row],[T/B-CON.]]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TABL12[[#This Row],[( S/S+T/B) AJD]]-(TABL12[[#This Row],[(A/B + A/S) AJD]]+TABL12[[#This Row],[(STORGE DIFF.) AJD]]+(TABL12[[#This Row],[AJD_Evaporation]]))</f>
        <v>27.739000000000033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Row],[(A/B) AJD]]-TABL12[[#This Row],[BER_IN]]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Row],[(A/S) AJD]]-TABL12[[#This Row],[SER_IN]]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 (T/B) SAR]]+TABL12[[#This Row],[ (S/S) SAR]]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 (S/S) SAR]]-TABL12[[#This Row],[(S/S) AJD]]</f>
        <v>26</v>
      </c>
      <c r="Q349" s="40">
        <v>438</v>
      </c>
      <c r="R349" s="9">
        <f>TABL12[[#This Row],[ (T/B) SAR]]-TABL12[[#This Row],[(T/B) AJD]]</f>
        <v>42</v>
      </c>
      <c r="S349" s="9">
        <f>TABL12[[#This Row],[S/S_CON.]]+TABL12[[#This Row],[T/B-CON.]]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TABL12[[#This Row],[( S/S+T/B) AJD]]-(TABL12[[#This Row],[(A/B + A/S) AJD]]+TABL12[[#This Row],[(STORGE DIFF.) AJD]]+(TABL12[[#This Row],[AJD_Evaporation]]))</f>
        <v>21.275999999999954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Row],[(A/B) AJD]]-TABL12[[#This Row],[BER_IN]]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Row],[(A/S) AJD]]-TABL12[[#This Row],[SER_IN]]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 (T/B) SAR]]+TABL12[[#This Row],[ (S/S) SAR]]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 (S/S) SAR]]-TABL12[[#This Row],[(S/S) AJD]]</f>
        <v>26</v>
      </c>
      <c r="Q350" s="39">
        <v>436</v>
      </c>
      <c r="R350" s="9">
        <f>TABL12[[#This Row],[ (T/B) SAR]]-TABL12[[#This Row],[(T/B) AJD]]</f>
        <v>44</v>
      </c>
      <c r="S350" s="9">
        <f>TABL12[[#This Row],[S/S_CON.]]+TABL12[[#This Row],[T/B-CON.]]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TABL12[[#This Row],[( S/S+T/B) AJD]]-(TABL12[[#This Row],[(A/B + A/S) AJD]]+TABL12[[#This Row],[(STORGE DIFF.) AJD]]+(TABL12[[#This Row],[AJD_Evaporation]]))</f>
        <v>-599.85199999999986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Row],[(A/B) AJD]]-TABL12[[#This Row],[BER_IN]]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Row],[(A/S) AJD]]-TABL12[[#This Row],[SER_IN]]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 (T/B) SAR]]+TABL12[[#This Row],[ (S/S) SAR]]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 (S/S) SAR]]-TABL12[[#This Row],[(S/S) AJD]]</f>
        <v>26</v>
      </c>
      <c r="Q351" s="40">
        <v>437</v>
      </c>
      <c r="R351" s="9">
        <f>TABL12[[#This Row],[ (T/B) SAR]]-TABL12[[#This Row],[(T/B) AJD]]</f>
        <v>44</v>
      </c>
      <c r="S351" s="9">
        <f>TABL12[[#This Row],[S/S_CON.]]+TABL12[[#This Row],[T/B-CON.]]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TABL12[[#This Row],[( S/S+T/B) AJD]]-(TABL12[[#This Row],[(A/B + A/S) AJD]]+TABL12[[#This Row],[(STORGE DIFF.) AJD]]+(TABL12[[#This Row],[AJD_Evaporation]]))</f>
        <v>-769.94599999999991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Row],[(A/B) AJD]]-TABL12[[#This Row],[BER_IN]]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Row],[(A/S) AJD]]-TABL12[[#This Row],[SER_IN]]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 (T/B) SAR]]+TABL12[[#This Row],[ (S/S) SAR]]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 (S/S) SAR]]-TABL12[[#This Row],[(S/S) AJD]]</f>
        <v>28</v>
      </c>
      <c r="Q352" s="39">
        <v>437</v>
      </c>
      <c r="R352" s="9">
        <f>TABL12[[#This Row],[ (T/B) SAR]]-TABL12[[#This Row],[(T/B) AJD]]</f>
        <v>45</v>
      </c>
      <c r="S352" s="9">
        <f>TABL12[[#This Row],[S/S_CON.]]+TABL12[[#This Row],[T/B-CON.]]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TABL12[[#This Row],[( S/S+T/B) AJD]]-(TABL12[[#This Row],[(A/B + A/S) AJD]]+TABL12[[#This Row],[(STORGE DIFF.) AJD]]+(TABL12[[#This Row],[AJD_Evaporation]]))</f>
        <v>-447.13400000000001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Row],[(A/B) AJD]]-TABL12[[#This Row],[BER_IN]]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Row],[(A/S) AJD]]-TABL12[[#This Row],[SER_IN]]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 (T/B) SAR]]+TABL12[[#This Row],[ (S/S) SAR]]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 (S/S) SAR]]-TABL12[[#This Row],[(S/S) AJD]]</f>
        <v>26</v>
      </c>
      <c r="Q353" s="40">
        <v>438</v>
      </c>
      <c r="R353" s="9">
        <f>TABL12[[#This Row],[ (T/B) SAR]]-TABL12[[#This Row],[(T/B) AJD]]</f>
        <v>43</v>
      </c>
      <c r="S353" s="9">
        <f>TABL12[[#This Row],[S/S_CON.]]+TABL12[[#This Row],[T/B-CON.]]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TABL12[[#This Row],[( S/S+T/B) AJD]]-(TABL12[[#This Row],[(A/B + A/S) AJD]]+TABL12[[#This Row],[(STORGE DIFF.) AJD]]+(TABL12[[#This Row],[AJD_Evaporation]]))</f>
        <v>-894.91899999999987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Row],[(A/B) AJD]]-TABL12[[#This Row],[BER_IN]]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Row],[(A/S) AJD]]-TABL12[[#This Row],[SER_IN]]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 (T/B) SAR]]+TABL12[[#This Row],[ (S/S) SAR]]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 (S/S) SAR]]-TABL12[[#This Row],[(S/S) AJD]]</f>
        <v>26</v>
      </c>
      <c r="Q354" s="39">
        <v>438</v>
      </c>
      <c r="R354" s="9">
        <f>TABL12[[#This Row],[ (T/B) SAR]]-TABL12[[#This Row],[(T/B) AJD]]</f>
        <v>43</v>
      </c>
      <c r="S354" s="9">
        <f>TABL12[[#This Row],[S/S_CON.]]+TABL12[[#This Row],[T/B-CON.]]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TABL12[[#This Row],[( S/S+T/B) AJD]]-(TABL12[[#This Row],[(A/B + A/S) AJD]]+TABL12[[#This Row],[(STORGE DIFF.) AJD]]+(TABL12[[#This Row],[AJD_Evaporation]]))</f>
        <v>-1017.759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Row],[(A/B) AJD]]-TABL12[[#This Row],[BER_IN]]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Row],[(A/S) AJD]]-TABL12[[#This Row],[SER_IN]]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 (T/B) SAR]]+TABL12[[#This Row],[ (S/S) SAR]]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 (S/S) SAR]]-TABL12[[#This Row],[(S/S) AJD]]</f>
        <v>24</v>
      </c>
      <c r="Q355" s="40">
        <v>439</v>
      </c>
      <c r="R355" s="9">
        <f>TABL12[[#This Row],[ (T/B) SAR]]-TABL12[[#This Row],[(T/B) AJD]]</f>
        <v>41</v>
      </c>
      <c r="S355" s="9">
        <f>TABL12[[#This Row],[S/S_CON.]]+TABL12[[#This Row],[T/B-CON.]]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TABL12[[#This Row],[( S/S+T/B) AJD]]-(TABL12[[#This Row],[(A/B + A/S) AJD]]+TABL12[[#This Row],[(STORGE DIFF.) AJD]]+(TABL12[[#This Row],[AJD_Evaporation]]))</f>
        <v>-746.98599999999988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Row],[(A/B) AJD]]-TABL12[[#This Row],[BER_IN]]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Row],[(A/S) AJD]]-TABL12[[#This Row],[SER_IN]]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 (T/B) SAR]]+TABL12[[#This Row],[ (S/S) SAR]]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 (S/S) SAR]]-TABL12[[#This Row],[(S/S) AJD]]</f>
        <v>24</v>
      </c>
      <c r="Q356" s="39">
        <v>437</v>
      </c>
      <c r="R356" s="9">
        <f>TABL12[[#This Row],[ (T/B) SAR]]-TABL12[[#This Row],[(T/B) AJD]]</f>
        <v>41</v>
      </c>
      <c r="S356" s="9">
        <f>TABL12[[#This Row],[S/S_CON.]]+TABL12[[#This Row],[T/B-CON.]]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TABL12[[#This Row],[( S/S+T/B) AJD]]-(TABL12[[#This Row],[(A/B + A/S) AJD]]+TABL12[[#This Row],[(STORGE DIFF.) AJD]]+(TABL12[[#This Row],[AJD_Evaporation]]))</f>
        <v>-552.79300000000012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Row],[(A/B) AJD]]-TABL12[[#This Row],[BER_IN]]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Row],[(A/S) AJD]]-TABL12[[#This Row],[SER_IN]]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 (T/B) SAR]]+TABL12[[#This Row],[ (S/S) SAR]]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 (S/S) SAR]]-TABL12[[#This Row],[(S/S) AJD]]</f>
        <v>26</v>
      </c>
      <c r="Q357" s="40">
        <v>438</v>
      </c>
      <c r="R357" s="9">
        <f>TABL12[[#This Row],[ (T/B) SAR]]-TABL12[[#This Row],[(T/B) AJD]]</f>
        <v>44</v>
      </c>
      <c r="S357" s="9">
        <f>TABL12[[#This Row],[S/S_CON.]]+TABL12[[#This Row],[T/B-CON.]]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TABL12[[#This Row],[( S/S+T/B) AJD]]-(TABL12[[#This Row],[(A/B + A/S) AJD]]+TABL12[[#This Row],[(STORGE DIFF.) AJD]]+(TABL12[[#This Row],[AJD_Evaporation]]))</f>
        <v>-1014.7350000000001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Row],[(A/B) AJD]]-TABL12[[#This Row],[BER_IN]]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Row],[(A/S) AJD]]-TABL12[[#This Row],[SER_IN]]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 (T/B) SAR]]+TABL12[[#This Row],[ (S/S) SAR]]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 (S/S) SAR]]-TABL12[[#This Row],[(S/S) AJD]]</f>
        <v>22</v>
      </c>
      <c r="Q358" s="39">
        <v>440</v>
      </c>
      <c r="R358" s="9">
        <f>TABL12[[#This Row],[ (T/B) SAR]]-TABL12[[#This Row],[(T/B) AJD]]</f>
        <v>40</v>
      </c>
      <c r="S358" s="9">
        <f>TABL12[[#This Row],[S/S_CON.]]+TABL12[[#This Row],[T/B-CON.]]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TABL12[[#This Row],[( S/S+T/B) AJD]]-(TABL12[[#This Row],[(A/B + A/S) AJD]]+TABL12[[#This Row],[(STORGE DIFF.) AJD]]+(TABL12[[#This Row],[AJD_Evaporation]]))</f>
        <v>-875.84699999999998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Row],[(A/B) AJD]]-TABL12[[#This Row],[BER_IN]]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Row],[(A/S) AJD]]-TABL12[[#This Row],[SER_IN]]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 (T/B) SAR]]+TABL12[[#This Row],[ (S/S) SAR]]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 (S/S) SAR]]-TABL12[[#This Row],[(S/S) AJD]]</f>
        <v>26</v>
      </c>
      <c r="Q359" s="40">
        <v>437</v>
      </c>
      <c r="R359" s="9">
        <f>TABL12[[#This Row],[ (T/B) SAR]]-TABL12[[#This Row],[(T/B) AJD]]</f>
        <v>41</v>
      </c>
      <c r="S359" s="9">
        <f>TABL12[[#This Row],[S/S_CON.]]+TABL12[[#This Row],[T/B-CON.]]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TABL12[[#This Row],[( S/S+T/B) AJD]]-(TABL12[[#This Row],[(A/B + A/S) AJD]]+TABL12[[#This Row],[(STORGE DIFF.) AJD]]+(TABL12[[#This Row],[AJD_Evaporation]]))</f>
        <v>-1053.1669999999999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Row],[(A/B) AJD]]-TABL12[[#This Row],[BER_IN]]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Row],[(A/S) AJD]]-TABL12[[#This Row],[SER_IN]]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 (T/B) SAR]]+TABL12[[#This Row],[ (S/S) SAR]]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 (S/S) SAR]]-TABL12[[#This Row],[(S/S) AJD]]</f>
        <v>24</v>
      </c>
      <c r="Q360" s="39">
        <v>437</v>
      </c>
      <c r="R360" s="9">
        <f>TABL12[[#This Row],[ (T/B) SAR]]-TABL12[[#This Row],[(T/B) AJD]]</f>
        <v>48</v>
      </c>
      <c r="S360" s="9">
        <f>TABL12[[#This Row],[S/S_CON.]]+TABL12[[#This Row],[T/B-CON.]]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TABL12[[#This Row],[( S/S+T/B) AJD]]-(TABL12[[#This Row],[(A/B + A/S) AJD]]+TABL12[[#This Row],[(STORGE DIFF.) AJD]]+(TABL12[[#This Row],[AJD_Evaporation]]))</f>
        <v>-1031.7730000000001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Row],[(A/B) AJD]]-TABL12[[#This Row],[BER_IN]]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Row],[(A/S) AJD]]-TABL12[[#This Row],[SER_IN]]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 (T/B) SAR]]+TABL12[[#This Row],[ (S/S) SAR]]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 (S/S) SAR]]-TABL12[[#This Row],[(S/S) AJD]]</f>
        <v>25</v>
      </c>
      <c r="Q361" s="40">
        <v>436</v>
      </c>
      <c r="R361" s="9">
        <f>TABL12[[#This Row],[ (T/B) SAR]]-TABL12[[#This Row],[(T/B) AJD]]</f>
        <v>44</v>
      </c>
      <c r="S361" s="9">
        <f>TABL12[[#This Row],[S/S_CON.]]+TABL12[[#This Row],[T/B-CON.]]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TABL12[[#This Row],[( S/S+T/B) AJD]]-(TABL12[[#This Row],[(A/B + A/S) AJD]]+TABL12[[#This Row],[(STORGE DIFF.) AJD]]+(TABL12[[#This Row],[AJD_Evaporation]]))</f>
        <v>31.68100000000004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Row],[(A/B) AJD]]-TABL12[[#This Row],[BER_IN]]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Row],[(A/S) AJD]]-TABL12[[#This Row],[SER_IN]]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 (T/B) SAR]]+TABL12[[#This Row],[ (S/S) SAR]]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 (S/S) SAR]]-TABL12[[#This Row],[(S/S) AJD]]</f>
        <v>27</v>
      </c>
      <c r="Q362" s="39">
        <v>437</v>
      </c>
      <c r="R362" s="9">
        <f>TABL12[[#This Row],[ (T/B) SAR]]-TABL12[[#This Row],[(T/B) AJD]]</f>
        <v>43</v>
      </c>
      <c r="S362" s="9">
        <f>TABL12[[#This Row],[S/S_CON.]]+TABL12[[#This Row],[T/B-CON.]]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TABL12[[#This Row],[( S/S+T/B) AJD]]-(TABL12[[#This Row],[(A/B + A/S) AJD]]+TABL12[[#This Row],[(STORGE DIFF.) AJD]]+(TABL12[[#This Row],[AJD_Evaporation]]))</f>
        <v>-810.12400000000002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Row],[(A/B) AJD]]-TABL12[[#This Row],[BER_IN]]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Row],[(A/S) AJD]]-TABL12[[#This Row],[SER_IN]]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 (T/B) SAR]]+TABL12[[#This Row],[ (S/S) SAR]]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 (S/S) SAR]]-TABL12[[#This Row],[(S/S) AJD]]</f>
        <v>26</v>
      </c>
      <c r="Q363" s="40">
        <v>437</v>
      </c>
      <c r="R363" s="9">
        <f>TABL12[[#This Row],[ (T/B) SAR]]-TABL12[[#This Row],[(T/B) AJD]]</f>
        <v>43</v>
      </c>
      <c r="S363" s="9">
        <f>TABL12[[#This Row],[S/S_CON.]]+TABL12[[#This Row],[T/B-CON.]]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TABL12[[#This Row],[( S/S+T/B) AJD]]-(TABL12[[#This Row],[(A/B + A/S) AJD]]+TABL12[[#This Row],[(STORGE DIFF.) AJD]]+(TABL12[[#This Row],[AJD_Evaporation]]))</f>
        <v>-949.44399999999996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Row],[(A/B) AJD]]-TABL12[[#This Row],[BER_IN]]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Row],[(A/S) AJD]]-TABL12[[#This Row],[SER_IN]]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 (T/B) SAR]]+TABL12[[#This Row],[ (S/S) SAR]]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 (S/S) SAR]]-TABL12[[#This Row],[(S/S) AJD]]</f>
        <v>24</v>
      </c>
      <c r="Q364" s="39">
        <v>436</v>
      </c>
      <c r="R364" s="9">
        <f>TABL12[[#This Row],[ (T/B) SAR]]-TABL12[[#This Row],[(T/B) AJD]]</f>
        <v>44</v>
      </c>
      <c r="S364" s="9">
        <f>TABL12[[#This Row],[S/S_CON.]]+TABL12[[#This Row],[T/B-CON.]]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TABL12[[#This Row],[( S/S+T/B) AJD]]-(TABL12[[#This Row],[(A/B + A/S) AJD]]+TABL12[[#This Row],[(STORGE DIFF.) AJD]]+(TABL12[[#This Row],[AJD_Evaporation]]))</f>
        <v>-564.72800000000007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Row],[(A/B) AJD]]-TABL12[[#This Row],[BER_IN]]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Row],[(A/S) AJD]]-TABL12[[#This Row],[SER_IN]]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 (T/B) SAR]]+TABL12[[#This Row],[ (S/S) SAR]]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 (S/S) SAR]]-TABL12[[#This Row],[(S/S) AJD]]</f>
        <v>25</v>
      </c>
      <c r="Q365" s="40">
        <v>435</v>
      </c>
      <c r="R365" s="9">
        <f>TABL12[[#This Row],[ (T/B) SAR]]-TABL12[[#This Row],[(T/B) AJD]]</f>
        <v>50</v>
      </c>
      <c r="S365" s="9">
        <f>TABL12[[#This Row],[S/S_CON.]]+TABL12[[#This Row],[T/B-CON.]]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TABL12[[#This Row],[( S/S+T/B) AJD]]-(TABL12[[#This Row],[(A/B + A/S) AJD]]+TABL12[[#This Row],[(STORGE DIFF.) AJD]]+(TABL12[[#This Row],[AJD_Evaporation]]))</f>
        <v>-679.971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Row],[(A/B) AJD]]-TABL12[[#This Row],[BER_IN]]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Row],[(A/S) AJD]]-TABL12[[#This Row],[SER_IN]]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 (T/B) SAR]]+TABL12[[#This Row],[ (S/S) SAR]]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 (S/S) SAR]]-TABL12[[#This Row],[(S/S) AJD]]</f>
        <v>17</v>
      </c>
      <c r="Q366" s="39">
        <v>444</v>
      </c>
      <c r="R366" s="19">
        <f>TABL12[[#This Row],[ (T/B) SAR]]-TABL12[[#This Row],[(T/B) AJD]]</f>
        <v>38</v>
      </c>
      <c r="S366" s="19">
        <f>TABL12[[#This Row],[S/S_CON.]]+TABL12[[#This Row],[T/B-CON.]]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TABL12[[#This Row],[( S/S+T/B) AJD]]-(TABL12[[#This Row],[(A/B + A/S) AJD]]+TABL12[[#This Row],[(STORGE DIFF.) AJD]]+(TABL12[[#This Row],[AJD_Evaporation]]))</f>
        <v>-935.73299999999995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Row],[(A/B) AJD]]-TABL12[[#This Row],[BER_IN]]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Row],[(A/S) AJD]]-TABL12[[#This Row],[SER_IN]]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TABL12[A/B_CON.]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opLeftCell="AE1" zoomScaleNormal="100" workbookViewId="0">
      <selection activeCell="AR13" sqref="AR13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2.12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 (T/B) SAR]]+TABL123[[#This Row],[ (S/S) SAR]]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 (S/S) SAR]]-TABL123[[#This Row],[(S/S) AJD]]</f>
        <v>30</v>
      </c>
      <c r="Q2" s="39">
        <v>432</v>
      </c>
      <c r="R2" s="3">
        <f>TABL123[[#This Row],[ (T/B) SAR]]-TABL123[[#This Row],[(T/B) AJD]]</f>
        <v>51</v>
      </c>
      <c r="S2" s="3">
        <f>TABL123[[#This Row],[T/B-CON.]]+TABL123[[#This Row],[S/S_CON.]]</f>
        <v>81</v>
      </c>
      <c r="T2" s="3">
        <f>TABL123[[#This Row],[(S/S) AJD]]+TABL123[[#This Row],[(T/B) AJD]]</f>
        <v>866</v>
      </c>
      <c r="U2" s="41">
        <v>586</v>
      </c>
      <c r="V2" s="41">
        <v>240</v>
      </c>
      <c r="W2" s="3">
        <f>TABL123[[#This Row],[(A/B) AJD]]+TABL123[[#This Row],[(A/S)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(Z2-'my_job - 2025'!Z366)/1000</f>
        <v>-4.173</v>
      </c>
      <c r="AC2" s="43">
        <v>0</v>
      </c>
      <c r="AD2" s="84">
        <f>TABL123[[#This Row],[( S/S+T/B) AJD]]-(TABL123[[#This Row],[(A/B + A/S) AJD]]+TABL123[[#This Row],[(STORGE DIFF.) AJD]]+(TABL123[[#This Row],[AJD_Evaporation]])/1000)</f>
        <v>44.173000000000002</v>
      </c>
      <c r="AE2" s="81">
        <v>143</v>
      </c>
      <c r="AF2" s="81">
        <v>57.936999999999998</v>
      </c>
      <c r="AG2" s="81">
        <v>926425</v>
      </c>
      <c r="AH2" s="43">
        <v>755</v>
      </c>
      <c r="AI2" s="43">
        <v>755</v>
      </c>
      <c r="AJ2" s="79">
        <f>TABL123[[#This Row],[(A/B) AJD]]-TABL123[[#This Row],[BER_IN]]</f>
        <v>443</v>
      </c>
      <c r="AK2" s="81">
        <v>22</v>
      </c>
      <c r="AL2" s="88">
        <v>42.743899999999996</v>
      </c>
      <c r="AM2" s="88">
        <v>2969930</v>
      </c>
      <c r="AN2" s="88">
        <f>TABL123[[#This Row],[ (RESV. STORGE) SER]]/10</f>
        <v>296993</v>
      </c>
      <c r="AO2" s="43">
        <v>1720</v>
      </c>
      <c r="AP2" s="32">
        <f>TABL123[[#This Row],[(A/S) AJD]]-TABL123[[#This Row],[SER_IN]]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 (T/B) SAR]]+TABL123[[#This Row],[ (S/S) SAR]]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 (S/S) SAR]]-TABL123[[#This Row],[(S/S) AJD]]</f>
        <v>25</v>
      </c>
      <c r="Q3" s="40">
        <v>437</v>
      </c>
      <c r="R3" s="3">
        <f>TABL123[[#This Row],[ (T/B) SAR]]-TABL123[[#This Row],[(T/B) AJD]]</f>
        <v>43</v>
      </c>
      <c r="S3" s="3">
        <f>TABL123[[#This Row],[T/B-CON.]]+TABL123[[#This Row],[S/S_CON.]]</f>
        <v>68</v>
      </c>
      <c r="T3" s="3">
        <f>TABL123[[#This Row],[(S/S) AJD]]+TABL123[[#This Row],[(T/B) AJD]]</f>
        <v>875</v>
      </c>
      <c r="U3" s="44">
        <v>587</v>
      </c>
      <c r="V3" s="44">
        <v>262</v>
      </c>
      <c r="W3" s="3">
        <f>TABL123[[#This Row],[(A/B) AJD]]+TABL123[[#This Row],[(A/S)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IF(TRIM(Z3)="",,(Z3-Z2)/1000)</f>
        <v>11.914</v>
      </c>
      <c r="AC3" s="45">
        <v>0</v>
      </c>
      <c r="AD3" s="83">
        <f>TABL123[[#This Row],[( S/S+T/B) AJD]]-(TABL123[[#This Row],[(A/B + A/S) AJD]]+TABL123[[#This Row],[(STORGE DIFF.) AJD]]+(TABL123[[#This Row],[AJD_Evaporation]])/1000)</f>
        <v>14.086000000000013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8">
        <f>TABL123[[#This Row],[(A/B) AJD]]-TABL123[[#This Row],[BER_IN]]</f>
        <v>437</v>
      </c>
      <c r="AK3" s="68">
        <v>23</v>
      </c>
      <c r="AL3" s="87">
        <v>42.754899999999999</v>
      </c>
      <c r="AM3" s="87">
        <v>2975860</v>
      </c>
      <c r="AN3" s="87">
        <f>TABL123[[#This Row],[ (RESV. STORGE) SER]]/10</f>
        <v>297586</v>
      </c>
      <c r="AO3" s="45">
        <v>1680</v>
      </c>
      <c r="AP3" s="32">
        <f>TABL123[[#This Row],[(A/S) AJD]]-TABL123[[#This Row],[SER_IN]]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 (T/B) SAR]]+TABL123[[#This Row],[ (S/S) SAR]]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 (S/S) SAR]]-TABL123[[#This Row],[(S/S) AJD]]</f>
        <v>24</v>
      </c>
      <c r="Q4" s="39">
        <v>438</v>
      </c>
      <c r="R4" s="3">
        <f>TABL123[[#This Row],[ (T/B) SAR]]-TABL123[[#This Row],[(T/B) AJD]]</f>
        <v>44</v>
      </c>
      <c r="S4" s="3">
        <f>TABL123[[#This Row],[T/B-CON.]]+TABL123[[#This Row],[S/S_CON.]]</f>
        <v>68</v>
      </c>
      <c r="T4" s="3">
        <f>TABL123[[#This Row],[(S/S) AJD]]+TABL123[[#This Row],[(T/B) AJD]]</f>
        <v>876</v>
      </c>
      <c r="U4" s="41">
        <v>589</v>
      </c>
      <c r="V4" s="41">
        <v>279</v>
      </c>
      <c r="W4" s="3">
        <f>TABL123[[#This Row],[(A/B) AJD]]+TABL123[[#This Row],[(A/S)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>IF(TRIM(Z4)="",,(Z4-Z3)/1000)</f>
        <v>-16.681000000000001</v>
      </c>
      <c r="AC4" s="43">
        <v>859</v>
      </c>
      <c r="AD4" s="83">
        <f>TABL123[[#This Row],[( S/S+T/B) AJD]]-(TABL123[[#This Row],[(A/B + A/S) AJD]]+TABL123[[#This Row],[(STORGE DIFF.) AJD]]+(TABL123[[#This Row],[AJD_Evaporation]])/1000)</f>
        <v>23.822000000000003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8">
        <f>TABL123[[#This Row],[(A/B) AJD]]-TABL123[[#This Row],[BER_IN]]</f>
        <v>423</v>
      </c>
      <c r="AK4" s="68">
        <v>22</v>
      </c>
      <c r="AL4" s="87">
        <v>42.766500000000001</v>
      </c>
      <c r="AM4" s="87">
        <v>2982330</v>
      </c>
      <c r="AN4" s="87">
        <f>TABL123[[#This Row],[ (RESV. STORGE) SER]]/10</f>
        <v>298233</v>
      </c>
      <c r="AO4" s="43">
        <v>1520</v>
      </c>
      <c r="AP4" s="32">
        <f>TABL123[[#This Row],[(A/S) AJD]]-TABL123[[#This Row],[SER_IN]]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 (T/B) SAR]]+TABL123[[#This Row],[ (S/S) SAR]]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 (S/S) SAR]]-TABL123[[#This Row],[(S/S) AJD]]</f>
        <v>25</v>
      </c>
      <c r="Q5" s="40">
        <v>437</v>
      </c>
      <c r="R5" s="3">
        <f>TABL123[[#This Row],[ (T/B) SAR]]-TABL123[[#This Row],[(T/B) AJD]]</f>
        <v>45</v>
      </c>
      <c r="S5" s="3">
        <f>TABL123[[#This Row],[T/B-CON.]]+TABL123[[#This Row],[S/S_CON.]]</f>
        <v>70</v>
      </c>
      <c r="T5" s="3">
        <f>TABL123[[#This Row],[(S/S) AJD]]+TABL123[[#This Row],[(T/B) AJD]]</f>
        <v>874</v>
      </c>
      <c r="U5" s="44">
        <v>592</v>
      </c>
      <c r="V5" s="44">
        <v>239</v>
      </c>
      <c r="W5" s="3">
        <f>TABL123[[#This Row],[(A/B) AJD]]+TABL123[[#This Row],[(A/S)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ref="AB4:AB67" si="1">IF(TRIM(Z5)="",,(Z5-Z4)/1000)</f>
        <v>16.681000000000001</v>
      </c>
      <c r="AC5" s="45">
        <v>726</v>
      </c>
      <c r="AD5" s="83">
        <f>TABL123[[#This Row],[( S/S+T/B) AJD]]-(TABL123[[#This Row],[(A/B + A/S) AJD]]+TABL123[[#This Row],[(STORGE DIFF.) AJD]]+(TABL123[[#This Row],[AJD_Evaporation]])/1000)</f>
        <v>25.592999999999961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8">
        <f>TABL123[[#This Row],[(A/B) AJD]]-TABL123[[#This Row],[BER_IN]]</f>
        <v>425</v>
      </c>
      <c r="AK5" s="68">
        <v>23</v>
      </c>
      <c r="AL5" s="87">
        <v>42.758200000000002</v>
      </c>
      <c r="AM5" s="87">
        <v>2977470</v>
      </c>
      <c r="AN5" s="87">
        <f>TABL123[[#This Row],[ (RESV. STORGE) SER]]/10</f>
        <v>297747</v>
      </c>
      <c r="AO5" s="45">
        <v>1600</v>
      </c>
      <c r="AP5" s="32">
        <f>TABL123[[#This Row],[(A/S) AJD]]-TABL123[[#This Row],[SER_IN]]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 (T/B) SAR]]+TABL123[[#This Row],[ (S/S) SAR]]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 (S/S) SAR]]-TABL123[[#This Row],[(S/S) AJD]]</f>
        <v>24</v>
      </c>
      <c r="Q6" s="39">
        <v>437</v>
      </c>
      <c r="R6" s="3">
        <f>TABL123[[#This Row],[ (T/B) SAR]]-TABL123[[#This Row],[(T/B) AJD]]</f>
        <v>45</v>
      </c>
      <c r="S6" s="3">
        <f>TABL123[[#This Row],[T/B-CON.]]+TABL123[[#This Row],[S/S_CON.]]</f>
        <v>69</v>
      </c>
      <c r="T6" s="3">
        <f>TABL123[[#This Row],[(S/S) AJD]]+TABL123[[#This Row],[(T/B) AJD]]</f>
        <v>875</v>
      </c>
      <c r="U6" s="41">
        <v>592</v>
      </c>
      <c r="V6" s="41">
        <v>239</v>
      </c>
      <c r="W6" s="3">
        <f>TABL123[[#This Row],[(A/B) AJD]]+TABL123[[#This Row],[(A/S)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3">
        <f>TABL123[[#This Row],[( S/S+T/B) AJD]]-(TABL123[[#This Row],[(A/B + A/S) AJD]]+TABL123[[#This Row],[(STORGE DIFF.) AJD]]+(TABL123[[#This Row],[AJD_Evaporation]])/1000)</f>
        <v>25.77800000000002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8">
        <f>TABL123[[#This Row],[(A/B) AJD]]-TABL123[[#This Row],[BER_IN]]</f>
        <v>426</v>
      </c>
      <c r="AK6" s="68">
        <v>23</v>
      </c>
      <c r="AL6" s="87">
        <v>42.7746</v>
      </c>
      <c r="AM6" s="87">
        <v>2989940</v>
      </c>
      <c r="AN6" s="87">
        <f>TABL123[[#This Row],[ (RESV. STORGE) SER]]/10</f>
        <v>298994</v>
      </c>
      <c r="AO6" s="43">
        <v>1580</v>
      </c>
      <c r="AP6" s="32">
        <f>TABL123[[#This Row],[(A/S) AJD]]-TABL123[[#This Row],[SER_IN]]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 (T/B) SAR]]+TABL123[[#This Row],[ (S/S) SAR]]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 (S/S) SAR]]-TABL123[[#This Row],[(S/S) AJD]]</f>
        <v>-99</v>
      </c>
      <c r="Q7" s="40">
        <v>428</v>
      </c>
      <c r="R7" s="3">
        <f>TABL123[[#This Row],[ (T/B) SAR]]-TABL123[[#This Row],[(T/B) AJD]]</f>
        <v>-85</v>
      </c>
      <c r="S7" s="3">
        <f>TABL123[[#This Row],[T/B-CON.]]+TABL123[[#This Row],[S/S_CON.]]</f>
        <v>-184</v>
      </c>
      <c r="T7" s="3">
        <f>TABL123[[#This Row],[(S/S) AJD]]+TABL123[[#This Row],[(T/B) AJD]]</f>
        <v>857</v>
      </c>
      <c r="U7" s="44">
        <v>225</v>
      </c>
      <c r="V7" s="44">
        <v>317</v>
      </c>
      <c r="W7" s="3">
        <f>TABL123[[#This Row],[(A/B) AJD]]+TABL123[[#This Row],[(A/S)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3">
        <f>TABL123[[#This Row],[( S/S+T/B) AJD]]-(TABL123[[#This Row],[(A/B + A/S) AJD]]+TABL123[[#This Row],[(STORGE DIFF.) AJD]]+(TABL123[[#This Row],[AJD_Evaporation]])/1000)</f>
        <v>31.118000000000052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8">
        <f>TABL123[[#This Row],[(A/B) AJD]]-TABL123[[#This Row],[BER_IN]]</f>
        <v>205</v>
      </c>
      <c r="AK7" s="68">
        <v>78</v>
      </c>
      <c r="AL7" s="87">
        <v>42.881599999999999</v>
      </c>
      <c r="AM7" s="87">
        <v>3044400</v>
      </c>
      <c r="AN7" s="87">
        <f>TABL123[[#This Row],[ (RESV. STORGE) SER]]/10</f>
        <v>304440</v>
      </c>
      <c r="AO7" s="45">
        <v>1630</v>
      </c>
      <c r="AP7" s="32">
        <f>TABL123[[#This Row],[(A/S) AJD]]-TABL123[[#This Row],[SER_IN]]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 (T/B) SAR]]+TABL123[[#This Row],[ (S/S) SAR]]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 (S/S) SAR]]-TABL123[[#This Row],[(S/S) AJD]]</f>
        <v>2</v>
      </c>
      <c r="Q8" s="39">
        <v>331</v>
      </c>
      <c r="R8" s="3">
        <f>TABL123[[#This Row],[ (T/B) SAR]]-TABL123[[#This Row],[(T/B) AJD]]</f>
        <v>12</v>
      </c>
      <c r="S8" s="3">
        <f>TABL123[[#This Row],[T/B-CON.]]+TABL123[[#This Row],[S/S_CON.]]</f>
        <v>14</v>
      </c>
      <c r="T8" s="3">
        <f>TABL123[[#This Row],[(S/S) AJD]]+TABL123[[#This Row],[(T/B) AJD]]</f>
        <v>659</v>
      </c>
      <c r="U8" s="41">
        <v>150</v>
      </c>
      <c r="V8" s="41">
        <v>386</v>
      </c>
      <c r="W8" s="3">
        <f>TABL123[[#This Row],[(A/B) AJD]]+TABL123[[#This Row],[(A/S)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3">
        <f>TABL123[[#This Row],[( S/S+T/B) AJD]]-(TABL123[[#This Row],[(A/B + A/S) AJD]]+TABL123[[#This Row],[(STORGE DIFF.) AJD]]+(TABL123[[#This Row],[AJD_Evaporation]])/1000)</f>
        <v>73.099000000000046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8">
        <f>TABL123[[#This Row],[(A/B) AJD]]-TABL123[[#This Row],[BER_IN]]</f>
        <v>150</v>
      </c>
      <c r="AK8" s="68">
        <v>111</v>
      </c>
      <c r="AL8" s="87">
        <v>43.009500000000003</v>
      </c>
      <c r="AM8" s="87">
        <v>3113090</v>
      </c>
      <c r="AN8" s="87">
        <f>TABL123[[#This Row],[ (RESV. STORGE) SER]]/10</f>
        <v>311309</v>
      </c>
      <c r="AO8" s="43">
        <v>1645</v>
      </c>
      <c r="AP8" s="32">
        <f>TABL123[[#This Row],[(A/S) AJD]]-TABL123[[#This Row],[SER_IN]]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 (T/B) SAR]]+TABL123[[#This Row],[ (S/S) SAR]]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 (S/S) SAR]]-TABL123[[#This Row],[(S/S) AJD]]</f>
        <v>20</v>
      </c>
      <c r="Q9" s="40">
        <v>307</v>
      </c>
      <c r="R9" s="3">
        <f>TABL123[[#This Row],[ (T/B) SAR]]-TABL123[[#This Row],[(T/B) AJD]]</f>
        <v>34</v>
      </c>
      <c r="S9" s="3">
        <f>TABL123[[#This Row],[T/B-CON.]]+TABL123[[#This Row],[S/S_CON.]]</f>
        <v>54</v>
      </c>
      <c r="T9" s="3">
        <f>TABL123[[#This Row],[(S/S) AJD]]+TABL123[[#This Row],[(T/B) AJD]]</f>
        <v>616</v>
      </c>
      <c r="U9" s="44">
        <v>149</v>
      </c>
      <c r="V9" s="44">
        <v>397</v>
      </c>
      <c r="W9" s="3">
        <f>TABL123[[#This Row],[(A/B) AJD]]+TABL123[[#This Row],[(A/S)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3">
        <f>TABL123[[#This Row],[( S/S+T/B) AJD]]-(TABL123[[#This Row],[(A/B + A/S) AJD]]+TABL123[[#This Row],[(STORGE DIFF.) AJD]]+(TABL123[[#This Row],[AJD_Evaporation]])/1000)</f>
        <v>25.884000000000015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8">
        <f>TABL123[[#This Row],[(A/B) AJD]]-TABL123[[#This Row],[BER_IN]]</f>
        <v>149</v>
      </c>
      <c r="AK9" s="68">
        <v>111</v>
      </c>
      <c r="AL9" s="87">
        <v>43.088099999999997</v>
      </c>
      <c r="AM9" s="87">
        <v>3155860</v>
      </c>
      <c r="AN9" s="87">
        <f>TABL123[[#This Row],[ (RESV. STORGE) SER]]/10</f>
        <v>315586</v>
      </c>
      <c r="AO9" s="45">
        <v>1665</v>
      </c>
      <c r="AP9" s="32">
        <f>TABL123[[#This Row],[(A/S) AJD]]-TABL123[[#This Row],[SER_IN]]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 (T/B) SAR]]+TABL123[[#This Row],[ (S/S) SAR]]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 (S/S) SAR]]-TABL123[[#This Row],[(S/S) AJD]]</f>
        <v>1</v>
      </c>
      <c r="Q10" s="39">
        <v>304</v>
      </c>
      <c r="R10" s="3">
        <f>TABL123[[#This Row],[ (T/B) SAR]]-TABL123[[#This Row],[(T/B) AJD]]</f>
        <v>13</v>
      </c>
      <c r="S10" s="3">
        <f>TABL123[[#This Row],[T/B-CON.]]+TABL123[[#This Row],[S/S_CON.]]</f>
        <v>14</v>
      </c>
      <c r="T10" s="3">
        <f>TABL123[[#This Row],[(S/S) AJD]]+TABL123[[#This Row],[(T/B) AJD]]</f>
        <v>610</v>
      </c>
      <c r="U10" s="41">
        <v>149</v>
      </c>
      <c r="V10" s="41">
        <v>422</v>
      </c>
      <c r="W10" s="3">
        <f>TABL123[[#This Row],[(A/B) AJD]]+TABL123[[#This Row],[(A/S)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3">
        <f>TABL123[[#This Row],[( S/S+T/B) AJD]]-(TABL123[[#This Row],[(A/B + A/S) AJD]]+TABL123[[#This Row],[(STORGE DIFF.) AJD]]+(TABL123[[#This Row],[AJD_Evaporation]])/1000)</f>
        <v>42.374000000000024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8">
        <f>TABL123[[#This Row],[(A/B) AJD]]-TABL123[[#This Row],[BER_IN]]</f>
        <v>149</v>
      </c>
      <c r="AK10" s="68">
        <v>109</v>
      </c>
      <c r="AL10" s="87">
        <v>43.087800000000001</v>
      </c>
      <c r="AM10" s="87">
        <v>3156470</v>
      </c>
      <c r="AN10" s="87">
        <f>TABL123[[#This Row],[ (RESV. STORGE) SER]]/10</f>
        <v>315647</v>
      </c>
      <c r="AO10" s="43">
        <v>1630</v>
      </c>
      <c r="AP10" s="32">
        <f>TABL123[[#This Row],[(A/S) AJD]]-TABL123[[#This Row],[SER_IN]]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 (T/B) SAR]]+TABL123[[#This Row],[ (S/S) SAR]]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 (S/S) SAR]]-TABL123[[#This Row],[(S/S) AJD]]</f>
        <v>14</v>
      </c>
      <c r="Q11" s="40">
        <v>289</v>
      </c>
      <c r="R11" s="3">
        <f>TABL123[[#This Row],[ (T/B) SAR]]-TABL123[[#This Row],[(T/B) AJD]]</f>
        <v>26</v>
      </c>
      <c r="S11" s="3">
        <f>TABL123[[#This Row],[T/B-CON.]]+TABL123[[#This Row],[S/S_CON.]]</f>
        <v>40</v>
      </c>
      <c r="T11" s="3">
        <f>TABL123[[#This Row],[(S/S) AJD]]+TABL123[[#This Row],[(T/B) AJD]]</f>
        <v>581</v>
      </c>
      <c r="U11" s="44">
        <v>148</v>
      </c>
      <c r="V11" s="44">
        <v>409</v>
      </c>
      <c r="W11" s="3">
        <f>TABL123[[#This Row],[(A/B) AJD]]+TABL123[[#This Row],[(A/S)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3">
        <f>TABL123[[#This Row],[( S/S+T/B) AJD]]-(TABL123[[#This Row],[(A/B + A/S) AJD]]+TABL123[[#This Row],[(STORGE DIFF.) AJD]]+(TABL123[[#This Row],[AJD_Evaporation]])/1000)</f>
        <v>29.166000000000054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8">
        <f>TABL123[[#This Row],[(A/B) AJD]]-TABL123[[#This Row],[BER_IN]]</f>
        <v>148</v>
      </c>
      <c r="AK11" s="68">
        <v>110</v>
      </c>
      <c r="AL11" s="87">
        <v>43.119100000000003</v>
      </c>
      <c r="AM11" s="87">
        <v>3172270</v>
      </c>
      <c r="AN11" s="87">
        <f>TABL123[[#This Row],[ (RESV. STORGE) SER]]/10</f>
        <v>317227</v>
      </c>
      <c r="AO11" s="45">
        <v>1420</v>
      </c>
      <c r="AP11" s="32">
        <f>TABL123[[#This Row],[(A/S) AJD]]-TABL123[[#This Row],[SER_IN]]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 (T/B) SAR]]+TABL123[[#This Row],[ (S/S) SAR]]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 (S/S) SAR]]-TABL123[[#This Row],[(S/S) AJD]]</f>
        <v>7</v>
      </c>
      <c r="Q12" s="39">
        <v>280</v>
      </c>
      <c r="R12" s="3">
        <f>TABL123[[#This Row],[ (T/B) SAR]]-TABL123[[#This Row],[(T/B) AJD]]</f>
        <v>26</v>
      </c>
      <c r="S12" s="3">
        <f>TABL123[[#This Row],[T/B-CON.]]+TABL123[[#This Row],[S/S_CON.]]</f>
        <v>33</v>
      </c>
      <c r="T12" s="3">
        <f>TABL123[[#This Row],[(S/S) AJD]]+TABL123[[#This Row],[(T/B) AJD]]</f>
        <v>563</v>
      </c>
      <c r="U12" s="41">
        <v>148</v>
      </c>
      <c r="V12" s="41">
        <v>371</v>
      </c>
      <c r="W12" s="3">
        <f>TABL123[[#This Row],[(A/B) AJD]]+TABL123[[#This Row],[(A/S)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3">
        <f>TABL123[[#This Row],[( S/S+T/B) AJD]]-(TABL123[[#This Row],[(A/B + A/S) AJD]]+TABL123[[#This Row],[(STORGE DIFF.) AJD]]+(TABL123[[#This Row],[AJD_Evaporation]])/1000)</f>
        <v>40.995999999999981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8">
        <f>TABL123[[#This Row],[(A/B) AJD]]-TABL123[[#This Row],[BER_IN]]</f>
        <v>148</v>
      </c>
      <c r="AK12" s="68">
        <v>112</v>
      </c>
      <c r="AL12" s="87">
        <v>43.129600000000003</v>
      </c>
      <c r="AM12" s="87">
        <v>3178100</v>
      </c>
      <c r="AN12" s="87">
        <f>TABL123[[#This Row],[ (RESV. STORGE) SER]]/10</f>
        <v>317810</v>
      </c>
      <c r="AO12" s="43">
        <v>1453</v>
      </c>
      <c r="AP12" s="32">
        <f>TABL123[[#This Row],[(A/S) AJD]]-TABL123[[#This Row],[SER_IN]]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 (T/B) SAR]]+TABL123[[#This Row],[ (S/S) SAR]]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 (S/S) SAR]]-TABL123[[#This Row],[(S/S) AJD]]</f>
        <v>9</v>
      </c>
      <c r="Q13" s="40">
        <v>269</v>
      </c>
      <c r="R13" s="3">
        <f>TABL123[[#This Row],[ (T/B) SAR]]-TABL123[[#This Row],[(T/B) AJD]]</f>
        <v>31</v>
      </c>
      <c r="S13" s="3">
        <f>TABL123[[#This Row],[T/B-CON.]]+TABL123[[#This Row],[S/S_CON.]]</f>
        <v>40</v>
      </c>
      <c r="T13" s="3">
        <f>TABL123[[#This Row],[(S/S) AJD]]+TABL123[[#This Row],[(T/B) AJD]]</f>
        <v>543</v>
      </c>
      <c r="U13" s="44">
        <v>147</v>
      </c>
      <c r="V13" s="44">
        <v>370</v>
      </c>
      <c r="W13" s="3">
        <f>TABL123[[#This Row],[(A/B) AJD]]+TABL123[[#This Row],[(A/S)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3">
        <f>TABL123[[#This Row],[( S/S+T/B) AJD]]-(TABL123[[#This Row],[(A/B + A/S) AJD]]+TABL123[[#This Row],[(STORGE DIFF.) AJD]]+(TABL123[[#This Row],[AJD_Evaporation]])/1000)</f>
        <v>37.019999999999982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8">
        <f>TABL123[[#This Row],[(A/B) AJD]]-TABL123[[#This Row],[BER_IN]]</f>
        <v>147</v>
      </c>
      <c r="AK13" s="68">
        <v>119</v>
      </c>
      <c r="AL13" s="87">
        <v>43.183799999999998</v>
      </c>
      <c r="AM13" s="87">
        <v>3207490</v>
      </c>
      <c r="AN13" s="87">
        <f>TABL123[[#This Row],[ (RESV. STORGE) SER]]/10</f>
        <v>320749</v>
      </c>
      <c r="AO13" s="45">
        <v>1447</v>
      </c>
      <c r="AP13" s="32">
        <f>TABL123[[#This Row],[(A/S) AJD]]-TABL123[[#This Row],[SER_IN]]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 (T/B) SAR]]+TABL123[[#This Row],[ (S/S) SAR]]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 (S/S) SAR]]-TABL123[[#This Row],[(S/S) AJD]]</f>
        <v>28</v>
      </c>
      <c r="Q14" s="39">
        <v>261</v>
      </c>
      <c r="R14" s="3">
        <f>TABL123[[#This Row],[ (T/B) SAR]]-TABL123[[#This Row],[(T/B) AJD]]</f>
        <v>16</v>
      </c>
      <c r="S14" s="3">
        <f>TABL123[[#This Row],[T/B-CON.]]+TABL123[[#This Row],[S/S_CON.]]</f>
        <v>44</v>
      </c>
      <c r="T14" s="3">
        <f>TABL123[[#This Row],[(S/S) AJD]]+TABL123[[#This Row],[(T/B) AJD]]</f>
        <v>547</v>
      </c>
      <c r="U14" s="41">
        <v>147</v>
      </c>
      <c r="V14" s="41">
        <v>380</v>
      </c>
      <c r="W14" s="3">
        <f>TABL123[[#This Row],[(A/B) AJD]]+TABL123[[#This Row],[(A/S)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3">
        <f>TABL123[[#This Row],[( S/S+T/B) AJD]]-(TABL123[[#This Row],[(A/B + A/S) AJD]]+TABL123[[#This Row],[(STORGE DIFF.) AJD]]+(TABL123[[#This Row],[AJD_Evaporation]])/1000)</f>
        <v>67.855000000000018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8">
        <f>TABL123[[#This Row],[(A/B) AJD]]-TABL123[[#This Row],[BER_IN]]</f>
        <v>147</v>
      </c>
      <c r="AK14" s="68">
        <v>121</v>
      </c>
      <c r="AL14" s="87">
        <v>43.333199999999998</v>
      </c>
      <c r="AM14" s="87">
        <v>3288850</v>
      </c>
      <c r="AN14" s="87">
        <f>TABL123[[#This Row],[ (RESV. STORGE) SER]]/10</f>
        <v>328885</v>
      </c>
      <c r="AO14" s="43">
        <v>1460</v>
      </c>
      <c r="AP14" s="32">
        <f>TABL123[[#This Row],[(A/S) AJD]]-TABL123[[#This Row],[SER_IN]]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 (T/B) SAR]]+TABL123[[#This Row],[ (S/S) SAR]]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 (S/S) SAR]]-TABL123[[#This Row],[(S/S) AJD]]</f>
        <v>25</v>
      </c>
      <c r="Q15" s="40">
        <v>246</v>
      </c>
      <c r="R15" s="3">
        <f>TABL123[[#This Row],[ (T/B) SAR]]-TABL123[[#This Row],[(T/B) AJD]]</f>
        <v>29</v>
      </c>
      <c r="S15" s="3">
        <f>TABL123[[#This Row],[T/B-CON.]]+TABL123[[#This Row],[S/S_CON.]]</f>
        <v>54</v>
      </c>
      <c r="T15" s="3">
        <f>TABL123[[#This Row],[(S/S) AJD]]+TABL123[[#This Row],[(T/B) AJD]]</f>
        <v>534</v>
      </c>
      <c r="U15" s="44">
        <v>148</v>
      </c>
      <c r="V15" s="44">
        <v>378</v>
      </c>
      <c r="W15" s="3">
        <f>TABL123[[#This Row],[(A/B) AJD]]+TABL123[[#This Row],[(A/S)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3">
        <f>TABL123[[#This Row],[( S/S+T/B) AJD]]-(TABL123[[#This Row],[(A/B + A/S) AJD]]+TABL123[[#This Row],[(STORGE DIFF.) AJD]]+(TABL123[[#This Row],[AJD_Evaporation]])/1000)</f>
        <v>50.579999999999984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8">
        <f>TABL123[[#This Row],[(A/B) AJD]]-TABL123[[#This Row],[BER_IN]]</f>
        <v>148</v>
      </c>
      <c r="AK15" s="68">
        <v>119</v>
      </c>
      <c r="AL15" s="87">
        <v>43.494</v>
      </c>
      <c r="AM15" s="87">
        <v>3376500</v>
      </c>
      <c r="AN15" s="87">
        <f>TABL123[[#This Row],[ (RESV. STORGE) SER]]/10</f>
        <v>337650</v>
      </c>
      <c r="AO15" s="45">
        <v>1470</v>
      </c>
      <c r="AP15" s="32">
        <f>TABL123[[#This Row],[(A/S) AJD]]-TABL123[[#This Row],[SER_IN]]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 (T/B) SAR]]+TABL123[[#This Row],[ (S/S) SAR]]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 (S/S) SAR]]-TABL123[[#This Row],[(S/S) AJD]]</f>
        <v>25</v>
      </c>
      <c r="Q16" s="39">
        <v>237</v>
      </c>
      <c r="R16" s="3">
        <f>TABL123[[#This Row],[ (T/B) SAR]]-TABL123[[#This Row],[(T/B) AJD]]</f>
        <v>40</v>
      </c>
      <c r="S16" s="3">
        <f>TABL123[[#This Row],[T/B-CON.]]+TABL123[[#This Row],[S/S_CON.]]</f>
        <v>65</v>
      </c>
      <c r="T16" s="3">
        <f>TABL123[[#This Row],[(S/S) AJD]]+TABL123[[#This Row],[(T/B) AJD]]</f>
        <v>525</v>
      </c>
      <c r="U16" s="41">
        <v>149</v>
      </c>
      <c r="V16" s="41">
        <v>378</v>
      </c>
      <c r="W16" s="3">
        <f>TABL123[[#This Row],[(A/B) AJD]]+TABL123[[#This Row],[(A/S)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3">
        <f>TABL123[[#This Row],[( S/S+T/B) AJD]]-(TABL123[[#This Row],[(A/B + A/S) AJD]]+TABL123[[#This Row],[(STORGE DIFF.) AJD]]+(TABL123[[#This Row],[AJD_Evaporation]])/1000)</f>
        <v>34.548000000000002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8">
        <f>TABL123[[#This Row],[(A/B) AJD]]-TABL123[[#This Row],[BER_IN]]</f>
        <v>149</v>
      </c>
      <c r="AK16" s="68">
        <v>119</v>
      </c>
      <c r="AL16" s="87">
        <v>43.677399999999999</v>
      </c>
      <c r="AM16" s="87">
        <v>3476370</v>
      </c>
      <c r="AN16" s="87">
        <f>TABL123[[#This Row],[ (RESV. STORGE) SER]]/10</f>
        <v>347637</v>
      </c>
      <c r="AO16" s="43">
        <v>1483</v>
      </c>
      <c r="AP16" s="32">
        <f>TABL123[[#This Row],[(A/S) AJD]]-TABL123[[#This Row],[SER_IN]]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 (T/B) SAR]]+TABL123[[#This Row],[ (S/S) SAR]]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 (S/S) SAR]]-TABL123[[#This Row],[(S/S) AJD]]</f>
        <v>2</v>
      </c>
      <c r="Q17" s="40">
        <v>240</v>
      </c>
      <c r="R17" s="3">
        <f>TABL123[[#This Row],[ (T/B) SAR]]-TABL123[[#This Row],[(T/B) AJD]]</f>
        <v>62</v>
      </c>
      <c r="S17" s="3">
        <f>TABL123[[#This Row],[T/B-CON.]]+TABL123[[#This Row],[S/S_CON.]]</f>
        <v>64</v>
      </c>
      <c r="T17" s="3">
        <f>TABL123[[#This Row],[(S/S) AJD]]+TABL123[[#This Row],[(T/B) AJD]]</f>
        <v>527</v>
      </c>
      <c r="U17" s="44">
        <v>151</v>
      </c>
      <c r="V17" s="44">
        <v>395</v>
      </c>
      <c r="W17" s="3">
        <f>TABL123[[#This Row],[(A/B) AJD]]+TABL123[[#This Row],[(A/S)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3">
        <f>TABL123[[#This Row],[( S/S+T/B) AJD]]-(TABL123[[#This Row],[(A/B + A/S) AJD]]+TABL123[[#This Row],[(STORGE DIFF.) AJD]]+(TABL123[[#This Row],[AJD_Evaporation]])/1000)</f>
        <v>31.906000000000006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8">
        <f>TABL123[[#This Row],[(A/B) AJD]]-TABL123[[#This Row],[BER_IN]]</f>
        <v>151</v>
      </c>
      <c r="AK17" s="68">
        <v>118</v>
      </c>
      <c r="AL17" s="87">
        <v>43.8536</v>
      </c>
      <c r="AM17" s="87">
        <v>3573210</v>
      </c>
      <c r="AN17" s="87">
        <f>TABL123[[#This Row],[ (RESV. STORGE) SER]]/10</f>
        <v>357321</v>
      </c>
      <c r="AO17" s="45">
        <v>1860</v>
      </c>
      <c r="AP17" s="32">
        <f>TABL123[[#This Row],[(A/S) AJD]]-TABL123[[#This Row],[SER_IN]]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 (T/B) SAR]]+TABL123[[#This Row],[ (S/S) SAR]]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 (S/S) SAR]]-TABL123[[#This Row],[(S/S) AJD]]</f>
        <v>125</v>
      </c>
      <c r="Q18" s="39">
        <v>281</v>
      </c>
      <c r="R18" s="3">
        <f>TABL123[[#This Row],[ (T/B) SAR]]-TABL123[[#This Row],[(T/B) AJD]]</f>
        <v>113</v>
      </c>
      <c r="S18" s="3">
        <f>TABL123[[#This Row],[T/B-CON.]]+TABL123[[#This Row],[S/S_CON.]]</f>
        <v>238</v>
      </c>
      <c r="T18" s="3">
        <f>TABL123[[#This Row],[(S/S) AJD]]+TABL123[[#This Row],[(T/B) AJD]]</f>
        <v>545</v>
      </c>
      <c r="U18" s="41">
        <v>248</v>
      </c>
      <c r="V18" s="41">
        <v>393</v>
      </c>
      <c r="W18" s="3">
        <f>TABL123[[#This Row],[(A/B) AJD]]+TABL123[[#This Row],[(A/S)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3">
        <f>TABL123[[#This Row],[( S/S+T/B) AJD]]-(TABL123[[#This Row],[(A/B + A/S) AJD]]+TABL123[[#This Row],[(STORGE DIFF.) AJD]]+(TABL123[[#This Row],[AJD_Evaporation]])/1000)</f>
        <v>-3.1509999999999536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8">
        <f>TABL123[[#This Row],[(A/B) AJD]]-TABL123[[#This Row],[BER_IN]]</f>
        <v>248</v>
      </c>
      <c r="AK18" s="68">
        <v>117</v>
      </c>
      <c r="AL18" s="87">
        <v>44.005499999999998</v>
      </c>
      <c r="AM18" s="87">
        <v>3656590</v>
      </c>
      <c r="AN18" s="87">
        <f>TABL123[[#This Row],[ (RESV. STORGE) SER]]/10</f>
        <v>365659</v>
      </c>
      <c r="AO18" s="43">
        <v>1820</v>
      </c>
      <c r="AP18" s="32">
        <f>TABL123[[#This Row],[(A/S) AJD]]-TABL123[[#This Row],[SER_IN]]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 (T/B) SAR]]+TABL123[[#This Row],[ (S/S) SAR]]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 (S/S) SAR]]-TABL123[[#This Row],[(S/S) AJD]]</f>
        <v>62</v>
      </c>
      <c r="Q19" s="40">
        <v>255</v>
      </c>
      <c r="R19" s="3">
        <f>TABL123[[#This Row],[ (T/B) SAR]]-TABL123[[#This Row],[(T/B) AJD]]</f>
        <v>191</v>
      </c>
      <c r="S19" s="3">
        <f>TABL123[[#This Row],[T/B-CON.]]+TABL123[[#This Row],[S/S_CON.]]</f>
        <v>253</v>
      </c>
      <c r="T19" s="3">
        <f>TABL123[[#This Row],[(S/S) AJD]]+TABL123[[#This Row],[(T/B) AJD]]</f>
        <v>625</v>
      </c>
      <c r="U19" s="44">
        <v>246</v>
      </c>
      <c r="V19" s="44">
        <v>375</v>
      </c>
      <c r="W19" s="3">
        <f>TABL123[[#This Row],[(A/B) AJD]]+TABL123[[#This Row],[(A/S)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3">
        <f>TABL123[[#This Row],[( S/S+T/B) AJD]]-(TABL123[[#This Row],[(A/B + A/S) AJD]]+TABL123[[#This Row],[(STORGE DIFF.) AJD]]+(TABL123[[#This Row],[AJD_Evaporation]])/1000)</f>
        <v>-32.272000000000048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8">
        <f>TABL123[[#This Row],[(A/B) AJD]]-TABL123[[#This Row],[BER_IN]]</f>
        <v>231</v>
      </c>
      <c r="AK19" s="68">
        <v>119</v>
      </c>
      <c r="AL19" s="87">
        <v>44.167200000000001</v>
      </c>
      <c r="AM19" s="87">
        <v>3745080</v>
      </c>
      <c r="AN19" s="87">
        <f>TABL123[[#This Row],[ (RESV. STORGE) SER]]/10</f>
        <v>374508</v>
      </c>
      <c r="AO19" s="45">
        <v>1810</v>
      </c>
      <c r="AP19" s="32">
        <f>TABL123[[#This Row],[(A/S) AJD]]-TABL123[[#This Row],[SER_IN]]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 (T/B) SAR]]+TABL123[[#This Row],[ (S/S) SAR]]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 (S/S) SAR]]-TABL123[[#This Row],[(S/S) AJD]]</f>
        <v>47</v>
      </c>
      <c r="Q20" s="39">
        <v>416</v>
      </c>
      <c r="R20" s="3">
        <f>TABL123[[#This Row],[ (T/B) SAR]]-TABL123[[#This Row],[(T/B) AJD]]</f>
        <v>32</v>
      </c>
      <c r="S20" s="3">
        <f>TABL123[[#This Row],[T/B-CON.]]+TABL123[[#This Row],[S/S_CON.]]</f>
        <v>79</v>
      </c>
      <c r="T20" s="3">
        <f>TABL123[[#This Row],[(S/S) AJD]]+TABL123[[#This Row],[(T/B) AJD]]</f>
        <v>801</v>
      </c>
      <c r="U20" s="41">
        <v>461</v>
      </c>
      <c r="V20" s="41">
        <v>395</v>
      </c>
      <c r="W20" s="3">
        <f>TABL123[[#This Row],[(A/B) AJD]]+TABL123[[#This Row],[(A/S)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3">
        <f>TABL123[[#This Row],[( S/S+T/B) AJD]]-(TABL123[[#This Row],[(A/B + A/S) AJD]]+TABL123[[#This Row],[(STORGE DIFF.) AJD]]+(TABL123[[#This Row],[AJD_Evaporation]])/1000)</f>
        <v>26.83299999999997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8">
        <f>TABL123[[#This Row],[(A/B) AJD]]-TABL123[[#This Row],[BER_IN]]</f>
        <v>361</v>
      </c>
      <c r="AK20" s="68">
        <v>119</v>
      </c>
      <c r="AL20" s="87">
        <v>44.317599999999999</v>
      </c>
      <c r="AM20" s="87">
        <v>3827490</v>
      </c>
      <c r="AN20" s="87">
        <f>TABL123[[#This Row],[ (RESV. STORGE) SER]]/10</f>
        <v>382749</v>
      </c>
      <c r="AO20" s="43">
        <v>1890</v>
      </c>
      <c r="AP20" s="32">
        <f>TABL123[[#This Row],[(A/S) AJD]]-TABL123[[#This Row],[SER_IN]]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 (T/B) SAR]]+TABL123[[#This Row],[ (S/S) SAR]]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 (S/S) SAR]]-TABL123[[#This Row],[(S/S) AJD]]</f>
        <v>69</v>
      </c>
      <c r="Q21" s="40">
        <v>426</v>
      </c>
      <c r="R21" s="3">
        <f>TABL123[[#This Row],[ (T/B) SAR]]-TABL123[[#This Row],[(T/B) AJD]]</f>
        <v>53</v>
      </c>
      <c r="S21" s="3">
        <f>TABL123[[#This Row],[T/B-CON.]]+TABL123[[#This Row],[S/S_CON.]]</f>
        <v>122</v>
      </c>
      <c r="T21" s="3">
        <f>TABL123[[#This Row],[(S/S) AJD]]+TABL123[[#This Row],[(T/B) AJD]]</f>
        <v>818</v>
      </c>
      <c r="U21" s="44">
        <v>533</v>
      </c>
      <c r="V21" s="44">
        <v>384</v>
      </c>
      <c r="W21" s="3">
        <f>TABL123[[#This Row],[(A/B) AJD]]+TABL123[[#This Row],[(A/S)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3">
        <f>TABL123[[#This Row],[( S/S+T/B) AJD]]-(TABL123[[#This Row],[(A/B + A/S) AJD]]+TABL123[[#This Row],[(STORGE DIFF.) AJD]]+(TABL123[[#This Row],[AJD_Evaporation]])/1000)</f>
        <v>22.312000000000012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8">
        <f>TABL123[[#This Row],[(A/B) AJD]]-TABL123[[#This Row],[BER_IN]]</f>
        <v>448</v>
      </c>
      <c r="AK21" s="68">
        <v>119</v>
      </c>
      <c r="AL21" s="87">
        <v>44.510800000000003</v>
      </c>
      <c r="AM21" s="87">
        <v>3934870</v>
      </c>
      <c r="AN21" s="87">
        <f>TABL123[[#This Row],[ (RESV. STORGE) SER]]/10</f>
        <v>393487</v>
      </c>
      <c r="AO21" s="45">
        <v>1820</v>
      </c>
      <c r="AP21" s="32">
        <f>TABL123[[#This Row],[(A/S) AJD]]-TABL123[[#This Row],[SER_IN]]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 (T/B) SAR]]+TABL123[[#This Row],[ (S/S) SAR]]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 (S/S) SAR]]-TABL123[[#This Row],[(S/S) AJD]]</f>
        <v>43</v>
      </c>
      <c r="Q22" s="39">
        <v>447</v>
      </c>
      <c r="R22" s="3">
        <f>TABL123[[#This Row],[ (T/B) SAR]]-TABL123[[#This Row],[(T/B) AJD]]</f>
        <v>30</v>
      </c>
      <c r="S22" s="3">
        <f>TABL123[[#This Row],[T/B-CON.]]+TABL123[[#This Row],[S/S_CON.]]</f>
        <v>73</v>
      </c>
      <c r="T22" s="3">
        <f>TABL123[[#This Row],[(S/S) AJD]]+TABL123[[#This Row],[(T/B) AJD]]</f>
        <v>863</v>
      </c>
      <c r="U22" s="41">
        <v>526</v>
      </c>
      <c r="V22" s="41">
        <v>338</v>
      </c>
      <c r="W22" s="3">
        <f>TABL123[[#This Row],[(A/B) AJD]]+TABL123[[#This Row],[(A/S)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3">
        <f>TABL123[[#This Row],[( S/S+T/B) AJD]]-(TABL123[[#This Row],[(A/B + A/S) AJD]]+TABL123[[#This Row],[(STORGE DIFF.) AJD]]+(TABL123[[#This Row],[AJD_Evaporation]])/1000)</f>
        <v>40.289999999999964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8">
        <f>TABL123[[#This Row],[(A/B) AJD]]-TABL123[[#This Row],[BER_IN]]</f>
        <v>439</v>
      </c>
      <c r="AK22" s="68">
        <v>87</v>
      </c>
      <c r="AL22" s="87">
        <v>44.626600000000003</v>
      </c>
      <c r="AM22" s="87">
        <v>3998520</v>
      </c>
      <c r="AN22" s="87">
        <f>TABL123[[#This Row],[ (RESV. STORGE) SER]]/10</f>
        <v>399852</v>
      </c>
      <c r="AO22" s="43">
        <v>1850</v>
      </c>
      <c r="AP22" s="32">
        <f>TABL123[[#This Row],[(A/S) AJD]]-TABL123[[#This Row],[SER_IN]]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 (T/B) SAR]]+TABL123[[#This Row],[ (S/S) SAR]]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 (S/S) SAR]]-TABL123[[#This Row],[(S/S) AJD]]</f>
        <v>43</v>
      </c>
      <c r="Q23" s="40">
        <v>449</v>
      </c>
      <c r="R23" s="3">
        <f>TABL123[[#This Row],[ (T/B) SAR]]-TABL123[[#This Row],[(T/B) AJD]]</f>
        <v>28</v>
      </c>
      <c r="S23" s="3">
        <f>TABL123[[#This Row],[T/B-CON.]]+TABL123[[#This Row],[S/S_CON.]]</f>
        <v>71</v>
      </c>
      <c r="T23" s="3">
        <f>TABL123[[#This Row],[(S/S) AJD]]+TABL123[[#This Row],[(T/B) AJD]]</f>
        <v>864</v>
      </c>
      <c r="U23" s="44">
        <v>527</v>
      </c>
      <c r="V23" s="44">
        <v>288</v>
      </c>
      <c r="W23" s="3">
        <f>TABL123[[#This Row],[(A/B) AJD]]+TABL123[[#This Row],[(A/S)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3">
        <f>TABL123[[#This Row],[( S/S+T/B) AJD]]-(TABL123[[#This Row],[(A/B + A/S) AJD]]+TABL123[[#This Row],[(STORGE DIFF.) AJD]]+(TABL123[[#This Row],[AJD_Evaporation]])/1000)</f>
        <v>6.2549999999999955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8">
        <f>TABL123[[#This Row],[(A/B) AJD]]-TABL123[[#This Row],[BER_IN]]</f>
        <v>442</v>
      </c>
      <c r="AK23" s="68">
        <v>75</v>
      </c>
      <c r="AL23" s="87">
        <v>44.7303</v>
      </c>
      <c r="AM23" s="87">
        <v>4055970</v>
      </c>
      <c r="AN23" s="87">
        <f>TABL123[[#This Row],[ (RESV. STORGE) SER]]/10</f>
        <v>405597</v>
      </c>
      <c r="AO23" s="45">
        <v>1850</v>
      </c>
      <c r="AP23" s="32">
        <f>TABL123[[#This Row],[(A/S) AJD]]-TABL123[[#This Row],[SER_IN]]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 (T/B) SAR]]+TABL123[[#This Row],[ (S/S) SAR]]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 (S/S) SAR]]-TABL123[[#This Row],[(S/S) AJD]]</f>
        <v>42</v>
      </c>
      <c r="Q24" s="39">
        <v>449</v>
      </c>
      <c r="R24" s="3">
        <f>TABL123[[#This Row],[ (T/B) SAR]]-TABL123[[#This Row],[(T/B) AJD]]</f>
        <v>28</v>
      </c>
      <c r="S24" s="3">
        <f>TABL123[[#This Row],[T/B-CON.]]+TABL123[[#This Row],[S/S_CON.]]</f>
        <v>70</v>
      </c>
      <c r="T24" s="3">
        <f>TABL123[[#This Row],[(S/S) AJD]]+TABL123[[#This Row],[(T/B) AJD]]</f>
        <v>866</v>
      </c>
      <c r="U24" s="41">
        <v>550</v>
      </c>
      <c r="V24" s="41">
        <v>308</v>
      </c>
      <c r="W24" s="3">
        <f>TABL123[[#This Row],[(A/B) AJD]]+TABL123[[#This Row],[(A/S)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3">
        <f>TABL123[[#This Row],[( S/S+T/B) AJD]]-(TABL123[[#This Row],[(A/B + A/S) AJD]]+TABL123[[#This Row],[(STORGE DIFF.) AJD]]+(TABL123[[#This Row],[AJD_Evaporation]])/1000)</f>
        <v>4.2119999999999891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8">
        <f>TABL123[[#This Row],[(A/B) AJD]]-TABL123[[#This Row],[BER_IN]]</f>
        <v>452</v>
      </c>
      <c r="AK24" s="68">
        <v>76</v>
      </c>
      <c r="AL24" s="87">
        <v>44.839199999999998</v>
      </c>
      <c r="AM24" s="87">
        <v>4116700</v>
      </c>
      <c r="AN24" s="87">
        <f>TABL123[[#This Row],[ (RESV. STORGE) SER]]/10</f>
        <v>411670</v>
      </c>
      <c r="AO24" s="43">
        <v>1870</v>
      </c>
      <c r="AP24" s="32">
        <f>TABL123[[#This Row],[(A/S) AJD]]-TABL123[[#This Row],[SER_IN]]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 (T/B) SAR]]+TABL123[[#This Row],[ (S/S) SAR]]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 (S/S) SAR]]-TABL123[[#This Row],[(S/S) AJD]]</f>
        <v>61</v>
      </c>
      <c r="Q25" s="40">
        <v>449</v>
      </c>
      <c r="R25" s="3">
        <f>TABL123[[#This Row],[ (T/B) SAR]]-TABL123[[#This Row],[(T/B) AJD]]</f>
        <v>10</v>
      </c>
      <c r="S25" s="3">
        <f>TABL123[[#This Row],[T/B-CON.]]+TABL123[[#This Row],[S/S_CON.]]</f>
        <v>71</v>
      </c>
      <c r="T25" s="3">
        <f>TABL123[[#This Row],[(S/S) AJD]]+TABL123[[#This Row],[(T/B) AJD]]</f>
        <v>865</v>
      </c>
      <c r="U25" s="44">
        <v>538</v>
      </c>
      <c r="V25" s="44">
        <v>314</v>
      </c>
      <c r="W25" s="3">
        <f>TABL123[[#This Row],[(A/B) AJD]]+TABL123[[#This Row],[(A/S)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3">
        <f>TABL123[[#This Row],[( S/S+T/B) AJD]]-(TABL123[[#This Row],[(A/B + A/S) AJD]]+TABL123[[#This Row],[(STORGE DIFF.) AJD]]+(TABL123[[#This Row],[AJD_Evaporation]])/1000)</f>
        <v>28.105000000000018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8">
        <f>TABL123[[#This Row],[(A/B) AJD]]-TABL123[[#This Row],[BER_IN]]</f>
        <v>453</v>
      </c>
      <c r="AK25" s="68">
        <v>76</v>
      </c>
      <c r="AL25" s="87">
        <v>44.946199999999997</v>
      </c>
      <c r="AM25" s="87">
        <v>4176200</v>
      </c>
      <c r="AN25" s="87">
        <f>TABL123[[#This Row],[ (RESV. STORGE) SER]]/10</f>
        <v>417620</v>
      </c>
      <c r="AO25" s="45">
        <v>1870</v>
      </c>
      <c r="AP25" s="32">
        <f>TABL123[[#This Row],[(A/S) AJD]]-TABL123[[#This Row],[SER_IN]]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 (T/B) SAR]]+TABL123[[#This Row],[ (S/S) SAR]]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 (S/S) SAR]]-TABL123[[#This Row],[(S/S) AJD]]</f>
        <v>38</v>
      </c>
      <c r="Q26" s="39">
        <v>448</v>
      </c>
      <c r="R26" s="3">
        <f>TABL123[[#This Row],[ (T/B) SAR]]-TABL123[[#This Row],[(T/B) AJD]]</f>
        <v>23</v>
      </c>
      <c r="S26" s="3">
        <f>TABL123[[#This Row],[T/B-CON.]]+TABL123[[#This Row],[S/S_CON.]]</f>
        <v>61</v>
      </c>
      <c r="T26" s="3">
        <f>TABL123[[#This Row],[(S/S) AJD]]+TABL123[[#This Row],[(T/B) AJD]]</f>
        <v>863</v>
      </c>
      <c r="U26" s="41">
        <v>534</v>
      </c>
      <c r="V26" s="41">
        <v>283</v>
      </c>
      <c r="W26" s="3">
        <f>TABL123[[#This Row],[(A/B) AJD]]+TABL123[[#This Row],[(A/S)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3">
        <f>TABL123[[#This Row],[( S/S+T/B) AJD]]-(TABL123[[#This Row],[(A/B + A/S) AJD]]+TABL123[[#This Row],[(STORGE DIFF.) AJD]]+(TABL123[[#This Row],[AJD_Evaporation]])/1000)</f>
        <v>21.043000000000006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8">
        <f>TABL123[[#This Row],[(A/B) AJD]]-TABL123[[#This Row],[BER_IN]]</f>
        <v>463</v>
      </c>
      <c r="AK26" s="68">
        <v>59</v>
      </c>
      <c r="AL26" s="87">
        <v>45.009799999999998</v>
      </c>
      <c r="AM26" s="87">
        <v>4211830</v>
      </c>
      <c r="AN26" s="87">
        <f>TABL123[[#This Row],[ (RESV. STORGE) SER]]/10</f>
        <v>421183</v>
      </c>
      <c r="AO26" s="43">
        <v>1870</v>
      </c>
      <c r="AP26" s="32">
        <f>TABL123[[#This Row],[(A/S) AJD]]-TABL123[[#This Row],[SER_IN]]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 (T/B) SAR]]+TABL123[[#This Row],[ (S/S) SAR]]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 (S/S) SAR]]-TABL123[[#This Row],[(S/S) AJD]]</f>
        <v>40</v>
      </c>
      <c r="Q27" s="40">
        <v>444</v>
      </c>
      <c r="R27" s="3">
        <f>TABL123[[#This Row],[ (T/B) SAR]]-TABL123[[#This Row],[(T/B) AJD]]</f>
        <v>27</v>
      </c>
      <c r="S27" s="3">
        <f>TABL123[[#This Row],[T/B-CON.]]+TABL123[[#This Row],[S/S_CON.]]</f>
        <v>67</v>
      </c>
      <c r="T27" s="3">
        <f>TABL123[[#This Row],[(S/S) AJD]]+TABL123[[#This Row],[(T/B) AJD]]</f>
        <v>856</v>
      </c>
      <c r="U27" s="44">
        <v>527</v>
      </c>
      <c r="V27" s="44">
        <v>316</v>
      </c>
      <c r="W27" s="3">
        <f>TABL123[[#This Row],[(A/B) AJD]]+TABL123[[#This Row],[(A/S)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3">
        <f>TABL123[[#This Row],[( S/S+T/B) AJD]]-(TABL123[[#This Row],[(A/B + A/S) AJD]]+TABL123[[#This Row],[(STORGE DIFF.) AJD]]+(TABL123[[#This Row],[AJD_Evaporation]])/1000)</f>
        <v>39.552999999999997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8">
        <f>TABL123[[#This Row],[(A/B) AJD]]-TABL123[[#This Row],[BER_IN]]</f>
        <v>445</v>
      </c>
      <c r="AK27" s="68">
        <v>53</v>
      </c>
      <c r="AL27" s="87">
        <v>45.033900000000003</v>
      </c>
      <c r="AM27" s="87">
        <v>4225760</v>
      </c>
      <c r="AN27" s="87">
        <f>TABL123[[#This Row],[ (RESV. STORGE) SER]]/10</f>
        <v>422576</v>
      </c>
      <c r="AO27" s="45">
        <v>1870</v>
      </c>
      <c r="AP27" s="32">
        <f>TABL123[[#This Row],[(A/S) AJD]]-TABL123[[#This Row],[SER_IN]]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 (T/B) SAR]]+TABL123[[#This Row],[ (S/S) SAR]]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 (S/S) SAR]]-TABL123[[#This Row],[(S/S) AJD]]</f>
        <v>37</v>
      </c>
      <c r="Q28" s="39">
        <v>442</v>
      </c>
      <c r="R28" s="3">
        <f>TABL123[[#This Row],[ (T/B) SAR]]-TABL123[[#This Row],[(T/B) AJD]]</f>
        <v>28</v>
      </c>
      <c r="S28" s="3">
        <f>TABL123[[#This Row],[T/B-CON.]]+TABL123[[#This Row],[S/S_CON.]]</f>
        <v>65</v>
      </c>
      <c r="T28" s="3">
        <f>TABL123[[#This Row],[(S/S) AJD]]+TABL123[[#This Row],[(T/B) AJD]]</f>
        <v>858</v>
      </c>
      <c r="U28" s="41">
        <v>534</v>
      </c>
      <c r="V28" s="41">
        <v>323</v>
      </c>
      <c r="W28" s="3">
        <f>TABL123[[#This Row],[(A/B) AJD]]+TABL123[[#This Row],[(A/S)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3">
        <f>TABL123[[#This Row],[( S/S+T/B) AJD]]-(TABL123[[#This Row],[(A/B + A/S) AJD]]+TABL123[[#This Row],[(STORGE DIFF.) AJD]]+(TABL123[[#This Row],[AJD_Evaporation]])/1000)</f>
        <v>30.346000000000004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8">
        <f>TABL123[[#This Row],[(A/B) AJD]]-TABL123[[#This Row],[BER_IN]]</f>
        <v>449</v>
      </c>
      <c r="AK28" s="68">
        <v>53</v>
      </c>
      <c r="AL28" s="87">
        <v>45.072400000000002</v>
      </c>
      <c r="AM28" s="87">
        <v>4246560</v>
      </c>
      <c r="AN28" s="87">
        <f>TABL123[[#This Row],[ (RESV. STORGE) SER]]/10</f>
        <v>424656</v>
      </c>
      <c r="AO28" s="43">
        <v>1800</v>
      </c>
      <c r="AP28" s="32">
        <f>TABL123[[#This Row],[(A/S) AJD]]-TABL123[[#This Row],[SER_IN]]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 (T/B) SAR]]+TABL123[[#This Row],[ (S/S) SAR]]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 (S/S) SAR]]-TABL123[[#This Row],[(S/S) AJD]]</f>
        <v>43</v>
      </c>
      <c r="Q29" s="40">
        <v>441</v>
      </c>
      <c r="R29" s="3">
        <f>TABL123[[#This Row],[ (T/B) SAR]]-TABL123[[#This Row],[(T/B) AJD]]</f>
        <v>29</v>
      </c>
      <c r="S29" s="3">
        <f>TABL123[[#This Row],[T/B-CON.]]+TABL123[[#This Row],[S/S_CON.]]</f>
        <v>72</v>
      </c>
      <c r="T29" s="3">
        <f>TABL123[[#This Row],[(S/S) AJD]]+TABL123[[#This Row],[(T/B) AJD]]</f>
        <v>850</v>
      </c>
      <c r="U29" s="44">
        <v>526</v>
      </c>
      <c r="V29" s="44">
        <v>315</v>
      </c>
      <c r="W29" s="3">
        <f>TABL123[[#This Row],[(A/B) AJD]]+TABL123[[#This Row],[(A/S)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3">
        <f>TABL123[[#This Row],[( S/S+T/B) AJD]]-(TABL123[[#This Row],[(A/B + A/S) AJD]]+TABL123[[#This Row],[(STORGE DIFF.) AJD]]+(TABL123[[#This Row],[AJD_Evaporation]])/1000)</f>
        <v>1.8690000000000282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8">
        <f>TABL123[[#This Row],[(A/B) AJD]]-TABL123[[#This Row],[BER_IN]]</f>
        <v>446</v>
      </c>
      <c r="AK29" s="68">
        <v>53</v>
      </c>
      <c r="AL29" s="87">
        <v>45.121299999999998</v>
      </c>
      <c r="AM29" s="87">
        <v>4273770</v>
      </c>
      <c r="AN29" s="87">
        <f>TABL123[[#This Row],[ (RESV. STORGE) SER]]/10</f>
        <v>427377</v>
      </c>
      <c r="AO29" s="45">
        <v>1790</v>
      </c>
      <c r="AP29" s="32">
        <f>TABL123[[#This Row],[(A/S) AJD]]-TABL123[[#This Row],[SER_IN]]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 (T/B) SAR]]+TABL123[[#This Row],[ (S/S) SAR]]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 (S/S) SAR]]-TABL123[[#This Row],[(S/S) AJD]]</f>
        <v>42</v>
      </c>
      <c r="Q30" s="39">
        <v>444</v>
      </c>
      <c r="R30" s="3">
        <f>TABL123[[#This Row],[ (T/B) SAR]]-TABL123[[#This Row],[(T/B) AJD]]</f>
        <v>28</v>
      </c>
      <c r="S30" s="3">
        <f>TABL123[[#This Row],[T/B-CON.]]+TABL123[[#This Row],[S/S_CON.]]</f>
        <v>70</v>
      </c>
      <c r="T30" s="3">
        <f>TABL123[[#This Row],[(S/S) AJD]]+TABL123[[#This Row],[(T/B) AJD]]</f>
        <v>857</v>
      </c>
      <c r="U30" s="41">
        <v>527</v>
      </c>
      <c r="V30" s="41">
        <v>323</v>
      </c>
      <c r="W30" s="3">
        <f>TABL123[[#This Row],[(A/B) AJD]]+TABL123[[#This Row],[(A/S)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3">
        <f>TABL123[[#This Row],[( S/S+T/B) AJD]]-(TABL123[[#This Row],[(A/B + A/S) AJD]]+TABL123[[#This Row],[(STORGE DIFF.) AJD]]+(TABL123[[#This Row],[AJD_Evaporation]])/1000)</f>
        <v>43.446000000000026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8">
        <f>TABL123[[#This Row],[(A/B) AJD]]-TABL123[[#This Row],[BER_IN]]</f>
        <v>447</v>
      </c>
      <c r="AK30" s="68">
        <v>53</v>
      </c>
      <c r="AL30" s="87">
        <v>45.1723</v>
      </c>
      <c r="AM30" s="87">
        <v>4302170</v>
      </c>
      <c r="AN30" s="87">
        <f>TABL123[[#This Row],[ (RESV. STORGE) SER]]/10</f>
        <v>430217</v>
      </c>
      <c r="AO30" s="43">
        <v>1800</v>
      </c>
      <c r="AP30" s="32">
        <f>TABL123[[#This Row],[(A/S) AJD]]-TABL123[[#This Row],[SER_IN]]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 (T/B) SAR]]+TABL123[[#This Row],[ (S/S) SAR]]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 (S/S) SAR]]-TABL123[[#This Row],[(S/S) AJD]]</f>
        <v>42</v>
      </c>
      <c r="Q31" s="40">
        <v>445</v>
      </c>
      <c r="R31" s="3">
        <f>TABL123[[#This Row],[ (T/B) SAR]]-TABL123[[#This Row],[(T/B) AJD]]</f>
        <v>27</v>
      </c>
      <c r="S31" s="3">
        <f>TABL123[[#This Row],[T/B-CON.]]+TABL123[[#This Row],[S/S_CON.]]</f>
        <v>69</v>
      </c>
      <c r="T31" s="3">
        <f>TABL123[[#This Row],[(S/S) AJD]]+TABL123[[#This Row],[(T/B) AJD]]</f>
        <v>857</v>
      </c>
      <c r="U31" s="44">
        <v>531</v>
      </c>
      <c r="V31" s="44">
        <v>279</v>
      </c>
      <c r="W31" s="3">
        <f>TABL123[[#This Row],[(A/B) AJD]]+TABL123[[#This Row],[(A/S)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3">
        <f>TABL123[[#This Row],[( S/S+T/B) AJD]]-(TABL123[[#This Row],[(A/B + A/S) AJD]]+TABL123[[#This Row],[(STORGE DIFF.) AJD]]+(TABL123[[#This Row],[AJD_Evaporation]])/1000)</f>
        <v>22.616999999999962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8">
        <f>TABL123[[#This Row],[(A/B) AJD]]-TABL123[[#This Row],[BER_IN]]</f>
        <v>451</v>
      </c>
      <c r="AK31" s="68">
        <v>32</v>
      </c>
      <c r="AL31" s="87">
        <v>45.191600000000001</v>
      </c>
      <c r="AM31" s="87">
        <v>4313340</v>
      </c>
      <c r="AN31" s="87">
        <f>TABL123[[#This Row],[ (RESV. STORGE) SER]]/10</f>
        <v>431334</v>
      </c>
      <c r="AO31" s="45">
        <v>1830</v>
      </c>
      <c r="AP31" s="32">
        <f>TABL123[[#This Row],[(A/S) AJD]]-TABL123[[#This Row],[SER_IN]]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 (T/B) SAR]]+TABL123[[#This Row],[ (S/S) SAR]]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 (S/S) SAR]]-TABL123[[#This Row],[(S/S) AJD]]</f>
        <v>41</v>
      </c>
      <c r="Q32" s="39">
        <v>444</v>
      </c>
      <c r="R32" s="3">
        <f>TABL123[[#This Row],[ (T/B) SAR]]-TABL123[[#This Row],[(T/B) AJD]]</f>
        <v>27</v>
      </c>
      <c r="S32" s="3">
        <f>TABL123[[#This Row],[T/B-CON.]]+TABL123[[#This Row],[S/S_CON.]]</f>
        <v>68</v>
      </c>
      <c r="T32" s="3">
        <f>TABL123[[#This Row],[(S/S) AJD]]+TABL123[[#This Row],[(T/B) AJD]]</f>
        <v>856</v>
      </c>
      <c r="U32" s="41">
        <v>536</v>
      </c>
      <c r="V32" s="41">
        <v>286</v>
      </c>
      <c r="W32" s="3">
        <f>TABL123[[#This Row],[(A/B) AJD]]+TABL123[[#This Row],[(A/S)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3">
        <f>TABL123[[#This Row],[( S/S+T/B) AJD]]-(TABL123[[#This Row],[(A/B + A/S) AJD]]+TABL123[[#This Row],[(STORGE DIFF.) AJD]]+(TABL123[[#This Row],[AJD_Evaporation]])/1000)</f>
        <v>25.302999999999997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8">
        <f>TABL123[[#This Row],[(A/B) AJD]]-TABL123[[#This Row],[BER_IN]]</f>
        <v>451</v>
      </c>
      <c r="AK32" s="68">
        <v>21</v>
      </c>
      <c r="AL32" s="87">
        <v>45.199800000000003</v>
      </c>
      <c r="AM32" s="87">
        <v>4317820</v>
      </c>
      <c r="AN32" s="87">
        <f>TABL123[[#This Row],[ (RESV. STORGE) SER]]/10</f>
        <v>431782</v>
      </c>
      <c r="AO32" s="43">
        <v>1820</v>
      </c>
      <c r="AP32" s="32">
        <f>TABL123[[#This Row],[(A/S) AJD]]-TABL123[[#This Row],[SER_IN]]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 (T/B) SAR]]+TABL123[[#This Row],[ (S/S) SAR]]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 (S/S) SAR]]-TABL123[[#This Row],[(S/S) AJD]]</f>
        <v>41</v>
      </c>
      <c r="Q33" s="39">
        <v>443</v>
      </c>
      <c r="R33" s="3">
        <f>TABL123[[#This Row],[ (T/B) SAR]]-TABL123[[#This Row],[(T/B) AJD]]</f>
        <v>25</v>
      </c>
      <c r="S33" s="3">
        <f>TABL123[[#This Row],[T/B-CON.]]+TABL123[[#This Row],[S/S_CON.]]</f>
        <v>66</v>
      </c>
      <c r="T33" s="3">
        <f>TABL123[[#This Row],[(S/S) AJD]]+TABL123[[#This Row],[(T/B) AJD]]</f>
        <v>853</v>
      </c>
      <c r="U33" s="41">
        <v>528</v>
      </c>
      <c r="V33" s="41">
        <v>294</v>
      </c>
      <c r="W33" s="3">
        <f>TABL123[[#This Row],[(A/B) AJD]]+TABL123[[#This Row],[(A/S)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3">
        <f>TABL123[[#This Row],[( S/S+T/B) AJD]]-(TABL123[[#This Row],[(A/B + A/S) AJD]]+TABL123[[#This Row],[(STORGE DIFF.) AJD]]+(TABL123[[#This Row],[AJD_Evaporation]])/1000)</f>
        <v>26.793999999999983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8">
        <f>TABL123[[#This Row],[(A/B) AJD]]-TABL123[[#This Row],[BER_IN]]</f>
        <v>449</v>
      </c>
      <c r="AK33" s="68">
        <v>22</v>
      </c>
      <c r="AL33" s="87">
        <v>45.198700000000002</v>
      </c>
      <c r="AM33" s="87">
        <v>4317230</v>
      </c>
      <c r="AN33" s="87">
        <f>TABL123[[#This Row],[ (RESV. STORGE) SER]]/10</f>
        <v>431723</v>
      </c>
      <c r="AO33" s="43">
        <v>1800</v>
      </c>
      <c r="AP33" s="32">
        <f>TABL123[[#This Row],[(A/S) AJD]]-TABL123[[#This Row],[SER_IN]]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 (T/B) SAR]]+TABL123[[#This Row],[ (S/S) SAR]]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 (S/S) SAR]]-TABL123[[#This Row],[(S/S) AJD]]</f>
        <v>32</v>
      </c>
      <c r="Q34" s="40">
        <v>440</v>
      </c>
      <c r="R34" s="3">
        <f>TABL123[[#This Row],[ (T/B) SAR]]-TABL123[[#This Row],[(T/B) AJD]]</f>
        <v>15</v>
      </c>
      <c r="S34" s="3">
        <f>TABL123[[#This Row],[T/B-CON.]]+TABL123[[#This Row],[S/S_CON.]]</f>
        <v>47</v>
      </c>
      <c r="T34" s="3">
        <f>TABL123[[#This Row],[(S/S) AJD]]+TABL123[[#This Row],[(T/B) AJD]]</f>
        <v>848</v>
      </c>
      <c r="U34" s="44">
        <v>529</v>
      </c>
      <c r="V34" s="44">
        <v>263</v>
      </c>
      <c r="W34" s="3">
        <f>TABL123[[#This Row],[(A/B) AJD]]+TABL123[[#This Row],[(A/S)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3">
        <f>TABL123[[#This Row],[( S/S+T/B) AJD]]-(TABL123[[#This Row],[(A/B + A/S) AJD]]+TABL123[[#This Row],[(STORGE DIFF.) AJD]]+(TABL123[[#This Row],[AJD_Evaporation]])/1000)</f>
        <v>17.359000000000037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8">
        <f>TABL123[[#This Row],[(A/B) AJD]]-TABL123[[#This Row],[BER_IN]]</f>
        <v>439</v>
      </c>
      <c r="AK34" s="68">
        <v>22</v>
      </c>
      <c r="AL34" s="87">
        <v>45.229399999999998</v>
      </c>
      <c r="AM34" s="87">
        <v>4334000</v>
      </c>
      <c r="AN34" s="87">
        <f>TABL123[[#This Row],[ (RESV. STORGE) SER]]/10</f>
        <v>433400</v>
      </c>
      <c r="AO34" s="45">
        <v>1630</v>
      </c>
      <c r="AP34" s="32">
        <f>TABL123[[#This Row],[(A/S) AJD]]-TABL123[[#This Row],[SER_IN]]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 (T/B) SAR]]+TABL123[[#This Row],[ (S/S) SAR]]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 (S/S) SAR]]-TABL123[[#This Row],[(S/S) AJD]]</f>
        <v>28</v>
      </c>
      <c r="Q35" s="39">
        <v>432</v>
      </c>
      <c r="R35" s="3">
        <f>TABL123[[#This Row],[ (T/B) SAR]]-TABL123[[#This Row],[(T/B) AJD]]</f>
        <v>13</v>
      </c>
      <c r="S35" s="3">
        <f>TABL123[[#This Row],[T/B-CON.]]+TABL123[[#This Row],[S/S_CON.]]</f>
        <v>41</v>
      </c>
      <c r="T35" s="3">
        <f>TABL123[[#This Row],[(S/S) AJD]]+TABL123[[#This Row],[(T/B) AJD]]</f>
        <v>834</v>
      </c>
      <c r="U35" s="41">
        <v>553</v>
      </c>
      <c r="V35" s="41">
        <v>270</v>
      </c>
      <c r="W35" s="3">
        <f>TABL123[[#This Row],[(A/B) AJD]]+TABL123[[#This Row],[(A/S)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3">
        <f>TABL123[[#This Row],[( S/S+T/B) AJD]]-(TABL123[[#This Row],[(A/B + A/S) AJD]]+TABL123[[#This Row],[(STORGE DIFF.) AJD]]+(TABL123[[#This Row],[AJD_Evaporation]])/1000)</f>
        <v>16.490000000000009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8">
        <f>TABL123[[#This Row],[(A/B) AJD]]-TABL123[[#This Row],[BER_IN]]</f>
        <v>463</v>
      </c>
      <c r="AK35" s="68">
        <v>22</v>
      </c>
      <c r="AL35" s="87">
        <v>45.2483</v>
      </c>
      <c r="AM35" s="87">
        <v>4345090</v>
      </c>
      <c r="AN35" s="87">
        <f>TABL123[[#This Row],[ (RESV. STORGE) SER]]/10</f>
        <v>434509</v>
      </c>
      <c r="AO35" s="43">
        <v>1620</v>
      </c>
      <c r="AP35" s="32">
        <f>TABL123[[#This Row],[(A/S) AJD]]-TABL123[[#This Row],[SER_IN]]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 (T/B) SAR]]+TABL123[[#This Row],[ (S/S) SAR]]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 (S/S) SAR]]-TABL123[[#This Row],[(S/S) AJD]]</f>
        <v>34</v>
      </c>
      <c r="Q36" s="40">
        <v>420</v>
      </c>
      <c r="R36" s="3">
        <f>TABL123[[#This Row],[ (T/B) SAR]]-TABL123[[#This Row],[(T/B) AJD]]</f>
        <v>20</v>
      </c>
      <c r="S36" s="3">
        <f>TABL123[[#This Row],[T/B-CON.]]+TABL123[[#This Row],[S/S_CON.]]</f>
        <v>54</v>
      </c>
      <c r="T36" s="3">
        <f>TABL123[[#This Row],[(S/S) AJD]]+TABL123[[#This Row],[(T/B) AJD]]</f>
        <v>810</v>
      </c>
      <c r="U36" s="44">
        <v>549</v>
      </c>
      <c r="V36" s="44">
        <v>266</v>
      </c>
      <c r="W36" s="3">
        <f>TABL123[[#This Row],[(A/B) AJD]]+TABL123[[#This Row],[(A/S)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3">
        <f>TABL123[[#This Row],[( S/S+T/B) AJD]]-(TABL123[[#This Row],[(A/B + A/S) AJD]]+TABL123[[#This Row],[(STORGE DIFF.) AJD]]+(TABL123[[#This Row],[AJD_Evaporation]])/1000)</f>
        <v>25.924999999999955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8">
        <f>TABL123[[#This Row],[(A/B) AJD]]-TABL123[[#This Row],[BER_IN]]</f>
        <v>462</v>
      </c>
      <c r="AK36" s="68">
        <v>21</v>
      </c>
      <c r="AL36" s="87">
        <v>45.238700000000001</v>
      </c>
      <c r="AM36" s="87">
        <v>4339740</v>
      </c>
      <c r="AN36" s="87">
        <f>TABL123[[#This Row],[ (RESV. STORGE) SER]]/10</f>
        <v>433974</v>
      </c>
      <c r="AO36" s="45">
        <v>1595</v>
      </c>
      <c r="AP36" s="32">
        <f>TABL123[[#This Row],[(A/S) AJD]]-TABL123[[#This Row],[SER_IN]]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 (T/B) SAR]]+TABL123[[#This Row],[ (S/S) SAR]]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 (S/S) SAR]]-TABL123[[#This Row],[(S/S) AJD]]</f>
        <v>45</v>
      </c>
      <c r="Q37" s="39">
        <v>414</v>
      </c>
      <c r="R37" s="3">
        <f>TABL123[[#This Row],[ (T/B) SAR]]-TABL123[[#This Row],[(T/B) AJD]]</f>
        <v>11</v>
      </c>
      <c r="S37" s="3">
        <f>TABL123[[#This Row],[T/B-CON.]]+TABL123[[#This Row],[S/S_CON.]]</f>
        <v>56</v>
      </c>
      <c r="T37" s="3">
        <f>TABL123[[#This Row],[(S/S) AJD]]+TABL123[[#This Row],[(T/B) AJD]]</f>
        <v>797</v>
      </c>
      <c r="U37" s="41">
        <v>545</v>
      </c>
      <c r="V37" s="41">
        <v>271</v>
      </c>
      <c r="W37" s="3">
        <f>TABL123[[#This Row],[(A/B) AJD]]+TABL123[[#This Row],[(A/S)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3">
        <f>TABL123[[#This Row],[( S/S+T/B) AJD]]-(TABL123[[#This Row],[(A/B + A/S) AJD]]+TABL123[[#This Row],[(STORGE DIFF.) AJD]]+(TABL123[[#This Row],[AJD_Evaporation]])/1000)</f>
        <v>33.168999999999983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8">
        <f>TABL123[[#This Row],[(A/B) AJD]]-TABL123[[#This Row],[BER_IN]]</f>
        <v>459</v>
      </c>
      <c r="AK37" s="68">
        <v>21</v>
      </c>
      <c r="AL37" s="87">
        <v>45.245199999999997</v>
      </c>
      <c r="AM37" s="87">
        <v>4342940</v>
      </c>
      <c r="AN37" s="87">
        <f>TABL123[[#This Row],[ (RESV. STORGE) SER]]/10</f>
        <v>434294</v>
      </c>
      <c r="AO37" s="43">
        <v>1580</v>
      </c>
      <c r="AP37" s="32">
        <f>TABL123[[#This Row],[(A/S) AJD]]-TABL123[[#This Row],[SER_IN]]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 (T/B) SAR]]+TABL123[[#This Row],[ (S/S) SAR]]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 (S/S) SAR]]-TABL123[[#This Row],[(S/S) AJD]]</f>
        <v>40</v>
      </c>
      <c r="Q38" s="40">
        <v>419</v>
      </c>
      <c r="R38" s="3">
        <f>TABL123[[#This Row],[ (T/B) SAR]]-TABL123[[#This Row],[(T/B) AJD]]</f>
        <v>21</v>
      </c>
      <c r="S38" s="3">
        <f>TABL123[[#This Row],[T/B-CON.]]+TABL123[[#This Row],[S/S_CON.]]</f>
        <v>61</v>
      </c>
      <c r="T38" s="3">
        <f>TABL123[[#This Row],[(S/S) AJD]]+TABL123[[#This Row],[(T/B) AJD]]</f>
        <v>807</v>
      </c>
      <c r="U38" s="44">
        <v>557</v>
      </c>
      <c r="V38" s="44">
        <v>267</v>
      </c>
      <c r="W38" s="3">
        <f>TABL123[[#This Row],[(A/B) AJD]]+TABL123[[#This Row],[(A/S)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3">
        <f>TABL123[[#This Row],[( S/S+T/B) AJD]]-(TABL123[[#This Row],[(A/B + A/S) AJD]]+TABL123[[#This Row],[(STORGE DIFF.) AJD]]+(TABL123[[#This Row],[AJD_Evaporation]])/1000)</f>
        <v>22.200000000000045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8">
        <f>TABL123[[#This Row],[(A/B) AJD]]-TABL123[[#This Row],[BER_IN]]</f>
        <v>471</v>
      </c>
      <c r="AK38" s="68">
        <v>7</v>
      </c>
      <c r="AL38" s="87">
        <v>45.238</v>
      </c>
      <c r="AM38" s="87">
        <v>4339036</v>
      </c>
      <c r="AN38" s="87">
        <f>TABL123[[#This Row],[ (RESV. STORGE) SER]]/10</f>
        <v>433903.6</v>
      </c>
      <c r="AO38" s="45">
        <v>1600</v>
      </c>
      <c r="AP38" s="32">
        <f>TABL123[[#This Row],[(A/S) AJD]]-TABL123[[#This Row],[SER_IN]]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 (T/B) SAR]]+TABL123[[#This Row],[ (S/S) SAR]]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 (S/S) SAR]]-TABL123[[#This Row],[(S/S) AJD]]</f>
        <v>47</v>
      </c>
      <c r="Q39" s="39">
        <v>414</v>
      </c>
      <c r="R39" s="3">
        <f>TABL123[[#This Row],[ (T/B) SAR]]-TABL123[[#This Row],[(T/B) AJD]]</f>
        <v>28</v>
      </c>
      <c r="S39" s="3">
        <f>TABL123[[#This Row],[T/B-CON.]]+TABL123[[#This Row],[S/S_CON.]]</f>
        <v>75</v>
      </c>
      <c r="T39" s="3">
        <f>TABL123[[#This Row],[(S/S) AJD]]+TABL123[[#This Row],[(T/B) AJD]]</f>
        <v>797</v>
      </c>
      <c r="U39" s="41">
        <v>476</v>
      </c>
      <c r="V39" s="41">
        <v>258</v>
      </c>
      <c r="W39" s="3">
        <f>TABL123[[#This Row],[(A/B) AJD]]+TABL123[[#This Row],[(A/S)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3">
        <f>TABL123[[#This Row],[( S/S+T/B) AJD]]-(TABL123[[#This Row],[(A/B + A/S) AJD]]+TABL123[[#This Row],[(STORGE DIFF.) AJD]]+(TABL123[[#This Row],[AJD_Evaporation]])/1000)</f>
        <v>30.253000000000043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8">
        <f>TABL123[[#This Row],[(A/B) AJD]]-TABL123[[#This Row],[BER_IN]]</f>
        <v>388</v>
      </c>
      <c r="AK39" s="68">
        <v>0</v>
      </c>
      <c r="AL39" s="87">
        <v>45.232100000000003</v>
      </c>
      <c r="AM39" s="87">
        <v>4335680</v>
      </c>
      <c r="AN39" s="87">
        <f>TABL123[[#This Row],[ (RESV. STORGE) SER]]/10</f>
        <v>433568</v>
      </c>
      <c r="AO39" s="43">
        <v>1620</v>
      </c>
      <c r="AP39" s="32">
        <f>TABL123[[#This Row],[(A/S) AJD]]-TABL123[[#This Row],[SER_IN]]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 (T/B) SAR]]+TABL123[[#This Row],[ (S/S) SAR]]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 (S/S) SAR]]-TABL123[[#This Row],[(S/S) AJD]]</f>
        <v>42</v>
      </c>
      <c r="Q40" s="40">
        <v>419</v>
      </c>
      <c r="R40" s="3">
        <f>TABL123[[#This Row],[ (T/B) SAR]]-TABL123[[#This Row],[(T/B) AJD]]</f>
        <v>23</v>
      </c>
      <c r="S40" s="3">
        <f>TABL123[[#This Row],[T/B-CON.]]+TABL123[[#This Row],[S/S_CON.]]</f>
        <v>65</v>
      </c>
      <c r="T40" s="3">
        <f>TABL123[[#This Row],[(S/S) AJD]]+TABL123[[#This Row],[(T/B) AJD]]</f>
        <v>807</v>
      </c>
      <c r="U40" s="44">
        <v>553</v>
      </c>
      <c r="V40" s="44">
        <v>257</v>
      </c>
      <c r="W40" s="3">
        <f>TABL123[[#This Row],[(A/B) AJD]]+TABL123[[#This Row],[(A/S)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3">
        <f>TABL123[[#This Row],[( S/S+T/B) AJD]]-(TABL123[[#This Row],[(A/B + A/S) AJD]]+TABL123[[#This Row],[(STORGE DIFF.) AJD]]+(TABL123[[#This Row],[AJD_Evaporation]])/1000)</f>
        <v>27.201999999999998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8">
        <f>TABL123[[#This Row],[(A/B) AJD]]-TABL123[[#This Row],[BER_IN]]</f>
        <v>463</v>
      </c>
      <c r="AK40" s="68">
        <v>0</v>
      </c>
      <c r="AL40" s="87">
        <v>45.185600000000001</v>
      </c>
      <c r="AM40" s="87">
        <v>4309440</v>
      </c>
      <c r="AN40" s="87">
        <f>TABL123[[#This Row],[ (RESV. STORGE) SER]]/10</f>
        <v>430944</v>
      </c>
      <c r="AO40" s="45">
        <v>1630</v>
      </c>
      <c r="AP40" s="32">
        <f>TABL123[[#This Row],[(A/S) AJD]]-TABL123[[#This Row],[SER_IN]]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 (T/B) SAR]]+TABL123[[#This Row],[ (S/S) SAR]]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 (S/S) SAR]]-TABL123[[#This Row],[(S/S) AJD]]</f>
        <v>51</v>
      </c>
      <c r="Q41" s="39">
        <v>421</v>
      </c>
      <c r="R41" s="3">
        <f>TABL123[[#This Row],[ (T/B) SAR]]-TABL123[[#This Row],[(T/B) AJD]]</f>
        <v>21</v>
      </c>
      <c r="S41" s="3">
        <f>TABL123[[#This Row],[T/B-CON.]]+TABL123[[#This Row],[S/S_CON.]]</f>
        <v>72</v>
      </c>
      <c r="T41" s="3">
        <f>TABL123[[#This Row],[(S/S) AJD]]+TABL123[[#This Row],[(T/B) AJD]]</f>
        <v>800</v>
      </c>
      <c r="U41" s="41">
        <v>554</v>
      </c>
      <c r="V41" s="41">
        <v>250</v>
      </c>
      <c r="W41" s="3">
        <f>TABL123[[#This Row],[(A/B) AJD]]+TABL123[[#This Row],[(A/S)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3">
        <f>TABL123[[#This Row],[( S/S+T/B) AJD]]-(TABL123[[#This Row],[(A/B + A/S) AJD]]+TABL123[[#This Row],[(STORGE DIFF.) AJD]]+(TABL123[[#This Row],[AJD_Evaporation]])/1000)</f>
        <v>12.548000000000002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8">
        <f>TABL123[[#This Row],[(A/B) AJD]]-TABL123[[#This Row],[BER_IN]]</f>
        <v>464</v>
      </c>
      <c r="AK41" s="68">
        <v>0</v>
      </c>
      <c r="AL41" s="87">
        <v>45.168900000000001</v>
      </c>
      <c r="AM41" s="87">
        <v>4300490</v>
      </c>
      <c r="AN41" s="87">
        <f>TABL123[[#This Row],[ (RESV. STORGE) SER]]/10</f>
        <v>430049</v>
      </c>
      <c r="AO41" s="43">
        <v>1498</v>
      </c>
      <c r="AP41" s="32">
        <f>TABL123[[#This Row],[(A/S) AJD]]-TABL123[[#This Row],[SER_IN]]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 (T/B) SAR]]+TABL123[[#This Row],[ (S/S) SAR]]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 (S/S) SAR]]-TABL123[[#This Row],[(S/S) AJD]]</f>
        <v>41</v>
      </c>
      <c r="Q42" s="40">
        <v>418</v>
      </c>
      <c r="R42" s="3">
        <f>TABL123[[#This Row],[ (T/B) SAR]]-TABL123[[#This Row],[(T/B) AJD]]</f>
        <v>26</v>
      </c>
      <c r="S42" s="3">
        <f>TABL123[[#This Row],[T/B-CON.]]+TABL123[[#This Row],[S/S_CON.]]</f>
        <v>67</v>
      </c>
      <c r="T42" s="3">
        <f>TABL123[[#This Row],[(S/S) AJD]]+TABL123[[#This Row],[(T/B) AJD]]</f>
        <v>807</v>
      </c>
      <c r="U42" s="44">
        <v>562</v>
      </c>
      <c r="V42" s="44">
        <v>246</v>
      </c>
      <c r="W42" s="3">
        <f>TABL123[[#This Row],[(A/B) AJD]]+TABL123[[#This Row],[(A/S)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3">
        <f>TABL123[[#This Row],[( S/S+T/B) AJD]]-(TABL123[[#This Row],[(A/B + A/S) AJD]]+TABL123[[#This Row],[(STORGE DIFF.) AJD]]+(TABL123[[#This Row],[AJD_Evaporation]])/1000)</f>
        <v>6.1130000000000564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8">
        <f>TABL123[[#This Row],[(A/B) AJD]]-TABL123[[#This Row],[BER_IN]]</f>
        <v>473</v>
      </c>
      <c r="AK42" s="68">
        <v>0</v>
      </c>
      <c r="AL42" s="87">
        <v>45.115200000000002</v>
      </c>
      <c r="AM42" s="87">
        <v>4270360</v>
      </c>
      <c r="AN42" s="87">
        <f>TABL123[[#This Row],[ (RESV. STORGE) SER]]/10</f>
        <v>427036</v>
      </c>
      <c r="AO42" s="45">
        <v>1545</v>
      </c>
      <c r="AP42" s="32">
        <f>TABL123[[#This Row],[(A/S) AJD]]-TABL123[[#This Row],[SER_IN]]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 (T/B) SAR]]+TABL123[[#This Row],[ (S/S) SAR]]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 (S/S) SAR]]-TABL123[[#This Row],[(S/S) AJD]]</f>
        <v>41</v>
      </c>
      <c r="Q43" s="39">
        <v>421</v>
      </c>
      <c r="R43" s="3">
        <f>TABL123[[#This Row],[ (T/B) SAR]]-TABL123[[#This Row],[(T/B) AJD]]</f>
        <v>28</v>
      </c>
      <c r="S43" s="3">
        <f>TABL123[[#This Row],[T/B-CON.]]+TABL123[[#This Row],[S/S_CON.]]</f>
        <v>69</v>
      </c>
      <c r="T43" s="3">
        <f>TABL123[[#This Row],[(S/S) AJD]]+TABL123[[#This Row],[(T/B) AJD]]</f>
        <v>811</v>
      </c>
      <c r="U43" s="41">
        <v>556</v>
      </c>
      <c r="V43" s="41">
        <v>275</v>
      </c>
      <c r="W43" s="3">
        <f>TABL123[[#This Row],[(A/B) AJD]]+TABL123[[#This Row],[(A/S)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3">
        <f>TABL123[[#This Row],[( S/S+T/B) AJD]]-(TABL123[[#This Row],[(A/B + A/S) AJD]]+TABL123[[#This Row],[(STORGE DIFF.) AJD]]+(TABL123[[#This Row],[AJD_Evaporation]])/1000)</f>
        <v>11.398000000000025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8">
        <f>TABL123[[#This Row],[(A/B) AJD]]-TABL123[[#This Row],[BER_IN]]</f>
        <v>467</v>
      </c>
      <c r="AK43" s="68">
        <v>0</v>
      </c>
      <c r="AL43" s="87">
        <v>45.024799999999999</v>
      </c>
      <c r="AM43" s="87">
        <v>4219780</v>
      </c>
      <c r="AN43" s="87">
        <f>TABL123[[#This Row],[ (RESV. STORGE) SER]]/10</f>
        <v>421978</v>
      </c>
      <c r="AO43" s="43">
        <v>1533</v>
      </c>
      <c r="AP43" s="32">
        <f>TABL123[[#This Row],[(A/S) AJD]]-TABL123[[#This Row],[SER_IN]]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 (T/B) SAR]]+TABL123[[#This Row],[ (S/S) SAR]]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 (S/S) SAR]]-TABL123[[#This Row],[(S/S) AJD]]</f>
        <v>45</v>
      </c>
      <c r="Q44" s="40">
        <v>418</v>
      </c>
      <c r="R44" s="3">
        <f>TABL123[[#This Row],[ (T/B) SAR]]-TABL123[[#This Row],[(T/B) AJD]]</f>
        <v>29</v>
      </c>
      <c r="S44" s="3">
        <f>TABL123[[#This Row],[T/B-CON.]]+TABL123[[#This Row],[S/S_CON.]]</f>
        <v>74</v>
      </c>
      <c r="T44" s="3">
        <f>TABL123[[#This Row],[(S/S) AJD]]+TABL123[[#This Row],[(T/B) AJD]]</f>
        <v>806</v>
      </c>
      <c r="U44" s="44">
        <v>538</v>
      </c>
      <c r="V44" s="44">
        <v>264</v>
      </c>
      <c r="W44" s="3">
        <f>TABL123[[#This Row],[(A/B) AJD]]+TABL123[[#This Row],[(A/S)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3">
        <f>TABL123[[#This Row],[( S/S+T/B) AJD]]-(TABL123[[#This Row],[(A/B + A/S) AJD]]+TABL123[[#This Row],[(STORGE DIFF.) AJD]]+(TABL123[[#This Row],[AJD_Evaporation]])/1000)</f>
        <v>37.741999999999962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8">
        <f>TABL123[[#This Row],[(A/B) AJD]]-TABL123[[#This Row],[BER_IN]]</f>
        <v>469</v>
      </c>
      <c r="AK44" s="68">
        <v>0</v>
      </c>
      <c r="AL44" s="87">
        <v>44.954599999999999</v>
      </c>
      <c r="AM44" s="87">
        <v>4181210</v>
      </c>
      <c r="AN44" s="87">
        <f>TABL123[[#This Row],[ (RESV. STORGE) SER]]/10</f>
        <v>418121</v>
      </c>
      <c r="AO44" s="45">
        <v>1565</v>
      </c>
      <c r="AP44" s="32">
        <f>TABL123[[#This Row],[(A/S) AJD]]-TABL123[[#This Row],[SER_IN]]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 (T/B) SAR]]+TABL123[[#This Row],[ (S/S) SAR]]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 (S/S) SAR]]-TABL123[[#This Row],[(S/S) AJD]]</f>
        <v>23</v>
      </c>
      <c r="Q45" s="39">
        <v>420</v>
      </c>
      <c r="R45" s="3">
        <f>TABL123[[#This Row],[ (T/B) SAR]]-TABL123[[#This Row],[(T/B) AJD]]</f>
        <v>7</v>
      </c>
      <c r="S45" s="3">
        <f>TABL123[[#This Row],[T/B-CON.]]+TABL123[[#This Row],[S/S_CON.]]</f>
        <v>30</v>
      </c>
      <c r="T45" s="3">
        <f>TABL123[[#This Row],[(S/S) AJD]]+TABL123[[#This Row],[(T/B) AJD]]</f>
        <v>809</v>
      </c>
      <c r="U45" s="41">
        <v>519</v>
      </c>
      <c r="V45" s="41">
        <v>267</v>
      </c>
      <c r="W45" s="3">
        <f>TABL123[[#This Row],[(A/B) AJD]]+TABL123[[#This Row],[(A/S)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3">
        <f>TABL123[[#This Row],[( S/S+T/B) AJD]]-(TABL123[[#This Row],[(A/B + A/S) AJD]]+TABL123[[#This Row],[(STORGE DIFF.) AJD]]+(TABL123[[#This Row],[AJD_Evaporation]])/1000)</f>
        <v>18.854000000000042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8">
        <f>TABL123[[#This Row],[(A/B) AJD]]-TABL123[[#This Row],[BER_IN]]</f>
        <v>458</v>
      </c>
      <c r="AK45" s="68">
        <v>0</v>
      </c>
      <c r="AL45" s="87">
        <v>44.924199999999999</v>
      </c>
      <c r="AM45" s="87">
        <v>4163967</v>
      </c>
      <c r="AN45" s="87">
        <f>TABL123[[#This Row],[ (RESV. STORGE) SER]]/10</f>
        <v>416396.7</v>
      </c>
      <c r="AO45" s="43">
        <v>1544</v>
      </c>
      <c r="AP45" s="32">
        <f>TABL123[[#This Row],[(A/S) AJD]]-TABL123[[#This Row],[SER_IN]]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 (T/B) SAR]]+TABL123[[#This Row],[ (S/S) SAR]]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 (S/S) SAR]]-TABL123[[#This Row],[(S/S) AJD]]</f>
        <v>22</v>
      </c>
      <c r="Q46" s="40">
        <v>422</v>
      </c>
      <c r="R46" s="3">
        <f>TABL123[[#This Row],[ (T/B) SAR]]-TABL123[[#This Row],[(T/B) AJD]]</f>
        <v>5</v>
      </c>
      <c r="S46" s="3">
        <f>TABL123[[#This Row],[T/B-CON.]]+TABL123[[#This Row],[S/S_CON.]]</f>
        <v>27</v>
      </c>
      <c r="T46" s="3">
        <f>TABL123[[#This Row],[(S/S) AJD]]+TABL123[[#This Row],[(T/B) AJD]]</f>
        <v>812</v>
      </c>
      <c r="U46" s="44">
        <v>521</v>
      </c>
      <c r="V46" s="44">
        <v>244</v>
      </c>
      <c r="W46" s="3">
        <f>TABL123[[#This Row],[(A/B) AJD]]+TABL123[[#This Row],[(A/S)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3">
        <f>TABL123[[#This Row],[( S/S+T/B) AJD]]-(TABL123[[#This Row],[(A/B + A/S) AJD]]+TABL123[[#This Row],[(STORGE DIFF.) AJD]]+(TABL123[[#This Row],[AJD_Evaporation]])/1000)</f>
        <v>2.5960000000000036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8">
        <f>TABL123[[#This Row],[(A/B) AJD]]-TABL123[[#This Row],[BER_IN]]</f>
        <v>461</v>
      </c>
      <c r="AK46" s="68">
        <v>0</v>
      </c>
      <c r="AL46" s="87">
        <v>44.877699999999997</v>
      </c>
      <c r="AM46" s="87">
        <v>4137560</v>
      </c>
      <c r="AN46" s="87">
        <f>TABL123[[#This Row],[ (RESV. STORGE) SER]]/10</f>
        <v>413756</v>
      </c>
      <c r="AO46" s="45">
        <v>1565</v>
      </c>
      <c r="AP46" s="32">
        <f>TABL123[[#This Row],[(A/S) AJD]]-TABL123[[#This Row],[SER_IN]]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 (T/B) SAR]]+TABL123[[#This Row],[ (S/S) SAR]]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 (S/S) SAR]]-TABL123[[#This Row],[(S/S) AJD]]</f>
        <v>41</v>
      </c>
      <c r="Q47" s="39">
        <v>422</v>
      </c>
      <c r="R47" s="3">
        <f>TABL123[[#This Row],[ (T/B) SAR]]-TABL123[[#This Row],[(T/B) AJD]]</f>
        <v>17</v>
      </c>
      <c r="S47" s="3">
        <f>TABL123[[#This Row],[T/B-CON.]]+TABL123[[#This Row],[S/S_CON.]]</f>
        <v>58</v>
      </c>
      <c r="T47" s="3">
        <f>TABL123[[#This Row],[(S/S) AJD]]+TABL123[[#This Row],[(T/B) AJD]]</f>
        <v>812</v>
      </c>
      <c r="U47" s="41">
        <v>446</v>
      </c>
      <c r="V47" s="41">
        <v>250</v>
      </c>
      <c r="W47" s="3">
        <f>TABL123[[#This Row],[(A/B) AJD]]+TABL123[[#This Row],[(A/S)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3">
        <f>TABL123[[#This Row],[( S/S+T/B) AJD]]-(TABL123[[#This Row],[(A/B + A/S) AJD]]+TABL123[[#This Row],[(STORGE DIFF.) AJD]]+(TABL123[[#This Row],[AJD_Evaporation]])/1000)</f>
        <v>49.008000000000038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8">
        <f>TABL123[[#This Row],[(A/B) AJD]]-TABL123[[#This Row],[BER_IN]]</f>
        <v>386</v>
      </c>
      <c r="AK47" s="68">
        <v>0</v>
      </c>
      <c r="AL47" s="87">
        <v>44.819800000000001</v>
      </c>
      <c r="AM47" s="87">
        <v>4106090</v>
      </c>
      <c r="AN47" s="87">
        <f>TABL123[[#This Row],[ (RESV. STORGE) SER]]/10</f>
        <v>410609</v>
      </c>
      <c r="AO47" s="43">
        <v>1573</v>
      </c>
      <c r="AP47" s="32">
        <f>TABL123[[#This Row],[(A/S) AJD]]-TABL123[[#This Row],[SER_IN]]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 (T/B) SAR]]+TABL123[[#This Row],[ (S/S) SAR]]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 (S/S) SAR]]-TABL123[[#This Row],[(S/S) AJD]]</f>
        <v>41</v>
      </c>
      <c r="Q48" s="40">
        <v>422</v>
      </c>
      <c r="R48" s="3">
        <f>TABL123[[#This Row],[ (T/B) SAR]]-TABL123[[#This Row],[(T/B) AJD]]</f>
        <v>23</v>
      </c>
      <c r="S48" s="3">
        <f>TABL123[[#This Row],[T/B-CON.]]+TABL123[[#This Row],[S/S_CON.]]</f>
        <v>64</v>
      </c>
      <c r="T48" s="3">
        <f>TABL123[[#This Row],[(S/S) AJD]]+TABL123[[#This Row],[(T/B) AJD]]</f>
        <v>813</v>
      </c>
      <c r="U48" s="44">
        <v>516</v>
      </c>
      <c r="V48" s="44">
        <v>248</v>
      </c>
      <c r="W48" s="3">
        <f>TABL123[[#This Row],[(A/B) AJD]]+TABL123[[#This Row],[(A/S)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3">
        <f>TABL123[[#This Row],[( S/S+T/B) AJD]]-(TABL123[[#This Row],[(A/B + A/S) AJD]]+TABL123[[#This Row],[(STORGE DIFF.) AJD]]+(TABL123[[#This Row],[AJD_Evaporation]])/1000)</f>
        <v>16.351999999999975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8">
        <f>TABL123[[#This Row],[(A/B) AJD]]-TABL123[[#This Row],[BER_IN]]</f>
        <v>456</v>
      </c>
      <c r="AK48" s="68">
        <v>0</v>
      </c>
      <c r="AL48" s="87">
        <v>44.786200000000001</v>
      </c>
      <c r="AM48" s="87">
        <v>4067260</v>
      </c>
      <c r="AN48" s="87">
        <f>TABL123[[#This Row],[ (RESV. STORGE) SER]]/10</f>
        <v>406726</v>
      </c>
      <c r="AO48" s="45">
        <v>1830</v>
      </c>
      <c r="AP48" s="32">
        <f>TABL123[[#This Row],[(A/S) AJD]]-TABL123[[#This Row],[SER_IN]]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 (T/B) SAR]]+TABL123[[#This Row],[ (S/S) SAR]]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 (S/S) SAR]]-TABL123[[#This Row],[(S/S) AJD]]</f>
        <v>42</v>
      </c>
      <c r="Q49" s="39">
        <v>422</v>
      </c>
      <c r="R49" s="3">
        <f>TABL123[[#This Row],[ (T/B) SAR]]-TABL123[[#This Row],[(T/B) AJD]]</f>
        <v>28</v>
      </c>
      <c r="S49" s="3">
        <f>TABL123[[#This Row],[T/B-CON.]]+TABL123[[#This Row],[S/S_CON.]]</f>
        <v>70</v>
      </c>
      <c r="T49" s="3">
        <f>TABL123[[#This Row],[(S/S) AJD]]+TABL123[[#This Row],[(T/B) AJD]]</f>
        <v>813</v>
      </c>
      <c r="U49" s="41">
        <v>521</v>
      </c>
      <c r="V49" s="41">
        <v>249</v>
      </c>
      <c r="W49" s="3">
        <f>TABL123[[#This Row],[(A/B) AJD]]+TABL123[[#This Row],[(A/S)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3">
        <f>TABL123[[#This Row],[( S/S+T/B) AJD]]-(TABL123[[#This Row],[(A/B + A/S) AJD]]+TABL123[[#This Row],[(STORGE DIFF.) AJD]]+(TABL123[[#This Row],[AJD_Evaporation]])/1000)</f>
        <v>44.783000000000015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8">
        <f>TABL123[[#This Row],[(A/B) AJD]]-TABL123[[#This Row],[BER_IN]]</f>
        <v>461</v>
      </c>
      <c r="AK49" s="68">
        <v>0</v>
      </c>
      <c r="AL49" s="87">
        <v>44.742899999999999</v>
      </c>
      <c r="AM49" s="87">
        <v>4063390</v>
      </c>
      <c r="AN49" s="87">
        <f>TABL123[[#This Row],[ (RESV. STORGE) SER]]/10</f>
        <v>406339</v>
      </c>
      <c r="AO49" s="43">
        <v>1870</v>
      </c>
      <c r="AP49" s="32">
        <f>TABL123[[#This Row],[(A/S) AJD]]-TABL123[[#This Row],[SER_IN]]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 (T/B) SAR]]+TABL123[[#This Row],[ (S/S) SAR]]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 (S/S) SAR]]-TABL123[[#This Row],[(S/S) AJD]]</f>
        <v>49</v>
      </c>
      <c r="Q50" s="40">
        <v>422</v>
      </c>
      <c r="R50" s="3">
        <f>TABL123[[#This Row],[ (T/B) SAR]]-TABL123[[#This Row],[(T/B) AJD]]</f>
        <v>38</v>
      </c>
      <c r="S50" s="3">
        <f>TABL123[[#This Row],[T/B-CON.]]+TABL123[[#This Row],[S/S_CON.]]</f>
        <v>87</v>
      </c>
      <c r="T50" s="3">
        <f>TABL123[[#This Row],[(S/S) AJD]]+TABL123[[#This Row],[(T/B) AJD]]</f>
        <v>813</v>
      </c>
      <c r="U50" s="44">
        <v>516</v>
      </c>
      <c r="V50" s="44">
        <v>248</v>
      </c>
      <c r="W50" s="3">
        <f>TABL123[[#This Row],[(A/B) AJD]]+TABL123[[#This Row],[(A/S)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3">
        <f>TABL123[[#This Row],[( S/S+T/B) AJD]]-(TABL123[[#This Row],[(A/B + A/S) AJD]]+TABL123[[#This Row],[(STORGE DIFF.) AJD]]+(TABL123[[#This Row],[AJD_Evaporation]])/1000)</f>
        <v>47.216999999999985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8">
        <f>TABL123[[#This Row],[(A/B) AJD]]-TABL123[[#This Row],[BER_IN]]</f>
        <v>456</v>
      </c>
      <c r="AK50" s="68">
        <v>0</v>
      </c>
      <c r="AL50" s="87">
        <v>44.725099999999998</v>
      </c>
      <c r="AM50" s="87">
        <v>4053400</v>
      </c>
      <c r="AN50" s="87">
        <f>TABL123[[#This Row],[ (RESV. STORGE) SER]]/10</f>
        <v>405340</v>
      </c>
      <c r="AO50" s="45">
        <v>1790</v>
      </c>
      <c r="AP50" s="32">
        <f>TABL123[[#This Row],[(A/S) AJD]]-TABL123[[#This Row],[SER_IN]]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 (T/B) SAR]]+TABL123[[#This Row],[ (S/S) SAR]]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 (S/S) SAR]]-TABL123[[#This Row],[(S/S) AJD]]</f>
        <v>51</v>
      </c>
      <c r="Q51" s="39">
        <v>429</v>
      </c>
      <c r="R51" s="3">
        <f>TABL123[[#This Row],[ (T/B) SAR]]-TABL123[[#This Row],[(T/B) AJD]]</f>
        <v>33</v>
      </c>
      <c r="S51" s="3">
        <f>TABL123[[#This Row],[T/B-CON.]]+TABL123[[#This Row],[S/S_CON.]]</f>
        <v>84</v>
      </c>
      <c r="T51" s="3">
        <f>TABL123[[#This Row],[(S/S) AJD]]+TABL123[[#This Row],[(T/B) AJD]]</f>
        <v>826</v>
      </c>
      <c r="U51" s="41">
        <v>515</v>
      </c>
      <c r="V51" s="41">
        <v>250</v>
      </c>
      <c r="W51" s="3">
        <f>TABL123[[#This Row],[(A/B) AJD]]+TABL123[[#This Row],[(A/S)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3">
        <f>TABL123[[#This Row],[( S/S+T/B) AJD]]-(TABL123[[#This Row],[(A/B + A/S) AJD]]+TABL123[[#This Row],[(STORGE DIFF.) AJD]]+(TABL123[[#This Row],[AJD_Evaporation]])/1000)</f>
        <v>30.114000000000033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8">
        <f>TABL123[[#This Row],[(A/B) AJD]]-TABL123[[#This Row],[BER_IN]]</f>
        <v>455</v>
      </c>
      <c r="AK51" s="68">
        <v>0</v>
      </c>
      <c r="AL51" s="87">
        <v>44.648400000000002</v>
      </c>
      <c r="AM51" s="87">
        <v>4011220</v>
      </c>
      <c r="AN51" s="87">
        <f>TABL123[[#This Row],[ (RESV. STORGE) SER]]/10</f>
        <v>401122</v>
      </c>
      <c r="AO51" s="43">
        <v>1780</v>
      </c>
      <c r="AP51" s="32">
        <f>TABL123[[#This Row],[(A/S) AJD]]-TABL123[[#This Row],[SER_IN]]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 (T/B) SAR]]+TABL123[[#This Row],[ (S/S) SAR]]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 (S/S) SAR]]-TABL123[[#This Row],[(S/S) AJD]]</f>
        <v>41</v>
      </c>
      <c r="Q52" s="40">
        <v>435</v>
      </c>
      <c r="R52" s="3">
        <f>TABL123[[#This Row],[ (T/B) SAR]]-TABL123[[#This Row],[(T/B) AJD]]</f>
        <v>24</v>
      </c>
      <c r="S52" s="3">
        <f>TABL123[[#This Row],[T/B-CON.]]+TABL123[[#This Row],[S/S_CON.]]</f>
        <v>65</v>
      </c>
      <c r="T52" s="3">
        <f>TABL123[[#This Row],[(S/S) AJD]]+TABL123[[#This Row],[(T/B) AJD]]</f>
        <v>836</v>
      </c>
      <c r="U52" s="44">
        <v>531</v>
      </c>
      <c r="V52" s="44">
        <v>246</v>
      </c>
      <c r="W52" s="3">
        <f>TABL123[[#This Row],[(A/B) AJD]]+TABL123[[#This Row],[(A/S)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3">
        <f>TABL123[[#This Row],[( S/S+T/B) AJD]]-(TABL123[[#This Row],[(A/B + A/S) AJD]]+TABL123[[#This Row],[(STORGE DIFF.) AJD]]+(TABL123[[#This Row],[AJD_Evaporation]])/1000)</f>
        <v>8.4639999999999418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8">
        <f>TABL123[[#This Row],[(A/B) AJD]]-TABL123[[#This Row],[BER_IN]]</f>
        <v>457</v>
      </c>
      <c r="AK52" s="68">
        <v>0</v>
      </c>
      <c r="AL52" s="87">
        <v>44.472299999999997</v>
      </c>
      <c r="AM52" s="87">
        <v>3913310</v>
      </c>
      <c r="AN52" s="87">
        <f>TABL123[[#This Row],[ (RESV. STORGE) SER]]/10</f>
        <v>391331</v>
      </c>
      <c r="AO52" s="45">
        <v>1810</v>
      </c>
      <c r="AP52" s="32">
        <f>TABL123[[#This Row],[(A/S) AJD]]-TABL123[[#This Row],[SER_IN]]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 (T/B) SAR]]+TABL123[[#This Row],[ (S/S) SAR]]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 (S/S) SAR]]-TABL123[[#This Row],[(S/S) AJD]]</f>
        <v>45</v>
      </c>
      <c r="Q53" s="39">
        <v>431</v>
      </c>
      <c r="R53" s="3">
        <f>TABL123[[#This Row],[ (T/B) SAR]]-TABL123[[#This Row],[(T/B) AJD]]</f>
        <v>27</v>
      </c>
      <c r="S53" s="3">
        <f>TABL123[[#This Row],[T/B-CON.]]+TABL123[[#This Row],[S/S_CON.]]</f>
        <v>72</v>
      </c>
      <c r="T53" s="3">
        <f>TABL123[[#This Row],[(S/S) AJD]]+TABL123[[#This Row],[(T/B) AJD]]</f>
        <v>828</v>
      </c>
      <c r="U53" s="41">
        <v>520</v>
      </c>
      <c r="V53" s="41">
        <v>247</v>
      </c>
      <c r="W53" s="3">
        <f>TABL123[[#This Row],[(A/B) AJD]]+TABL123[[#This Row],[(A/S)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3">
        <f>TABL123[[#This Row],[( S/S+T/B) AJD]]-(TABL123[[#This Row],[(A/B + A/S) AJD]]+TABL123[[#This Row],[(STORGE DIFF.) AJD]]+(TABL123[[#This Row],[AJD_Evaporation]])/1000)</f>
        <v>37.176000000000045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8">
        <f>TABL123[[#This Row],[(A/B) AJD]]-TABL123[[#This Row],[BER_IN]]</f>
        <v>440</v>
      </c>
      <c r="AK53" s="68">
        <v>0</v>
      </c>
      <c r="AL53" s="87">
        <v>44.305100000000003</v>
      </c>
      <c r="AM53" s="87">
        <v>3821120</v>
      </c>
      <c r="AN53" s="87">
        <f>TABL123[[#This Row],[ (RESV. STORGE) SER]]/10</f>
        <v>382112</v>
      </c>
      <c r="AO53" s="43">
        <v>1890</v>
      </c>
      <c r="AP53" s="32">
        <f>TABL123[[#This Row],[(A/S) AJD]]-TABL123[[#This Row],[SER_IN]]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 (T/B) SAR]]+TABL123[[#This Row],[ (S/S) SAR]]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 (S/S) SAR]]-TABL123[[#This Row],[(S/S) AJD]]</f>
        <v>40</v>
      </c>
      <c r="Q54" s="40">
        <v>433</v>
      </c>
      <c r="R54" s="3">
        <f>TABL123[[#This Row],[ (T/B) SAR]]-TABL123[[#This Row],[(T/B) AJD]]</f>
        <v>25</v>
      </c>
      <c r="S54" s="3">
        <f>TABL123[[#This Row],[T/B-CON.]]+TABL123[[#This Row],[S/S_CON.]]</f>
        <v>65</v>
      </c>
      <c r="T54" s="3">
        <f>TABL123[[#This Row],[(S/S) AJD]]+TABL123[[#This Row],[(T/B) AJD]]</f>
        <v>835</v>
      </c>
      <c r="U54" s="44">
        <v>540</v>
      </c>
      <c r="V54" s="44">
        <v>279</v>
      </c>
      <c r="W54" s="3">
        <f>TABL123[[#This Row],[(A/B) AJD]]+TABL123[[#This Row],[(A/S)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3">
        <f>TABL123[[#This Row],[( S/S+T/B) AJD]]-(TABL123[[#This Row],[(A/B + A/S) AJD]]+TABL123[[#This Row],[(STORGE DIFF.) AJD]]+(TABL123[[#This Row],[AJD_Evaporation]])/1000)</f>
        <v>21.975000000000023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8">
        <f>TABL123[[#This Row],[(A/B) AJD]]-TABL123[[#This Row],[BER_IN]]</f>
        <v>460</v>
      </c>
      <c r="AK54" s="68">
        <v>0</v>
      </c>
      <c r="AL54" s="87">
        <v>44.238199999999999</v>
      </c>
      <c r="AM54" s="87">
        <v>3784200</v>
      </c>
      <c r="AN54" s="87">
        <f>TABL123[[#This Row],[ (RESV. STORGE) SER]]/10</f>
        <v>378420</v>
      </c>
      <c r="AO54" s="45">
        <v>1820</v>
      </c>
      <c r="AP54" s="32">
        <f>TABL123[[#This Row],[(A/S) AJD]]-TABL123[[#This Row],[SER_IN]]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 (T/B) SAR]]+TABL123[[#This Row],[ (S/S) SAR]]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 (S/S) SAR]]-TABL123[[#This Row],[(S/S) AJD]]</f>
        <v>44</v>
      </c>
      <c r="Q55" s="39">
        <v>433</v>
      </c>
      <c r="R55" s="3">
        <f>TABL123[[#This Row],[ (T/B) SAR]]-TABL123[[#This Row],[(T/B) AJD]]</f>
        <v>27</v>
      </c>
      <c r="S55" s="3">
        <f>TABL123[[#This Row],[T/B-CON.]]+TABL123[[#This Row],[S/S_CON.]]</f>
        <v>71</v>
      </c>
      <c r="T55" s="3">
        <f>TABL123[[#This Row],[(S/S) AJD]]+TABL123[[#This Row],[(T/B) AJD]]</f>
        <v>837</v>
      </c>
      <c r="U55" s="41">
        <v>506</v>
      </c>
      <c r="V55" s="41">
        <v>246</v>
      </c>
      <c r="W55" s="3">
        <f>TABL123[[#This Row],[(A/B) AJD]]+TABL123[[#This Row],[(A/S)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3">
        <f>TABL123[[#This Row],[( S/S+T/B) AJD]]-(TABL123[[#This Row],[(A/B + A/S) AJD]]+TABL123[[#This Row],[(STORGE DIFF.) AJD]]+(TABL123[[#This Row],[AJD_Evaporation]])/1000)</f>
        <v>8.1549999999999727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8">
        <f>TABL123[[#This Row],[(A/B) AJD]]-TABL123[[#This Row],[BER_IN]]</f>
        <v>428</v>
      </c>
      <c r="AK55" s="68">
        <v>0</v>
      </c>
      <c r="AL55" s="87">
        <v>44.206800000000001</v>
      </c>
      <c r="AM55" s="87">
        <v>3767110</v>
      </c>
      <c r="AN55" s="87">
        <f>TABL123[[#This Row],[ (RESV. STORGE) SER]]/10</f>
        <v>376711</v>
      </c>
      <c r="AO55" s="43">
        <v>1890</v>
      </c>
      <c r="AP55" s="32">
        <f>TABL123[[#This Row],[(A/S) AJD]]-TABL123[[#This Row],[SER_IN]]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 (T/B) SAR]]+TABL123[[#This Row],[ (S/S) SAR]]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 (S/S) SAR]]-TABL123[[#This Row],[(S/S) AJD]]</f>
        <v>39</v>
      </c>
      <c r="Q56" s="40">
        <v>436</v>
      </c>
      <c r="R56" s="3">
        <f>TABL123[[#This Row],[ (T/B) SAR]]-TABL123[[#This Row],[(T/B) AJD]]</f>
        <v>24</v>
      </c>
      <c r="S56" s="3">
        <f>TABL123[[#This Row],[T/B-CON.]]+TABL123[[#This Row],[S/S_CON.]]</f>
        <v>63</v>
      </c>
      <c r="T56" s="3">
        <f>TABL123[[#This Row],[(S/S) AJD]]+TABL123[[#This Row],[(T/B) AJD]]</f>
        <v>845</v>
      </c>
      <c r="U56" s="44">
        <v>543</v>
      </c>
      <c r="V56" s="44">
        <v>236</v>
      </c>
      <c r="W56" s="3">
        <f>TABL123[[#This Row],[(A/B) AJD]]+TABL123[[#This Row],[(A/S)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3">
        <f>TABL123[[#This Row],[( S/S+T/B) AJD]]-(TABL123[[#This Row],[(A/B + A/S) AJD]]+TABL123[[#This Row],[(STORGE DIFF.) AJD]]+(TABL123[[#This Row],[AJD_Evaporation]])/1000)</f>
        <v>27.222999999999956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8">
        <f>TABL123[[#This Row],[(A/B) AJD]]-TABL123[[#This Row],[BER_IN]]</f>
        <v>466</v>
      </c>
      <c r="AK56" s="68">
        <v>0</v>
      </c>
      <c r="AL56" s="87">
        <v>44.175800000000002</v>
      </c>
      <c r="AM56" s="87">
        <v>3750270</v>
      </c>
      <c r="AN56" s="87">
        <f>TABL123[[#This Row],[ (RESV. STORGE) SER]]/10</f>
        <v>375027</v>
      </c>
      <c r="AO56" s="45">
        <v>1840</v>
      </c>
      <c r="AP56" s="32">
        <f>TABL123[[#This Row],[(A/S) AJD]]-TABL123[[#This Row],[SER_IN]]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 (T/B) SAR]]+TABL123[[#This Row],[ (S/S) SAR]]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 (S/S) SAR]]-TABL123[[#This Row],[(S/S) AJD]]</f>
        <v>6</v>
      </c>
      <c r="Q57" s="39">
        <v>407</v>
      </c>
      <c r="R57" s="3">
        <f>TABL123[[#This Row],[ (T/B) SAR]]-TABL123[[#This Row],[(T/B) AJD]]</f>
        <v>55</v>
      </c>
      <c r="S57" s="3">
        <f>TABL123[[#This Row],[T/B-CON.]]+TABL123[[#This Row],[S/S_CON.]]</f>
        <v>61</v>
      </c>
      <c r="T57" s="3">
        <f>TABL123[[#This Row],[(S/S) AJD]]+TABL123[[#This Row],[(T/B) AJD]]</f>
        <v>843</v>
      </c>
      <c r="U57" s="41">
        <v>565</v>
      </c>
      <c r="V57" s="41">
        <v>223</v>
      </c>
      <c r="W57" s="3">
        <f>TABL123[[#This Row],[(A/B) AJD]]+TABL123[[#This Row],[(A/S)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3">
        <f>TABL123[[#This Row],[( S/S+T/B) AJD]]-(TABL123[[#This Row],[(A/B + A/S) AJD]]+TABL123[[#This Row],[(STORGE DIFF.) AJD]]+(TABL123[[#This Row],[AJD_Evaporation]])/1000)</f>
        <v>31.133000000000038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8">
        <f>TABL123[[#This Row],[(A/B) AJD]]-TABL123[[#This Row],[BER_IN]]</f>
        <v>471</v>
      </c>
      <c r="AK57" s="68">
        <v>0</v>
      </c>
      <c r="AL57" s="87">
        <v>44.146299999999997</v>
      </c>
      <c r="AM57" s="87">
        <v>3733560</v>
      </c>
      <c r="AN57" s="87">
        <f>TABL123[[#This Row],[ (RESV. STORGE) SER]]/10</f>
        <v>373356</v>
      </c>
      <c r="AO57" s="43">
        <v>1810</v>
      </c>
      <c r="AP57" s="32">
        <f>TABL123[[#This Row],[(A/S) AJD]]-TABL123[[#This Row],[SER_IN]]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 (T/B) SAR]]+TABL123[[#This Row],[ (S/S) SAR]]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 (S/S) SAR]]-TABL123[[#This Row],[(S/S) AJD]]</f>
        <v>8</v>
      </c>
      <c r="Q58" s="40">
        <v>403</v>
      </c>
      <c r="R58" s="3">
        <f>TABL123[[#This Row],[ (T/B) SAR]]-TABL123[[#This Row],[(T/B) AJD]]</f>
        <v>59</v>
      </c>
      <c r="S58" s="3">
        <f>TABL123[[#This Row],[T/B-CON.]]+TABL123[[#This Row],[S/S_CON.]]</f>
        <v>67</v>
      </c>
      <c r="T58" s="3">
        <f>TABL123[[#This Row],[(S/S) AJD]]+TABL123[[#This Row],[(T/B) AJD]]</f>
        <v>837</v>
      </c>
      <c r="U58" s="44">
        <v>570</v>
      </c>
      <c r="V58" s="44">
        <v>238</v>
      </c>
      <c r="W58" s="3">
        <f>TABL123[[#This Row],[(A/B) AJD]]+TABL123[[#This Row],[(A/S)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3">
        <f>TABL123[[#This Row],[( S/S+T/B) AJD]]-(TABL123[[#This Row],[(A/B + A/S) AJD]]+TABL123[[#This Row],[(STORGE DIFF.) AJD]]+(TABL123[[#This Row],[AJD_Evaporation]])/1000)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8">
        <f>TABL123[[#This Row],[(A/B) AJD]]-TABL123[[#This Row],[BER_IN]]</f>
        <v>468</v>
      </c>
      <c r="AK58" s="68">
        <v>0</v>
      </c>
      <c r="AL58" s="87">
        <v>44.111400000000003</v>
      </c>
      <c r="AM58" s="87">
        <v>3714450</v>
      </c>
      <c r="AN58" s="87">
        <f>TABL123[[#This Row],[ (RESV. STORGE) SER]]/10</f>
        <v>371445</v>
      </c>
      <c r="AO58" s="45">
        <v>1810</v>
      </c>
      <c r="AP58" s="32">
        <f>TABL123[[#This Row],[(A/S) AJD]]-TABL123[[#This Row],[SER_IN]]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 (T/B) SAR]]+TABL123[[#This Row],[ (S/S) SAR]]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 (S/S) SAR]]-TABL123[[#This Row],[(S/S) AJD]]</f>
        <v>18</v>
      </c>
      <c r="Q59" s="39">
        <v>392</v>
      </c>
      <c r="R59" s="3">
        <f>TABL123[[#This Row],[ (T/B) SAR]]-TABL123[[#This Row],[(T/B) AJD]]</f>
        <v>70</v>
      </c>
      <c r="S59" s="3">
        <f>TABL123[[#This Row],[T/B-CON.]]+TABL123[[#This Row],[S/S_CON.]]</f>
        <v>88</v>
      </c>
      <c r="T59" s="3">
        <f>TABL123[[#This Row],[(S/S) AJD]]+TABL123[[#This Row],[(T/B) AJD]]</f>
        <v>816</v>
      </c>
      <c r="U59" s="41">
        <v>556</v>
      </c>
      <c r="V59" s="41">
        <v>251</v>
      </c>
      <c r="W59" s="3">
        <f>TABL123[[#This Row],[(A/B) AJD]]+TABL123[[#This Row],[(A/S)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3">
        <f>TABL123[[#This Row],[( S/S+T/B) AJD]]-(TABL123[[#This Row],[(A/B + A/S) AJD]]+TABL123[[#This Row],[(STORGE DIFF.) AJD]]+(TABL123[[#This Row],[AJD_Evaporation]])/1000)</f>
        <v>34.066000000000031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8">
        <f>TABL123[[#This Row],[(A/B) AJD]]-TABL123[[#This Row],[BER_IN]]</f>
        <v>452</v>
      </c>
      <c r="AK59" s="68">
        <v>0</v>
      </c>
      <c r="AL59" s="87">
        <v>44.177399999999999</v>
      </c>
      <c r="AM59" s="87">
        <v>3696260</v>
      </c>
      <c r="AN59" s="87">
        <f>TABL123[[#This Row],[ (RESV. STORGE) SER]]/10</f>
        <v>369626</v>
      </c>
      <c r="AO59" s="43">
        <v>1890</v>
      </c>
      <c r="AP59" s="32">
        <f>TABL123[[#This Row],[(A/S) AJD]]-TABL123[[#This Row],[SER_IN]]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 (T/B) SAR]]+TABL123[[#This Row],[ (S/S) SAR]]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 (S/S) SAR]]-TABL123[[#This Row],[(S/S) AJD]]</f>
        <v>-2</v>
      </c>
      <c r="Q60" s="40">
        <v>412</v>
      </c>
      <c r="R60" s="3">
        <f>TABL123[[#This Row],[ (T/B) SAR]]-TABL123[[#This Row],[(T/B) AJD]]</f>
        <v>48</v>
      </c>
      <c r="S60" s="3">
        <f>TABL123[[#This Row],[T/B-CON.]]+TABL123[[#This Row],[S/S_CON.]]</f>
        <v>46</v>
      </c>
      <c r="T60" s="3">
        <f>TABL123[[#This Row],[(S/S) AJD]]+TABL123[[#This Row],[(T/B) AJD]]</f>
        <v>854</v>
      </c>
      <c r="U60" s="44">
        <v>572</v>
      </c>
      <c r="V60" s="44">
        <v>260</v>
      </c>
      <c r="W60" s="3">
        <f>TABL123[[#This Row],[(A/B) AJD]]+TABL123[[#This Row],[(A/S)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3">
        <f>TABL123[[#This Row],[( S/S+T/B) AJD]]-(TABL123[[#This Row],[(A/B + A/S) AJD]]+TABL123[[#This Row],[(STORGE DIFF.) AJD]]+(TABL123[[#This Row],[AJD_Evaporation]])/1000)</f>
        <v>36.918999999999983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8">
        <f>TABL123[[#This Row],[(A/B) AJD]]-TABL123[[#This Row],[BER_IN]]</f>
        <v>468</v>
      </c>
      <c r="AK60" s="68">
        <v>0</v>
      </c>
      <c r="AL60" s="87">
        <v>44.0747</v>
      </c>
      <c r="AM60" s="87">
        <v>3694490</v>
      </c>
      <c r="AN60" s="87">
        <f>TABL123[[#This Row],[ (RESV. STORGE) SER]]/10</f>
        <v>369449</v>
      </c>
      <c r="AO60" s="45">
        <v>1770</v>
      </c>
      <c r="AP60" s="32">
        <f>TABL123[[#This Row],[(A/S) AJD]]-TABL123[[#This Row],[SER_IN]]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 (T/B) SAR]]+TABL123[[#This Row],[ (S/S) SAR]]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 (S/S) SAR]]-TABL123[[#This Row],[(S/S) AJD]]</f>
        <v>40</v>
      </c>
      <c r="Q61" s="39">
        <v>430</v>
      </c>
      <c r="R61" s="3">
        <f>TABL123[[#This Row],[ (T/B) SAR]]-TABL123[[#This Row],[(T/B) AJD]]</f>
        <v>29</v>
      </c>
      <c r="S61" s="3">
        <f>TABL123[[#This Row],[T/B-CON.]]+TABL123[[#This Row],[S/S_CON.]]</f>
        <v>69</v>
      </c>
      <c r="T61" s="3">
        <f>TABL123[[#This Row],[(S/S) AJD]]+TABL123[[#This Row],[(T/B) AJD]]</f>
        <v>831</v>
      </c>
      <c r="U61" s="41">
        <v>559</v>
      </c>
      <c r="V61" s="41">
        <v>268</v>
      </c>
      <c r="W61" s="3">
        <f>TABL123[[#This Row],[(A/B) AJD]]+TABL123[[#This Row],[(A/S)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3">
        <f>TABL123[[#This Row],[( S/S+T/B) AJD]]-(TABL123[[#This Row],[(A/B + A/S) AJD]]+TABL123[[#This Row],[(STORGE DIFF.) AJD]]+(TABL123[[#This Row],[AJD_Evaporation]])/1000)</f>
        <v>41.785000000000082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8">
        <f>TABL123[[#This Row],[(A/B) AJD]]-TABL123[[#This Row],[BER_IN]]</f>
        <v>457</v>
      </c>
      <c r="AK61" s="68">
        <v>0</v>
      </c>
      <c r="AL61" s="87">
        <v>44.062899999999999</v>
      </c>
      <c r="AM61" s="87">
        <v>3686870</v>
      </c>
      <c r="AN61" s="87">
        <f>TABL123[[#This Row],[ (RESV. STORGE) SER]]/10</f>
        <v>368687</v>
      </c>
      <c r="AO61" s="43">
        <v>1730</v>
      </c>
      <c r="AP61" s="32">
        <f>TABL123[[#This Row],[(A/S) AJD]]-TABL123[[#This Row],[SER_IN]]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 (T/B) SAR]]+TABL123[[#This Row],[ (S/S) SAR]]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 (S/S) SAR]]-TABL123[[#This Row],[(S/S) AJD]]</f>
        <v>40</v>
      </c>
      <c r="Q62" s="40">
        <v>430</v>
      </c>
      <c r="R62" s="3">
        <f>TABL123[[#This Row],[ (T/B) SAR]]-TABL123[[#This Row],[(T/B) AJD]]</f>
        <v>30</v>
      </c>
      <c r="S62" s="3">
        <f>TABL123[[#This Row],[T/B-CON.]]+TABL123[[#This Row],[S/S_CON.]]</f>
        <v>70</v>
      </c>
      <c r="T62" s="3">
        <f>TABL123[[#This Row],[(S/S) AJD]]+TABL123[[#This Row],[(T/B) AJD]]</f>
        <v>831</v>
      </c>
      <c r="U62" s="44">
        <v>559</v>
      </c>
      <c r="V62" s="44">
        <v>265</v>
      </c>
      <c r="W62" s="3">
        <f>TABL123[[#This Row],[(A/B) AJD]]+TABL123[[#This Row],[(A/S)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3">
        <f>TABL123[[#This Row],[( S/S+T/B) AJD]]-(TABL123[[#This Row],[(A/B + A/S) AJD]]+TABL123[[#This Row],[(STORGE DIFF.) AJD]]+(TABL123[[#This Row],[AJD_Evaporation]])/1000)</f>
        <v>18.956999999999994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8">
        <f>TABL123[[#This Row],[(A/B) AJD]]-TABL123[[#This Row],[BER_IN]]</f>
        <v>458</v>
      </c>
      <c r="AK62" s="68">
        <v>0</v>
      </c>
      <c r="AL62" s="87">
        <v>44.028799999999997</v>
      </c>
      <c r="AM62" s="87">
        <v>3669100</v>
      </c>
      <c r="AN62" s="87">
        <f>TABL123[[#This Row],[ (RESV. STORGE) SER]]/10</f>
        <v>366910</v>
      </c>
      <c r="AO62" s="45">
        <v>1745</v>
      </c>
      <c r="AP62" s="32">
        <f>TABL123[[#This Row],[(A/S) AJD]]-TABL123[[#This Row],[SER_IN]]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 (T/B) SAR]]+TABL123[[#This Row],[ (S/S) SAR]]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 (S/S) SAR]]-TABL123[[#This Row],[(S/S) AJD]]</f>
        <v>40</v>
      </c>
      <c r="Q63" s="39">
        <v>428</v>
      </c>
      <c r="R63" s="3">
        <f>TABL123[[#This Row],[ (T/B) SAR]]-TABL123[[#This Row],[(T/B) AJD]]</f>
        <v>32</v>
      </c>
      <c r="S63" s="3">
        <f>TABL123[[#This Row],[T/B-CON.]]+TABL123[[#This Row],[S/S_CON.]]</f>
        <v>72</v>
      </c>
      <c r="T63" s="3">
        <f>TABL123[[#This Row],[(S/S) AJD]]+TABL123[[#This Row],[(T/B) AJD]]</f>
        <v>828</v>
      </c>
      <c r="U63" s="41">
        <v>574</v>
      </c>
      <c r="V63" s="41">
        <v>249</v>
      </c>
      <c r="W63" s="3">
        <f>TABL123[[#This Row],[(A/B) AJD]]+TABL123[[#This Row],[(A/S)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3">
        <f>TABL123[[#This Row],[( S/S+T/B) AJD]]-(TABL123[[#This Row],[(A/B + A/S) AJD]]+TABL123[[#This Row],[(STORGE DIFF.) AJD]]+(TABL123[[#This Row],[AJD_Evaporation]])/1000)</f>
        <v>27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8">
        <f>TABL123[[#This Row],[(A/B) AJD]]-TABL123[[#This Row],[BER_IN]]</f>
        <v>473</v>
      </c>
      <c r="AK63" s="68">
        <v>0</v>
      </c>
      <c r="AL63" s="87">
        <v>43.975700000000003</v>
      </c>
      <c r="AM63" s="87">
        <v>3639840</v>
      </c>
      <c r="AN63" s="87">
        <f>TABL123[[#This Row],[ (RESV. STORGE) SER]]/10</f>
        <v>363984</v>
      </c>
      <c r="AO63" s="43">
        <v>1726</v>
      </c>
      <c r="AP63" s="32">
        <f>TABL123[[#This Row],[(A/S) AJD]]-TABL123[[#This Row],[SER_IN]]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 (T/B) SAR]]+TABL123[[#This Row],[ (S/S) SAR]]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 (S/S) SAR]]-TABL123[[#This Row],[(S/S) AJD]]</f>
        <v>39</v>
      </c>
      <c r="Q64" s="40">
        <v>429</v>
      </c>
      <c r="R64" s="3">
        <f>TABL123[[#This Row],[ (T/B) SAR]]-TABL123[[#This Row],[(T/B) AJD]]</f>
        <v>31</v>
      </c>
      <c r="S64" s="3">
        <f>TABL123[[#This Row],[T/B-CON.]]+TABL123[[#This Row],[S/S_CON.]]</f>
        <v>70</v>
      </c>
      <c r="T64" s="3">
        <f>TABL123[[#This Row],[(S/S) AJD]]+TABL123[[#This Row],[(T/B) AJD]]</f>
        <v>830</v>
      </c>
      <c r="U64" s="44">
        <v>579</v>
      </c>
      <c r="V64" s="44">
        <v>200</v>
      </c>
      <c r="W64" s="3">
        <f>TABL123[[#This Row],[(A/B) AJD]]+TABL123[[#This Row],[(A/S)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3">
        <f>TABL123[[#This Row],[( S/S+T/B) AJD]]-(TABL123[[#This Row],[(A/B + A/S) AJD]]+TABL123[[#This Row],[(STORGE DIFF.) AJD]]+(TABL123[[#This Row],[AJD_Evaporation]])/1000)</f>
        <v>28.963999999999942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8">
        <f>TABL123[[#This Row],[(A/B) AJD]]-TABL123[[#This Row],[BER_IN]]</f>
        <v>479</v>
      </c>
      <c r="AK64" s="68">
        <v>0</v>
      </c>
      <c r="AL64" s="87">
        <v>43.9221</v>
      </c>
      <c r="AM64" s="87">
        <v>3610490</v>
      </c>
      <c r="AN64" s="87">
        <f>TABL123[[#This Row],[ (RESV. STORGE) SER]]/10</f>
        <v>361049</v>
      </c>
      <c r="AO64" s="45">
        <v>1723</v>
      </c>
      <c r="AP64" s="32">
        <f>TABL123[[#This Row],[(A/S) AJD]]-TABL123[[#This Row],[SER_IN]]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 (T/B) SAR]]+TABL123[[#This Row],[ (S/S) SAR]]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 (S/S) SAR]]-TABL123[[#This Row],[(S/S) AJD]]</f>
        <v>40</v>
      </c>
      <c r="Q65" s="39">
        <v>428</v>
      </c>
      <c r="R65" s="3">
        <f>TABL123[[#This Row],[ (T/B) SAR]]-TABL123[[#This Row],[(T/B) AJD]]</f>
        <v>32</v>
      </c>
      <c r="S65" s="3">
        <f>TABL123[[#This Row],[T/B-CON.]]+TABL123[[#This Row],[S/S_CON.]]</f>
        <v>72</v>
      </c>
      <c r="T65" s="3">
        <f>TABL123[[#This Row],[(S/S) AJD]]+TABL123[[#This Row],[(T/B) AJD]]</f>
        <v>828</v>
      </c>
      <c r="U65" s="41">
        <v>577</v>
      </c>
      <c r="V65" s="41">
        <v>211</v>
      </c>
      <c r="W65" s="3">
        <f>TABL123[[#This Row],[(A/B) AJD]]+TABL123[[#This Row],[(A/S)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3">
        <f>TABL123[[#This Row],[( S/S+T/B) AJD]]-(TABL123[[#This Row],[(A/B + A/S) AJD]]+TABL123[[#This Row],[(STORGE DIFF.) AJD]]+(TABL123[[#This Row],[AJD_Evaporation]])/1000)</f>
        <v>45.953999999999951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8">
        <f>TABL123[[#This Row],[(A/B) AJD]]-TABL123[[#This Row],[BER_IN]]</f>
        <v>479</v>
      </c>
      <c r="AK65" s="68">
        <v>0</v>
      </c>
      <c r="AL65" s="87">
        <v>43.8613</v>
      </c>
      <c r="AM65" s="87">
        <v>3577400</v>
      </c>
      <c r="AN65" s="87">
        <f>TABL123[[#This Row],[ (RESV. STORGE) SER]]/10</f>
        <v>357740</v>
      </c>
      <c r="AO65" s="43">
        <v>1738</v>
      </c>
      <c r="AP65" s="32">
        <f>TABL123[[#This Row],[(A/S) AJD]]-TABL123[[#This Row],[SER_IN]]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 (T/B) SAR]]+TABL123[[#This Row],[ (S/S) SAR]]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 (S/S) SAR]]-TABL123[[#This Row],[(S/S) AJD]]</f>
        <v>39</v>
      </c>
      <c r="Q66" s="40">
        <v>427</v>
      </c>
      <c r="R66" s="3">
        <f>TABL123[[#This Row],[ (T/B) SAR]]-TABL123[[#This Row],[(T/B) AJD]]</f>
        <v>31</v>
      </c>
      <c r="S66" s="3">
        <f>TABL123[[#This Row],[T/B-CON.]]+TABL123[[#This Row],[S/S_CON.]]</f>
        <v>70</v>
      </c>
      <c r="T66" s="3">
        <f>TABL123[[#This Row],[(S/S) AJD]]+TABL123[[#This Row],[(T/B) AJD]]</f>
        <v>826</v>
      </c>
      <c r="U66" s="44">
        <v>569</v>
      </c>
      <c r="V66" s="44">
        <v>254</v>
      </c>
      <c r="W66" s="3">
        <f>TABL123[[#This Row],[(A/B) AJD]]+TABL123[[#This Row],[(A/S)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3">
        <f>TABL123[[#This Row],[( S/S+T/B) AJD]]-(TABL123[[#This Row],[(A/B + A/S) AJD]]+TABL123[[#This Row],[(STORGE DIFF.) AJD]]+(TABL123[[#This Row],[AJD_Evaporation]])/1000)</f>
        <v>29.802999999999997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8">
        <f>TABL123[[#This Row],[(A/B) AJD]]-TABL123[[#This Row],[BER_IN]]</f>
        <v>468</v>
      </c>
      <c r="AK66" s="68">
        <v>0</v>
      </c>
      <c r="AL66" s="87">
        <v>43.8063</v>
      </c>
      <c r="AM66" s="87">
        <v>3546991</v>
      </c>
      <c r="AN66" s="87">
        <f>TABL123[[#This Row],[ (RESV. STORGE) SER]]/10</f>
        <v>354699.1</v>
      </c>
      <c r="AO66" s="45">
        <v>1680</v>
      </c>
      <c r="AP66" s="32">
        <f>TABL123[[#This Row],[(A/S) AJD]]-TABL123[[#This Row],[SER_IN]]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 (T/B) SAR]]+TABL123[[#This Row],[ (S/S) SAR]]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 (S/S) SAR]]-TABL123[[#This Row],[(S/S) AJD]]</f>
        <v>40</v>
      </c>
      <c r="Q67" s="39">
        <v>428</v>
      </c>
      <c r="R67" s="3">
        <f>TABL123[[#This Row],[ (T/B) SAR]]-TABL123[[#This Row],[(T/B) AJD]]</f>
        <v>30</v>
      </c>
      <c r="S67" s="3">
        <f>TABL123[[#This Row],[T/B-CON.]]+TABL123[[#This Row],[S/S_CON.]]</f>
        <v>70</v>
      </c>
      <c r="T67" s="3">
        <f>TABL123[[#This Row],[(S/S) AJD]]+TABL123[[#This Row],[(T/B) AJD]]</f>
        <v>826</v>
      </c>
      <c r="U67" s="41">
        <v>574</v>
      </c>
      <c r="V67" s="41">
        <v>255</v>
      </c>
      <c r="W67" s="3">
        <f>TABL123[[#This Row],[(A/B) AJD]]+TABL123[[#This Row],[(A/S)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83">
        <f>TABL123[[#This Row],[( S/S+T/B) AJD]]-(TABL123[[#This Row],[(A/B + A/S) AJD]]+TABL123[[#This Row],[(STORGE DIFF.) AJD]]+(TABL123[[#This Row],[AJD_Evaporation]])/1000)</f>
        <v>22.461999999999989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8">
        <f>TABL123[[#This Row],[(A/B) AJD]]-TABL123[[#This Row],[BER_IN]]</f>
        <v>476</v>
      </c>
      <c r="AK67" s="68">
        <v>0</v>
      </c>
      <c r="AL67" s="87">
        <v>43.775199999999998</v>
      </c>
      <c r="AM67" s="87">
        <v>3530507</v>
      </c>
      <c r="AN67" s="87">
        <f>TABL123[[#This Row],[ (RESV. STORGE) SER]]/10</f>
        <v>353050.7</v>
      </c>
      <c r="AO67" s="43">
        <v>1710</v>
      </c>
      <c r="AP67" s="32">
        <f>TABL123[[#This Row],[(A/S) AJD]]-TABL123[[#This Row],[SER_IN]]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 (T/B) SAR]]+TABL123[[#This Row],[ (S/S) SAR]]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 (S/S) SAR]]-TABL123[[#This Row],[(S/S) AJD]]</f>
        <v>42</v>
      </c>
      <c r="Q68" s="40">
        <v>424</v>
      </c>
      <c r="R68" s="3">
        <f>TABL123[[#This Row],[ (T/B) SAR]]-TABL123[[#This Row],[(T/B) AJD]]</f>
        <v>34</v>
      </c>
      <c r="S68" s="3">
        <f>TABL123[[#This Row],[T/B-CON.]]+TABL123[[#This Row],[S/S_CON.]]</f>
        <v>76</v>
      </c>
      <c r="T68" s="3">
        <f>TABL123[[#This Row],[(S/S) AJD]]+TABL123[[#This Row],[(T/B) AJD]]</f>
        <v>820</v>
      </c>
      <c r="U68" s="44">
        <v>583</v>
      </c>
      <c r="V68" s="44">
        <v>256</v>
      </c>
      <c r="W68" s="3">
        <f>TABL123[[#This Row],[(A/B) AJD]]+TABL123[[#This Row],[(A/S)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IF(TRIM(Z68)="",,(Z68-Z67)/1000)</f>
        <v>-54.707000000000001</v>
      </c>
      <c r="AC68" s="45">
        <v>2816</v>
      </c>
      <c r="AD68" s="83">
        <f>TABL123[[#This Row],[( S/S+T/B) AJD]]-(TABL123[[#This Row],[(A/B + A/S) AJD]]+TABL123[[#This Row],[(STORGE DIFF.) AJD]]+(TABL123[[#This Row],[AJD_Evaporation]])/1000)</f>
        <v>32.890999999999963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8">
        <f>TABL123[[#This Row],[(A/B) AJD]]-TABL123[[#This Row],[BER_IN]]</f>
        <v>484</v>
      </c>
      <c r="AK68" s="68">
        <v>0</v>
      </c>
      <c r="AL68" s="87">
        <v>43.753700000000002</v>
      </c>
      <c r="AM68" s="87">
        <v>3518470</v>
      </c>
      <c r="AN68" s="87">
        <f>TABL123[[#This Row],[ (RESV. STORGE) SER]]/10</f>
        <v>351847</v>
      </c>
      <c r="AO68" s="45">
        <v>1727</v>
      </c>
      <c r="AP68" s="32">
        <f>TABL123[[#This Row],[(A/S) AJD]]-TABL123[[#This Row],[SER_IN]]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 (T/B) SAR]]+TABL123[[#This Row],[ (S/S) SAR]]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 (S/S) SAR]]-TABL123[[#This Row],[(S/S) AJD]]</f>
        <v>25</v>
      </c>
      <c r="Q69" s="39">
        <v>422</v>
      </c>
      <c r="R69" s="3">
        <f>TABL123[[#This Row],[ (T/B) SAR]]-TABL123[[#This Row],[(T/B) AJD]]</f>
        <v>6</v>
      </c>
      <c r="S69" s="3">
        <f>TABL123[[#This Row],[T/B-CON.]]+TABL123[[#This Row],[S/S_CON.]]</f>
        <v>31</v>
      </c>
      <c r="T69" s="3">
        <f>TABL123[[#This Row],[(S/S) AJD]]+TABL123[[#This Row],[(T/B) AJD]]</f>
        <v>815</v>
      </c>
      <c r="U69" s="41">
        <v>557</v>
      </c>
      <c r="V69" s="41">
        <v>255</v>
      </c>
      <c r="W69" s="3">
        <f>TABL123[[#This Row],[(A/B) AJD]]+TABL123[[#This Row],[(A/S)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3">
        <f>TABL123[[#This Row],[( S/S+T/B) AJD]]-(TABL123[[#This Row],[(A/B + A/S) AJD]]+TABL123[[#This Row],[(STORGE DIFF.) AJD]]+(TABL123[[#This Row],[AJD_Evaporation]])/1000)</f>
        <v>25.245999999999981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8">
        <f>TABL123[[#This Row],[(A/B) AJD]]-TABL123[[#This Row],[BER_IN]]</f>
        <v>468</v>
      </c>
      <c r="AK69" s="68">
        <v>0</v>
      </c>
      <c r="AL69" s="87">
        <v>43.729199999999999</v>
      </c>
      <c r="AM69" s="87">
        <v>3504800</v>
      </c>
      <c r="AN69" s="87">
        <f>TABL123[[#This Row],[ (RESV. STORGE) SER]]/10</f>
        <v>350480</v>
      </c>
      <c r="AO69" s="43">
        <v>1690</v>
      </c>
      <c r="AP69" s="32">
        <f>TABL123[[#This Row],[(A/S) AJD]]-TABL123[[#This Row],[SER_IN]]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 (T/B) SAR]]+TABL123[[#This Row],[ (S/S) SAR]]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 (S/S) SAR]]-TABL123[[#This Row],[(S/S) AJD]]</f>
        <v>38</v>
      </c>
      <c r="Q70" s="40">
        <v>411</v>
      </c>
      <c r="R70" s="3">
        <f>TABL123[[#This Row],[ (T/B) SAR]]-TABL123[[#This Row],[(T/B) AJD]]</f>
        <v>21</v>
      </c>
      <c r="S70" s="3">
        <f>TABL123[[#This Row],[T/B-CON.]]+TABL123[[#This Row],[S/S_CON.]]</f>
        <v>59</v>
      </c>
      <c r="T70" s="3">
        <f>TABL123[[#This Row],[(S/S) AJD]]+TABL123[[#This Row],[(T/B) AJD]]</f>
        <v>793</v>
      </c>
      <c r="U70" s="44">
        <v>532</v>
      </c>
      <c r="V70" s="44">
        <v>245</v>
      </c>
      <c r="W70" s="3">
        <f>TABL123[[#This Row],[(A/B) AJD]]+TABL123[[#This Row],[(A/S)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3">
        <f>TABL123[[#This Row],[( S/S+T/B) AJD]]-(TABL123[[#This Row],[(A/B + A/S) AJD]]+TABL123[[#This Row],[(STORGE DIFF.) AJD]]+(TABL123[[#This Row],[AJD_Evaporation]])/1000)</f>
        <v>23.258000000000038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8">
        <f>TABL123[[#This Row],[(A/B) AJD]]-TABL123[[#This Row],[BER_IN]]</f>
        <v>452</v>
      </c>
      <c r="AK70" s="68">
        <v>0</v>
      </c>
      <c r="AL70" s="87">
        <v>43.681600000000003</v>
      </c>
      <c r="AM70" s="87">
        <v>3475830</v>
      </c>
      <c r="AN70" s="87">
        <f>TABL123[[#This Row],[ (RESV. STORGE) SER]]/10</f>
        <v>347583</v>
      </c>
      <c r="AO70" s="45">
        <v>1685</v>
      </c>
      <c r="AP70" s="32">
        <f>TABL123[[#This Row],[(A/S) AJD]]-TABL123[[#This Row],[SER_IN]]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 (T/B) SAR]]+TABL123[[#This Row],[ (S/S) SAR]]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 (S/S) SAR]]-TABL123[[#This Row],[(S/S) AJD]]</f>
        <v>41</v>
      </c>
      <c r="Q71" s="39">
        <v>408</v>
      </c>
      <c r="R71" s="3">
        <f>TABL123[[#This Row],[ (T/B) SAR]]-TABL123[[#This Row],[(T/B) AJD]]</f>
        <v>24</v>
      </c>
      <c r="S71" s="3">
        <f>TABL123[[#This Row],[T/B-CON.]]+TABL123[[#This Row],[S/S_CON.]]</f>
        <v>65</v>
      </c>
      <c r="T71" s="3">
        <f>TABL123[[#This Row],[(S/S) AJD]]+TABL123[[#This Row],[(T/B) AJD]]</f>
        <v>787</v>
      </c>
      <c r="U71" s="41">
        <v>513</v>
      </c>
      <c r="V71" s="41">
        <v>245</v>
      </c>
      <c r="W71" s="3">
        <f>TABL123[[#This Row],[(A/B) AJD]]+TABL123[[#This Row],[(A/S)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3">
        <f>TABL123[[#This Row],[( S/S+T/B) AJD]]-(TABL123[[#This Row],[(A/B + A/S) AJD]]+TABL123[[#This Row],[(STORGE DIFF.) AJD]]+(TABL123[[#This Row],[AJD_Evaporation]])/1000)</f>
        <v>21.255999999999972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8">
        <f>TABL123[[#This Row],[(A/B) AJD]]-TABL123[[#This Row],[BER_IN]]</f>
        <v>433</v>
      </c>
      <c r="AK71" s="68">
        <v>0</v>
      </c>
      <c r="AL71" s="87">
        <v>43.645400000000002</v>
      </c>
      <c r="AM71" s="87">
        <v>3459380</v>
      </c>
      <c r="AN71" s="87">
        <f>TABL123[[#This Row],[ (RESV. STORGE) SER]]/10</f>
        <v>345938</v>
      </c>
      <c r="AO71" s="43">
        <v>1675</v>
      </c>
      <c r="AP71" s="32">
        <f>TABL123[[#This Row],[(A/S) AJD]]-TABL123[[#This Row],[SER_IN]]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 (T/B) SAR]]+TABL123[[#This Row],[ (S/S) SAR]]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 (S/S) SAR]]-TABL123[[#This Row],[(S/S) AJD]]</f>
        <v>40</v>
      </c>
      <c r="Q72" s="40">
        <v>407</v>
      </c>
      <c r="R72" s="3">
        <f>TABL123[[#This Row],[ (T/B) SAR]]-TABL123[[#This Row],[(T/B) AJD]]</f>
        <v>31</v>
      </c>
      <c r="S72" s="3">
        <f>TABL123[[#This Row],[T/B-CON.]]+TABL123[[#This Row],[S/S_CON.]]</f>
        <v>71</v>
      </c>
      <c r="T72" s="3">
        <f>TABL123[[#This Row],[(S/S) AJD]]+TABL123[[#This Row],[(T/B) AJD]]</f>
        <v>787</v>
      </c>
      <c r="U72" s="44">
        <v>546</v>
      </c>
      <c r="V72" s="44">
        <v>281</v>
      </c>
      <c r="W72" s="3">
        <f>TABL123[[#This Row],[(A/B) AJD]]+TABL123[[#This Row],[(A/S)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3">
        <f>TABL123[[#This Row],[( S/S+T/B) AJD]]-(TABL123[[#This Row],[(A/B + A/S) AJD]]+TABL123[[#This Row],[(STORGE DIFF.) AJD]]+(TABL123[[#This Row],[AJD_Evaporation]])/1000)</f>
        <v>26.379999999999995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8">
        <f>TABL123[[#This Row],[(A/B) AJD]]-TABL123[[#This Row],[BER_IN]]</f>
        <v>466</v>
      </c>
      <c r="AK72" s="68">
        <v>0</v>
      </c>
      <c r="AL72" s="87">
        <v>43.608499999999999</v>
      </c>
      <c r="AM72" s="87">
        <v>3438700</v>
      </c>
      <c r="AN72" s="87">
        <f>TABL123[[#This Row],[ (RESV. STORGE) SER]]/10</f>
        <v>343870</v>
      </c>
      <c r="AO72" s="45">
        <v>1670</v>
      </c>
      <c r="AP72" s="32">
        <f>TABL123[[#This Row],[(A/S) AJD]]-TABL123[[#This Row],[SER_IN]]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 (T/B) SAR]]+TABL123[[#This Row],[ (S/S) SAR]]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 (S/S) SAR]]-TABL123[[#This Row],[(S/S) AJD]]</f>
        <v>38</v>
      </c>
      <c r="Q73" s="39">
        <v>409</v>
      </c>
      <c r="R73" s="3">
        <f>TABL123[[#This Row],[ (T/B) SAR]]-TABL123[[#This Row],[(T/B) AJD]]</f>
        <v>29</v>
      </c>
      <c r="S73" s="3">
        <f>TABL123[[#This Row],[T/B-CON.]]+TABL123[[#This Row],[S/S_CON.]]</f>
        <v>67</v>
      </c>
      <c r="T73" s="3">
        <f>TABL123[[#This Row],[(S/S) AJD]]+TABL123[[#This Row],[(T/B) AJD]]</f>
        <v>791</v>
      </c>
      <c r="U73" s="41">
        <v>557</v>
      </c>
      <c r="V73" s="41">
        <v>254</v>
      </c>
      <c r="W73" s="3">
        <f>TABL123[[#This Row],[(A/B) AJD]]+TABL123[[#This Row],[(A/S)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3">
        <f>TABL123[[#This Row],[( S/S+T/B) AJD]]-(TABL123[[#This Row],[(A/B + A/S) AJD]]+TABL123[[#This Row],[(STORGE DIFF.) AJD]]+(TABL123[[#This Row],[AJD_Evaporation]])/1000)</f>
        <v>23.562000000000012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8">
        <f>TABL123[[#This Row],[(A/B) AJD]]-TABL123[[#This Row],[BER_IN]]</f>
        <v>477</v>
      </c>
      <c r="AK73" s="68">
        <v>0</v>
      </c>
      <c r="AL73" s="87">
        <v>43.567900000000002</v>
      </c>
      <c r="AM73" s="87">
        <v>3416735</v>
      </c>
      <c r="AN73" s="87">
        <f>TABL123[[#This Row],[ (RESV. STORGE) SER]]/10</f>
        <v>341673.5</v>
      </c>
      <c r="AO73" s="43">
        <v>1730</v>
      </c>
      <c r="AP73" s="32">
        <f>TABL123[[#This Row],[(A/S) AJD]]-TABL123[[#This Row],[SER_IN]]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 (T/B) SAR]]+TABL123[[#This Row],[ (S/S) SAR]]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 (S/S) SAR]]-TABL123[[#This Row],[(S/S) AJD]]</f>
        <v>37</v>
      </c>
      <c r="Q74" s="40">
        <v>411</v>
      </c>
      <c r="R74" s="3">
        <f>TABL123[[#This Row],[ (T/B) SAR]]-TABL123[[#This Row],[(T/B) AJD]]</f>
        <v>27</v>
      </c>
      <c r="S74" s="3">
        <f>TABL123[[#This Row],[T/B-CON.]]+TABL123[[#This Row],[S/S_CON.]]</f>
        <v>64</v>
      </c>
      <c r="T74" s="3">
        <f>TABL123[[#This Row],[(S/S) AJD]]+TABL123[[#This Row],[(T/B) AJD]]</f>
        <v>794</v>
      </c>
      <c r="U74" s="44">
        <v>542</v>
      </c>
      <c r="V74" s="44">
        <v>206</v>
      </c>
      <c r="W74" s="3">
        <f>TABL123[[#This Row],[(A/B) AJD]]+TABL123[[#This Row],[(A/S)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3">
        <f>TABL123[[#This Row],[( S/S+T/B) AJD]]-(TABL123[[#This Row],[(A/B + A/S) AJD]]+TABL123[[#This Row],[(STORGE DIFF.) AJD]]+(TABL123[[#This Row],[AJD_Evaporation]])/1000)</f>
        <v>7.1889999999999645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8">
        <f>TABL123[[#This Row],[(A/B) AJD]]-TABL123[[#This Row],[BER_IN]]</f>
        <v>462</v>
      </c>
      <c r="AK74" s="68">
        <v>0</v>
      </c>
      <c r="AL74" s="87">
        <v>43.555300000000003</v>
      </c>
      <c r="AM74" s="87">
        <v>3409770</v>
      </c>
      <c r="AN74" s="87">
        <f>TABL123[[#This Row],[ (RESV. STORGE) SER]]/10</f>
        <v>340977</v>
      </c>
      <c r="AO74" s="45">
        <v>1745</v>
      </c>
      <c r="AP74" s="32">
        <f>TABL123[[#This Row],[(A/S) AJD]]-TABL123[[#This Row],[SER_IN]]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 (T/B) SAR]]+TABL123[[#This Row],[ (S/S) SAR]]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 (S/S) SAR]]-TABL123[[#This Row],[(S/S) AJD]]</f>
        <v>37</v>
      </c>
      <c r="Q75" s="39">
        <v>411</v>
      </c>
      <c r="R75" s="3">
        <f>TABL123[[#This Row],[ (T/B) SAR]]-TABL123[[#This Row],[(T/B) AJD]]</f>
        <v>27</v>
      </c>
      <c r="S75" s="3">
        <f>TABL123[[#This Row],[T/B-CON.]]+TABL123[[#This Row],[S/S_CON.]]</f>
        <v>64</v>
      </c>
      <c r="T75" s="3">
        <f>TABL123[[#This Row],[(S/S) AJD]]+TABL123[[#This Row],[(T/B) AJD]]</f>
        <v>794</v>
      </c>
      <c r="U75" s="41">
        <v>559</v>
      </c>
      <c r="V75" s="41">
        <v>190</v>
      </c>
      <c r="W75" s="3">
        <f>TABL123[[#This Row],[(A/B) AJD]]+TABL123[[#This Row],[(A/S)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3">
        <f>TABL123[[#This Row],[( S/S+T/B) AJD]]-(TABL123[[#This Row],[(A/B + A/S) AJD]]+TABL123[[#This Row],[(STORGE DIFF.) AJD]]+(TABL123[[#This Row],[AJD_Evaporation]])/1000)</f>
        <v>18.317000000000007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8">
        <f>TABL123[[#This Row],[(A/B) AJD]]-TABL123[[#This Row],[BER_IN]]</f>
        <v>479</v>
      </c>
      <c r="AK75" s="68">
        <v>0</v>
      </c>
      <c r="AL75" s="87">
        <v>43.537999999999997</v>
      </c>
      <c r="AM75" s="87">
        <v>3400140</v>
      </c>
      <c r="AN75" s="87">
        <f>TABL123[[#This Row],[ (RESV. STORGE) SER]]/10</f>
        <v>340014</v>
      </c>
      <c r="AO75" s="43">
        <v>1770</v>
      </c>
      <c r="AP75" s="32">
        <f>TABL123[[#This Row],[(A/S) AJD]]-TABL123[[#This Row],[SER_IN]]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 (T/B) SAR]]+TABL123[[#This Row],[ (S/S) SAR]]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 (S/S) SAR]]-TABL123[[#This Row],[(S/S) AJD]]</f>
        <v>39</v>
      </c>
      <c r="Q76" s="40">
        <v>411</v>
      </c>
      <c r="R76" s="3">
        <f>TABL123[[#This Row],[ (T/B) SAR]]-TABL123[[#This Row],[(T/B) AJD]]</f>
        <v>29</v>
      </c>
      <c r="S76" s="3">
        <f>TABL123[[#This Row],[T/B-CON.]]+TABL123[[#This Row],[S/S_CON.]]</f>
        <v>68</v>
      </c>
      <c r="T76" s="3">
        <f>TABL123[[#This Row],[(S/S) AJD]]+TABL123[[#This Row],[(T/B) AJD]]</f>
        <v>794</v>
      </c>
      <c r="U76" s="44">
        <v>551</v>
      </c>
      <c r="V76" s="44">
        <v>166</v>
      </c>
      <c r="W76" s="3">
        <f>TABL123[[#This Row],[(A/B) AJD]]+TABL123[[#This Row],[(A/S)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3">
        <f>TABL123[[#This Row],[( S/S+T/B) AJD]]-(TABL123[[#This Row],[(A/B + A/S) AJD]]+TABL123[[#This Row],[(STORGE DIFF.) AJD]]+(TABL123[[#This Row],[AJD_Evaporation]])/1000)</f>
        <v>31.408999999999992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8">
        <f>TABL123[[#This Row],[(A/B) AJD]]-TABL123[[#This Row],[BER_IN]]</f>
        <v>472</v>
      </c>
      <c r="AK76" s="68">
        <v>0</v>
      </c>
      <c r="AL76" s="87">
        <v>43.463000000000001</v>
      </c>
      <c r="AM76" s="87">
        <v>3359610</v>
      </c>
      <c r="AN76" s="87">
        <f>TABL123[[#This Row],[ (RESV. STORGE) SER]]/10</f>
        <v>335961</v>
      </c>
      <c r="AO76" s="45">
        <v>1830</v>
      </c>
      <c r="AP76" s="32">
        <f>TABL123[[#This Row],[(A/S) AJD]]-TABL123[[#This Row],[SER_IN]]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 (T/B) SAR]]+TABL123[[#This Row],[ (S/S) SAR]]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 (S/S) SAR]]-TABL123[[#This Row],[(S/S) AJD]]</f>
        <v>39</v>
      </c>
      <c r="Q77" s="39">
        <v>411</v>
      </c>
      <c r="R77" s="3">
        <f>TABL123[[#This Row],[ (T/B) SAR]]-TABL123[[#This Row],[(T/B) AJD]]</f>
        <v>29</v>
      </c>
      <c r="S77" s="3">
        <f>TABL123[[#This Row],[T/B-CON.]]+TABL123[[#This Row],[S/S_CON.]]</f>
        <v>68</v>
      </c>
      <c r="T77" s="3">
        <f>TABL123[[#This Row],[(S/S) AJD]]+TABL123[[#This Row],[(T/B) AJD]]</f>
        <v>794</v>
      </c>
      <c r="U77" s="41">
        <v>548</v>
      </c>
      <c r="V77" s="41">
        <v>191</v>
      </c>
      <c r="W77" s="3">
        <f>TABL123[[#This Row],[(A/B) AJD]]+TABL123[[#This Row],[(A/S)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3">
        <f>TABL123[[#This Row],[( S/S+T/B) AJD]]-(TABL123[[#This Row],[(A/B + A/S) AJD]]+TABL123[[#This Row],[(STORGE DIFF.) AJD]]+(TABL123[[#This Row],[AJD_Evaporation]])/1000)</f>
        <v>30.057999999999993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8">
        <f>TABL123[[#This Row],[(A/B) AJD]]-TABL123[[#This Row],[BER_IN]]</f>
        <v>468</v>
      </c>
      <c r="AK77" s="68">
        <v>0</v>
      </c>
      <c r="AL77" s="87">
        <v>43.393999999999998</v>
      </c>
      <c r="AM77" s="87">
        <v>3322050</v>
      </c>
      <c r="AN77" s="87">
        <f>TABL123[[#This Row],[ (RESV. STORGE) SER]]/10</f>
        <v>332205</v>
      </c>
      <c r="AO77" s="43">
        <v>1860</v>
      </c>
      <c r="AP77" s="32">
        <f>TABL123[[#This Row],[(A/S) AJD]]-TABL123[[#This Row],[SER_IN]]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 (T/B) SAR]]+TABL123[[#This Row],[ (S/S) SAR]]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 (S/S) SAR]]-TABL123[[#This Row],[(S/S) AJD]]</f>
        <v>44</v>
      </c>
      <c r="Q78" s="40">
        <v>413</v>
      </c>
      <c r="R78" s="3">
        <f>TABL123[[#This Row],[ (T/B) SAR]]-TABL123[[#This Row],[(T/B) AJD]]</f>
        <v>32</v>
      </c>
      <c r="S78" s="3">
        <f>TABL123[[#This Row],[T/B-CON.]]+TABL123[[#This Row],[S/S_CON.]]</f>
        <v>76</v>
      </c>
      <c r="T78" s="3">
        <f>TABL123[[#This Row],[(S/S) AJD]]+TABL123[[#This Row],[(T/B) AJD]]</f>
        <v>799</v>
      </c>
      <c r="U78" s="44">
        <v>546</v>
      </c>
      <c r="V78" s="44">
        <v>215</v>
      </c>
      <c r="W78" s="3">
        <f>TABL123[[#This Row],[(A/B) AJD]]+TABL123[[#This Row],[(A/S)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3">
        <f>TABL123[[#This Row],[( S/S+T/B) AJD]]-(TABL123[[#This Row],[(A/B + A/S) AJD]]+TABL123[[#This Row],[(STORGE DIFF.) AJD]]+(TABL123[[#This Row],[AJD_Evaporation]])/1000)</f>
        <v>20.163999999999987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8">
        <f>TABL123[[#This Row],[(A/B) AJD]]-TABL123[[#This Row],[BER_IN]]</f>
        <v>466</v>
      </c>
      <c r="AK78" s="68">
        <v>0</v>
      </c>
      <c r="AL78" s="87">
        <v>43.333199999999998</v>
      </c>
      <c r="AM78" s="87">
        <v>3288850</v>
      </c>
      <c r="AN78" s="87">
        <f>TABL123[[#This Row],[ (RESV. STORGE) SER]]/10</f>
        <v>328885</v>
      </c>
      <c r="AO78" s="45">
        <v>1800</v>
      </c>
      <c r="AP78" s="32">
        <f>TABL123[[#This Row],[(A/S) AJD]]-TABL123[[#This Row],[SER_IN]]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 (T/B) SAR]]+TABL123[[#This Row],[ (S/S) SAR]]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 (S/S) SAR]]-TABL123[[#This Row],[(S/S) AJD]]</f>
        <v>41</v>
      </c>
      <c r="Q79" s="39">
        <v>418</v>
      </c>
      <c r="R79" s="3">
        <f>TABL123[[#This Row],[ (T/B) SAR]]-TABL123[[#This Row],[(T/B) AJD]]</f>
        <v>27</v>
      </c>
      <c r="S79" s="3">
        <f>TABL123[[#This Row],[T/B-CON.]]+TABL123[[#This Row],[S/S_CON.]]</f>
        <v>68</v>
      </c>
      <c r="T79" s="3">
        <f>TABL123[[#This Row],[(S/S) AJD]]+TABL123[[#This Row],[(T/B) AJD]]</f>
        <v>807</v>
      </c>
      <c r="U79" s="41">
        <v>571</v>
      </c>
      <c r="V79" s="41">
        <v>202</v>
      </c>
      <c r="W79" s="3">
        <f>TABL123[[#This Row],[(A/B) AJD]]+TABL123[[#This Row],[(A/S)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3">
        <f>TABL123[[#This Row],[( S/S+T/B) AJD]]-(TABL123[[#This Row],[(A/B + A/S) AJD]]+TABL123[[#This Row],[(STORGE DIFF.) AJD]]+(TABL123[[#This Row],[AJD_Evaporation]])/1000)</f>
        <v>-19.519999999999982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8">
        <f>TABL123[[#This Row],[(A/B) AJD]]-TABL123[[#This Row],[BER_IN]]</f>
        <v>492</v>
      </c>
      <c r="AK79" s="68">
        <v>0</v>
      </c>
      <c r="AL79" s="87">
        <v>43.305</v>
      </c>
      <c r="AM79" s="87">
        <v>3273470</v>
      </c>
      <c r="AN79" s="87">
        <f>TABL123[[#This Row],[ (RESV. STORGE) SER]]/10</f>
        <v>327347</v>
      </c>
      <c r="AO79" s="43">
        <v>1880</v>
      </c>
      <c r="AP79" s="32">
        <f>TABL123[[#This Row],[(A/S) AJD]]-TABL123[[#This Row],[SER_IN]]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 (T/B) SAR]]+TABL123[[#This Row],[ (S/S) SAR]]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 (S/S) SAR]]-TABL123[[#This Row],[(S/S) AJD]]</f>
        <v>39</v>
      </c>
      <c r="Q80" s="40">
        <v>419</v>
      </c>
      <c r="R80" s="3">
        <f>TABL123[[#This Row],[ (T/B) SAR]]-TABL123[[#This Row],[(T/B) AJD]]</f>
        <v>26</v>
      </c>
      <c r="S80" s="3">
        <f>TABL123[[#This Row],[T/B-CON.]]+TABL123[[#This Row],[S/S_CON.]]</f>
        <v>65</v>
      </c>
      <c r="T80" s="3">
        <f>TABL123[[#This Row],[(S/S) AJD]]+TABL123[[#This Row],[(T/B) AJD]]</f>
        <v>810</v>
      </c>
      <c r="U80" s="44">
        <v>552</v>
      </c>
      <c r="V80" s="44">
        <v>228</v>
      </c>
      <c r="W80" s="3">
        <f>TABL123[[#This Row],[(A/B) AJD]]+TABL123[[#This Row],[(A/S)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3">
        <f>TABL123[[#This Row],[( S/S+T/B) AJD]]-(TABL123[[#This Row],[(A/B + A/S) AJD]]+TABL123[[#This Row],[(STORGE DIFF.) AJD]]+(TABL123[[#This Row],[AJD_Evaporation]])/1000)</f>
        <v>49.038000000000011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8">
        <f>TABL123[[#This Row],[(A/B) AJD]]-TABL123[[#This Row],[BER_IN]]</f>
        <v>474</v>
      </c>
      <c r="AK80" s="68">
        <v>14</v>
      </c>
      <c r="AL80" s="87">
        <v>43.2271</v>
      </c>
      <c r="AM80" s="87">
        <v>3231260</v>
      </c>
      <c r="AN80" s="87">
        <f>TABL123[[#This Row],[ (RESV. STORGE) SER]]/10</f>
        <v>323126</v>
      </c>
      <c r="AO80" s="45">
        <v>1810</v>
      </c>
      <c r="AP80" s="32">
        <f>TABL123[[#This Row],[(A/S) AJD]]-TABL123[[#This Row],[SER_IN]]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 (T/B) SAR]]+TABL123[[#This Row],[ (S/S) SAR]]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 (S/S) SAR]]-TABL123[[#This Row],[(S/S) AJD]]</f>
        <v>40</v>
      </c>
      <c r="Q81" s="39">
        <v>420</v>
      </c>
      <c r="R81" s="3">
        <f>TABL123[[#This Row],[ (T/B) SAR]]-TABL123[[#This Row],[(T/B) AJD]]</f>
        <v>25</v>
      </c>
      <c r="S81" s="3">
        <f>TABL123[[#This Row],[T/B-CON.]]+TABL123[[#This Row],[S/S_CON.]]</f>
        <v>65</v>
      </c>
      <c r="T81" s="3">
        <f>TABL123[[#This Row],[(S/S) AJD]]+TABL123[[#This Row],[(T/B) AJD]]</f>
        <v>810</v>
      </c>
      <c r="U81" s="41">
        <v>550</v>
      </c>
      <c r="V81" s="41">
        <v>220</v>
      </c>
      <c r="W81" s="3">
        <f>TABL123[[#This Row],[(A/B) AJD]]+TABL123[[#This Row],[(A/S)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3">
        <f>TABL123[[#This Row],[( S/S+T/B) AJD]]-(TABL123[[#This Row],[(A/B + A/S) AJD]]+TABL123[[#This Row],[(STORGE DIFF.) AJD]]+(TABL123[[#This Row],[AJD_Evaporation]])/1000)</f>
        <v>-4.8849999999999909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8">
        <f>TABL123[[#This Row],[(A/B) AJD]]-TABL123[[#This Row],[BER_IN]]</f>
        <v>472</v>
      </c>
      <c r="AK81" s="68">
        <v>20</v>
      </c>
      <c r="AL81" s="87">
        <v>43.202599999999997</v>
      </c>
      <c r="AM81" s="87">
        <v>3218220</v>
      </c>
      <c r="AN81" s="87">
        <f>TABL123[[#This Row],[ (RESV. STORGE) SER]]/10</f>
        <v>321822</v>
      </c>
      <c r="AO81" s="43">
        <v>1040</v>
      </c>
      <c r="AP81" s="32">
        <f>TABL123[[#This Row],[(A/S) AJD]]-TABL123[[#This Row],[SER_IN]]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 (T/B) SAR]]+TABL123[[#This Row],[ (S/S) SAR]]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 (S/S) SAR]]-TABL123[[#This Row],[(S/S) AJD]]</f>
        <v>25</v>
      </c>
      <c r="Q82" s="40">
        <v>434</v>
      </c>
      <c r="R82" s="3">
        <f>TABL123[[#This Row],[ (T/B) SAR]]-TABL123[[#This Row],[(T/B) AJD]]</f>
        <v>11</v>
      </c>
      <c r="S82" s="3">
        <f>TABL123[[#This Row],[T/B-CON.]]+TABL123[[#This Row],[S/S_CON.]]</f>
        <v>36</v>
      </c>
      <c r="T82" s="3">
        <f>TABL123[[#This Row],[(S/S) AJD]]+TABL123[[#This Row],[(T/B) AJD]]</f>
        <v>839</v>
      </c>
      <c r="U82" s="44">
        <v>570</v>
      </c>
      <c r="V82" s="44">
        <v>226</v>
      </c>
      <c r="W82" s="3">
        <f>TABL123[[#This Row],[(A/B) AJD]]+TABL123[[#This Row],[(A/S)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3">
        <f>TABL123[[#This Row],[( S/S+T/B) AJD]]-(TABL123[[#This Row],[(A/B + A/S) AJD]]+TABL123[[#This Row],[(STORGE DIFF.) AJD]]+(TABL123[[#This Row],[AJD_Evaporation]])/1000)</f>
        <v>34.935999999999922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8">
        <f>TABL123[[#This Row],[(A/B) AJD]]-TABL123[[#This Row],[BER_IN]]</f>
        <v>489</v>
      </c>
      <c r="AK82" s="68">
        <v>19</v>
      </c>
      <c r="AL82" s="87">
        <v>43.217399999999998</v>
      </c>
      <c r="AM82" s="87">
        <v>3226370</v>
      </c>
      <c r="AN82" s="87">
        <f>TABL123[[#This Row],[ (RESV. STORGE) SER]]/10</f>
        <v>322637</v>
      </c>
      <c r="AO82" s="45">
        <v>1850</v>
      </c>
      <c r="AP82" s="32">
        <f>TABL123[[#This Row],[(A/S) AJD]]-TABL123[[#This Row],[SER_IN]]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 (T/B) SAR]]+TABL123[[#This Row],[ (S/S) SAR]]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 (S/S) SAR]]-TABL123[[#This Row],[(S/S) AJD]]</f>
        <v>56</v>
      </c>
      <c r="Q83" s="39">
        <v>403</v>
      </c>
      <c r="R83" s="3">
        <f>TABL123[[#This Row],[ (T/B) SAR]]-TABL123[[#This Row],[(T/B) AJD]]</f>
        <v>42</v>
      </c>
      <c r="S83" s="3">
        <f>TABL123[[#This Row],[T/B-CON.]]+TABL123[[#This Row],[S/S_CON.]]</f>
        <v>98</v>
      </c>
      <c r="T83" s="3">
        <f>TABL123[[#This Row],[(S/S) AJD]]+TABL123[[#This Row],[(T/B) AJD]]</f>
        <v>777</v>
      </c>
      <c r="U83" s="41">
        <v>527</v>
      </c>
      <c r="V83" s="41">
        <v>208</v>
      </c>
      <c r="W83" s="3">
        <f>TABL123[[#This Row],[(A/B) AJD]]+TABL123[[#This Row],[(A/S)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3">
        <f>TABL123[[#This Row],[( S/S+T/B) AJD]]-(TABL123[[#This Row],[(A/B + A/S) AJD]]+TABL123[[#This Row],[(STORGE DIFF.) AJD]]+(TABL123[[#This Row],[AJD_Evaporation]])/1000)</f>
        <v>43.91700000000003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8">
        <f>TABL123[[#This Row],[(A/B) AJD]]-TABL123[[#This Row],[BER_IN]]</f>
        <v>445</v>
      </c>
      <c r="AK83" s="68">
        <v>20</v>
      </c>
      <c r="AL83" s="87">
        <v>43.218600000000002</v>
      </c>
      <c r="AM83" s="87">
        <v>3226790</v>
      </c>
      <c r="AN83" s="87">
        <f>TABL123[[#This Row],[ (RESV. STORGE) SER]]/10</f>
        <v>322679</v>
      </c>
      <c r="AO83" s="43">
        <v>1880</v>
      </c>
      <c r="AP83" s="32">
        <f>TABL123[[#This Row],[(A/S) AJD]]-TABL123[[#This Row],[SER_IN]]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 (T/B) SAR]]+TABL123[[#This Row],[ (S/S) SAR]]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 (S/S) SAR]]-TABL123[[#This Row],[(S/S) AJD]]</f>
        <v>44</v>
      </c>
      <c r="Q84" s="40">
        <v>416</v>
      </c>
      <c r="R84" s="3">
        <f>TABL123[[#This Row],[ (T/B) SAR]]-TABL123[[#This Row],[(T/B) AJD]]</f>
        <v>29</v>
      </c>
      <c r="S84" s="3">
        <f>TABL123[[#This Row],[T/B-CON.]]+TABL123[[#This Row],[S/S_CON.]]</f>
        <v>73</v>
      </c>
      <c r="T84" s="3">
        <f>TABL123[[#This Row],[(S/S) AJD]]+TABL123[[#This Row],[(T/B) AJD]]</f>
        <v>802</v>
      </c>
      <c r="U84" s="44">
        <v>550</v>
      </c>
      <c r="V84" s="44">
        <v>222</v>
      </c>
      <c r="W84" s="3">
        <f>TABL123[[#This Row],[(A/B) AJD]]+TABL123[[#This Row],[(A/S)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3">
        <f>TABL123[[#This Row],[( S/S+T/B) AJD]]-(TABL123[[#This Row],[(A/B + A/S) AJD]]+TABL123[[#This Row],[(STORGE DIFF.) AJD]]+(TABL123[[#This Row],[AJD_Evaporation]])/1000)</f>
        <v>25.914999999999964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8">
        <f>TABL123[[#This Row],[(A/B) AJD]]-TABL123[[#This Row],[BER_IN]]</f>
        <v>469</v>
      </c>
      <c r="AK84" s="68">
        <v>21</v>
      </c>
      <c r="AL84" s="87">
        <v>43.223999999999997</v>
      </c>
      <c r="AM84" s="87">
        <v>3230690</v>
      </c>
      <c r="AN84" s="87">
        <f>TABL123[[#This Row],[ (RESV. STORGE) SER]]/10</f>
        <v>323069</v>
      </c>
      <c r="AO84" s="45">
        <v>1800</v>
      </c>
      <c r="AP84" s="32">
        <f>TABL123[[#This Row],[(A/S) AJD]]-TABL123[[#This Row],[SER_IN]]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 (T/B) SAR]]+TABL123[[#This Row],[ (S/S) SAR]]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 (S/S) SAR]]-TABL123[[#This Row],[(S/S) AJD]]</f>
        <v>41</v>
      </c>
      <c r="Q85" s="39">
        <v>418</v>
      </c>
      <c r="R85" s="3">
        <f>TABL123[[#This Row],[ (T/B) SAR]]-TABL123[[#This Row],[(T/B) AJD]]</f>
        <v>27</v>
      </c>
      <c r="S85" s="3">
        <f>TABL123[[#This Row],[T/B-CON.]]+TABL123[[#This Row],[S/S_CON.]]</f>
        <v>68</v>
      </c>
      <c r="T85" s="3">
        <f>TABL123[[#This Row],[(S/S) AJD]]+TABL123[[#This Row],[(T/B) AJD]]</f>
        <v>807</v>
      </c>
      <c r="U85" s="41">
        <v>546</v>
      </c>
      <c r="V85" s="41">
        <v>211</v>
      </c>
      <c r="W85" s="3">
        <f>TABL123[[#This Row],[(A/B) AJD]]+TABL123[[#This Row],[(A/S)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3">
        <f>TABL123[[#This Row],[( S/S+T/B) AJD]]-(TABL123[[#This Row],[(A/B + A/S) AJD]]+TABL123[[#This Row],[(STORGE DIFF.) AJD]]+(TABL123[[#This Row],[AJD_Evaporation]])/1000)</f>
        <v>8.2899999999999636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8">
        <f>TABL123[[#This Row],[(A/B) AJD]]-TABL123[[#This Row],[BER_IN]]</f>
        <v>468</v>
      </c>
      <c r="AK85" s="68">
        <v>21</v>
      </c>
      <c r="AL85" s="87">
        <v>43.227699999999999</v>
      </c>
      <c r="AM85" s="87">
        <v>3231810</v>
      </c>
      <c r="AN85" s="87">
        <f>TABL123[[#This Row],[ (RESV. STORGE) SER]]/10</f>
        <v>323181</v>
      </c>
      <c r="AO85" s="43">
        <v>0</v>
      </c>
      <c r="AP85" s="32">
        <f>TABL123[[#This Row],[(A/S) AJD]]-TABL123[[#This Row],[SER_IN]]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 (T/B) SAR]]+TABL123[[#This Row],[ (S/S) SAR]]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 (S/S) SAR]]-TABL123[[#This Row],[(S/S) AJD]]</f>
        <v>41</v>
      </c>
      <c r="Q86" s="40">
        <v>416</v>
      </c>
      <c r="R86" s="3">
        <f>TABL123[[#This Row],[ (T/B) SAR]]-TABL123[[#This Row],[(T/B) AJD]]</f>
        <v>29</v>
      </c>
      <c r="S86" s="3">
        <f>TABL123[[#This Row],[T/B-CON.]]+TABL123[[#This Row],[S/S_CON.]]</f>
        <v>70</v>
      </c>
      <c r="T86" s="3">
        <f>TABL123[[#This Row],[(S/S) AJD]]+TABL123[[#This Row],[(T/B) AJD]]</f>
        <v>805</v>
      </c>
      <c r="U86" s="44">
        <v>541</v>
      </c>
      <c r="V86" s="44">
        <v>206</v>
      </c>
      <c r="W86" s="3">
        <f>TABL123[[#This Row],[(A/B) AJD]]+TABL123[[#This Row],[(A/S)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3">
        <f>TABL123[[#This Row],[( S/S+T/B) AJD]]-(TABL123[[#This Row],[(A/B + A/S) AJD]]+TABL123[[#This Row],[(STORGE DIFF.) AJD]]+(TABL123[[#This Row],[AJD_Evaporation]])/1000)</f>
        <v>49.057000000000016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8">
        <f>TABL123[[#This Row],[(A/B) AJD]]-TABL123[[#This Row],[BER_IN]]</f>
        <v>461</v>
      </c>
      <c r="AK86" s="68">
        <v>22</v>
      </c>
      <c r="AL86" s="87">
        <v>43.2607</v>
      </c>
      <c r="AM86" s="87">
        <v>3249200</v>
      </c>
      <c r="AN86" s="87">
        <f>TABL123[[#This Row],[ (RESV. STORGE) SER]]/10</f>
        <v>324920</v>
      </c>
      <c r="AO86" s="45">
        <v>1800</v>
      </c>
      <c r="AP86" s="32">
        <f>TABL123[[#This Row],[(A/S) AJD]]-TABL123[[#This Row],[SER_IN]]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 (T/B) SAR]]+TABL123[[#This Row],[ (S/S) SAR]]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 (S/S) SAR]]-TABL123[[#This Row],[(S/S) AJD]]</f>
        <v>42</v>
      </c>
      <c r="Q87" s="39">
        <v>416</v>
      </c>
      <c r="R87" s="3">
        <f>TABL123[[#This Row],[ (T/B) SAR]]-TABL123[[#This Row],[(T/B) AJD]]</f>
        <v>29</v>
      </c>
      <c r="S87" s="3">
        <f>TABL123[[#This Row],[T/B-CON.]]+TABL123[[#This Row],[S/S_CON.]]</f>
        <v>71</v>
      </c>
      <c r="T87" s="3">
        <f>TABL123[[#This Row],[(S/S) AJD]]+TABL123[[#This Row],[(T/B) AJD]]</f>
        <v>804</v>
      </c>
      <c r="U87" s="41">
        <v>549</v>
      </c>
      <c r="V87" s="41">
        <v>227</v>
      </c>
      <c r="W87" s="3">
        <f>TABL123[[#This Row],[(A/B) AJD]]+TABL123[[#This Row],[(A/S)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3">
        <f>TABL123[[#This Row],[( S/S+T/B) AJD]]-(TABL123[[#This Row],[(A/B + A/S) AJD]]+TABL123[[#This Row],[(STORGE DIFF.) AJD]]+(TABL123[[#This Row],[AJD_Evaporation]])/1000)</f>
        <v>18.747000000000071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8">
        <f>TABL123[[#This Row],[(A/B) AJD]]-TABL123[[#This Row],[BER_IN]]</f>
        <v>468</v>
      </c>
      <c r="AK87" s="68">
        <v>22</v>
      </c>
      <c r="AL87" s="87">
        <v>43.262799999999999</v>
      </c>
      <c r="AM87" s="87">
        <v>3250800</v>
      </c>
      <c r="AN87" s="87">
        <f>TABL123[[#This Row],[ (RESV. STORGE) SER]]/10</f>
        <v>325080</v>
      </c>
      <c r="AO87" s="43">
        <v>1800</v>
      </c>
      <c r="AP87" s="32">
        <f>TABL123[[#This Row],[(A/S) AJD]]-TABL123[[#This Row],[SER_IN]]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 (T/B) SAR]]+TABL123[[#This Row],[ (S/S) SAR]]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 (S/S) SAR]]-TABL123[[#This Row],[(S/S) AJD]]</f>
        <v>42</v>
      </c>
      <c r="Q88" s="40">
        <v>417</v>
      </c>
      <c r="R88" s="3">
        <f>TABL123[[#This Row],[ (T/B) SAR]]-TABL123[[#This Row],[(T/B) AJD]]</f>
        <v>28</v>
      </c>
      <c r="S88" s="3">
        <f>TABL123[[#This Row],[T/B-CON.]]+TABL123[[#This Row],[S/S_CON.]]</f>
        <v>70</v>
      </c>
      <c r="T88" s="3">
        <f>TABL123[[#This Row],[(S/S) AJD]]+TABL123[[#This Row],[(T/B) AJD]]</f>
        <v>805</v>
      </c>
      <c r="U88" s="44">
        <v>553</v>
      </c>
      <c r="V88" s="44">
        <v>214</v>
      </c>
      <c r="W88" s="3">
        <f>TABL123[[#This Row],[(A/B) AJD]]+TABL123[[#This Row],[(A/S)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3">
        <f>TABL123[[#This Row],[( S/S+T/B) AJD]]-(TABL123[[#This Row],[(A/B + A/S) AJD]]+TABL123[[#This Row],[(STORGE DIFF.) AJD]]+(TABL123[[#This Row],[AJD_Evaporation]])/1000)</f>
        <v>39.192000000000007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8">
        <f>TABL123[[#This Row],[(A/B) AJD]]-TABL123[[#This Row],[BER_IN]]</f>
        <v>472</v>
      </c>
      <c r="AK88" s="68">
        <v>22</v>
      </c>
      <c r="AL88" s="87">
        <v>43.286299999999997</v>
      </c>
      <c r="AM88" s="87">
        <v>3263300</v>
      </c>
      <c r="AN88" s="87">
        <f>TABL123[[#This Row],[ (RESV. STORGE) SER]]/10</f>
        <v>326330</v>
      </c>
      <c r="AO88" s="45">
        <v>0</v>
      </c>
      <c r="AP88" s="32">
        <f>TABL123[[#This Row],[(A/S) AJD]]-TABL123[[#This Row],[SER_IN]]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 (T/B) SAR]]+TABL123[[#This Row],[ (S/S) SAR]]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 (S/S) SAR]]-TABL123[[#This Row],[(S/S) AJD]]</f>
        <v>41</v>
      </c>
      <c r="Q89" s="39">
        <v>418</v>
      </c>
      <c r="R89" s="3">
        <f>TABL123[[#This Row],[ (T/B) SAR]]-TABL123[[#This Row],[(T/B) AJD]]</f>
        <v>27</v>
      </c>
      <c r="S89" s="3">
        <f>TABL123[[#This Row],[T/B-CON.]]+TABL123[[#This Row],[S/S_CON.]]</f>
        <v>68</v>
      </c>
      <c r="T89" s="3">
        <f>TABL123[[#This Row],[(S/S) AJD]]+TABL123[[#This Row],[(T/B) AJD]]</f>
        <v>807</v>
      </c>
      <c r="U89" s="41">
        <v>543</v>
      </c>
      <c r="V89" s="41">
        <v>212</v>
      </c>
      <c r="W89" s="3">
        <f>TABL123[[#This Row],[(A/B) AJD]]+TABL123[[#This Row],[(A/S)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3">
        <f>TABL123[[#This Row],[( S/S+T/B) AJD]]-(TABL123[[#This Row],[(A/B + A/S) AJD]]+TABL123[[#This Row],[(STORGE DIFF.) AJD]]+(TABL123[[#This Row],[AJD_Evaporation]])/1000)</f>
        <v>14.871999999999957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8">
        <f>TABL123[[#This Row],[(A/B) AJD]]-TABL123[[#This Row],[BER_IN]]</f>
        <v>463</v>
      </c>
      <c r="AK89" s="68">
        <v>21</v>
      </c>
      <c r="AL89" s="87">
        <v>43.294499999999999</v>
      </c>
      <c r="AM89" s="87">
        <v>3267770</v>
      </c>
      <c r="AN89" s="87">
        <f>TABL123[[#This Row],[ (RESV. STORGE) SER]]/10</f>
        <v>326777</v>
      </c>
      <c r="AO89" s="43">
        <v>1830</v>
      </c>
      <c r="AP89" s="32">
        <f>TABL123[[#This Row],[(A/S) AJD]]-TABL123[[#This Row],[SER_IN]]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 (T/B) SAR]]+TABL123[[#This Row],[ (S/S) SAR]]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 (S/S) SAR]]-TABL123[[#This Row],[(S/S) AJD]]</f>
        <v>42</v>
      </c>
      <c r="Q90" s="40">
        <v>416</v>
      </c>
      <c r="R90" s="3">
        <f>TABL123[[#This Row],[ (T/B) SAR]]-TABL123[[#This Row],[(T/B) AJD]]</f>
        <v>29</v>
      </c>
      <c r="S90" s="3">
        <f>TABL123[[#This Row],[T/B-CON.]]+TABL123[[#This Row],[S/S_CON.]]</f>
        <v>71</v>
      </c>
      <c r="T90" s="3">
        <f>TABL123[[#This Row],[(S/S) AJD]]+TABL123[[#This Row],[(T/B) AJD]]</f>
        <v>804</v>
      </c>
      <c r="U90" s="44">
        <v>567</v>
      </c>
      <c r="V90" s="44">
        <v>265</v>
      </c>
      <c r="W90" s="3">
        <f>TABL123[[#This Row],[(A/B) AJD]]+TABL123[[#This Row],[(A/S)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3">
        <f>TABL123[[#This Row],[( S/S+T/B) AJD]]-(TABL123[[#This Row],[(A/B + A/S) AJD]]+TABL123[[#This Row],[(STORGE DIFF.) AJD]]+(TABL123[[#This Row],[AJD_Evaporation]])/1000)</f>
        <v>33.438999999999965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8">
        <f>TABL123[[#This Row],[(A/B) AJD]]-TABL123[[#This Row],[BER_IN]]</f>
        <v>481</v>
      </c>
      <c r="AK90" s="68">
        <v>27</v>
      </c>
      <c r="AL90" s="87">
        <v>43.271799999999999</v>
      </c>
      <c r="AM90" s="87">
        <v>3255690</v>
      </c>
      <c r="AN90" s="87">
        <f>TABL123[[#This Row],[ (RESV. STORGE) SER]]/10</f>
        <v>325569</v>
      </c>
      <c r="AO90" s="45">
        <v>1880</v>
      </c>
      <c r="AP90" s="32">
        <f>TABL123[[#This Row],[(A/S) AJD]]-TABL123[[#This Row],[SER_IN]]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 (T/B) SAR]]+TABL123[[#This Row],[ (S/S) SAR]]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 (S/S) SAR]]-TABL123[[#This Row],[(S/S) AJD]]</f>
        <v>43</v>
      </c>
      <c r="Q91" s="39">
        <v>417</v>
      </c>
      <c r="R91" s="3">
        <f>TABL123[[#This Row],[ (T/B) SAR]]-TABL123[[#This Row],[(T/B) AJD]]</f>
        <v>28</v>
      </c>
      <c r="S91" s="3">
        <f>TABL123[[#This Row],[T/B-CON.]]+TABL123[[#This Row],[S/S_CON.]]</f>
        <v>71</v>
      </c>
      <c r="T91" s="3">
        <f>TABL123[[#This Row],[(S/S) AJD]]+TABL123[[#This Row],[(T/B) AJD]]</f>
        <v>804</v>
      </c>
      <c r="U91" s="41">
        <v>576</v>
      </c>
      <c r="V91" s="41">
        <v>220</v>
      </c>
      <c r="W91" s="3">
        <f>TABL123[[#This Row],[(A/B) AJD]]+TABL123[[#This Row],[(A/S)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3">
        <f>TABL123[[#This Row],[( S/S+T/B) AJD]]-(TABL123[[#This Row],[(A/B + A/S) AJD]]+TABL123[[#This Row],[(STORGE DIFF.) AJD]]+(TABL123[[#This Row],[AJD_Evaporation]])/1000)</f>
        <v>41.870000000000005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8">
        <f>TABL123[[#This Row],[(A/B) AJD]]-TABL123[[#This Row],[BER_IN]]</f>
        <v>486</v>
      </c>
      <c r="AK91" s="68">
        <v>32</v>
      </c>
      <c r="AL91" s="87">
        <v>43.225900000000003</v>
      </c>
      <c r="AM91" s="87">
        <v>3230710</v>
      </c>
      <c r="AN91" s="87">
        <f>TABL123[[#This Row],[ (RESV. STORGE) SER]]/10</f>
        <v>323071</v>
      </c>
      <c r="AO91" s="43">
        <v>1880</v>
      </c>
      <c r="AP91" s="32">
        <f>TABL123[[#This Row],[(A/S) AJD]]-TABL123[[#This Row],[SER_IN]]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 (T/B) SAR]]+TABL123[[#This Row],[ (S/S) SAR]]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 (S/S) SAR]]-TABL123[[#This Row],[(S/S) AJD]]</f>
        <v>45</v>
      </c>
      <c r="Q92" s="39">
        <v>416</v>
      </c>
      <c r="R92" s="3">
        <f>TABL123[[#This Row],[ (T/B) SAR]]-TABL123[[#This Row],[(T/B) AJD]]</f>
        <v>29</v>
      </c>
      <c r="S92" s="3">
        <f>TABL123[[#This Row],[T/B-CON.]]+TABL123[[#This Row],[S/S_CON.]]</f>
        <v>74</v>
      </c>
      <c r="T92" s="3">
        <f>TABL123[[#This Row],[(S/S) AJD]]+TABL123[[#This Row],[(T/B) AJD]]</f>
        <v>801</v>
      </c>
      <c r="U92" s="41">
        <v>565</v>
      </c>
      <c r="V92" s="41">
        <v>220</v>
      </c>
      <c r="W92" s="3">
        <f>TABL123[[#This Row],[(A/B) AJD]]+TABL123[[#This Row],[(A/S)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3">
        <f>TABL123[[#This Row],[( S/S+T/B) AJD]]-(TABL123[[#This Row],[(A/B + A/S) AJD]]+TABL123[[#This Row],[(STORGE DIFF.) AJD]]+(TABL123[[#This Row],[AJD_Evaporation]])/1000)</f>
        <v>27.912000000000035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8">
        <f>TABL123[[#This Row],[(A/B) AJD]]-TABL123[[#This Row],[BER_IN]]</f>
        <v>475</v>
      </c>
      <c r="AK92" s="68">
        <v>28</v>
      </c>
      <c r="AL92" s="87">
        <v>43.1235</v>
      </c>
      <c r="AM92" s="87">
        <v>3175240</v>
      </c>
      <c r="AN92" s="87">
        <f>TABL123[[#This Row],[ (RESV. STORGE) SER]]/10</f>
        <v>317524</v>
      </c>
      <c r="AO92" s="43">
        <v>1670</v>
      </c>
      <c r="AP92" s="32">
        <f>TABL123[[#This Row],[(A/S) AJD]]-TABL123[[#This Row],[SER_IN]]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 (T/B) SAR]]+TABL123[[#This Row],[ (S/S) SAR]]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 (S/S) SAR]]-TABL123[[#This Row],[(S/S) AJD]]</f>
        <v>-15</v>
      </c>
      <c r="Q93" s="40">
        <v>392</v>
      </c>
      <c r="R93" s="3">
        <f>TABL123[[#This Row],[ (T/B) SAR]]-TABL123[[#This Row],[(T/B) AJD]]</f>
        <v>-13</v>
      </c>
      <c r="S93" s="3">
        <f>TABL123[[#This Row],[T/B-CON.]]+TABL123[[#This Row],[S/S_CON.]]</f>
        <v>-28</v>
      </c>
      <c r="T93" s="3">
        <f>TABL123[[#This Row],[(S/S) AJD]]+TABL123[[#This Row],[(T/B) AJD]]</f>
        <v>750</v>
      </c>
      <c r="U93" s="44">
        <v>564</v>
      </c>
      <c r="V93" s="44">
        <v>217</v>
      </c>
      <c r="W93" s="3">
        <f>TABL123[[#This Row],[(A/B) AJD]]+TABL123[[#This Row],[(A/S)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3">
        <f>TABL123[[#This Row],[( S/S+T/B) AJD]]-(TABL123[[#This Row],[(A/B + A/S) AJD]]+TABL123[[#This Row],[(STORGE DIFF.) AJD]]+(TABL123[[#This Row],[AJD_Evaporation]])/1000)</f>
        <v>7.67999999999995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8">
        <f>TABL123[[#This Row],[(A/B) AJD]]-TABL123[[#This Row],[BER_IN]]</f>
        <v>474</v>
      </c>
      <c r="AK93" s="68">
        <v>29</v>
      </c>
      <c r="AL93" s="87">
        <v>42.998899999999999</v>
      </c>
      <c r="AM93" s="87">
        <v>3107000</v>
      </c>
      <c r="AN93" s="87">
        <f>TABL123[[#This Row],[ (RESV. STORGE) SER]]/10</f>
        <v>310700</v>
      </c>
      <c r="AO93" s="45">
        <v>1655</v>
      </c>
      <c r="AP93" s="32">
        <f>TABL123[[#This Row],[(A/S) AJD]]-TABL123[[#This Row],[SER_IN]]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 (T/B) SAR]]+TABL123[[#This Row],[ (S/S) SAR]]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 (S/S) SAR]]-TABL123[[#This Row],[(S/S) AJD]]</f>
        <v>81</v>
      </c>
      <c r="Q94" s="39">
        <v>371</v>
      </c>
      <c r="R94" s="3">
        <f>TABL123[[#This Row],[ (T/B) SAR]]-TABL123[[#This Row],[(T/B) AJD]]</f>
        <v>74</v>
      </c>
      <c r="S94" s="3">
        <f>TABL123[[#This Row],[T/B-CON.]]+TABL123[[#This Row],[S/S_CON.]]</f>
        <v>155</v>
      </c>
      <c r="T94" s="3">
        <f>TABL123[[#This Row],[(S/S) AJD]]+TABL123[[#This Row],[(T/B) AJD]]</f>
        <v>715</v>
      </c>
      <c r="U94" s="41">
        <v>561</v>
      </c>
      <c r="V94" s="41">
        <v>220</v>
      </c>
      <c r="W94" s="3">
        <f>TABL123[[#This Row],[(A/B) AJD]]+TABL123[[#This Row],[(A/S)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3">
        <f>TABL123[[#This Row],[( S/S+T/B) AJD]]-(TABL123[[#This Row],[(A/B + A/S) AJD]]+TABL123[[#This Row],[(STORGE DIFF.) AJD]]+(TABL123[[#This Row],[AJD_Evaporation]])/1000)</f>
        <v>35.004999999999995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8">
        <f>TABL123[[#This Row],[(A/B) AJD]]-TABL123[[#This Row],[BER_IN]]</f>
        <v>471</v>
      </c>
      <c r="AK94" s="68">
        <v>27</v>
      </c>
      <c r="AL94" s="87">
        <v>42.860700000000001</v>
      </c>
      <c r="AM94" s="87">
        <v>3033000</v>
      </c>
      <c r="AN94" s="87">
        <f>TABL123[[#This Row],[ (RESV. STORGE) SER]]/10</f>
        <v>303300</v>
      </c>
      <c r="AO94" s="43">
        <v>1780</v>
      </c>
      <c r="AP94" s="32">
        <f>TABL123[[#This Row],[(A/S) AJD]]-TABL123[[#This Row],[SER_IN]]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 (T/B) SAR]]+TABL123[[#This Row],[ (S/S) SAR]]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 (S/S) SAR]]-TABL123[[#This Row],[(S/S) AJD]]</f>
        <v>48</v>
      </c>
      <c r="Q95" s="40">
        <v>413</v>
      </c>
      <c r="R95" s="3">
        <f>TABL123[[#This Row],[ (T/B) SAR]]-TABL123[[#This Row],[(T/B) AJD]]</f>
        <v>37</v>
      </c>
      <c r="S95" s="3">
        <f>TABL123[[#This Row],[T/B-CON.]]+TABL123[[#This Row],[S/S_CON.]]</f>
        <v>85</v>
      </c>
      <c r="T95" s="3">
        <f>TABL123[[#This Row],[(S/S) AJD]]+TABL123[[#This Row],[(T/B) AJD]]</f>
        <v>797</v>
      </c>
      <c r="U95" s="44">
        <v>571</v>
      </c>
      <c r="V95" s="44">
        <v>215</v>
      </c>
      <c r="W95" s="3">
        <f>TABL123[[#This Row],[(A/B) AJD]]+TABL123[[#This Row],[(A/S)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3">
        <f>TABL123[[#This Row],[( S/S+T/B) AJD]]-(TABL123[[#This Row],[(A/B + A/S) AJD]]+TABL123[[#This Row],[(STORGE DIFF.) AJD]]+(TABL123[[#This Row],[AJD_Evaporation]])/1000)</f>
        <v>51.194000000000074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8">
        <f>TABL123[[#This Row],[(A/B) AJD]]-TABL123[[#This Row],[BER_IN]]</f>
        <v>481</v>
      </c>
      <c r="AK95" s="68">
        <v>26</v>
      </c>
      <c r="AL95" s="87">
        <v>42.805900000000001</v>
      </c>
      <c r="AM95" s="87">
        <v>3003083</v>
      </c>
      <c r="AN95" s="87">
        <f>TABL123[[#This Row],[ (RESV. STORGE) SER]]/10</f>
        <v>300308.3</v>
      </c>
      <c r="AO95" s="45">
        <v>1800</v>
      </c>
      <c r="AP95" s="32">
        <f>TABL123[[#This Row],[(A/S) AJD]]-TABL123[[#This Row],[SER_IN]]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 (T/B) SAR]]+TABL123[[#This Row],[ (S/S) SAR]]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 (S/S) SAR]]-TABL123[[#This Row],[(S/S) AJD]]</f>
        <v>42</v>
      </c>
      <c r="Q96" s="39">
        <v>417</v>
      </c>
      <c r="R96" s="3">
        <f>TABL123[[#This Row],[ (T/B) SAR]]-TABL123[[#This Row],[(T/B) AJD]]</f>
        <v>28</v>
      </c>
      <c r="S96" s="3">
        <f>TABL123[[#This Row],[T/B-CON.]]+TABL123[[#This Row],[S/S_CON.]]</f>
        <v>70</v>
      </c>
      <c r="T96" s="3">
        <f>TABL123[[#This Row],[(S/S) AJD]]+TABL123[[#This Row],[(T/B) AJD]]</f>
        <v>805</v>
      </c>
      <c r="U96" s="41">
        <v>575</v>
      </c>
      <c r="V96" s="41">
        <v>221</v>
      </c>
      <c r="W96" s="3">
        <f>TABL123[[#This Row],[(A/B) AJD]]+TABL123[[#This Row],[(A/S)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3">
        <f>TABL123[[#This Row],[( S/S+T/B) AJD]]-(TABL123[[#This Row],[(A/B + A/S) AJD]]+TABL123[[#This Row],[(STORGE DIFF.) AJD]]+(TABL123[[#This Row],[AJD_Evaporation]])/1000)</f>
        <v>-6.8999999999999773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8">
        <f>TABL123[[#This Row],[(A/B) AJD]]-TABL123[[#This Row],[BER_IN]]</f>
        <v>486</v>
      </c>
      <c r="AK96" s="68">
        <v>25</v>
      </c>
      <c r="AL96" s="87">
        <v>42.827800000000003</v>
      </c>
      <c r="AM96" s="87">
        <v>3014710</v>
      </c>
      <c r="AN96" s="87">
        <f>TABL123[[#This Row],[ (RESV. STORGE) SER]]/10</f>
        <v>301471</v>
      </c>
      <c r="AO96" s="43">
        <v>1820</v>
      </c>
      <c r="AP96" s="32">
        <f>TABL123[[#This Row],[(A/S) AJD]]-TABL123[[#This Row],[SER_IN]]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 (T/B) SAR]]+TABL123[[#This Row],[ (S/S) SAR]]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 (S/S) SAR]]-TABL123[[#This Row],[(S/S) AJD]]</f>
        <v>64</v>
      </c>
      <c r="Q97" s="40">
        <v>420</v>
      </c>
      <c r="R97" s="3">
        <f>TABL123[[#This Row],[ (T/B) SAR]]-TABL123[[#This Row],[(T/B) AJD]]</f>
        <v>17</v>
      </c>
      <c r="S97" s="3">
        <f>TABL123[[#This Row],[T/B-CON.]]+TABL123[[#This Row],[S/S_CON.]]</f>
        <v>81</v>
      </c>
      <c r="T97" s="3">
        <f>TABL123[[#This Row],[(S/S) AJD]]+TABL123[[#This Row],[(T/B) AJD]]</f>
        <v>811</v>
      </c>
      <c r="U97" s="44">
        <v>581</v>
      </c>
      <c r="V97" s="44">
        <v>203</v>
      </c>
      <c r="W97" s="3">
        <f>TABL123[[#This Row],[(A/B) AJD]]+TABL123[[#This Row],[(A/S)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3">
        <f>TABL123[[#This Row],[( S/S+T/B) AJD]]-(TABL123[[#This Row],[(A/B + A/S) AJD]]+TABL123[[#This Row],[(STORGE DIFF.) AJD]]+(TABL123[[#This Row],[AJD_Evaporation]])/1000)</f>
        <v>44.788999999999987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8">
        <f>TABL123[[#This Row],[(A/B) AJD]]-TABL123[[#This Row],[BER_IN]]</f>
        <v>491</v>
      </c>
      <c r="AK97" s="68">
        <v>25</v>
      </c>
      <c r="AL97" s="87">
        <v>42.835099999999997</v>
      </c>
      <c r="AM97" s="87">
        <v>3019020</v>
      </c>
      <c r="AN97" s="87">
        <f>TABL123[[#This Row],[ (RESV. STORGE) SER]]/10</f>
        <v>301902</v>
      </c>
      <c r="AO97" s="45">
        <v>1720</v>
      </c>
      <c r="AP97" s="32">
        <f>TABL123[[#This Row],[(A/S) AJD]]-TABL123[[#This Row],[SER_IN]]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 (T/B) SAR]]+TABL123[[#This Row],[ (S/S) SAR]]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 (S/S) SAR]]-TABL123[[#This Row],[(S/S) AJD]]</f>
        <v>44</v>
      </c>
      <c r="Q98" s="39">
        <v>410</v>
      </c>
      <c r="R98" s="3">
        <f>TABL123[[#This Row],[ (T/B) SAR]]-TABL123[[#This Row],[(T/B) AJD]]</f>
        <v>39</v>
      </c>
      <c r="S98" s="3">
        <f>TABL123[[#This Row],[T/B-CON.]]+TABL123[[#This Row],[S/S_CON.]]</f>
        <v>83</v>
      </c>
      <c r="T98" s="3">
        <f>TABL123[[#This Row],[(S/S) AJD]]+TABL123[[#This Row],[(T/B) AJD]]</f>
        <v>799</v>
      </c>
      <c r="U98" s="41">
        <v>579</v>
      </c>
      <c r="V98" s="41">
        <v>198</v>
      </c>
      <c r="W98" s="3">
        <f>TABL123[[#This Row],[(A/B) AJD]]+TABL123[[#This Row],[(A/S)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3">
        <f>TABL123[[#This Row],[( S/S+T/B) AJD]]-(TABL123[[#This Row],[(A/B + A/S) AJD]]+TABL123[[#This Row],[(STORGE DIFF.) AJD]]+(TABL123[[#This Row],[AJD_Evaporation]])/1000)</f>
        <v>8.9420000000000073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8">
        <f>TABL123[[#This Row],[(A/B) AJD]]-TABL123[[#This Row],[BER_IN]]</f>
        <v>489</v>
      </c>
      <c r="AK98" s="68">
        <v>24</v>
      </c>
      <c r="AL98" s="87">
        <v>42.854700000000001</v>
      </c>
      <c r="AM98" s="87">
        <v>3029840</v>
      </c>
      <c r="AN98" s="87">
        <f>TABL123[[#This Row],[ (RESV. STORGE) SER]]/10</f>
        <v>302984</v>
      </c>
      <c r="AO98" s="43">
        <v>1735</v>
      </c>
      <c r="AP98" s="32">
        <f>TABL123[[#This Row],[(A/S) AJD]]-TABL123[[#This Row],[SER_IN]]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 (T/B) SAR]]+TABL123[[#This Row],[ (S/S) SAR]]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 (S/S) SAR]]-TABL123[[#This Row],[(S/S) AJD]]</f>
        <v>41</v>
      </c>
      <c r="Q99" s="40">
        <v>432</v>
      </c>
      <c r="R99" s="3">
        <f>TABL123[[#This Row],[ (T/B) SAR]]-TABL123[[#This Row],[(T/B) AJD]]</f>
        <v>17</v>
      </c>
      <c r="S99" s="3">
        <f>TABL123[[#This Row],[T/B-CON.]]+TABL123[[#This Row],[S/S_CON.]]</f>
        <v>58</v>
      </c>
      <c r="T99" s="3">
        <f>TABL123[[#This Row],[(S/S) AJD]]+TABL123[[#This Row],[(T/B) AJD]]</f>
        <v>823</v>
      </c>
      <c r="U99" s="44">
        <v>574</v>
      </c>
      <c r="V99" s="44">
        <v>199</v>
      </c>
      <c r="W99" s="3">
        <f>TABL123[[#This Row],[(A/B) AJD]]+TABL123[[#This Row],[(A/S)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3">
        <f>TABL123[[#This Row],[( S/S+T/B) AJD]]-(TABL123[[#This Row],[(A/B + A/S) AJD]]+TABL123[[#This Row],[(STORGE DIFF.) AJD]]+(TABL123[[#This Row],[AJD_Evaporation]])/1000)</f>
        <v>30.701999999999998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8">
        <f>TABL123[[#This Row],[(A/B) AJD]]-TABL123[[#This Row],[BER_IN]]</f>
        <v>482</v>
      </c>
      <c r="AK99" s="68">
        <v>25</v>
      </c>
      <c r="AL99" s="87">
        <v>42.863300000000002</v>
      </c>
      <c r="AM99" s="87">
        <v>3033860</v>
      </c>
      <c r="AN99" s="87">
        <f>TABL123[[#This Row],[ (RESV. STORGE) SER]]/10</f>
        <v>303386</v>
      </c>
      <c r="AO99" s="45">
        <v>1765</v>
      </c>
      <c r="AP99" s="32">
        <f>TABL123[[#This Row],[(A/S) AJD]]-TABL123[[#This Row],[SER_IN]]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 (T/B) SAR]]+TABL123[[#This Row],[ (S/S) SAR]]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 (S/S) SAR]]-TABL123[[#This Row],[(S/S) AJD]]</f>
        <v>44</v>
      </c>
      <c r="Q100" s="39">
        <v>421</v>
      </c>
      <c r="R100" s="3">
        <f>TABL123[[#This Row],[ (T/B) SAR]]-TABL123[[#This Row],[(T/B) AJD]]</f>
        <v>30</v>
      </c>
      <c r="S100" s="3">
        <f>TABL123[[#This Row],[T/B-CON.]]+TABL123[[#This Row],[S/S_CON.]]</f>
        <v>74</v>
      </c>
      <c r="T100" s="3">
        <f>TABL123[[#This Row],[(S/S) AJD]]+TABL123[[#This Row],[(T/B) AJD]]</f>
        <v>813</v>
      </c>
      <c r="U100" s="41">
        <v>575</v>
      </c>
      <c r="V100" s="41">
        <v>216</v>
      </c>
      <c r="W100" s="3">
        <f>TABL123[[#This Row],[(A/B) AJD]]+TABL123[[#This Row],[(A/S)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3">
        <f>TABL123[[#This Row],[( S/S+T/B) AJD]]-(TABL123[[#This Row],[(A/B + A/S) AJD]]+TABL123[[#This Row],[(STORGE DIFF.) AJD]]+(TABL123[[#This Row],[AJD_Evaporation]])/1000)</f>
        <v>25.469000000000051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8">
        <f>TABL123[[#This Row],[(A/B) AJD]]-TABL123[[#This Row],[BER_IN]]</f>
        <v>485</v>
      </c>
      <c r="AK100" s="68">
        <v>21</v>
      </c>
      <c r="AL100" s="87">
        <v>42.850900000000003</v>
      </c>
      <c r="AM100" s="87">
        <v>3027660</v>
      </c>
      <c r="AN100" s="87">
        <f>TABL123[[#This Row],[ (RESV. STORGE) SER]]/10</f>
        <v>302766</v>
      </c>
      <c r="AO100" s="43">
        <v>1775</v>
      </c>
      <c r="AP100" s="32">
        <f>TABL123[[#This Row],[(A/S) AJD]]-TABL123[[#This Row],[SER_IN]]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 (T/B) SAR]]+TABL123[[#This Row],[ (S/S) SAR]]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 (S/S) SAR]]-TABL123[[#This Row],[(S/S) AJD]]</f>
        <v>42</v>
      </c>
      <c r="Q101" s="40">
        <v>424</v>
      </c>
      <c r="R101" s="3">
        <f>TABL123[[#This Row],[ (T/B) SAR]]-TABL123[[#This Row],[(T/B) AJD]]</f>
        <v>31</v>
      </c>
      <c r="S101" s="3">
        <f>TABL123[[#This Row],[T/B-CON.]]+TABL123[[#This Row],[S/S_CON.]]</f>
        <v>73</v>
      </c>
      <c r="T101" s="3">
        <f>TABL123[[#This Row],[(S/S) AJD]]+TABL123[[#This Row],[(T/B) AJD]]</f>
        <v>819</v>
      </c>
      <c r="U101" s="44">
        <v>575</v>
      </c>
      <c r="V101" s="44">
        <v>236</v>
      </c>
      <c r="W101" s="3">
        <f>TABL123[[#This Row],[(A/B) AJD]]+TABL123[[#This Row],[(A/S)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3">
        <f>TABL123[[#This Row],[( S/S+T/B) AJD]]-(TABL123[[#This Row],[(A/B + A/S) AJD]]+TABL123[[#This Row],[(STORGE DIFF.) AJD]]+(TABL123[[#This Row],[AJD_Evaporation]])/1000)</f>
        <v>26.977999999999952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8">
        <f>TABL123[[#This Row],[(A/B) AJD]]-TABL123[[#This Row],[BER_IN]]</f>
        <v>485</v>
      </c>
      <c r="AK101" s="68">
        <v>21</v>
      </c>
      <c r="AL101" s="87">
        <v>42.835099999999997</v>
      </c>
      <c r="AM101" s="87">
        <v>3019020</v>
      </c>
      <c r="AN101" s="87">
        <f>TABL123[[#This Row],[ (RESV. STORGE) SER]]/10</f>
        <v>301902</v>
      </c>
      <c r="AO101" s="45">
        <v>1785</v>
      </c>
      <c r="AP101" s="32">
        <f>TABL123[[#This Row],[(A/S) AJD]]-TABL123[[#This Row],[SER_IN]]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 (T/B) SAR]]+TABL123[[#This Row],[ (S/S) SAR]]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 (S/S) SAR]]-TABL123[[#This Row],[(S/S) AJD]]</f>
        <v>37</v>
      </c>
      <c r="Q102" s="39">
        <v>428</v>
      </c>
      <c r="R102" s="3">
        <f>TABL123[[#This Row],[ (T/B) SAR]]-TABL123[[#This Row],[(T/B) AJD]]</f>
        <v>23</v>
      </c>
      <c r="S102" s="3">
        <f>TABL123[[#This Row],[T/B-CON.]]+TABL123[[#This Row],[S/S_CON.]]</f>
        <v>60</v>
      </c>
      <c r="T102" s="3">
        <f>TABL123[[#This Row],[(S/S) AJD]]+TABL123[[#This Row],[(T/B) AJD]]</f>
        <v>825</v>
      </c>
      <c r="U102" s="41">
        <v>579</v>
      </c>
      <c r="V102" s="41">
        <v>254</v>
      </c>
      <c r="W102" s="3">
        <f>TABL123[[#This Row],[(A/B) AJD]]+TABL123[[#This Row],[(A/S)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3">
        <f>TABL123[[#This Row],[( S/S+T/B) AJD]]-(TABL123[[#This Row],[(A/B + A/S) AJD]]+TABL123[[#This Row],[(STORGE DIFF.) AJD]]+(TABL123[[#This Row],[AJD_Evaporation]])/1000)</f>
        <v>27.559999999999945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8">
        <f>TABL123[[#This Row],[(A/B) AJD]]-TABL123[[#This Row],[BER_IN]]</f>
        <v>489</v>
      </c>
      <c r="AK102" s="68">
        <v>22</v>
      </c>
      <c r="AL102" s="87">
        <v>42.835099999999997</v>
      </c>
      <c r="AM102" s="87">
        <v>3019020</v>
      </c>
      <c r="AN102" s="87">
        <f>TABL123[[#This Row],[ (RESV. STORGE) SER]]/10</f>
        <v>301902</v>
      </c>
      <c r="AO102" s="43">
        <v>1820</v>
      </c>
      <c r="AP102" s="32">
        <f>TABL123[[#This Row],[(A/S) AJD]]-TABL123[[#This Row],[SER_IN]]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 (T/B) SAR]]+TABL123[[#This Row],[ (S/S) SAR]]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 (S/S) SAR]]-TABL123[[#This Row],[(S/S) AJD]]</f>
        <v>34</v>
      </c>
      <c r="Q103" s="40">
        <v>424</v>
      </c>
      <c r="R103" s="3">
        <f>TABL123[[#This Row],[ (T/B) SAR]]-TABL123[[#This Row],[(T/B) AJD]]</f>
        <v>20</v>
      </c>
      <c r="S103" s="3">
        <f>TABL123[[#This Row],[T/B-CON.]]+TABL123[[#This Row],[S/S_CON.]]</f>
        <v>54</v>
      </c>
      <c r="T103" s="3">
        <f>TABL123[[#This Row],[(S/S) AJD]]+TABL123[[#This Row],[(T/B) AJD]]</f>
        <v>819</v>
      </c>
      <c r="U103" s="44">
        <v>581</v>
      </c>
      <c r="V103" s="44">
        <v>251</v>
      </c>
      <c r="W103" s="3">
        <f>TABL123[[#This Row],[(A/B) AJD]]+TABL123[[#This Row],[(A/S)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3">
        <f>TABL123[[#This Row],[( S/S+T/B) AJD]]-(TABL123[[#This Row],[(A/B + A/S) AJD]]+TABL123[[#This Row],[(STORGE DIFF.) AJD]]+(TABL123[[#This Row],[AJD_Evaporation]])/1000)</f>
        <v>22.560000000000059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8">
        <f>TABL123[[#This Row],[(A/B) AJD]]-TABL123[[#This Row],[BER_IN]]</f>
        <v>489</v>
      </c>
      <c r="AK103" s="68">
        <v>22</v>
      </c>
      <c r="AL103" s="87">
        <v>42.830800000000004</v>
      </c>
      <c r="AM103" s="87">
        <v>3016870</v>
      </c>
      <c r="AN103" s="87">
        <f>TABL123[[#This Row],[ (RESV. STORGE) SER]]/10</f>
        <v>301687</v>
      </c>
      <c r="AO103" s="45">
        <v>1850</v>
      </c>
      <c r="AP103" s="32">
        <f>TABL123[[#This Row],[(A/S) AJD]]-TABL123[[#This Row],[SER_IN]]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 (T/B) SAR]]+TABL123[[#This Row],[ (S/S) SAR]]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 (S/S) SAR]]-TABL123[[#This Row],[(S/S) AJD]]</f>
        <v>41</v>
      </c>
      <c r="Q104" s="39">
        <v>420</v>
      </c>
      <c r="R104" s="3">
        <f>TABL123[[#This Row],[ (T/B) SAR]]-TABL123[[#This Row],[(T/B) AJD]]</f>
        <v>27</v>
      </c>
      <c r="S104" s="3">
        <f>TABL123[[#This Row],[T/B-CON.]]+TABL123[[#This Row],[S/S_CON.]]</f>
        <v>68</v>
      </c>
      <c r="T104" s="3">
        <f>TABL123[[#This Row],[(S/S) AJD]]+TABL123[[#This Row],[(T/B) AJD]]</f>
        <v>810</v>
      </c>
      <c r="U104" s="41">
        <v>562</v>
      </c>
      <c r="V104" s="41">
        <v>222</v>
      </c>
      <c r="W104" s="3">
        <f>TABL123[[#This Row],[(A/B) AJD]]+TABL123[[#This Row],[(A/S)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3">
        <f>TABL123[[#This Row],[( S/S+T/B) AJD]]-(TABL123[[#This Row],[(A/B + A/S) AJD]]+TABL123[[#This Row],[(STORGE DIFF.) AJD]]+(TABL123[[#This Row],[AJD_Evaporation]])/1000)</f>
        <v>30.309999999999945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8">
        <f>TABL123[[#This Row],[(A/B) AJD]]-TABL123[[#This Row],[BER_IN]]</f>
        <v>490</v>
      </c>
      <c r="AK104" s="68">
        <v>23</v>
      </c>
      <c r="AL104" s="87">
        <v>42.813099999999999</v>
      </c>
      <c r="AM104" s="87">
        <v>3007150</v>
      </c>
      <c r="AN104" s="87">
        <f>TABL123[[#This Row],[ (RESV. STORGE) SER]]/10</f>
        <v>300715</v>
      </c>
      <c r="AO104" s="43">
        <v>2125</v>
      </c>
      <c r="AP104" s="32">
        <f>TABL123[[#This Row],[(A/S) AJD]]-TABL123[[#This Row],[SER_IN]]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 (T/B) SAR]]+TABL123[[#This Row],[ (S/S) SAR]]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 (S/S) SAR]]-TABL123[[#This Row],[(S/S) AJD]]</f>
        <v>36</v>
      </c>
      <c r="Q105" s="40">
        <v>420</v>
      </c>
      <c r="R105" s="3">
        <f>TABL123[[#This Row],[ (T/B) SAR]]-TABL123[[#This Row],[(T/B) AJD]]</f>
        <v>21</v>
      </c>
      <c r="S105" s="3">
        <f>TABL123[[#This Row],[T/B-CON.]]+TABL123[[#This Row],[S/S_CON.]]</f>
        <v>57</v>
      </c>
      <c r="T105" s="3">
        <f>TABL123[[#This Row],[(S/S) AJD]]+TABL123[[#This Row],[(T/B) AJD]]</f>
        <v>809</v>
      </c>
      <c r="U105" s="44">
        <v>564</v>
      </c>
      <c r="V105" s="44">
        <v>232</v>
      </c>
      <c r="W105" s="3">
        <f>TABL123[[#This Row],[(A/B) AJD]]+TABL123[[#This Row],[(A/S)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3">
        <f>TABL123[[#This Row],[( S/S+T/B) AJD]]-(TABL123[[#This Row],[(A/B + A/S) AJD]]+TABL123[[#This Row],[(STORGE DIFF.) AJD]]+(TABL123[[#This Row],[AJD_Evaporation]])/1000)</f>
        <v>22.140999999999963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8">
        <f>TABL123[[#This Row],[(A/B) AJD]]-TABL123[[#This Row],[BER_IN]]</f>
        <v>503</v>
      </c>
      <c r="AK105" s="68">
        <v>24</v>
      </c>
      <c r="AL105" s="87">
        <v>42.790100000000002</v>
      </c>
      <c r="AM105" s="87">
        <v>2995030</v>
      </c>
      <c r="AN105" s="87">
        <f>TABL123[[#This Row],[ (RESV. STORGE) SER]]/10</f>
        <v>299503</v>
      </c>
      <c r="AO105" s="45">
        <v>2135</v>
      </c>
      <c r="AP105" s="32">
        <f>TABL123[[#This Row],[(A/S) AJD]]-TABL123[[#This Row],[SER_IN]]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 (T/B) SAR]]+TABL123[[#This Row],[ (S/S) SAR]]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 (S/S) SAR]]-TABL123[[#This Row],[(S/S) AJD]]</f>
        <v>42</v>
      </c>
      <c r="Q106" s="39">
        <v>419</v>
      </c>
      <c r="R106" s="3">
        <f>TABL123[[#This Row],[ (T/B) SAR]]-TABL123[[#This Row],[(T/B) AJD]]</f>
        <v>26</v>
      </c>
      <c r="S106" s="3">
        <f>TABL123[[#This Row],[T/B-CON.]]+TABL123[[#This Row],[S/S_CON.]]</f>
        <v>68</v>
      </c>
      <c r="T106" s="3">
        <f>TABL123[[#This Row],[(S/S) AJD]]+TABL123[[#This Row],[(T/B) AJD]]</f>
        <v>806</v>
      </c>
      <c r="U106" s="41">
        <v>554</v>
      </c>
      <c r="V106" s="41">
        <v>234</v>
      </c>
      <c r="W106" s="3">
        <f>TABL123[[#This Row],[(A/B) AJD]]+TABL123[[#This Row],[(A/S)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3">
        <f>TABL123[[#This Row],[( S/S+T/B) AJD]]-(TABL123[[#This Row],[(A/B + A/S) AJD]]+TABL123[[#This Row],[(STORGE DIFF.) AJD]]+(TABL123[[#This Row],[AJD_Evaporation]])/1000)</f>
        <v>23.684999999999945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8">
        <f>TABL123[[#This Row],[(A/B) AJD]]-TABL123[[#This Row],[BER_IN]]</f>
        <v>493</v>
      </c>
      <c r="AK106" s="68">
        <v>23</v>
      </c>
      <c r="AL106" s="87">
        <v>42.783000000000001</v>
      </c>
      <c r="AM106" s="87">
        <v>2990960</v>
      </c>
      <c r="AN106" s="87">
        <f>TABL123[[#This Row],[ (RESV. STORGE) SER]]/10</f>
        <v>299096</v>
      </c>
      <c r="AO106" s="43">
        <v>1995</v>
      </c>
      <c r="AP106" s="32">
        <f>TABL123[[#This Row],[(A/S) AJD]]-TABL123[[#This Row],[SER_IN]]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 (T/B) SAR]]+TABL123[[#This Row],[ (S/S) SAR]]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 (S/S) SAR]]-TABL123[[#This Row],[(S/S) AJD]]</f>
        <v>41</v>
      </c>
      <c r="Q107" s="40">
        <v>418</v>
      </c>
      <c r="R107" s="3">
        <f>TABL123[[#This Row],[ (T/B) SAR]]-TABL123[[#This Row],[(T/B) AJD]]</f>
        <v>28</v>
      </c>
      <c r="S107" s="3">
        <f>TABL123[[#This Row],[T/B-CON.]]+TABL123[[#This Row],[S/S_CON.]]</f>
        <v>69</v>
      </c>
      <c r="T107" s="3">
        <f>TABL123[[#This Row],[(S/S) AJD]]+TABL123[[#This Row],[(T/B) AJD]]</f>
        <v>807</v>
      </c>
      <c r="U107" s="44">
        <v>553</v>
      </c>
      <c r="V107" s="44">
        <v>231</v>
      </c>
      <c r="W107" s="3">
        <f>TABL123[[#This Row],[(A/B) AJD]]+TABL123[[#This Row],[(A/S)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3">
        <f>TABL123[[#This Row],[( S/S+T/B) AJD]]-(TABL123[[#This Row],[(A/B + A/S) AJD]]+TABL123[[#This Row],[(STORGE DIFF.) AJD]]+(TABL123[[#This Row],[AJD_Evaporation]])/1000)</f>
        <v>15.631999999999948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8">
        <f>TABL123[[#This Row],[(A/B) AJD]]-TABL123[[#This Row],[BER_IN]]</f>
        <v>491</v>
      </c>
      <c r="AK107" s="68">
        <v>6</v>
      </c>
      <c r="AL107" s="87">
        <v>42.745600000000003</v>
      </c>
      <c r="AM107" s="87">
        <v>2971220</v>
      </c>
      <c r="AN107" s="87">
        <f>TABL123[[#This Row],[ (RESV. STORGE) SER]]/10</f>
        <v>297122</v>
      </c>
      <c r="AO107" s="45">
        <v>1740</v>
      </c>
      <c r="AP107" s="32">
        <f>TABL123[[#This Row],[(A/S) AJD]]-TABL123[[#This Row],[SER_IN]]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 (T/B) SAR]]+TABL123[[#This Row],[ (S/S) SAR]]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 (S/S) SAR]]-TABL123[[#This Row],[(S/S) AJD]]</f>
        <v>43</v>
      </c>
      <c r="Q108" s="39">
        <v>419</v>
      </c>
      <c r="R108" s="3">
        <f>TABL123[[#This Row],[ (T/B) SAR]]-TABL123[[#This Row],[(T/B) AJD]]</f>
        <v>29</v>
      </c>
      <c r="S108" s="3">
        <f>TABL123[[#This Row],[T/B-CON.]]+TABL123[[#This Row],[S/S_CON.]]</f>
        <v>72</v>
      </c>
      <c r="T108" s="3">
        <f>TABL123[[#This Row],[(S/S) AJD]]+TABL123[[#This Row],[(T/B) AJD]]</f>
        <v>807</v>
      </c>
      <c r="U108" s="41">
        <v>553</v>
      </c>
      <c r="V108" s="41">
        <v>227</v>
      </c>
      <c r="W108" s="3">
        <f>TABL123[[#This Row],[(A/B) AJD]]+TABL123[[#This Row],[(A/S)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3">
        <f>TABL123[[#This Row],[( S/S+T/B) AJD]]-(TABL123[[#This Row],[(A/B + A/S) AJD]]+TABL123[[#This Row],[(STORGE DIFF.) AJD]]+(TABL123[[#This Row],[AJD_Evaporation]])/1000)</f>
        <v>11.996000000000095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8">
        <f>TABL123[[#This Row],[(A/B) AJD]]-TABL123[[#This Row],[BER_IN]]</f>
        <v>493</v>
      </c>
      <c r="AK108" s="68">
        <v>0</v>
      </c>
      <c r="AL108" s="87">
        <v>42.700600000000001</v>
      </c>
      <c r="AM108" s="87">
        <v>2946760</v>
      </c>
      <c r="AN108" s="87">
        <f>TABL123[[#This Row],[ (RESV. STORGE) SER]]/10</f>
        <v>294676</v>
      </c>
      <c r="AO108" s="43">
        <v>1860</v>
      </c>
      <c r="AP108" s="32">
        <f>TABL123[[#This Row],[(A/S) AJD]]-TABL123[[#This Row],[SER_IN]]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 (T/B) SAR]]+TABL123[[#This Row],[ (S/S) SAR]]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 (S/S) SAR]]-TABL123[[#This Row],[(S/S) AJD]]</f>
        <v>49</v>
      </c>
      <c r="Q109" s="40">
        <v>422</v>
      </c>
      <c r="R109" s="3">
        <f>TABL123[[#This Row],[ (T/B) SAR]]-TABL123[[#This Row],[(T/B) AJD]]</f>
        <v>33</v>
      </c>
      <c r="S109" s="3">
        <f>TABL123[[#This Row],[T/B-CON.]]+TABL123[[#This Row],[S/S_CON.]]</f>
        <v>82</v>
      </c>
      <c r="T109" s="3">
        <f>TABL123[[#This Row],[(S/S) AJD]]+TABL123[[#This Row],[(T/B) AJD]]</f>
        <v>812</v>
      </c>
      <c r="U109" s="44">
        <v>553</v>
      </c>
      <c r="V109" s="44">
        <v>243</v>
      </c>
      <c r="W109" s="3">
        <f>TABL123[[#This Row],[(A/B) AJD]]+TABL123[[#This Row],[(A/S)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3">
        <f>TABL123[[#This Row],[( S/S+T/B) AJD]]-(TABL123[[#This Row],[(A/B + A/S) AJD]]+TABL123[[#This Row],[(STORGE DIFF.) AJD]]+(TABL123[[#This Row],[AJD_Evaporation]])/1000)</f>
        <v>24.076000000000022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8">
        <f>TABL123[[#This Row],[(A/B) AJD]]-TABL123[[#This Row],[BER_IN]]</f>
        <v>493</v>
      </c>
      <c r="AK109" s="68">
        <v>0</v>
      </c>
      <c r="AL109" s="87">
        <v>42.674399999999999</v>
      </c>
      <c r="AM109" s="87">
        <v>2932700</v>
      </c>
      <c r="AN109" s="87">
        <f>TABL123[[#This Row],[ (RESV. STORGE) SER]]/10</f>
        <v>293270</v>
      </c>
      <c r="AO109" s="45">
        <v>1860</v>
      </c>
      <c r="AP109" s="32">
        <f>TABL123[[#This Row],[(A/S) AJD]]-TABL123[[#This Row],[SER_IN]]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 (T/B) SAR]]+TABL123[[#This Row],[ (S/S) SAR]]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 (S/S) SAR]]-TABL123[[#This Row],[(S/S) AJD]]</f>
        <v>50</v>
      </c>
      <c r="Q110" s="39">
        <v>428</v>
      </c>
      <c r="R110" s="3">
        <f>TABL123[[#This Row],[ (T/B) SAR]]-TABL123[[#This Row],[(T/B) AJD]]</f>
        <v>35</v>
      </c>
      <c r="S110" s="3">
        <f>TABL123[[#This Row],[T/B-CON.]]+TABL123[[#This Row],[S/S_CON.]]</f>
        <v>85</v>
      </c>
      <c r="T110" s="3">
        <f>TABL123[[#This Row],[(S/S) AJD]]+TABL123[[#This Row],[(T/B) AJD]]</f>
        <v>824</v>
      </c>
      <c r="U110" s="41">
        <v>552</v>
      </c>
      <c r="V110" s="41">
        <v>198</v>
      </c>
      <c r="W110" s="3">
        <f>TABL123[[#This Row],[(A/B) AJD]]+TABL123[[#This Row],[(A/S)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3">
        <f>TABL123[[#This Row],[( S/S+T/B) AJD]]-(TABL123[[#This Row],[(A/B + A/S) AJD]]+TABL123[[#This Row],[(STORGE DIFF.) AJD]]+(TABL123[[#This Row],[AJD_Evaporation]])/1000)</f>
        <v>24.854000000000042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8">
        <f>TABL123[[#This Row],[(A/B) AJD]]-TABL123[[#This Row],[BER_IN]]</f>
        <v>492</v>
      </c>
      <c r="AK110" s="68">
        <v>0</v>
      </c>
      <c r="AL110" s="87">
        <v>42.6447</v>
      </c>
      <c r="AM110" s="87">
        <v>2916590</v>
      </c>
      <c r="AN110" s="87">
        <f>TABL123[[#This Row],[ (RESV. STORGE) SER]]/10</f>
        <v>291659</v>
      </c>
      <c r="AO110" s="43">
        <v>1810</v>
      </c>
      <c r="AP110" s="32">
        <f>TABL123[[#This Row],[(A/S) AJD]]-TABL123[[#This Row],[SER_IN]]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 (T/B) SAR]]+TABL123[[#This Row],[ (S/S) SAR]]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 (S/S) SAR]]-TABL123[[#This Row],[(S/S) AJD]]</f>
        <v>43</v>
      </c>
      <c r="Q111" s="40">
        <v>435</v>
      </c>
      <c r="R111" s="3">
        <f>TABL123[[#This Row],[ (T/B) SAR]]-TABL123[[#This Row],[(T/B) AJD]]</f>
        <v>28</v>
      </c>
      <c r="S111" s="3">
        <f>TABL123[[#This Row],[T/B-CON.]]+TABL123[[#This Row],[S/S_CON.]]</f>
        <v>71</v>
      </c>
      <c r="T111" s="3">
        <f>TABL123[[#This Row],[(S/S) AJD]]+TABL123[[#This Row],[(T/B) AJD]]</f>
        <v>838</v>
      </c>
      <c r="U111" s="44">
        <v>559</v>
      </c>
      <c r="V111" s="44">
        <v>207</v>
      </c>
      <c r="W111" s="3">
        <f>TABL123[[#This Row],[(A/B) AJD]]+TABL123[[#This Row],[(A/S)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3">
        <f>TABL123[[#This Row],[( S/S+T/B) AJD]]-(TABL123[[#This Row],[(A/B + A/S) AJD]]+TABL123[[#This Row],[(STORGE DIFF.) AJD]]+(TABL123[[#This Row],[AJD_Evaporation]])/1000)</f>
        <v>25.277000000000044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8">
        <f>TABL123[[#This Row],[(A/B) AJD]]-TABL123[[#This Row],[BER_IN]]</f>
        <v>490</v>
      </c>
      <c r="AK111" s="68">
        <v>0</v>
      </c>
      <c r="AL111" s="87">
        <v>42.598100000000002</v>
      </c>
      <c r="AM111" s="87">
        <v>2891290</v>
      </c>
      <c r="AN111" s="87">
        <f>TABL123[[#This Row],[ (RESV. STORGE) SER]]/10</f>
        <v>289129</v>
      </c>
      <c r="AO111" s="45">
        <v>1800</v>
      </c>
      <c r="AP111" s="32">
        <f>TABL123[[#This Row],[(A/S) AJD]]-TABL123[[#This Row],[SER_IN]]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 (T/B) SAR]]+TABL123[[#This Row],[ (S/S) SAR]]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 (S/S) SAR]]-TABL123[[#This Row],[(S/S) AJD]]</f>
        <v>40</v>
      </c>
      <c r="Q112" s="39">
        <v>435</v>
      </c>
      <c r="R112" s="3">
        <f>TABL123[[#This Row],[ (T/B) SAR]]-TABL123[[#This Row],[(T/B) AJD]]</f>
        <v>25</v>
      </c>
      <c r="S112" s="3">
        <f>TABL123[[#This Row],[T/B-CON.]]+TABL123[[#This Row],[S/S_CON.]]</f>
        <v>65</v>
      </c>
      <c r="T112" s="3">
        <f>TABL123[[#This Row],[(S/S) AJD]]+TABL123[[#This Row],[(T/B) AJD]]</f>
        <v>839</v>
      </c>
      <c r="U112" s="41">
        <v>564</v>
      </c>
      <c r="V112" s="41">
        <v>240</v>
      </c>
      <c r="W112" s="3">
        <f>TABL123[[#This Row],[(A/B) AJD]]+TABL123[[#This Row],[(A/S)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3">
        <f>TABL123[[#This Row],[( S/S+T/B) AJD]]-(TABL123[[#This Row],[(A/B + A/S) AJD]]+TABL123[[#This Row],[(STORGE DIFF.) AJD]]+(TABL123[[#This Row],[AJD_Evaporation]])/1000)</f>
        <v>16.062000000000012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8">
        <f>TABL123[[#This Row],[(A/B) AJD]]-TABL123[[#This Row],[BER_IN]]</f>
        <v>494</v>
      </c>
      <c r="AK112" s="68">
        <v>0</v>
      </c>
      <c r="AL112" s="87">
        <v>42.552300000000002</v>
      </c>
      <c r="AM112" s="87">
        <v>2866550</v>
      </c>
      <c r="AN112" s="87">
        <f>TABL123[[#This Row],[ (RESV. STORGE) SER]]/10</f>
        <v>286655</v>
      </c>
      <c r="AO112" s="43">
        <v>1840</v>
      </c>
      <c r="AP112" s="32">
        <f>TABL123[[#This Row],[(A/S) AJD]]-TABL123[[#This Row],[SER_IN]]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 (T/B) SAR]]+TABL123[[#This Row],[ (S/S) SAR]]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 (S/S) SAR]]-TABL123[[#This Row],[(S/S) AJD]]</f>
        <v>40</v>
      </c>
      <c r="Q113" s="40">
        <v>432</v>
      </c>
      <c r="R113" s="3">
        <f>TABL123[[#This Row],[ (T/B) SAR]]-TABL123[[#This Row],[(T/B) AJD]]</f>
        <v>25</v>
      </c>
      <c r="S113" s="3">
        <f>TABL123[[#This Row],[T/B-CON.]]+TABL123[[#This Row],[S/S_CON.]]</f>
        <v>65</v>
      </c>
      <c r="T113" s="3">
        <f>TABL123[[#This Row],[(S/S) AJD]]+TABL123[[#This Row],[(T/B) AJD]]</f>
        <v>832</v>
      </c>
      <c r="U113" s="44">
        <v>584</v>
      </c>
      <c r="V113" s="44">
        <v>254</v>
      </c>
      <c r="W113" s="3">
        <f>TABL123[[#This Row],[(A/B) AJD]]+TABL123[[#This Row],[(A/S)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3">
        <f>TABL123[[#This Row],[( S/S+T/B) AJD]]-(TABL123[[#This Row],[(A/B + A/S) AJD]]+TABL123[[#This Row],[(STORGE DIFF.) AJD]]+(TABL123[[#This Row],[AJD_Evaporation]])/1000)</f>
        <v>34.418000000000006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8">
        <f>TABL123[[#This Row],[(A/B) AJD]]-TABL123[[#This Row],[BER_IN]]</f>
        <v>506</v>
      </c>
      <c r="AK113" s="68">
        <v>0</v>
      </c>
      <c r="AL113" s="87">
        <v>42.513199999999998</v>
      </c>
      <c r="AM113" s="87">
        <v>2845590</v>
      </c>
      <c r="AN113" s="87">
        <f>TABL123[[#This Row],[ (RESV. STORGE) SER]]/10</f>
        <v>284559</v>
      </c>
      <c r="AO113" s="45">
        <v>1860</v>
      </c>
      <c r="AP113" s="32">
        <f>TABL123[[#This Row],[(A/S) AJD]]-TABL123[[#This Row],[SER_IN]]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 (T/B) SAR]]+TABL123[[#This Row],[ (S/S) SAR]]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 (S/S) SAR]]-TABL123[[#This Row],[(S/S) AJD]]</f>
        <v>46</v>
      </c>
      <c r="Q114" s="39">
        <v>430</v>
      </c>
      <c r="R114" s="3">
        <f>TABL123[[#This Row],[ (T/B) SAR]]-TABL123[[#This Row],[(T/B) AJD]]</f>
        <v>29</v>
      </c>
      <c r="S114" s="3">
        <f>TABL123[[#This Row],[T/B-CON.]]+TABL123[[#This Row],[S/S_CON.]]</f>
        <v>75</v>
      </c>
      <c r="T114" s="3">
        <f>TABL123[[#This Row],[(S/S) AJD]]+TABL123[[#This Row],[(T/B) AJD]]</f>
        <v>828</v>
      </c>
      <c r="U114" s="41">
        <v>597</v>
      </c>
      <c r="V114" s="41">
        <v>261</v>
      </c>
      <c r="W114" s="3">
        <f>TABL123[[#This Row],[(A/B) AJD]]+TABL123[[#This Row],[(A/S)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3">
        <f>TABL123[[#This Row],[( S/S+T/B) AJD]]-(TABL123[[#This Row],[(A/B + A/S) AJD]]+TABL123[[#This Row],[(STORGE DIFF.) AJD]]+(TABL123[[#This Row],[AJD_Evaporation]])/1000)</f>
        <v>32.212999999999965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8">
        <f>TABL123[[#This Row],[(A/B) AJD]]-TABL123[[#This Row],[BER_IN]]</f>
        <v>517</v>
      </c>
      <c r="AK114" s="68">
        <v>0</v>
      </c>
      <c r="AL114" s="87">
        <v>42.4604</v>
      </c>
      <c r="AM114" s="87">
        <v>2817120</v>
      </c>
      <c r="AN114" s="87">
        <f>TABL123[[#This Row],[ (RESV. STORGE) SER]]/10</f>
        <v>281712</v>
      </c>
      <c r="AO114" s="43">
        <v>1870</v>
      </c>
      <c r="AP114" s="32">
        <f>TABL123[[#This Row],[(A/S) AJD]]-TABL123[[#This Row],[SER_IN]]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 (T/B) SAR]]+TABL123[[#This Row],[ (S/S) SAR]]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 (S/S) SAR]]-TABL123[[#This Row],[(S/S) AJD]]</f>
        <v>43</v>
      </c>
      <c r="Q115" s="40">
        <v>431</v>
      </c>
      <c r="R115" s="3">
        <f>TABL123[[#This Row],[ (T/B) SAR]]-TABL123[[#This Row],[(T/B) AJD]]</f>
        <v>29</v>
      </c>
      <c r="S115" s="3">
        <f>TABL123[[#This Row],[T/B-CON.]]+TABL123[[#This Row],[S/S_CON.]]</f>
        <v>72</v>
      </c>
      <c r="T115" s="3">
        <f>TABL123[[#This Row],[(S/S) AJD]]+TABL123[[#This Row],[(T/B) AJD]]</f>
        <v>831</v>
      </c>
      <c r="U115" s="44">
        <v>588</v>
      </c>
      <c r="V115" s="44">
        <v>213</v>
      </c>
      <c r="W115" s="3">
        <f>TABL123[[#This Row],[(A/B) AJD]]+TABL123[[#This Row],[(A/S)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3">
        <f>TABL123[[#This Row],[( S/S+T/B) AJD]]-(TABL123[[#This Row],[(A/B + A/S) AJD]]+TABL123[[#This Row],[(STORGE DIFF.) AJD]]+(TABL123[[#This Row],[AJD_Evaporation]])/1000)</f>
        <v>9.2820000000000391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8">
        <f>TABL123[[#This Row],[(A/B) AJD]]-TABL123[[#This Row],[BER_IN]]</f>
        <v>508</v>
      </c>
      <c r="AK115" s="68">
        <v>0</v>
      </c>
      <c r="AL115" s="87">
        <v>42.4161</v>
      </c>
      <c r="AM115" s="87">
        <v>2793590</v>
      </c>
      <c r="AN115" s="87">
        <f>TABL123[[#This Row],[ (RESV. STORGE) SER]]/10</f>
        <v>279359</v>
      </c>
      <c r="AO115" s="45">
        <v>1830</v>
      </c>
      <c r="AP115" s="32">
        <f>TABL123[[#This Row],[(A/S) AJD]]-TABL123[[#This Row],[SER_IN]]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 (T/B) SAR]]+TABL123[[#This Row],[ (S/S) SAR]]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 (S/S) SAR]]-TABL123[[#This Row],[(S/S) AJD]]</f>
        <v>46</v>
      </c>
      <c r="Q116" s="39">
        <v>434</v>
      </c>
      <c r="R116" s="3">
        <f>TABL123[[#This Row],[ (T/B) SAR]]-TABL123[[#This Row],[(T/B) AJD]]</f>
        <v>32</v>
      </c>
      <c r="S116" s="3">
        <f>TABL123[[#This Row],[T/B-CON.]]+TABL123[[#This Row],[S/S_CON.]]</f>
        <v>78</v>
      </c>
      <c r="T116" s="3">
        <f>TABL123[[#This Row],[(S/S) AJD]]+TABL123[[#This Row],[(T/B) AJD]]</f>
        <v>836</v>
      </c>
      <c r="U116" s="41">
        <v>587</v>
      </c>
      <c r="V116" s="41">
        <v>207</v>
      </c>
      <c r="W116" s="3">
        <f>TABL123[[#This Row],[(A/B) AJD]]+TABL123[[#This Row],[(A/S)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3">
        <f>TABL123[[#This Row],[( S/S+T/B) AJD]]-(TABL123[[#This Row],[(A/B + A/S) AJD]]+TABL123[[#This Row],[(STORGE DIFF.) AJD]]+(TABL123[[#This Row],[AJD_Evaporation]])/1000)</f>
        <v>24.663999999999987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8">
        <f>TABL123[[#This Row],[(A/B) AJD]]-TABL123[[#This Row],[BER_IN]]</f>
        <v>507</v>
      </c>
      <c r="AK116" s="68">
        <v>0</v>
      </c>
      <c r="AL116" s="87">
        <v>42.399000000000001</v>
      </c>
      <c r="AM116" s="87">
        <v>2784380</v>
      </c>
      <c r="AN116" s="87">
        <f>TABL123[[#This Row],[ (RESV. STORGE) SER]]/10</f>
        <v>278438</v>
      </c>
      <c r="AO116" s="43">
        <v>1810</v>
      </c>
      <c r="AP116" s="32">
        <f>TABL123[[#This Row],[(A/S) AJD]]-TABL123[[#This Row],[SER_IN]]</f>
        <v>207</v>
      </c>
    </row>
    <row r="117" spans="1:42" ht="18.75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 (T/B) SAR]]+TABL123[[#This Row],[ (S/S) SAR]]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 (S/S) SAR]]-TABL123[[#This Row],[(S/S) AJD]]</f>
        <v>43</v>
      </c>
      <c r="Q117" s="40">
        <v>440</v>
      </c>
      <c r="R117" s="3">
        <f>TABL123[[#This Row],[ (T/B) SAR]]-TABL123[[#This Row],[(T/B) AJD]]</f>
        <v>29</v>
      </c>
      <c r="S117" s="3">
        <f>TABL123[[#This Row],[T/B-CON.]]+TABL123[[#This Row],[S/S_CON.]]</f>
        <v>72</v>
      </c>
      <c r="T117" s="3">
        <f>TABL123[[#This Row],[(S/S) AJD]]+TABL123[[#This Row],[(T/B) AJD]]</f>
        <v>848</v>
      </c>
      <c r="U117" s="44">
        <v>590</v>
      </c>
      <c r="V117" s="44">
        <v>230</v>
      </c>
      <c r="W117" s="3">
        <f>TABL123[[#This Row],[(A/B) AJD]]+TABL123[[#This Row],[(A/S)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3">
        <f>TABL123[[#This Row],[( S/S+T/B) AJD]]-(TABL123[[#This Row],[(A/B + A/S) AJD]]+TABL123[[#This Row],[(STORGE DIFF.) AJD]]+(TABL123[[#This Row],[AJD_Evaporation]])/1000)</f>
        <v>12.166000000000054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8">
        <f>TABL123[[#This Row],[(A/B) AJD]]-TABL123[[#This Row],[BER_IN]]</f>
        <v>510</v>
      </c>
      <c r="AK117" s="68">
        <v>0</v>
      </c>
      <c r="AL117" s="87">
        <v>42.362099999999998</v>
      </c>
      <c r="AM117" s="87">
        <v>2764530</v>
      </c>
      <c r="AN117" s="87">
        <f>TABL123[[#This Row],[ (RESV. STORGE) SER]]/10</f>
        <v>276453</v>
      </c>
      <c r="AO117" s="45">
        <v>1850</v>
      </c>
      <c r="AP117" s="32">
        <f>TABL123[[#This Row],[(A/S) AJD]]-TABL123[[#This Row],[SER_IN]]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 (T/B) SAR]]+TABL123[[#This Row],[ (S/S) SAR]]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 (S/S) SAR]]-TABL123[[#This Row],[(S/S) AJD]]</f>
        <v>-30</v>
      </c>
      <c r="Q118" s="39">
        <v>440</v>
      </c>
      <c r="R118" s="3">
        <f>TABL123[[#This Row],[ (T/B) SAR]]-TABL123[[#This Row],[(T/B) AJD]]</f>
        <v>-51</v>
      </c>
      <c r="S118" s="3">
        <f>TABL123[[#This Row],[T/B-CON.]]+TABL123[[#This Row],[S/S_CON.]]</f>
        <v>-81</v>
      </c>
      <c r="T118" s="3">
        <f>TABL123[[#This Row],[(S/S) AJD]]+TABL123[[#This Row],[(T/B) AJD]]</f>
        <v>846</v>
      </c>
      <c r="U118" s="41">
        <v>586</v>
      </c>
      <c r="V118" s="41">
        <v>237</v>
      </c>
      <c r="W118" s="3">
        <f>TABL123[[#This Row],[(A/B) AJD]]+TABL123[[#This Row],[(A/S)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3">
        <f>TABL123[[#This Row],[( S/S+T/B) AJD]]-(TABL123[[#This Row],[(A/B + A/S) AJD]]+TABL123[[#This Row],[(STORGE DIFF.) AJD]]+(TABL123[[#This Row],[AJD_Evaporation]])/1000)</f>
        <v>30.499000000000024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8">
        <f>TABL123[[#This Row],[(A/B) AJD]]-TABL123[[#This Row],[BER_IN]]</f>
        <v>506</v>
      </c>
      <c r="AK118" s="68">
        <v>0</v>
      </c>
      <c r="AL118" s="87">
        <v>42.308500000000002</v>
      </c>
      <c r="AM118" s="87">
        <v>2735590</v>
      </c>
      <c r="AN118" s="87">
        <f>TABL123[[#This Row],[ (RESV. STORGE) SER]]/10</f>
        <v>273559</v>
      </c>
      <c r="AO118" s="43">
        <v>1840</v>
      </c>
      <c r="AP118" s="32">
        <f>TABL123[[#This Row],[(A/S) AJD]]-TABL123[[#This Row],[SER_IN]]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 (T/B) SAR]]+TABL123[[#This Row],[ (S/S) SAR]]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 (S/S) SAR]]-TABL123[[#This Row],[(S/S) AJD]]</f>
        <v>42</v>
      </c>
      <c r="Q119" s="40">
        <v>440</v>
      </c>
      <c r="R119" s="3">
        <f>TABL123[[#This Row],[ (T/B) SAR]]-TABL123[[#This Row],[(T/B) AJD]]</f>
        <v>25</v>
      </c>
      <c r="S119" s="3">
        <f>TABL123[[#This Row],[T/B-CON.]]+TABL123[[#This Row],[S/S_CON.]]</f>
        <v>67</v>
      </c>
      <c r="T119" s="3">
        <f>TABL123[[#This Row],[(S/S) AJD]]+TABL123[[#This Row],[(T/B) AJD]]</f>
        <v>846</v>
      </c>
      <c r="U119" s="44">
        <v>586</v>
      </c>
      <c r="V119" s="44">
        <v>237</v>
      </c>
      <c r="W119" s="3">
        <f>TABL123[[#This Row],[(A/B) AJD]]+TABL123[[#This Row],[(A/S)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3">
        <f>TABL123[[#This Row],[( S/S+T/B) AJD]]-(TABL123[[#This Row],[(A/B + A/S) AJD]]+TABL123[[#This Row],[(STORGE DIFF.) AJD]]+(TABL123[[#This Row],[AJD_Evaporation]])/1000)</f>
        <v>21.61099999999999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8">
        <f>TABL123[[#This Row],[(A/B) AJD]]-TABL123[[#This Row],[BER_IN]]</f>
        <v>528</v>
      </c>
      <c r="AK119" s="68">
        <v>0</v>
      </c>
      <c r="AL119" s="87">
        <v>42.298299999999998</v>
      </c>
      <c r="AM119" s="87">
        <v>2730770</v>
      </c>
      <c r="AN119" s="87">
        <f>TABL123[[#This Row],[ (RESV. STORGE) SER]]/10</f>
        <v>273077</v>
      </c>
      <c r="AO119" s="45">
        <v>1387</v>
      </c>
      <c r="AP119" s="32">
        <f>TABL123[[#This Row],[(A/S) AJD]]-TABL123[[#This Row],[SER_IN]]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 (T/B) SAR]]+TABL123[[#This Row],[ (S/S) SAR]]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 (S/S) SAR]]-TABL123[[#This Row],[(S/S) AJD]]</f>
        <v>41</v>
      </c>
      <c r="Q120" s="39">
        <v>428</v>
      </c>
      <c r="R120" s="3">
        <f>TABL123[[#This Row],[ (T/B) SAR]]-TABL123[[#This Row],[(T/B) AJD]]</f>
        <v>34</v>
      </c>
      <c r="S120" s="3">
        <f>TABL123[[#This Row],[T/B-CON.]]+TABL123[[#This Row],[S/S_CON.]]</f>
        <v>75</v>
      </c>
      <c r="T120" s="3">
        <f>TABL123[[#This Row],[(S/S) AJD]]+TABL123[[#This Row],[(T/B) AJD]]</f>
        <v>832</v>
      </c>
      <c r="U120" s="41">
        <v>508</v>
      </c>
      <c r="V120" s="41">
        <v>224</v>
      </c>
      <c r="W120" s="3">
        <f>TABL123[[#This Row],[(A/B) AJD]]+TABL123[[#This Row],[(A/S)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3">
        <f>TABL123[[#This Row],[( S/S+T/B) AJD]]-(TABL123[[#This Row],[(A/B + A/S) AJD]]+TABL123[[#This Row],[(STORGE DIFF.) AJD]]+(TABL123[[#This Row],[AJD_Evaporation]])/1000)</f>
        <v>35.344000000000051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8">
        <f>TABL123[[#This Row],[(A/B) AJD]]-TABL123[[#This Row],[BER_IN]]</f>
        <v>459</v>
      </c>
      <c r="AK120" s="68">
        <v>0</v>
      </c>
      <c r="AL120" s="87">
        <v>42.291600000000003</v>
      </c>
      <c r="AM120" s="87">
        <v>2727870</v>
      </c>
      <c r="AN120" s="87">
        <f>TABL123[[#This Row],[ (RESV. STORGE) SER]]/10</f>
        <v>272787</v>
      </c>
      <c r="AO120" s="43">
        <v>1900</v>
      </c>
      <c r="AP120" s="32">
        <f>TABL123[[#This Row],[(A/S) AJD]]-TABL123[[#This Row],[SER_IN]]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 (T/B) SAR]]+TABL123[[#This Row],[ (S/S) SAR]]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 (S/S) SAR]]-TABL123[[#This Row],[(S/S) AJD]]</f>
        <v>45</v>
      </c>
      <c r="Q121" s="40">
        <v>433</v>
      </c>
      <c r="R121" s="3">
        <f>TABL123[[#This Row],[ (T/B) SAR]]-TABL123[[#This Row],[(T/B) AJD]]</f>
        <v>30</v>
      </c>
      <c r="S121" s="3">
        <f>TABL123[[#This Row],[T/B-CON.]]+TABL123[[#This Row],[S/S_CON.]]</f>
        <v>75</v>
      </c>
      <c r="T121" s="3">
        <f>TABL123[[#This Row],[(S/S) AJD]]+TABL123[[#This Row],[(T/B) AJD]]</f>
        <v>834</v>
      </c>
      <c r="U121" s="44">
        <v>529</v>
      </c>
      <c r="V121" s="44">
        <v>198</v>
      </c>
      <c r="W121" s="3">
        <f>TABL123[[#This Row],[(A/B) AJD]]+TABL123[[#This Row],[(A/S)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3">
        <f>TABL123[[#This Row],[( S/S+T/B) AJD]]-(TABL123[[#This Row],[(A/B + A/S) AJD]]+TABL123[[#This Row],[(STORGE DIFF.) AJD]]+(TABL123[[#This Row],[AJD_Evaporation]])/1000)</f>
        <v>30.578000000000088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8">
        <f>TABL123[[#This Row],[(A/B) AJD]]-TABL123[[#This Row],[BER_IN]]</f>
        <v>480</v>
      </c>
      <c r="AK121" s="68">
        <v>0</v>
      </c>
      <c r="AL121" s="87">
        <v>42.284300000000002</v>
      </c>
      <c r="AM121" s="87">
        <v>2722360</v>
      </c>
      <c r="AN121" s="87">
        <f>TABL123[[#This Row],[ (RESV. STORGE) SER]]/10</f>
        <v>272236</v>
      </c>
      <c r="AO121" s="45">
        <v>1810</v>
      </c>
      <c r="AP121" s="32">
        <f>TABL123[[#This Row],[(A/S) AJD]]-TABL123[[#This Row],[SER_IN]]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 (T/B) SAR]]+TABL123[[#This Row],[ (S/S) SAR]]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 (S/S) SAR]]-TABL123[[#This Row],[(S/S) AJD]]</f>
        <v>29</v>
      </c>
      <c r="Q122" s="39">
        <v>451</v>
      </c>
      <c r="R122" s="3">
        <f>TABL123[[#This Row],[ (T/B) SAR]]-TABL123[[#This Row],[(T/B) AJD]]</f>
        <v>17</v>
      </c>
      <c r="S122" s="3">
        <f>TABL123[[#This Row],[T/B-CON.]]+TABL123[[#This Row],[S/S_CON.]]</f>
        <v>46</v>
      </c>
      <c r="T122" s="3">
        <f>TABL123[[#This Row],[(S/S) AJD]]+TABL123[[#This Row],[(T/B) AJD]]</f>
        <v>869</v>
      </c>
      <c r="U122" s="41">
        <v>580</v>
      </c>
      <c r="V122" s="41">
        <v>268</v>
      </c>
      <c r="W122" s="3">
        <f>TABL123[[#This Row],[(A/B) AJD]]+TABL123[[#This Row],[(A/S)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3">
        <f>TABL123[[#This Row],[( S/S+T/B) AJD]]-(TABL123[[#This Row],[(A/B + A/S) AJD]]+TABL123[[#This Row],[(STORGE DIFF.) AJD]]+(TABL123[[#This Row],[AJD_Evaporation]])/1000)</f>
        <v>28.802999999999997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8">
        <f>TABL123[[#This Row],[(A/B) AJD]]-TABL123[[#This Row],[BER_IN]]</f>
        <v>514</v>
      </c>
      <c r="AK122" s="68">
        <v>15</v>
      </c>
      <c r="AL122" s="87">
        <v>42.27</v>
      </c>
      <c r="AM122" s="87">
        <v>2715240</v>
      </c>
      <c r="AN122" s="87">
        <f>TABL123[[#This Row],[ (RESV. STORGE) SER]]/10</f>
        <v>271524</v>
      </c>
      <c r="AO122" s="43">
        <v>1920</v>
      </c>
      <c r="AP122" s="32">
        <f>TABL123[[#This Row],[(A/S) AJD]]-TABL123[[#This Row],[SER_IN]]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 (T/B) SAR]]+TABL123[[#This Row],[ (S/S) SAR]]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 (S/S) SAR]]-TABL123[[#This Row],[(S/S) AJD]]</f>
        <v>59</v>
      </c>
      <c r="Q123" s="40">
        <v>419</v>
      </c>
      <c r="R123" s="3">
        <f>TABL123[[#This Row],[ (T/B) SAR]]-TABL123[[#This Row],[(T/B) AJD]]</f>
        <v>41</v>
      </c>
      <c r="S123" s="3">
        <f>TABL123[[#This Row],[T/B-CON.]]+TABL123[[#This Row],[S/S_CON.]]</f>
        <v>100</v>
      </c>
      <c r="T123" s="3">
        <f>TABL123[[#This Row],[(S/S) AJD]]+TABL123[[#This Row],[(T/B) AJD]]</f>
        <v>805</v>
      </c>
      <c r="U123" s="44">
        <v>541</v>
      </c>
      <c r="V123" s="44">
        <v>275</v>
      </c>
      <c r="W123" s="3">
        <f>TABL123[[#This Row],[(A/B) AJD]]+TABL123[[#This Row],[(A/S)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3">
        <f>TABL123[[#This Row],[( S/S+T/B) AJD]]-(TABL123[[#This Row],[(A/B + A/S) AJD]]+TABL123[[#This Row],[(STORGE DIFF.) AJD]]+(TABL123[[#This Row],[AJD_Evaporation]])/1000)</f>
        <v>20.085999999999899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8">
        <f>TABL123[[#This Row],[(A/B) AJD]]-TABL123[[#This Row],[BER_IN]]</f>
        <v>472</v>
      </c>
      <c r="AK123" s="68">
        <v>21</v>
      </c>
      <c r="AL123" s="87">
        <v>42.277000000000001</v>
      </c>
      <c r="AM123" s="87">
        <v>2718490</v>
      </c>
      <c r="AN123" s="87">
        <f>TABL123[[#This Row],[ (RESV. STORGE) SER]]/10</f>
        <v>271849</v>
      </c>
      <c r="AO123" s="45">
        <v>1860</v>
      </c>
      <c r="AP123" s="32">
        <f>TABL123[[#This Row],[(A/S) AJD]]-TABL123[[#This Row],[SER_IN]]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 (T/B) SAR]]+TABL123[[#This Row],[ (S/S) SAR]]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 (S/S) SAR]]-TABL123[[#This Row],[(S/S) AJD]]</f>
        <v>51</v>
      </c>
      <c r="Q124" s="39">
        <v>435</v>
      </c>
      <c r="R124" s="3">
        <f>TABL123[[#This Row],[ (T/B) SAR]]-TABL123[[#This Row],[(T/B) AJD]]</f>
        <v>15</v>
      </c>
      <c r="S124" s="3">
        <f>TABL123[[#This Row],[T/B-CON.]]+TABL123[[#This Row],[S/S_CON.]]</f>
        <v>66</v>
      </c>
      <c r="T124" s="3">
        <f>TABL123[[#This Row],[(S/S) AJD]]+TABL123[[#This Row],[(T/B) AJD]]</f>
        <v>839</v>
      </c>
      <c r="U124" s="41">
        <v>563</v>
      </c>
      <c r="V124" s="41">
        <v>273</v>
      </c>
      <c r="W124" s="3">
        <f>TABL123[[#This Row],[(A/B) AJD]]+TABL123[[#This Row],[(A/S)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3">
        <f>TABL123[[#This Row],[( S/S+T/B) AJD]]-(TABL123[[#This Row],[(A/B + A/S) AJD]]+TABL123[[#This Row],[(STORGE DIFF.) AJD]]+(TABL123[[#This Row],[AJD_Evaporation]])/1000)</f>
        <v>26.744000000000028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8">
        <f>TABL123[[#This Row],[(A/B) AJD]]-TABL123[[#This Row],[BER_IN]]</f>
        <v>493</v>
      </c>
      <c r="AK124" s="68">
        <v>21</v>
      </c>
      <c r="AL124" s="87">
        <v>42.257100000000001</v>
      </c>
      <c r="AM124" s="87">
        <v>2708940</v>
      </c>
      <c r="AN124" s="87">
        <f>TABL123[[#This Row],[ (RESV. STORGE) SER]]/10</f>
        <v>270894</v>
      </c>
      <c r="AO124" s="43">
        <v>1925</v>
      </c>
      <c r="AP124" s="32">
        <f>TABL123[[#This Row],[(A/S) AJD]]-TABL123[[#This Row],[SER_IN]]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 (T/B) SAR]]+TABL123[[#This Row],[ (S/S) SAR]]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 (S/S) SAR]]-TABL123[[#This Row],[(S/S) AJD]]</f>
        <v>48</v>
      </c>
      <c r="Q125" s="40">
        <v>438</v>
      </c>
      <c r="R125" s="3">
        <f>TABL123[[#This Row],[ (T/B) SAR]]-TABL123[[#This Row],[(T/B) AJD]]</f>
        <v>33</v>
      </c>
      <c r="S125" s="3">
        <f>TABL123[[#This Row],[T/B-CON.]]+TABL123[[#This Row],[S/S_CON.]]</f>
        <v>81</v>
      </c>
      <c r="T125" s="3">
        <f>TABL123[[#This Row],[(S/S) AJD]]+TABL123[[#This Row],[(T/B) AJD]]</f>
        <v>846</v>
      </c>
      <c r="U125" s="44">
        <v>566</v>
      </c>
      <c r="V125" s="44">
        <v>278</v>
      </c>
      <c r="W125" s="3">
        <f>TABL123[[#This Row],[(A/B) AJD]]+TABL123[[#This Row],[(A/S)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3">
        <f>TABL123[[#This Row],[( S/S+T/B) AJD]]-(TABL123[[#This Row],[(A/B + A/S) AJD]]+TABL123[[#This Row],[(STORGE DIFF.) AJD]]+(TABL123[[#This Row],[AJD_Evaporation]])/1000)</f>
        <v>21.683000000000106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8">
        <f>TABL123[[#This Row],[(A/B) AJD]]-TABL123[[#This Row],[BER_IN]]</f>
        <v>496</v>
      </c>
      <c r="AK125" s="68">
        <v>21</v>
      </c>
      <c r="AL125" s="87">
        <v>42.231499999999997</v>
      </c>
      <c r="AM125" s="87">
        <v>2694890</v>
      </c>
      <c r="AN125" s="87">
        <f>TABL123[[#This Row],[ (RESV. STORGE) SER]]/10</f>
        <v>269489</v>
      </c>
      <c r="AO125" s="45">
        <v>1932</v>
      </c>
      <c r="AP125" s="32">
        <f>TABL123[[#This Row],[(A/S) AJD]]-TABL123[[#This Row],[SER_IN]]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 (T/B) SAR]]+TABL123[[#This Row],[ (S/S) SAR]]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 (S/S) SAR]]-TABL123[[#This Row],[(S/S) AJD]]</f>
        <v>40</v>
      </c>
      <c r="Q126" s="39">
        <v>442</v>
      </c>
      <c r="R126" s="3">
        <f>TABL123[[#This Row],[ (T/B) SAR]]-TABL123[[#This Row],[(T/B) AJD]]</f>
        <v>25</v>
      </c>
      <c r="S126" s="3">
        <f>TABL123[[#This Row],[T/B-CON.]]+TABL123[[#This Row],[S/S_CON.]]</f>
        <v>65</v>
      </c>
      <c r="T126" s="3">
        <f>TABL123[[#This Row],[(S/S) AJD]]+TABL123[[#This Row],[(T/B) AJD]]</f>
        <v>853</v>
      </c>
      <c r="U126" s="41">
        <v>563</v>
      </c>
      <c r="V126" s="41">
        <v>238</v>
      </c>
      <c r="W126" s="3">
        <f>TABL123[[#This Row],[(A/B) AJD]]+TABL123[[#This Row],[(A/S)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3">
        <f>TABL123[[#This Row],[( S/S+T/B) AJD]]-(TABL123[[#This Row],[(A/B + A/S) AJD]]+TABL123[[#This Row],[(STORGE DIFF.) AJD]]+(TABL123[[#This Row],[AJD_Evaporation]])/1000)</f>
        <v>31.008000000000038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8">
        <f>TABL123[[#This Row],[(A/B) AJD]]-TABL123[[#This Row],[BER_IN]]</f>
        <v>493</v>
      </c>
      <c r="AK126" s="68">
        <v>22</v>
      </c>
      <c r="AL126" s="87">
        <v>42.214199999999998</v>
      </c>
      <c r="AM126" s="87">
        <v>2685260</v>
      </c>
      <c r="AN126" s="87">
        <f>TABL123[[#This Row],[ (RESV. STORGE) SER]]/10</f>
        <v>268526</v>
      </c>
      <c r="AO126" s="43">
        <v>1945</v>
      </c>
      <c r="AP126" s="32">
        <f>TABL123[[#This Row],[(A/S) AJD]]-TABL123[[#This Row],[SER_IN]]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 (T/B) SAR]]+TABL123[[#This Row],[ (S/S) SAR]]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 (S/S) SAR]]-TABL123[[#This Row],[(S/S) AJD]]</f>
        <v>48</v>
      </c>
      <c r="Q127" s="40">
        <v>444</v>
      </c>
      <c r="R127" s="3">
        <f>TABL123[[#This Row],[ (T/B) SAR]]-TABL123[[#This Row],[(T/B) AJD]]</f>
        <v>33</v>
      </c>
      <c r="S127" s="3">
        <f>TABL123[[#This Row],[T/B-CON.]]+TABL123[[#This Row],[S/S_CON.]]</f>
        <v>81</v>
      </c>
      <c r="T127" s="3">
        <f>TABL123[[#This Row],[(S/S) AJD]]+TABL123[[#This Row],[(T/B) AJD]]</f>
        <v>856</v>
      </c>
      <c r="U127" s="44">
        <v>566</v>
      </c>
      <c r="V127" s="44">
        <v>230</v>
      </c>
      <c r="W127" s="3">
        <f>TABL123[[#This Row],[(A/B) AJD]]+TABL123[[#This Row],[(A/S)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3">
        <f>TABL123[[#This Row],[( S/S+T/B) AJD]]-(TABL123[[#This Row],[(A/B + A/S) AJD]]+TABL123[[#This Row],[(STORGE DIFF.) AJD]]+(TABL123[[#This Row],[AJD_Evaporation]])/1000)</f>
        <v>21.253000000000043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8">
        <f>TABL123[[#This Row],[(A/B) AJD]]-TABL123[[#This Row],[BER_IN]]</f>
        <v>496</v>
      </c>
      <c r="AK127" s="68">
        <v>22</v>
      </c>
      <c r="AL127" s="87">
        <v>42.195500000000003</v>
      </c>
      <c r="AM127" s="87">
        <v>2675570</v>
      </c>
      <c r="AN127" s="87">
        <f>TABL123[[#This Row],[ (RESV. STORGE) SER]]/10</f>
        <v>267557</v>
      </c>
      <c r="AO127" s="45">
        <v>2021</v>
      </c>
      <c r="AP127" s="32">
        <f>TABL123[[#This Row],[(A/S) AJD]]-TABL123[[#This Row],[SER_IN]]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 (T/B) SAR]]+TABL123[[#This Row],[ (S/S) SAR]]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 (S/S) SAR]]-TABL123[[#This Row],[(S/S) AJD]]</f>
        <v>43</v>
      </c>
      <c r="Q128" s="39">
        <v>448</v>
      </c>
      <c r="R128" s="3">
        <f>TABL123[[#This Row],[ (T/B) SAR]]-TABL123[[#This Row],[(T/B) AJD]]</f>
        <v>27</v>
      </c>
      <c r="S128" s="3">
        <f>TABL123[[#This Row],[T/B-CON.]]+TABL123[[#This Row],[S/S_CON.]]</f>
        <v>70</v>
      </c>
      <c r="T128" s="3">
        <f>TABL123[[#This Row],[(S/S) AJD]]+TABL123[[#This Row],[(T/B) AJD]]</f>
        <v>864</v>
      </c>
      <c r="U128" s="41">
        <v>561</v>
      </c>
      <c r="V128" s="41">
        <v>223</v>
      </c>
      <c r="W128" s="3">
        <f>TABL123[[#This Row],[(A/B) AJD]]+TABL123[[#This Row],[(A/S)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3">
        <f>TABL123[[#This Row],[( S/S+T/B) AJD]]-(TABL123[[#This Row],[(A/B + A/S) AJD]]+TABL123[[#This Row],[(STORGE DIFF.) AJD]]+(TABL123[[#This Row],[AJD_Evaporation]])/1000)</f>
        <v>30.186000000000035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8">
        <f>TABL123[[#This Row],[(A/B) AJD]]-TABL123[[#This Row],[BER_IN]]</f>
        <v>494</v>
      </c>
      <c r="AK128" s="68">
        <v>22</v>
      </c>
      <c r="AL128" s="87">
        <v>42.170099999999998</v>
      </c>
      <c r="AM128" s="87">
        <v>2661730</v>
      </c>
      <c r="AN128" s="87">
        <f>TABL123[[#This Row],[ (RESV. STORGE) SER]]/10</f>
        <v>266173</v>
      </c>
      <c r="AO128" s="43">
        <v>2125</v>
      </c>
      <c r="AP128" s="32">
        <f>TABL123[[#This Row],[(A/S) AJD]]-TABL123[[#This Row],[SER_IN]]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 (T/B) SAR]]+TABL123[[#This Row],[ (S/S) SAR]]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 (S/S) SAR]]-TABL123[[#This Row],[(S/S) AJD]]</f>
        <v>45</v>
      </c>
      <c r="Q129" s="40">
        <v>448</v>
      </c>
      <c r="R129" s="3">
        <f>TABL123[[#This Row],[ (T/B) SAR]]-TABL123[[#This Row],[(T/B) AJD]]</f>
        <v>27</v>
      </c>
      <c r="S129" s="3">
        <f>TABL123[[#This Row],[T/B-CON.]]+TABL123[[#This Row],[S/S_CON.]]</f>
        <v>72</v>
      </c>
      <c r="T129" s="3">
        <f>TABL123[[#This Row],[(S/S) AJD]]+TABL123[[#This Row],[(T/B) AJD]]</f>
        <v>863</v>
      </c>
      <c r="U129" s="44">
        <v>510</v>
      </c>
      <c r="V129" s="44">
        <v>218</v>
      </c>
      <c r="W129" s="3">
        <f>TABL123[[#This Row],[(A/B) AJD]]+TABL123[[#This Row],[(A/S)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3">
        <f>TABL123[[#This Row],[( S/S+T/B) AJD]]-(TABL123[[#This Row],[(A/B + A/S) AJD]]+TABL123[[#This Row],[(STORGE DIFF.) AJD]]+(TABL123[[#This Row],[AJD_Evaporation]])/1000)</f>
        <v>31.437000000000012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8">
        <f>TABL123[[#This Row],[(A/B) AJD]]-TABL123[[#This Row],[BER_IN]]</f>
        <v>436</v>
      </c>
      <c r="AK129" s="68">
        <v>21</v>
      </c>
      <c r="AL129" s="87">
        <v>42.133600000000001</v>
      </c>
      <c r="AM129" s="87">
        <v>2642534</v>
      </c>
      <c r="AN129" s="87">
        <f>TABL123[[#This Row],[ (RESV. STORGE) SER]]/10</f>
        <v>264253.40000000002</v>
      </c>
      <c r="AO129" s="45">
        <v>1970</v>
      </c>
      <c r="AP129" s="32">
        <f>TABL123[[#This Row],[(A/S) AJD]]-TABL123[[#This Row],[SER_IN]]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 (T/B) SAR]]+TABL123[[#This Row],[ (S/S) SAR]]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 (S/S) SAR]]-TABL123[[#This Row],[(S/S) AJD]]</f>
        <v>45</v>
      </c>
      <c r="Q130" s="39">
        <v>449</v>
      </c>
      <c r="R130" s="3">
        <f>TABL123[[#This Row],[ (T/B) SAR]]-TABL123[[#This Row],[(T/B) AJD]]</f>
        <v>26</v>
      </c>
      <c r="S130" s="3">
        <f>TABL123[[#This Row],[T/B-CON.]]+TABL123[[#This Row],[S/S_CON.]]</f>
        <v>71</v>
      </c>
      <c r="T130" s="3">
        <f>TABL123[[#This Row],[(S/S) AJD]]+TABL123[[#This Row],[(T/B) AJD]]</f>
        <v>864</v>
      </c>
      <c r="U130" s="41">
        <v>545</v>
      </c>
      <c r="V130" s="41">
        <v>235</v>
      </c>
      <c r="W130" s="3">
        <f>TABL123[[#This Row],[(A/B) AJD]]+TABL123[[#This Row],[(A/S)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3">
        <f>TABL123[[#This Row],[( S/S+T/B) AJD]]-(TABL123[[#This Row],[(A/B + A/S) AJD]]+TABL123[[#This Row],[(STORGE DIFF.) AJD]]+(TABL123[[#This Row],[AJD_Evaporation]])/1000)</f>
        <v>34.049999999999955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8">
        <f>TABL123[[#This Row],[(A/B) AJD]]-TABL123[[#This Row],[BER_IN]]</f>
        <v>472</v>
      </c>
      <c r="AK130" s="68">
        <v>20</v>
      </c>
      <c r="AL130" s="87">
        <v>42.0944</v>
      </c>
      <c r="AM130" s="87">
        <v>2620580</v>
      </c>
      <c r="AN130" s="87">
        <f>TABL123[[#This Row],[ (RESV. STORGE) SER]]/10</f>
        <v>262058</v>
      </c>
      <c r="AO130" s="43">
        <v>2070</v>
      </c>
      <c r="AP130" s="32">
        <f>TABL123[[#This Row],[(A/S) AJD]]-TABL123[[#This Row],[SER_IN]]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 (T/B) SAR]]+TABL123[[#This Row],[ (S/S) SAR]]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 (S/S) SAR]]-TABL123[[#This Row],[(S/S) AJD]]</f>
        <v>43</v>
      </c>
      <c r="Q131" s="40">
        <v>450</v>
      </c>
      <c r="R131" s="3">
        <f>TABL123[[#This Row],[ (T/B) SAR]]-TABL123[[#This Row],[(T/B) AJD]]</f>
        <v>25</v>
      </c>
      <c r="S131" s="3">
        <f>TABL123[[#This Row],[T/B-CON.]]+TABL123[[#This Row],[S/S_CON.]]</f>
        <v>68</v>
      </c>
      <c r="T131" s="3">
        <f>TABL123[[#This Row],[(S/S) AJD]]+TABL123[[#This Row],[(T/B) AJD]]</f>
        <v>867</v>
      </c>
      <c r="U131" s="44">
        <v>581</v>
      </c>
      <c r="V131" s="44">
        <v>257</v>
      </c>
      <c r="W131" s="3">
        <f>TABL123[[#This Row],[(A/B) AJD]]+TABL123[[#This Row],[(A/S)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83">
        <f>TABL123[[#This Row],[( S/S+T/B) AJD]]-(TABL123[[#This Row],[(A/B + A/S) AJD]]+TABL123[[#This Row],[(STORGE DIFF.) AJD]]+(TABL123[[#This Row],[AJD_Evaporation]])/1000)</f>
        <v>36.160999999999945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8">
        <f>TABL123[[#This Row],[(A/B) AJD]]-TABL123[[#This Row],[BER_IN]]</f>
        <v>504</v>
      </c>
      <c r="AK131" s="68">
        <v>21</v>
      </c>
      <c r="AL131" s="87">
        <v>42.033799999999999</v>
      </c>
      <c r="AM131" s="87">
        <v>2589050</v>
      </c>
      <c r="AN131" s="87">
        <f>TABL123[[#This Row],[ (RESV. STORGE) SER]]/10</f>
        <v>258905</v>
      </c>
      <c r="AO131" s="45">
        <v>2120</v>
      </c>
      <c r="AP131" s="32">
        <f>TABL123[[#This Row],[(A/S) AJD]]-TABL123[[#This Row],[SER_IN]]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 (T/B) SAR]]+TABL123[[#This Row],[ (S/S) SAR]]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 (S/S) SAR]]-TABL123[[#This Row],[(S/S) AJD]]</f>
        <v>50</v>
      </c>
      <c r="Q132" s="39">
        <v>440</v>
      </c>
      <c r="R132" s="3">
        <f>TABL123[[#This Row],[ (T/B) SAR]]-TABL123[[#This Row],[(T/B) AJD]]</f>
        <v>35</v>
      </c>
      <c r="S132" s="3">
        <f>TABL123[[#This Row],[T/B-CON.]]+TABL123[[#This Row],[S/S_CON.]]</f>
        <v>85</v>
      </c>
      <c r="T132" s="3">
        <f>TABL123[[#This Row],[(S/S) AJD]]+TABL123[[#This Row],[(T/B) AJD]]</f>
        <v>850</v>
      </c>
      <c r="U132" s="41">
        <v>581</v>
      </c>
      <c r="V132" s="41">
        <v>259</v>
      </c>
      <c r="W132" s="3">
        <f>TABL123[[#This Row],[(A/B) AJD]]+TABL123[[#This Row],[(A/S)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IF(TRIM(Z132)="",,(Z132-Z131)/1000)</f>
        <v>-28.692</v>
      </c>
      <c r="AC132" s="43">
        <v>2145</v>
      </c>
      <c r="AD132" s="83">
        <f>TABL123[[#This Row],[( S/S+T/B) AJD]]-(TABL123[[#This Row],[(A/B + A/S) AJD]]+TABL123[[#This Row],[(STORGE DIFF.) AJD]]+(TABL123[[#This Row],[AJD_Evaporation]])/1000)</f>
        <v>36.547000000000025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8">
        <f>TABL123[[#This Row],[(A/B) AJD]]-TABL123[[#This Row],[BER_IN]]</f>
        <v>502</v>
      </c>
      <c r="AK132" s="68">
        <v>23</v>
      </c>
      <c r="AL132" s="87">
        <v>41.994599999999998</v>
      </c>
      <c r="AM132" s="87">
        <v>2568280</v>
      </c>
      <c r="AN132" s="87">
        <f>TABL123[[#This Row],[ (RESV. STORGE) SER]]/10</f>
        <v>256828</v>
      </c>
      <c r="AO132" s="43">
        <v>2400</v>
      </c>
      <c r="AP132" s="32">
        <f>TABL123[[#This Row],[(A/S) AJD]]-TABL123[[#This Row],[SER_IN]]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 (T/B) SAR]]+TABL123[[#This Row],[ (S/S) SAR]]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 (S/S) SAR]]-TABL123[[#This Row],[(S/S) AJD]]</f>
        <v>51</v>
      </c>
      <c r="Q133" s="40">
        <v>442</v>
      </c>
      <c r="R133" s="3">
        <f>TABL123[[#This Row],[ (T/B) SAR]]-TABL123[[#This Row],[(T/B) AJD]]</f>
        <v>30</v>
      </c>
      <c r="S133" s="3">
        <f>TABL123[[#This Row],[T/B-CON.]]+TABL123[[#This Row],[S/S_CON.]]</f>
        <v>81</v>
      </c>
      <c r="T133" s="3">
        <f>TABL123[[#This Row],[(S/S) AJD]]+TABL123[[#This Row],[(T/B) AJD]]</f>
        <v>849</v>
      </c>
      <c r="U133" s="44">
        <v>581</v>
      </c>
      <c r="V133" s="44">
        <v>274</v>
      </c>
      <c r="W133" s="3">
        <f>TABL123[[#This Row],[(A/B) AJD]]+TABL123[[#This Row],[(A/S)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3">
        <f>TABL123[[#This Row],[( S/S+T/B) AJD]]-(TABL123[[#This Row],[(A/B + A/S) AJD]]+TABL123[[#This Row],[(STORGE DIFF.) AJD]]+(TABL123[[#This Row],[AJD_Evaporation]])/1000)</f>
        <v>24.298000000000002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8">
        <f>TABL123[[#This Row],[(A/B) AJD]]-TABL123[[#This Row],[BER_IN]]</f>
        <v>496</v>
      </c>
      <c r="AK133" s="68">
        <v>23</v>
      </c>
      <c r="AL133" s="87">
        <v>41.935400000000001</v>
      </c>
      <c r="AM133" s="87">
        <v>2536790</v>
      </c>
      <c r="AN133" s="87">
        <f>TABL123[[#This Row],[ (RESV. STORGE) SER]]/10</f>
        <v>253679</v>
      </c>
      <c r="AO133" s="45">
        <v>2380</v>
      </c>
      <c r="AP133" s="32">
        <f>TABL123[[#This Row],[(A/S) AJD]]-TABL123[[#This Row],[SER_IN]]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 (T/B) SAR]]+TABL123[[#This Row],[ (S/S) SAR]]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 (S/S) SAR]]-TABL123[[#This Row],[(S/S) AJD]]</f>
        <v>48</v>
      </c>
      <c r="Q134" s="39">
        <v>441</v>
      </c>
      <c r="R134" s="3">
        <f>TABL123[[#This Row],[ (T/B) SAR]]-TABL123[[#This Row],[(T/B) AJD]]</f>
        <v>31</v>
      </c>
      <c r="S134" s="3">
        <f>TABL123[[#This Row],[T/B-CON.]]+TABL123[[#This Row],[S/S_CON.]]</f>
        <v>79</v>
      </c>
      <c r="T134" s="3">
        <f>TABL123[[#This Row],[(S/S) AJD]]+TABL123[[#This Row],[(T/B) AJD]]</f>
        <v>851</v>
      </c>
      <c r="U134" s="41">
        <v>542</v>
      </c>
      <c r="V134" s="41">
        <v>256</v>
      </c>
      <c r="W134" s="3">
        <f>TABL123[[#This Row],[(A/B) AJD]]+TABL123[[#This Row],[(A/S)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3">
        <f>TABL123[[#This Row],[( S/S+T/B) AJD]]-(TABL123[[#This Row],[(A/B + A/S) AJD]]+TABL123[[#This Row],[(STORGE DIFF.) AJD]]+(TABL123[[#This Row],[AJD_Evaporation]])/1000)</f>
        <v>35.777999999999906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8">
        <f>TABL123[[#This Row],[(A/B) AJD]]-TABL123[[#This Row],[BER_IN]]</f>
        <v>459</v>
      </c>
      <c r="AK134" s="68">
        <v>22</v>
      </c>
      <c r="AL134" s="87">
        <v>41.8491</v>
      </c>
      <c r="AM134" s="87">
        <v>2490490</v>
      </c>
      <c r="AN134" s="87">
        <f>TABL123[[#This Row],[ (RESV. STORGE) SER]]/10</f>
        <v>249049</v>
      </c>
      <c r="AO134" s="43">
        <v>2430</v>
      </c>
      <c r="AP134" s="32">
        <f>TABL123[[#This Row],[(A/S) AJD]]-TABL123[[#This Row],[SER_IN]]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 (T/B) SAR]]+TABL123[[#This Row],[ (S/S) SAR]]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 (S/S) SAR]]-TABL123[[#This Row],[(S/S) AJD]]</f>
        <v>47</v>
      </c>
      <c r="Q135" s="40">
        <v>440</v>
      </c>
      <c r="R135" s="3">
        <f>TABL123[[#This Row],[ (T/B) SAR]]-TABL123[[#This Row],[(T/B) AJD]]</f>
        <v>32</v>
      </c>
      <c r="S135" s="3">
        <f>TABL123[[#This Row],[T/B-CON.]]+TABL123[[#This Row],[S/S_CON.]]</f>
        <v>79</v>
      </c>
      <c r="T135" s="3">
        <f>TABL123[[#This Row],[(S/S) AJD]]+TABL123[[#This Row],[(T/B) AJD]]</f>
        <v>851</v>
      </c>
      <c r="U135" s="44">
        <v>596</v>
      </c>
      <c r="V135" s="44">
        <v>264</v>
      </c>
      <c r="W135" s="3">
        <f>TABL123[[#This Row],[(A/B) AJD]]+TABL123[[#This Row],[(A/S)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3">
        <f>TABL123[[#This Row],[( S/S+T/B) AJD]]-(TABL123[[#This Row],[(A/B + A/S) AJD]]+TABL123[[#This Row],[(STORGE DIFF.) AJD]]+(TABL123[[#This Row],[AJD_Evaporation]])/1000)</f>
        <v>35.706999999999994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8">
        <f>TABL123[[#This Row],[(A/B) AJD]]-TABL123[[#This Row],[BER_IN]]</f>
        <v>512</v>
      </c>
      <c r="AK135" s="68">
        <v>21</v>
      </c>
      <c r="AL135" s="87">
        <v>41.803199999999997</v>
      </c>
      <c r="AM135" s="87">
        <v>2466220</v>
      </c>
      <c r="AN135" s="87">
        <f>TABL123[[#This Row],[ (RESV. STORGE) SER]]/10</f>
        <v>246622</v>
      </c>
      <c r="AO135" s="45">
        <v>2365</v>
      </c>
      <c r="AP135" s="32">
        <f>TABL123[[#This Row],[(A/S) AJD]]-TABL123[[#This Row],[SER_IN]]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 (T/B) SAR]]+TABL123[[#This Row],[ (S/S) SAR]]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 (S/S) SAR]]-TABL123[[#This Row],[(S/S) AJD]]</f>
        <v>48</v>
      </c>
      <c r="Q136" s="39">
        <v>441</v>
      </c>
      <c r="R136" s="3">
        <f>TABL123[[#This Row],[ (T/B) SAR]]-TABL123[[#This Row],[(T/B) AJD]]</f>
        <v>31</v>
      </c>
      <c r="S136" s="3">
        <f>TABL123[[#This Row],[T/B-CON.]]+TABL123[[#This Row],[S/S_CON.]]</f>
        <v>79</v>
      </c>
      <c r="T136" s="3">
        <f>TABL123[[#This Row],[(S/S) AJD]]+TABL123[[#This Row],[(T/B) AJD]]</f>
        <v>851</v>
      </c>
      <c r="U136" s="41">
        <v>600</v>
      </c>
      <c r="V136" s="41">
        <v>295</v>
      </c>
      <c r="W136" s="3">
        <f>TABL123[[#This Row],[(A/B) AJD]]+TABL123[[#This Row],[(A/S)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3">
        <f>TABL123[[#This Row],[( S/S+T/B) AJD]]-(TABL123[[#This Row],[(A/B + A/S) AJD]]+TABL123[[#This Row],[(STORGE DIFF.) AJD]]+(TABL123[[#This Row],[AJD_Evaporation]])/1000)</f>
        <v>26.322999999999979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8">
        <f>TABL123[[#This Row],[(A/B) AJD]]-TABL123[[#This Row],[BER_IN]]</f>
        <v>517</v>
      </c>
      <c r="AK136" s="68">
        <v>21</v>
      </c>
      <c r="AL136" s="87">
        <v>41.749600000000001</v>
      </c>
      <c r="AM136" s="87">
        <v>2437846</v>
      </c>
      <c r="AN136" s="87">
        <f>TABL123[[#This Row],[ (RESV. STORGE) SER]]/10</f>
        <v>243784.6</v>
      </c>
      <c r="AO136" s="43">
        <v>2175</v>
      </c>
      <c r="AP136" s="32">
        <f>TABL123[[#This Row],[(A/S) AJD]]-TABL123[[#This Row],[SER_IN]]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 (T/B) SAR]]+TABL123[[#This Row],[ (S/S) SAR]]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 (S/S) SAR]]-TABL123[[#This Row],[(S/S) AJD]]</f>
        <v>48</v>
      </c>
      <c r="Q137" s="40">
        <v>443</v>
      </c>
      <c r="R137" s="3">
        <f>TABL123[[#This Row],[ (T/B) SAR]]-TABL123[[#This Row],[(T/B) AJD]]</f>
        <v>29</v>
      </c>
      <c r="S137" s="3">
        <f>TABL123[[#This Row],[T/B-CON.]]+TABL123[[#This Row],[S/S_CON.]]</f>
        <v>77</v>
      </c>
      <c r="T137" s="3">
        <f>TABL123[[#This Row],[(S/S) AJD]]+TABL123[[#This Row],[(T/B) AJD]]</f>
        <v>853</v>
      </c>
      <c r="U137" s="44">
        <v>594</v>
      </c>
      <c r="V137" s="44">
        <v>291</v>
      </c>
      <c r="W137" s="3">
        <f>TABL123[[#This Row],[(A/B) AJD]]+TABL123[[#This Row],[(A/S)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3">
        <f>TABL123[[#This Row],[( S/S+T/B) AJD]]-(TABL123[[#This Row],[(A/B + A/S) AJD]]+TABL123[[#This Row],[(STORGE DIFF.) AJD]]+(TABL123[[#This Row],[AJD_Evaporation]])/1000)</f>
        <v>36.25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8">
        <f>TABL123[[#This Row],[(A/B) AJD]]-TABL123[[#This Row],[BER_IN]]</f>
        <v>517</v>
      </c>
      <c r="AK137" s="68">
        <v>22</v>
      </c>
      <c r="AL137" s="87">
        <v>41.739400000000003</v>
      </c>
      <c r="AM137" s="87">
        <v>2432180</v>
      </c>
      <c r="AN137" s="87">
        <f>TABL123[[#This Row],[ (RESV. STORGE) SER]]/10</f>
        <v>243218</v>
      </c>
      <c r="AO137" s="45">
        <v>1866</v>
      </c>
      <c r="AP137" s="32">
        <f>TABL123[[#This Row],[(A/S) AJD]]-TABL123[[#This Row],[SER_IN]]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 (T/B) SAR]]+TABL123[[#This Row],[ (S/S) SAR]]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 (S/S) SAR]]-TABL123[[#This Row],[(S/S) AJD]]</f>
        <v>47</v>
      </c>
      <c r="Q138" s="39">
        <v>445</v>
      </c>
      <c r="R138" s="3">
        <f>TABL123[[#This Row],[ (T/B) SAR]]-TABL123[[#This Row],[(T/B) AJD]]</f>
        <v>27</v>
      </c>
      <c r="S138" s="3">
        <f>TABL123[[#This Row],[T/B-CON.]]+TABL123[[#This Row],[S/S_CON.]]</f>
        <v>74</v>
      </c>
      <c r="T138" s="3">
        <f>TABL123[[#This Row],[(S/S) AJD]]+TABL123[[#This Row],[(T/B) AJD]]</f>
        <v>856</v>
      </c>
      <c r="U138" s="41">
        <v>600</v>
      </c>
      <c r="V138" s="41">
        <v>247</v>
      </c>
      <c r="W138" s="3">
        <f>TABL123[[#This Row],[(A/B) AJD]]+TABL123[[#This Row],[(A/S)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3">
        <f>TABL123[[#This Row],[( S/S+T/B) AJD]]-(TABL123[[#This Row],[(A/B + A/S) AJD]]+TABL123[[#This Row],[(STORGE DIFF.) AJD]]+(TABL123[[#This Row],[AJD_Evaporation]])/1000)</f>
        <v>24.937000000000012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8">
        <f>TABL123[[#This Row],[(A/B) AJD]]-TABL123[[#This Row],[BER_IN]]</f>
        <v>533</v>
      </c>
      <c r="AK138" s="68">
        <v>21</v>
      </c>
      <c r="AL138" s="87">
        <v>41.726900000000001</v>
      </c>
      <c r="AM138" s="87">
        <v>2425620</v>
      </c>
      <c r="AN138" s="87">
        <f>TABL123[[#This Row],[ (RESV. STORGE) SER]]/10</f>
        <v>242562</v>
      </c>
      <c r="AO138" s="43">
        <v>1860</v>
      </c>
      <c r="AP138" s="32">
        <f>TABL123[[#This Row],[(A/S) AJD]]-TABL123[[#This Row],[SER_IN]]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 (T/B) SAR]]+TABL123[[#This Row],[ (S/S) SAR]]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 (S/S) SAR]]-TABL123[[#This Row],[(S/S) AJD]]</f>
        <v>51</v>
      </c>
      <c r="Q139" s="40">
        <v>436</v>
      </c>
      <c r="R139" s="3">
        <f>TABL123[[#This Row],[ (T/B) SAR]]-TABL123[[#This Row],[(T/B) AJD]]</f>
        <v>34</v>
      </c>
      <c r="S139" s="3">
        <f>TABL123[[#This Row],[T/B-CON.]]+TABL123[[#This Row],[S/S_CON.]]</f>
        <v>85</v>
      </c>
      <c r="T139" s="3">
        <f>TABL123[[#This Row],[(S/S) AJD]]+TABL123[[#This Row],[(T/B) AJD]]</f>
        <v>840</v>
      </c>
      <c r="U139" s="44">
        <v>608</v>
      </c>
      <c r="V139" s="44">
        <v>224</v>
      </c>
      <c r="W139" s="3">
        <f>TABL123[[#This Row],[(A/B) AJD]]+TABL123[[#This Row],[(A/S)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3">
        <f>TABL123[[#This Row],[( S/S+T/B) AJD]]-(TABL123[[#This Row],[(A/B + A/S) AJD]]+TABL123[[#This Row],[(STORGE DIFF.) AJD]]+(TABL123[[#This Row],[AJD_Evaporation]])/1000)</f>
        <v>24.347000000000094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8">
        <f>TABL123[[#This Row],[(A/B) AJD]]-TABL123[[#This Row],[BER_IN]]</f>
        <v>553</v>
      </c>
      <c r="AK139" s="68">
        <v>22</v>
      </c>
      <c r="AL139" s="87">
        <v>41.713000000000001</v>
      </c>
      <c r="AM139" s="87">
        <v>2418190</v>
      </c>
      <c r="AN139" s="87">
        <f>TABL123[[#This Row],[ (RESV. STORGE) SER]]/10</f>
        <v>241819</v>
      </c>
      <c r="AO139" s="45">
        <v>1830</v>
      </c>
      <c r="AP139" s="32">
        <f>TABL123[[#This Row],[(A/S) AJD]]-TABL123[[#This Row],[SER_IN]]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 (T/B) SAR]]+TABL123[[#This Row],[ (S/S) SAR]]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 (S/S) SAR]]-TABL123[[#This Row],[(S/S) AJD]]</f>
        <v>46</v>
      </c>
      <c r="Q140" s="39">
        <v>438</v>
      </c>
      <c r="R140" s="3">
        <f>TABL123[[#This Row],[ (T/B) SAR]]-TABL123[[#This Row],[(T/B) AJD]]</f>
        <v>30</v>
      </c>
      <c r="S140" s="3">
        <f>TABL123[[#This Row],[T/B-CON.]]+TABL123[[#This Row],[S/S_CON.]]</f>
        <v>76</v>
      </c>
      <c r="T140" s="3">
        <f>TABL123[[#This Row],[(S/S) AJD]]+TABL123[[#This Row],[(T/B) AJD]]</f>
        <v>844</v>
      </c>
      <c r="U140" s="41">
        <v>600</v>
      </c>
      <c r="V140" s="41">
        <v>231</v>
      </c>
      <c r="W140" s="3">
        <f>TABL123[[#This Row],[(A/B) AJD]]+TABL123[[#This Row],[(A/S)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3">
        <f>TABL123[[#This Row],[( S/S+T/B) AJD]]-(TABL123[[#This Row],[(A/B + A/S) AJD]]+TABL123[[#This Row],[(STORGE DIFF.) AJD]]+(TABL123[[#This Row],[AJD_Evaporation]])/1000)</f>
        <v>13.953999999999951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8">
        <f>TABL123[[#This Row],[(A/B) AJD]]-TABL123[[#This Row],[BER_IN]]</f>
        <v>545</v>
      </c>
      <c r="AK140" s="68">
        <v>21</v>
      </c>
      <c r="AL140" s="87">
        <v>41.699399999999997</v>
      </c>
      <c r="AM140" s="87">
        <v>2410720</v>
      </c>
      <c r="AN140" s="87">
        <f>TABL123[[#This Row],[ (RESV. STORGE) SER]]/10</f>
        <v>241072</v>
      </c>
      <c r="AO140" s="43">
        <v>1870</v>
      </c>
      <c r="AP140" s="32">
        <f>TABL123[[#This Row],[(A/S) AJD]]-TABL123[[#This Row],[SER_IN]]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 (T/B) SAR]]+TABL123[[#This Row],[ (S/S) SAR]]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 (S/S) SAR]]-TABL123[[#This Row],[(S/S) AJD]]</f>
        <v>54</v>
      </c>
      <c r="Q141" s="40">
        <v>431</v>
      </c>
      <c r="R141" s="3">
        <f>TABL123[[#This Row],[ (T/B) SAR]]-TABL123[[#This Row],[(T/B) AJD]]</f>
        <v>37</v>
      </c>
      <c r="S141" s="3">
        <f>TABL123[[#This Row],[T/B-CON.]]+TABL123[[#This Row],[S/S_CON.]]</f>
        <v>91</v>
      </c>
      <c r="T141" s="3">
        <f>TABL123[[#This Row],[(S/S) AJD]]+TABL123[[#This Row],[(T/B) AJD]]</f>
        <v>830</v>
      </c>
      <c r="U141" s="44">
        <v>600</v>
      </c>
      <c r="V141" s="44">
        <v>218</v>
      </c>
      <c r="W141" s="3">
        <f>TABL123[[#This Row],[(A/B) AJD]]+TABL123[[#This Row],[(A/S)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3">
        <f>TABL123[[#This Row],[( S/S+T/B) AJD]]-(TABL123[[#This Row],[(A/B + A/S) AJD]]+TABL123[[#This Row],[(STORGE DIFF.) AJD]]+(TABL123[[#This Row],[AJD_Evaporation]])/1000)</f>
        <v>27.101999999999975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8">
        <f>TABL123[[#This Row],[(A/B) AJD]]-TABL123[[#This Row],[BER_IN]]</f>
        <v>544</v>
      </c>
      <c r="AK141" s="68">
        <v>21</v>
      </c>
      <c r="AL141" s="87">
        <v>41.711100000000002</v>
      </c>
      <c r="AM141" s="87">
        <v>2417120</v>
      </c>
      <c r="AN141" s="87">
        <f>TABL123[[#This Row],[ (RESV. STORGE) SER]]/10</f>
        <v>241712</v>
      </c>
      <c r="AO141" s="45">
        <v>1800</v>
      </c>
      <c r="AP141" s="32">
        <f>TABL123[[#This Row],[(A/S) AJD]]-TABL123[[#This Row],[SER_IN]]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 (T/B) SAR]]+TABL123[[#This Row],[ (S/S) SAR]]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 (S/S) SAR]]-TABL123[[#This Row],[(S/S) AJD]]</f>
        <v>52</v>
      </c>
      <c r="Q142" s="39">
        <v>435</v>
      </c>
      <c r="R142" s="3">
        <f>TABL123[[#This Row],[ (T/B) SAR]]-TABL123[[#This Row],[(T/B) AJD]]</f>
        <v>34</v>
      </c>
      <c r="S142" s="3">
        <f>TABL123[[#This Row],[T/B-CON.]]+TABL123[[#This Row],[S/S_CON.]]</f>
        <v>86</v>
      </c>
      <c r="T142" s="3">
        <f>TABL123[[#This Row],[(S/S) AJD]]+TABL123[[#This Row],[(T/B) AJD]]</f>
        <v>838</v>
      </c>
      <c r="U142" s="41">
        <v>568</v>
      </c>
      <c r="V142" s="41">
        <v>220</v>
      </c>
      <c r="W142" s="3">
        <f>TABL123[[#This Row],[(A/B) AJD]]+TABL123[[#This Row],[(A/S)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3">
        <f>TABL123[[#This Row],[( S/S+T/B) AJD]]-(TABL123[[#This Row],[(A/B + A/S) AJD]]+TABL123[[#This Row],[(STORGE DIFF.) AJD]]+(TABL123[[#This Row],[AJD_Evaporation]])/1000)</f>
        <v>16.317000000000007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8">
        <f>TABL123[[#This Row],[(A/B) AJD]]-TABL123[[#This Row],[BER_IN]]</f>
        <v>508</v>
      </c>
      <c r="AK142" s="68">
        <v>23</v>
      </c>
      <c r="AL142" s="87">
        <v>41.703400000000002</v>
      </c>
      <c r="AM142" s="87">
        <v>2412880</v>
      </c>
      <c r="AN142" s="87">
        <f>TABL123[[#This Row],[ (RESV. STORGE) SER]]/10</f>
        <v>241288</v>
      </c>
      <c r="AO142" s="43">
        <v>1840</v>
      </c>
      <c r="AP142" s="32">
        <f>TABL123[[#This Row],[(A/S) AJD]]-TABL123[[#This Row],[SER_IN]]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 (T/B) SAR]]+TABL123[[#This Row],[ (S/S) SAR]]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 (S/S) SAR]]-TABL123[[#This Row],[(S/S) AJD]]</f>
        <v>50</v>
      </c>
      <c r="Q143" s="40">
        <v>437</v>
      </c>
      <c r="R143" s="3">
        <f>TABL123[[#This Row],[ (T/B) SAR]]-TABL123[[#This Row],[(T/B) AJD]]</f>
        <v>33</v>
      </c>
      <c r="S143" s="3">
        <f>TABL123[[#This Row],[T/B-CON.]]+TABL123[[#This Row],[S/S_CON.]]</f>
        <v>83</v>
      </c>
      <c r="T143" s="3">
        <f>TABL123[[#This Row],[(S/S) AJD]]+TABL123[[#This Row],[(T/B) AJD]]</f>
        <v>843</v>
      </c>
      <c r="U143" s="44">
        <v>557</v>
      </c>
      <c r="V143" s="44">
        <v>249</v>
      </c>
      <c r="W143" s="3">
        <f>TABL123[[#This Row],[(A/B) AJD]]+TABL123[[#This Row],[(A/S)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3">
        <f>TABL123[[#This Row],[( S/S+T/B) AJD]]-(TABL123[[#This Row],[(A/B + A/S) AJD]]+TABL123[[#This Row],[(STORGE DIFF.) AJD]]+(TABL123[[#This Row],[AJD_Evaporation]])/1000)</f>
        <v>32.75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8">
        <f>TABL123[[#This Row],[(A/B) AJD]]-TABL123[[#This Row],[BER_IN]]</f>
        <v>495</v>
      </c>
      <c r="AK143" s="68">
        <v>22</v>
      </c>
      <c r="AL143" s="87">
        <v>41.691400000000002</v>
      </c>
      <c r="AM143" s="87">
        <v>2406300</v>
      </c>
      <c r="AN143" s="87">
        <f>TABL123[[#This Row],[ (RESV. STORGE) SER]]/10</f>
        <v>240630</v>
      </c>
      <c r="AO143" s="45">
        <v>1880</v>
      </c>
      <c r="AP143" s="32">
        <f>TABL123[[#This Row],[(A/S) AJD]]-TABL123[[#This Row],[SER_IN]]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 (T/B) SAR]]+TABL123[[#This Row],[ (S/S) SAR]]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 (S/S) SAR]]-TABL123[[#This Row],[(S/S) AJD]]</f>
        <v>15</v>
      </c>
      <c r="Q144" s="39">
        <v>445</v>
      </c>
      <c r="R144" s="3">
        <f>TABL123[[#This Row],[ (T/B) SAR]]-TABL123[[#This Row],[(T/B) AJD]]</f>
        <v>26</v>
      </c>
      <c r="S144" s="3">
        <f>TABL123[[#This Row],[T/B-CON.]]+TABL123[[#This Row],[S/S_CON.]]</f>
        <v>41</v>
      </c>
      <c r="T144" s="3">
        <f>TABL123[[#This Row],[(S/S) AJD]]+TABL123[[#This Row],[(T/B) AJD]]</f>
        <v>886</v>
      </c>
      <c r="U144" s="41">
        <v>539</v>
      </c>
      <c r="V144" s="41">
        <v>258</v>
      </c>
      <c r="W144" s="3">
        <f>TABL123[[#This Row],[(A/B) AJD]]+TABL123[[#This Row],[(A/S)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3">
        <f>TABL123[[#This Row],[( S/S+T/B) AJD]]-(TABL123[[#This Row],[(A/B + A/S) AJD]]+TABL123[[#This Row],[(STORGE DIFF.) AJD]]+(TABL123[[#This Row],[AJD_Evaporation]])/1000)</f>
        <v>52.307000000000016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8">
        <f>TABL123[[#This Row],[(A/B) AJD]]-TABL123[[#This Row],[BER_IN]]</f>
        <v>480</v>
      </c>
      <c r="AK144" s="68">
        <v>22</v>
      </c>
      <c r="AL144" s="87">
        <v>41.697400000000002</v>
      </c>
      <c r="AM144" s="87">
        <v>2409710</v>
      </c>
      <c r="AN144" s="87">
        <f>TABL123[[#This Row],[ (RESV. STORGE) SER]]/10</f>
        <v>240971</v>
      </c>
      <c r="AO144" s="43">
        <v>1890</v>
      </c>
      <c r="AP144" s="32">
        <f>TABL123[[#This Row],[(A/S) AJD]]-TABL123[[#This Row],[SER_IN]]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 (T/B) SAR]]+TABL123[[#This Row],[ (S/S) SAR]]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 (S/S) SAR]]-TABL123[[#This Row],[(S/S) AJD]]</f>
        <v>45</v>
      </c>
      <c r="Q145" s="40">
        <v>446</v>
      </c>
      <c r="R145" s="3">
        <f>TABL123[[#This Row],[ (T/B) SAR]]-TABL123[[#This Row],[(T/B) AJD]]</f>
        <v>26</v>
      </c>
      <c r="S145" s="3">
        <f>TABL123[[#This Row],[T/B-CON.]]+TABL123[[#This Row],[S/S_CON.]]</f>
        <v>71</v>
      </c>
      <c r="T145" s="3">
        <f>TABL123[[#This Row],[(S/S) AJD]]+TABL123[[#This Row],[(T/B) AJD]]</f>
        <v>859</v>
      </c>
      <c r="U145" s="44">
        <v>537</v>
      </c>
      <c r="V145" s="44">
        <v>258</v>
      </c>
      <c r="W145" s="3">
        <f>TABL123[[#This Row],[(A/B) AJD]]+TABL123[[#This Row],[(A/S)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3">
        <f>TABL123[[#This Row],[( S/S+T/B) AJD]]-(TABL123[[#This Row],[(A/B + A/S) AJD]]+TABL123[[#This Row],[(STORGE DIFF.) AJD]]+(TABL123[[#This Row],[AJD_Evaporation]])/1000)</f>
        <v>18.255999999999972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8">
        <f>TABL123[[#This Row],[(A/B) AJD]]-TABL123[[#This Row],[BER_IN]]</f>
        <v>483</v>
      </c>
      <c r="AK145" s="68">
        <v>22</v>
      </c>
      <c r="AL145" s="87">
        <v>41.688200000000002</v>
      </c>
      <c r="AM145" s="87">
        <v>2404910</v>
      </c>
      <c r="AN145" s="87">
        <f>TABL123[[#This Row],[ (RESV. STORGE) SER]]/10</f>
        <v>240491</v>
      </c>
      <c r="AO145" s="45">
        <v>1800</v>
      </c>
      <c r="AP145" s="32">
        <f>TABL123[[#This Row],[(A/S) AJD]]-TABL123[[#This Row],[SER_IN]]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 (T/B) SAR]]+TABL123[[#This Row],[ (S/S) SAR]]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 (S/S) SAR]]-TABL123[[#This Row],[(S/S) AJD]]</f>
        <v>48</v>
      </c>
      <c r="Q146" s="39">
        <v>446</v>
      </c>
      <c r="R146" s="3">
        <f>TABL123[[#This Row],[ (T/B) SAR]]-TABL123[[#This Row],[(T/B) AJD]]</f>
        <v>27</v>
      </c>
      <c r="S146" s="3">
        <f>TABL123[[#This Row],[T/B-CON.]]+TABL123[[#This Row],[S/S_CON.]]</f>
        <v>75</v>
      </c>
      <c r="T146" s="3">
        <f>TABL123[[#This Row],[(S/S) AJD]]+TABL123[[#This Row],[(T/B) AJD]]</f>
        <v>858</v>
      </c>
      <c r="U146" s="41">
        <v>530</v>
      </c>
      <c r="V146" s="41">
        <v>259</v>
      </c>
      <c r="W146" s="3">
        <f>TABL123[[#This Row],[(A/B) AJD]]+TABL123[[#This Row],[(A/S)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3">
        <f>TABL123[[#This Row],[( S/S+T/B) AJD]]-(TABL123[[#This Row],[(A/B + A/S) AJD]]+TABL123[[#This Row],[(STORGE DIFF.) AJD]]+(TABL123[[#This Row],[AJD_Evaporation]])/1000)</f>
        <v>32.213999999999942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8">
        <f>TABL123[[#This Row],[(A/B) AJD]]-TABL123[[#This Row],[BER_IN]]</f>
        <v>468</v>
      </c>
      <c r="AK146" s="68">
        <v>22</v>
      </c>
      <c r="AL146" s="87">
        <v>41.642600000000002</v>
      </c>
      <c r="AM146" s="87">
        <v>2381030</v>
      </c>
      <c r="AN146" s="87">
        <f>TABL123[[#This Row],[ (RESV. STORGE) SER]]/10</f>
        <v>238103</v>
      </c>
      <c r="AO146" s="43">
        <v>1880</v>
      </c>
      <c r="AP146" s="32">
        <f>TABL123[[#This Row],[(A/S) AJD]]-TABL123[[#This Row],[SER_IN]]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 (T/B) SAR]]+TABL123[[#This Row],[ (S/S) SAR]]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 (S/S) SAR]]-TABL123[[#This Row],[(S/S) AJD]]</f>
        <v>46</v>
      </c>
      <c r="Q147" s="40">
        <v>447</v>
      </c>
      <c r="R147" s="3">
        <f>TABL123[[#This Row],[ (T/B) SAR]]-TABL123[[#This Row],[(T/B) AJD]]</f>
        <v>26</v>
      </c>
      <c r="S147" s="3">
        <f>TABL123[[#This Row],[T/B-CON.]]+TABL123[[#This Row],[S/S_CON.]]</f>
        <v>72</v>
      </c>
      <c r="T147" s="3">
        <f>TABL123[[#This Row],[(S/S) AJD]]+TABL123[[#This Row],[(T/B) AJD]]</f>
        <v>861</v>
      </c>
      <c r="U147" s="44">
        <v>523</v>
      </c>
      <c r="V147" s="44">
        <v>264</v>
      </c>
      <c r="W147" s="3">
        <f>TABL123[[#This Row],[(A/B) AJD]]+TABL123[[#This Row],[(A/S)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3">
        <f>TABL123[[#This Row],[( S/S+T/B) AJD]]-(TABL123[[#This Row],[(A/B + A/S) AJD]]+TABL123[[#This Row],[(STORGE DIFF.) AJD]]+(TABL123[[#This Row],[AJD_Evaporation]])/1000)</f>
        <v>34.132999999999925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8">
        <f>TABL123[[#This Row],[(A/B) AJD]]-TABL123[[#This Row],[BER_IN]]</f>
        <v>461</v>
      </c>
      <c r="AK147" s="68">
        <v>22</v>
      </c>
      <c r="AL147" s="87">
        <v>41.604100000000003</v>
      </c>
      <c r="AM147" s="87">
        <v>2360540</v>
      </c>
      <c r="AN147" s="87">
        <f>TABL123[[#This Row],[ (RESV. STORGE) SER]]/10</f>
        <v>236054</v>
      </c>
      <c r="AO147" s="45">
        <v>1890</v>
      </c>
      <c r="AP147" s="32">
        <f>TABL123[[#This Row],[(A/S) AJD]]-TABL123[[#This Row],[SER_IN]]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 (T/B) SAR]]+TABL123[[#This Row],[ (S/S) SAR]]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 (S/S) SAR]]-TABL123[[#This Row],[(S/S) AJD]]</f>
        <v>47</v>
      </c>
      <c r="Q148" s="39">
        <v>448</v>
      </c>
      <c r="R148" s="3">
        <f>TABL123[[#This Row],[ (T/B) SAR]]-TABL123[[#This Row],[(T/B) AJD]]</f>
        <v>27</v>
      </c>
      <c r="S148" s="3">
        <f>TABL123[[#This Row],[T/B-CON.]]+TABL123[[#This Row],[S/S_CON.]]</f>
        <v>74</v>
      </c>
      <c r="T148" s="3">
        <f>TABL123[[#This Row],[(S/S) AJD]]+TABL123[[#This Row],[(T/B) AJD]]</f>
        <v>863</v>
      </c>
      <c r="U148" s="41">
        <v>534</v>
      </c>
      <c r="V148" s="41">
        <v>274</v>
      </c>
      <c r="W148" s="3">
        <f>TABL123[[#This Row],[(A/B) AJD]]+TABL123[[#This Row],[(A/S)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3">
        <f>TABL123[[#This Row],[( S/S+T/B) AJD]]-(TABL123[[#This Row],[(A/B + A/S) AJD]]+TABL123[[#This Row],[(STORGE DIFF.) AJD]]+(TABL123[[#This Row],[AJD_Evaporation]])/1000)</f>
        <v>28.911000000000058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8">
        <f>TABL123[[#This Row],[(A/B) AJD]]-TABL123[[#This Row],[BER_IN]]</f>
        <v>475</v>
      </c>
      <c r="AK148" s="68">
        <v>22</v>
      </c>
      <c r="AL148" s="87">
        <v>41.573099999999997</v>
      </c>
      <c r="AM148" s="87">
        <v>2343900</v>
      </c>
      <c r="AN148" s="87">
        <f>TABL123[[#This Row],[ (RESV. STORGE) SER]]/10</f>
        <v>234390</v>
      </c>
      <c r="AO148" s="43">
        <v>1840</v>
      </c>
      <c r="AP148" s="32">
        <f>TABL123[[#This Row],[(A/S) AJD]]-TABL123[[#This Row],[SER_IN]]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 (T/B) SAR]]+TABL123[[#This Row],[ (S/S) SAR]]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 (S/S) SAR]]-TABL123[[#This Row],[(S/S) AJD]]</f>
        <v>47</v>
      </c>
      <c r="Q149" s="40">
        <v>449</v>
      </c>
      <c r="R149" s="3">
        <f>TABL123[[#This Row],[ (T/B) SAR]]-TABL123[[#This Row],[(T/B) AJD]]</f>
        <v>26</v>
      </c>
      <c r="S149" s="3">
        <f>TABL123[[#This Row],[T/B-CON.]]+TABL123[[#This Row],[S/S_CON.]]</f>
        <v>73</v>
      </c>
      <c r="T149" s="3">
        <f>TABL123[[#This Row],[(S/S) AJD]]+TABL123[[#This Row],[(T/B) AJD]]</f>
        <v>864</v>
      </c>
      <c r="U149" s="44">
        <v>531</v>
      </c>
      <c r="V149" s="44">
        <v>272</v>
      </c>
      <c r="W149" s="3">
        <f>TABL123[[#This Row],[(A/B) AJD]]+TABL123[[#This Row],[(A/S)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3">
        <f>TABL123[[#This Row],[( S/S+T/B) AJD]]-(TABL123[[#This Row],[(A/B + A/S) AJD]]+TABL123[[#This Row],[(STORGE DIFF.) AJD]]+(TABL123[[#This Row],[AJD_Evaporation]])/1000)</f>
        <v>28.948999999999955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8">
        <f>TABL123[[#This Row],[(A/B) AJD]]-TABL123[[#This Row],[BER_IN]]</f>
        <v>473</v>
      </c>
      <c r="AK149" s="68">
        <v>22</v>
      </c>
      <c r="AL149" s="87">
        <v>41.573099999999997</v>
      </c>
      <c r="AM149" s="87">
        <v>2343900</v>
      </c>
      <c r="AN149" s="87">
        <f>TABL123[[#This Row],[ (RESV. STORGE) SER]]/10</f>
        <v>234390</v>
      </c>
      <c r="AO149" s="45">
        <v>1800</v>
      </c>
      <c r="AP149" s="32">
        <f>TABL123[[#This Row],[(A/S) AJD]]-TABL123[[#This Row],[SER_IN]]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 (T/B) SAR]]+TABL123[[#This Row],[ (S/S) SAR]]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 (S/S) SAR]]-TABL123[[#This Row],[(S/S) AJD]]</f>
        <v>46</v>
      </c>
      <c r="Q150" s="39">
        <v>451</v>
      </c>
      <c r="R150" s="3">
        <f>TABL123[[#This Row],[ (T/B) SAR]]-TABL123[[#This Row],[(T/B) AJD]]</f>
        <v>26</v>
      </c>
      <c r="S150" s="3">
        <f>TABL123[[#This Row],[T/B-CON.]]+TABL123[[#This Row],[S/S_CON.]]</f>
        <v>72</v>
      </c>
      <c r="T150" s="3">
        <f>TABL123[[#This Row],[(S/S) AJD]]+TABL123[[#This Row],[(T/B) AJD]]</f>
        <v>868</v>
      </c>
      <c r="U150" s="41">
        <v>507</v>
      </c>
      <c r="V150" s="41">
        <v>321</v>
      </c>
      <c r="W150" s="3">
        <f>TABL123[[#This Row],[(A/B) AJD]]+TABL123[[#This Row],[(A/S)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3">
        <f>TABL123[[#This Row],[( S/S+T/B) AJD]]-(TABL123[[#This Row],[(A/B + A/S) AJD]]+TABL123[[#This Row],[(STORGE DIFF.) AJD]]+(TABL123[[#This Row],[AJD_Evaporation]])/1000)</f>
        <v>27.807999999999993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8">
        <f>TABL123[[#This Row],[(A/B) AJD]]-TABL123[[#This Row],[BER_IN]]</f>
        <v>455</v>
      </c>
      <c r="AK150" s="68">
        <v>21</v>
      </c>
      <c r="AL150" s="87">
        <v>41.557600000000001</v>
      </c>
      <c r="AM150" s="87">
        <v>2335950</v>
      </c>
      <c r="AN150" s="87">
        <f>TABL123[[#This Row],[ (RESV. STORGE) SER]]/10</f>
        <v>233595</v>
      </c>
      <c r="AO150" s="43">
        <v>1850</v>
      </c>
      <c r="AP150" s="32">
        <f>TABL123[[#This Row],[(A/S) AJD]]-TABL123[[#This Row],[SER_IN]]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 (T/B) SAR]]+TABL123[[#This Row],[ (S/S) SAR]]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 (S/S) SAR]]-TABL123[[#This Row],[(S/S) AJD]]</f>
        <v>45</v>
      </c>
      <c r="Q151" s="40">
        <v>452</v>
      </c>
      <c r="R151" s="3">
        <f>TABL123[[#This Row],[ (T/B) SAR]]-TABL123[[#This Row],[(T/B) AJD]]</f>
        <v>23</v>
      </c>
      <c r="S151" s="3">
        <f>TABL123[[#This Row],[T/B-CON.]]+TABL123[[#This Row],[S/S_CON.]]</f>
        <v>68</v>
      </c>
      <c r="T151" s="3">
        <f>TABL123[[#This Row],[(S/S) AJD]]+TABL123[[#This Row],[(T/B) AJD]]</f>
        <v>869</v>
      </c>
      <c r="U151" s="44">
        <v>534</v>
      </c>
      <c r="V151" s="44">
        <v>318</v>
      </c>
      <c r="W151" s="3">
        <f>TABL123[[#This Row],[(A/B) AJD]]+TABL123[[#This Row],[(A/S)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3">
        <f>TABL123[[#This Row],[( S/S+T/B) AJD]]-(TABL123[[#This Row],[(A/B + A/S) AJD]]+TABL123[[#This Row],[(STORGE DIFF.) AJD]]+(TABL123[[#This Row],[AJD_Evaporation]])/1000)</f>
        <v>29.651000000000067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8">
        <f>TABL123[[#This Row],[(A/B) AJD]]-TABL123[[#This Row],[BER_IN]]</f>
        <v>484</v>
      </c>
      <c r="AK151" s="68">
        <v>22</v>
      </c>
      <c r="AL151" s="87">
        <v>41.566299999999998</v>
      </c>
      <c r="AM151" s="87">
        <v>2340190</v>
      </c>
      <c r="AN151" s="87">
        <f>TABL123[[#This Row],[ (RESV. STORGE) SER]]/10</f>
        <v>234019</v>
      </c>
      <c r="AO151" s="45">
        <v>1860</v>
      </c>
      <c r="AP151" s="32">
        <f>TABL123[[#This Row],[(A/S) AJD]]-TABL123[[#This Row],[SER_IN]]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 (T/B) SAR]]+TABL123[[#This Row],[ (S/S) SAR]]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 (S/S) SAR]]-TABL123[[#This Row],[(S/S) AJD]]</f>
        <v>-51</v>
      </c>
      <c r="Q152" s="39">
        <v>429</v>
      </c>
      <c r="R152" s="3">
        <f>TABL123[[#This Row],[ (T/B) SAR]]-TABL123[[#This Row],[(T/B) AJD]]</f>
        <v>-79</v>
      </c>
      <c r="S152" s="3">
        <f>TABL123[[#This Row],[T/B-CON.]]+TABL123[[#This Row],[S/S_CON.]]</f>
        <v>-130</v>
      </c>
      <c r="T152" s="3">
        <f>TABL123[[#This Row],[(S/S) AJD]]+TABL123[[#This Row],[(T/B) AJD]]</f>
        <v>820</v>
      </c>
      <c r="U152" s="41">
        <v>503</v>
      </c>
      <c r="V152" s="41">
        <v>269</v>
      </c>
      <c r="W152" s="3">
        <f>TABL123[[#This Row],[(A/B) AJD]]+TABL123[[#This Row],[(A/S)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3">
        <f>TABL123[[#This Row],[( S/S+T/B) AJD]]-(TABL123[[#This Row],[(A/B + A/S) AJD]]+TABL123[[#This Row],[(STORGE DIFF.) AJD]]+(TABL123[[#This Row],[AJD_Evaporation]])/1000)</f>
        <v>36.242000000000075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8">
        <f>TABL123[[#This Row],[(A/B) AJD]]-TABL123[[#This Row],[BER_IN]]</f>
        <v>448</v>
      </c>
      <c r="AK152" s="68">
        <v>21</v>
      </c>
      <c r="AL152" s="87">
        <v>41.5505</v>
      </c>
      <c r="AM152" s="87">
        <v>2331710</v>
      </c>
      <c r="AN152" s="87">
        <f>TABL123[[#This Row],[ (RESV. STORGE) SER]]/10</f>
        <v>233171</v>
      </c>
      <c r="AO152" s="43">
        <v>1880</v>
      </c>
      <c r="AP152" s="32">
        <f>TABL123[[#This Row],[(A/S) AJD]]-TABL123[[#This Row],[SER_IN]]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 (T/B) SAR]]+TABL123[[#This Row],[ (S/S) SAR]]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 (S/S) SAR]]-TABL123[[#This Row],[(S/S) AJD]]</f>
        <v>127</v>
      </c>
      <c r="Q153" s="39">
        <v>366</v>
      </c>
      <c r="R153" s="10">
        <f>TABL123[[#This Row],[ (T/B) SAR]]-TABL123[[#This Row],[(T/B) AJD]]</f>
        <v>109</v>
      </c>
      <c r="S153" s="10">
        <f>TABL123[[#This Row],[T/B-CON.]]+TABL123[[#This Row],[S/S_CON.]]</f>
        <v>236</v>
      </c>
      <c r="T153" s="10">
        <f>TABL123[[#This Row],[(S/S) AJD]]+TABL123[[#This Row],[(T/B) AJD]]</f>
        <v>701</v>
      </c>
      <c r="U153" s="41">
        <v>570</v>
      </c>
      <c r="V153" s="41">
        <v>226</v>
      </c>
      <c r="W153" s="10">
        <f>TABL123[[#This Row],[(A/B) AJD]]+TABL123[[#This Row],[(A/S)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3">
        <f>TABL123[[#This Row],[( S/S+T/B) AJD]]-(TABL123[[#This Row],[(A/B + A/S) AJD]]+TABL123[[#This Row],[(STORGE DIFF.) AJD]]+(TABL123[[#This Row],[AJD_Evaporation]])/1000)</f>
        <v>35.879999999999995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8">
        <f>TABL123[[#This Row],[(A/B) AJD]]-TABL123[[#This Row],[BER_IN]]</f>
        <v>515</v>
      </c>
      <c r="AK153" s="68">
        <v>22</v>
      </c>
      <c r="AL153" s="87">
        <v>41.536200000000001</v>
      </c>
      <c r="AM153" s="87">
        <v>2324390</v>
      </c>
      <c r="AN153" s="87">
        <f>TABL123[[#This Row],[ (RESV. STORGE) SER]]/10</f>
        <v>232439</v>
      </c>
      <c r="AO153" s="43">
        <v>1920</v>
      </c>
      <c r="AP153" s="32">
        <f>TABL123[[#This Row],[(A/S) AJD]]-TABL123[[#This Row],[SER_IN]]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 (T/B) SAR]]+TABL123[[#This Row],[ (S/S) SAR]]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 (S/S) SAR]]-TABL123[[#This Row],[(S/S) AJD]]</f>
        <v>75</v>
      </c>
      <c r="Q154" s="40">
        <v>418</v>
      </c>
      <c r="R154" s="10">
        <f>TABL123[[#This Row],[ (T/B) SAR]]-TABL123[[#This Row],[(T/B) AJD]]</f>
        <v>57</v>
      </c>
      <c r="S154" s="10">
        <f>TABL123[[#This Row],[T/B-CON.]]+TABL123[[#This Row],[S/S_CON.]]</f>
        <v>132</v>
      </c>
      <c r="T154" s="10">
        <f>TABL123[[#This Row],[(S/S) AJD]]+TABL123[[#This Row],[(T/B) AJD]]</f>
        <v>805</v>
      </c>
      <c r="U154" s="44">
        <v>571</v>
      </c>
      <c r="V154" s="44">
        <v>227</v>
      </c>
      <c r="W154" s="10">
        <f>TABL123[[#This Row],[(A/B) AJD]]+TABL123[[#This Row],[(A/S)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3">
        <f>TABL123[[#This Row],[( S/S+T/B) AJD]]-(TABL123[[#This Row],[(A/B + A/S) AJD]]+TABL123[[#This Row],[(STORGE DIFF.) AJD]]+(TABL123[[#This Row],[AJD_Evaporation]])/1000)</f>
        <v>27.791000000000054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8">
        <f>TABL123[[#This Row],[(A/B) AJD]]-TABL123[[#This Row],[BER_IN]]</f>
        <v>514</v>
      </c>
      <c r="AK154" s="68">
        <v>21</v>
      </c>
      <c r="AL154" s="87">
        <v>41.519799999999996</v>
      </c>
      <c r="AM154" s="87">
        <v>2315820</v>
      </c>
      <c r="AN154" s="87">
        <f>TABL123[[#This Row],[ (RESV. STORGE) SER]]/10</f>
        <v>231582</v>
      </c>
      <c r="AO154" s="45">
        <v>1935</v>
      </c>
      <c r="AP154" s="32">
        <f>TABL123[[#This Row],[(A/S) AJD]]-TABL123[[#This Row],[SER_IN]]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 (T/B) SAR]]+TABL123[[#This Row],[ (S/S) SAR]]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 (S/S) SAR]]-TABL123[[#This Row],[(S/S) AJD]]</f>
        <v>73</v>
      </c>
      <c r="Q155" s="39">
        <v>422</v>
      </c>
      <c r="R155" s="10">
        <f>TABL123[[#This Row],[ (T/B) SAR]]-TABL123[[#This Row],[(T/B) AJD]]</f>
        <v>53</v>
      </c>
      <c r="S155" s="10">
        <f>TABL123[[#This Row],[T/B-CON.]]+TABL123[[#This Row],[S/S_CON.]]</f>
        <v>126</v>
      </c>
      <c r="T155" s="10">
        <f>TABL123[[#This Row],[(S/S) AJD]]+TABL123[[#This Row],[(T/B) AJD]]</f>
        <v>811</v>
      </c>
      <c r="U155" s="41">
        <v>550</v>
      </c>
      <c r="V155" s="41">
        <v>238</v>
      </c>
      <c r="W155" s="10">
        <f>TABL123[[#This Row],[(A/B) AJD]]+TABL123[[#This Row],[(A/S)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3">
        <f>TABL123[[#This Row],[( S/S+T/B) AJD]]-(TABL123[[#This Row],[(A/B + A/S) AJD]]+TABL123[[#This Row],[(STORGE DIFF.) AJD]]+(TABL123[[#This Row],[AJD_Evaporation]])/1000)</f>
        <v>27.719000000000051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8">
        <f>TABL123[[#This Row],[(A/B) AJD]]-TABL123[[#This Row],[BER_IN]]</f>
        <v>485</v>
      </c>
      <c r="AK155" s="68">
        <v>22</v>
      </c>
      <c r="AL155" s="87">
        <v>41.496499999999997</v>
      </c>
      <c r="AM155" s="87">
        <v>2303630</v>
      </c>
      <c r="AN155" s="87">
        <f>TABL123[[#This Row],[ (RESV. STORGE) SER]]/10</f>
        <v>230363</v>
      </c>
      <c r="AO155" s="43">
        <v>1940</v>
      </c>
      <c r="AP155" s="32">
        <f>TABL123[[#This Row],[(A/S) AJD]]-TABL123[[#This Row],[SER_IN]]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 (T/B) SAR]]+TABL123[[#This Row],[ (S/S) SAR]]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 (S/S) SAR]]-TABL123[[#This Row],[(S/S) AJD]]</f>
        <v>73</v>
      </c>
      <c r="Q156" s="40">
        <v>422</v>
      </c>
      <c r="R156" s="10">
        <f>TABL123[[#This Row],[ (T/B) SAR]]-TABL123[[#This Row],[(T/B) AJD]]</f>
        <v>54</v>
      </c>
      <c r="S156" s="10">
        <f>TABL123[[#This Row],[T/B-CON.]]+TABL123[[#This Row],[S/S_CON.]]</f>
        <v>127</v>
      </c>
      <c r="T156" s="10">
        <f>TABL123[[#This Row],[(S/S) AJD]]+TABL123[[#This Row],[(T/B) AJD]]</f>
        <v>812</v>
      </c>
      <c r="U156" s="44">
        <v>543</v>
      </c>
      <c r="V156" s="44">
        <v>259</v>
      </c>
      <c r="W156" s="10">
        <f>TABL123[[#This Row],[(A/B) AJD]]+TABL123[[#This Row],[(A/S)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3">
        <f>TABL123[[#This Row],[( S/S+T/B) AJD]]-(TABL123[[#This Row],[(A/B + A/S) AJD]]+TABL123[[#This Row],[(STORGE DIFF.) AJD]]+(TABL123[[#This Row],[AJD_Evaporation]])/1000)</f>
        <v>29.158000000000015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8">
        <f>TABL123[[#This Row],[(A/B) AJD]]-TABL123[[#This Row],[BER_IN]]</f>
        <v>488</v>
      </c>
      <c r="AK156" s="68">
        <v>21</v>
      </c>
      <c r="AL156" s="87">
        <v>41.472000000000001</v>
      </c>
      <c r="AM156" s="87">
        <v>2290380</v>
      </c>
      <c r="AN156" s="87">
        <f>TABL123[[#This Row],[ (RESV. STORGE) SER]]/10</f>
        <v>229038</v>
      </c>
      <c r="AO156" s="45">
        <v>1980</v>
      </c>
      <c r="AP156" s="32">
        <f>TABL123[[#This Row],[(A/S) AJD]]-TABL123[[#This Row],[SER_IN]]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 (T/B) SAR]]+TABL123[[#This Row],[ (S/S) SAR]]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 (S/S) SAR]]-TABL123[[#This Row],[(S/S) AJD]]</f>
        <v>74</v>
      </c>
      <c r="Q157" s="39">
        <v>420</v>
      </c>
      <c r="R157" s="10">
        <f>TABL123[[#This Row],[ (T/B) SAR]]-TABL123[[#This Row],[(T/B) AJD]]</f>
        <v>53</v>
      </c>
      <c r="S157" s="10">
        <f>TABL123[[#This Row],[T/B-CON.]]+TABL123[[#This Row],[S/S_CON.]]</f>
        <v>127</v>
      </c>
      <c r="T157" s="10">
        <f>TABL123[[#This Row],[(S/S) AJD]]+TABL123[[#This Row],[(T/B) AJD]]</f>
        <v>808</v>
      </c>
      <c r="U157" s="41">
        <v>531</v>
      </c>
      <c r="V157" s="41">
        <v>270</v>
      </c>
      <c r="W157" s="10">
        <f>TABL123[[#This Row],[(A/B) AJD]]+TABL123[[#This Row],[(A/S)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3">
        <f>TABL123[[#This Row],[( S/S+T/B) AJD]]-(TABL123[[#This Row],[(A/B + A/S) AJD]]+TABL123[[#This Row],[(STORGE DIFF.) AJD]]+(TABL123[[#This Row],[AJD_Evaporation]])/1000)</f>
        <v>31.923000000000002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8">
        <f>TABL123[[#This Row],[(A/B) AJD]]-TABL123[[#This Row],[BER_IN]]</f>
        <v>478</v>
      </c>
      <c r="AK157" s="68">
        <v>20</v>
      </c>
      <c r="AL157" s="87">
        <v>41.435699999999997</v>
      </c>
      <c r="AM157" s="87">
        <v>2271293</v>
      </c>
      <c r="AN157" s="87">
        <f>TABL123[[#This Row],[ (RESV. STORGE) SER]]/10</f>
        <v>227129.3</v>
      </c>
      <c r="AO157" s="43">
        <v>1965</v>
      </c>
      <c r="AP157" s="32">
        <f>TABL123[[#This Row],[(A/S) AJD]]-TABL123[[#This Row],[SER_IN]]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 (T/B) SAR]]+TABL123[[#This Row],[ (S/S) SAR]]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 (S/S) SAR]]-TABL123[[#This Row],[(S/S) AJD]]</f>
        <v>69</v>
      </c>
      <c r="Q158" s="40">
        <v>423</v>
      </c>
      <c r="R158" s="10">
        <f>TABL123[[#This Row],[ (T/B) SAR]]-TABL123[[#This Row],[(T/B) AJD]]</f>
        <v>51</v>
      </c>
      <c r="S158" s="10">
        <f>TABL123[[#This Row],[T/B-CON.]]+TABL123[[#This Row],[S/S_CON.]]</f>
        <v>120</v>
      </c>
      <c r="T158" s="10">
        <f>TABL123[[#This Row],[(S/S) AJD]]+TABL123[[#This Row],[(T/B) AJD]]</f>
        <v>815</v>
      </c>
      <c r="U158" s="44">
        <v>547</v>
      </c>
      <c r="V158" s="44">
        <v>291</v>
      </c>
      <c r="W158" s="10">
        <f>TABL123[[#This Row],[(A/B) AJD]]+TABL123[[#This Row],[(A/S)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3">
        <f>TABL123[[#This Row],[( S/S+T/B) AJD]]-(TABL123[[#This Row],[(A/B + A/S) AJD]]+TABL123[[#This Row],[(STORGE DIFF.) AJD]]+(TABL123[[#This Row],[AJD_Evaporation]])/1000)</f>
        <v>23.149000000000001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8">
        <f>TABL123[[#This Row],[(A/B) AJD]]-TABL123[[#This Row],[BER_IN]]</f>
        <v>472</v>
      </c>
      <c r="AK158" s="68">
        <v>21</v>
      </c>
      <c r="AL158" s="87">
        <v>41.411200000000001</v>
      </c>
      <c r="AM158" s="87">
        <v>2258290</v>
      </c>
      <c r="AN158" s="87">
        <f>TABL123[[#This Row],[ (RESV. STORGE) SER]]/10</f>
        <v>225829</v>
      </c>
      <c r="AO158" s="45">
        <v>2200</v>
      </c>
      <c r="AP158" s="32">
        <f>TABL123[[#This Row],[(A/S) AJD]]-TABL123[[#This Row],[SER_IN]]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 (T/B) SAR]]+TABL123[[#This Row],[ (S/S) SAR]]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 (S/S) SAR]]-TABL123[[#This Row],[(S/S) AJD]]</f>
        <v>78</v>
      </c>
      <c r="Q159" s="39">
        <v>414</v>
      </c>
      <c r="R159" s="10">
        <f>TABL123[[#This Row],[ (T/B) SAR]]-TABL123[[#This Row],[(T/B) AJD]]</f>
        <v>61</v>
      </c>
      <c r="S159" s="10">
        <f>TABL123[[#This Row],[T/B-CON.]]+TABL123[[#This Row],[S/S_CON.]]</f>
        <v>139</v>
      </c>
      <c r="T159" s="10">
        <f>TABL123[[#This Row],[(S/S) AJD]]+TABL123[[#This Row],[(T/B) AJD]]</f>
        <v>796</v>
      </c>
      <c r="U159" s="41">
        <v>533</v>
      </c>
      <c r="V159" s="41">
        <v>290</v>
      </c>
      <c r="W159" s="10">
        <f>TABL123[[#This Row],[(A/B) AJD]]+TABL123[[#This Row],[(A/S)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3">
        <f>TABL123[[#This Row],[( S/S+T/B) AJD]]-(TABL123[[#This Row],[(A/B + A/S) AJD]]+TABL123[[#This Row],[(STORGE DIFF.) AJD]]+(TABL123[[#This Row],[AJD_Evaporation]])/1000)</f>
        <v>13.072000000000003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8">
        <f>TABL123[[#This Row],[(A/B) AJD]]-TABL123[[#This Row],[BER_IN]]</f>
        <v>483</v>
      </c>
      <c r="AK159" s="68">
        <v>21</v>
      </c>
      <c r="AL159" s="87">
        <v>41.373199999999997</v>
      </c>
      <c r="AM159" s="87">
        <v>2238560</v>
      </c>
      <c r="AN159" s="87">
        <f>TABL123[[#This Row],[ (RESV. STORGE) SER]]/10</f>
        <v>223856</v>
      </c>
      <c r="AO159" s="43">
        <v>2150</v>
      </c>
      <c r="AP159" s="32">
        <f>TABL123[[#This Row],[(A/S) AJD]]-TABL123[[#This Row],[SER_IN]]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 (T/B) SAR]]+TABL123[[#This Row],[ (S/S) SAR]]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 (S/S) SAR]]-TABL123[[#This Row],[(S/S) AJD]]</f>
        <v>80</v>
      </c>
      <c r="Q160" s="40">
        <v>417</v>
      </c>
      <c r="R160" s="10">
        <f>TABL123[[#This Row],[ (T/B) SAR]]-TABL123[[#This Row],[(T/B) AJD]]</f>
        <v>58</v>
      </c>
      <c r="S160" s="10">
        <f>TABL123[[#This Row],[T/B-CON.]]+TABL123[[#This Row],[S/S_CON.]]</f>
        <v>138</v>
      </c>
      <c r="T160" s="10">
        <f>TABL123[[#This Row],[(S/S) AJD]]+TABL123[[#This Row],[(T/B) AJD]]</f>
        <v>802</v>
      </c>
      <c r="U160" s="44">
        <v>539</v>
      </c>
      <c r="V160" s="44">
        <v>262</v>
      </c>
      <c r="W160" s="10">
        <f>TABL123[[#This Row],[(A/B) AJD]]+TABL123[[#This Row],[(A/S)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3">
        <f>TABL123[[#This Row],[( S/S+T/B) AJD]]-(TABL123[[#This Row],[(A/B + A/S) AJD]]+TABL123[[#This Row],[(STORGE DIFF.) AJD]]+(TABL123[[#This Row],[AJD_Evaporation]])/1000)</f>
        <v>26.751999999999953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8">
        <f>TABL123[[#This Row],[(A/B) AJD]]-TABL123[[#This Row],[BER_IN]]</f>
        <v>487</v>
      </c>
      <c r="AK160" s="68">
        <v>22</v>
      </c>
      <c r="AL160" s="87">
        <v>41.348199999999999</v>
      </c>
      <c r="AM160" s="87">
        <v>2225350</v>
      </c>
      <c r="AN160" s="87">
        <f>TABL123[[#This Row],[ (RESV. STORGE) SER]]/10</f>
        <v>222535</v>
      </c>
      <c r="AO160" s="45">
        <v>2070</v>
      </c>
      <c r="AP160" s="32">
        <f>TABL123[[#This Row],[(A/S) AJD]]-TABL123[[#This Row],[SER_IN]]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 (T/B) SAR]]+TABL123[[#This Row],[ (S/S) SAR]]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 (S/S) SAR]]-TABL123[[#This Row],[(S/S) AJD]]</f>
        <v>78</v>
      </c>
      <c r="Q161" s="39">
        <v>423</v>
      </c>
      <c r="R161" s="10">
        <f>TABL123[[#This Row],[ (T/B) SAR]]-TABL123[[#This Row],[(T/B) AJD]]</f>
        <v>57</v>
      </c>
      <c r="S161" s="10">
        <f>TABL123[[#This Row],[T/B-CON.]]+TABL123[[#This Row],[S/S_CON.]]</f>
        <v>135</v>
      </c>
      <c r="T161" s="10">
        <f>TABL123[[#This Row],[(S/S) AJD]]+TABL123[[#This Row],[(T/B) AJD]]</f>
        <v>815</v>
      </c>
      <c r="U161" s="41">
        <v>521</v>
      </c>
      <c r="V161" s="41">
        <v>252</v>
      </c>
      <c r="W161" s="10">
        <f>TABL123[[#This Row],[(A/B) AJD]]+TABL123[[#This Row],[(A/S)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3">
        <f>TABL123[[#This Row],[( S/S+T/B) AJD]]-(TABL123[[#This Row],[(A/B + A/S) AJD]]+TABL123[[#This Row],[(STORGE DIFF.) AJD]]+(TABL123[[#This Row],[AJD_Evaporation]])/1000)</f>
        <v>21.255999999999972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8">
        <f>TABL123[[#This Row],[(A/B) AJD]]-TABL123[[#This Row],[BER_IN]]</f>
        <v>480</v>
      </c>
      <c r="AK161" s="68">
        <v>21</v>
      </c>
      <c r="AL161" s="87">
        <v>41.3352</v>
      </c>
      <c r="AM161" s="87">
        <v>2218180</v>
      </c>
      <c r="AN161" s="87">
        <f>TABL123[[#This Row],[ (RESV. STORGE) SER]]/10</f>
        <v>221818</v>
      </c>
      <c r="AO161" s="43">
        <v>1980</v>
      </c>
      <c r="AP161" s="32">
        <f>TABL123[[#This Row],[(A/S) AJD]]-TABL123[[#This Row],[SER_IN]]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 (T/B) SAR]]+TABL123[[#This Row],[ (S/S) SAR]]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 (S/S) SAR]]-TABL123[[#This Row],[(S/S) AJD]]</f>
        <v>72</v>
      </c>
      <c r="Q162" s="40">
        <v>434</v>
      </c>
      <c r="R162" s="10">
        <f>TABL123[[#This Row],[ (T/B) SAR]]-TABL123[[#This Row],[(T/B) AJD]]</f>
        <v>51</v>
      </c>
      <c r="S162" s="10">
        <f>TABL123[[#This Row],[T/B-CON.]]+TABL123[[#This Row],[S/S_CON.]]</f>
        <v>123</v>
      </c>
      <c r="T162" s="10">
        <f>TABL123[[#This Row],[(S/S) AJD]]+TABL123[[#This Row],[(T/B) AJD]]</f>
        <v>837</v>
      </c>
      <c r="U162" s="44">
        <v>521</v>
      </c>
      <c r="V162" s="44">
        <v>259</v>
      </c>
      <c r="W162" s="10">
        <f>TABL123[[#This Row],[(A/B) AJD]]+TABL123[[#This Row],[(A/S)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3">
        <f>TABL123[[#This Row],[( S/S+T/B) AJD]]-(TABL123[[#This Row],[(A/B + A/S) AJD]]+TABL123[[#This Row],[(STORGE DIFF.) AJD]]+(TABL123[[#This Row],[AJD_Evaporation]])/1000)</f>
        <v>20.799999999999955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8">
        <f>TABL123[[#This Row],[(A/B) AJD]]-TABL123[[#This Row],[BER_IN]]</f>
        <v>484</v>
      </c>
      <c r="AK162" s="68">
        <v>21</v>
      </c>
      <c r="AL162" s="87">
        <v>41.328699999999998</v>
      </c>
      <c r="AM162" s="87">
        <v>2214800</v>
      </c>
      <c r="AN162" s="87">
        <f>TABL123[[#This Row],[ (RESV. STORGE) SER]]/10</f>
        <v>221480</v>
      </c>
      <c r="AO162" s="45">
        <v>1965</v>
      </c>
      <c r="AP162" s="32">
        <f>TABL123[[#This Row],[(A/S) AJD]]-TABL123[[#This Row],[SER_IN]]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 (T/B) SAR]]+TABL123[[#This Row],[ (S/S) SAR]]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 (S/S) SAR]]-TABL123[[#This Row],[(S/S) AJD]]</f>
        <v>70</v>
      </c>
      <c r="Q163" s="39">
        <v>438</v>
      </c>
      <c r="R163" s="10">
        <f>TABL123[[#This Row],[ (T/B) SAR]]-TABL123[[#This Row],[(T/B) AJD]]</f>
        <v>48</v>
      </c>
      <c r="S163" s="10">
        <f>TABL123[[#This Row],[T/B-CON.]]+TABL123[[#This Row],[S/S_CON.]]</f>
        <v>118</v>
      </c>
      <c r="T163" s="10">
        <f>TABL123[[#This Row],[(S/S) AJD]]+TABL123[[#This Row],[(T/B) AJD]]</f>
        <v>844</v>
      </c>
      <c r="U163" s="41">
        <v>516</v>
      </c>
      <c r="V163" s="41">
        <v>255</v>
      </c>
      <c r="W163" s="10">
        <f>TABL123[[#This Row],[(A/B) AJD]]+TABL123[[#This Row],[(A/S)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3">
        <f>TABL123[[#This Row],[( S/S+T/B) AJD]]-(TABL123[[#This Row],[(A/B + A/S) AJD]]+TABL123[[#This Row],[(STORGE DIFF.) AJD]]+(TABL123[[#This Row],[AJD_Evaporation]])/1000)</f>
        <v>28.467999999999961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8">
        <f>TABL123[[#This Row],[(A/B) AJD]]-TABL123[[#This Row],[BER_IN]]</f>
        <v>481</v>
      </c>
      <c r="AK163" s="68">
        <v>21</v>
      </c>
      <c r="AL163" s="87">
        <v>41.322800000000001</v>
      </c>
      <c r="AM163" s="87">
        <v>2211110</v>
      </c>
      <c r="AN163" s="87">
        <f>TABL123[[#This Row],[ (RESV. STORGE) SER]]/10</f>
        <v>221111</v>
      </c>
      <c r="AO163" s="43">
        <v>1975</v>
      </c>
      <c r="AP163" s="32">
        <f>TABL123[[#This Row],[(A/S) AJD]]-TABL123[[#This Row],[SER_IN]]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 (T/B) SAR]]+TABL123[[#This Row],[ (S/S) SAR]]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 (S/S) SAR]]-TABL123[[#This Row],[(S/S) AJD]]</f>
        <v>70</v>
      </c>
      <c r="Q164" s="40">
        <v>439</v>
      </c>
      <c r="R164" s="10">
        <f>TABL123[[#This Row],[ (T/B) SAR]]-TABL123[[#This Row],[(T/B) AJD]]</f>
        <v>48</v>
      </c>
      <c r="S164" s="10">
        <f>TABL123[[#This Row],[T/B-CON.]]+TABL123[[#This Row],[S/S_CON.]]</f>
        <v>118</v>
      </c>
      <c r="T164" s="10">
        <f>TABL123[[#This Row],[(S/S) AJD]]+TABL123[[#This Row],[(T/B) AJD]]</f>
        <v>845</v>
      </c>
      <c r="U164" s="44">
        <v>530</v>
      </c>
      <c r="V164" s="44">
        <v>246</v>
      </c>
      <c r="W164" s="10">
        <f>TABL123[[#This Row],[(A/B) AJD]]+TABL123[[#This Row],[(A/S)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3">
        <f>TABL123[[#This Row],[( S/S+T/B) AJD]]-(TABL123[[#This Row],[(A/B + A/S) AJD]]+TABL123[[#This Row],[(STORGE DIFF.) AJD]]+(TABL123[[#This Row],[AJD_Evaporation]])/1000)</f>
        <v>24.019999999999982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8">
        <f>TABL123[[#This Row],[(A/B) AJD]]-TABL123[[#This Row],[BER_IN]]</f>
        <v>497</v>
      </c>
      <c r="AK164" s="68">
        <v>21</v>
      </c>
      <c r="AL164" s="87">
        <v>41.313499999999998</v>
      </c>
      <c r="AM164" s="87">
        <v>2206375</v>
      </c>
      <c r="AN164" s="87">
        <f>TABL123[[#This Row],[ (RESV. STORGE) SER]]/10</f>
        <v>220637.5</v>
      </c>
      <c r="AO164" s="45">
        <v>2010</v>
      </c>
      <c r="AP164" s="32">
        <f>TABL123[[#This Row],[(A/S) AJD]]-TABL123[[#This Row],[SER_IN]]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 (T/B) SAR]]+TABL123[[#This Row],[ (S/S) SAR]]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 (S/S) SAR]]-TABL123[[#This Row],[(S/S) AJD]]</f>
        <v>69</v>
      </c>
      <c r="Q165" s="39">
        <v>442</v>
      </c>
      <c r="R165" s="10">
        <f>TABL123[[#This Row],[ (T/B) SAR]]-TABL123[[#This Row],[(T/B) AJD]]</f>
        <v>47</v>
      </c>
      <c r="S165" s="10">
        <f>TABL123[[#This Row],[T/B-CON.]]+TABL123[[#This Row],[S/S_CON.]]</f>
        <v>116</v>
      </c>
      <c r="T165" s="10">
        <f>TABL123[[#This Row],[(S/S) AJD]]+TABL123[[#This Row],[(T/B) AJD]]</f>
        <v>851</v>
      </c>
      <c r="U165" s="41">
        <v>532</v>
      </c>
      <c r="V165" s="41">
        <v>244</v>
      </c>
      <c r="W165" s="10">
        <f>TABL123[[#This Row],[(A/B) AJD]]+TABL123[[#This Row],[(A/S)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3">
        <f>TABL123[[#This Row],[( S/S+T/B) AJD]]-(TABL123[[#This Row],[(A/B + A/S) AJD]]+TABL123[[#This Row],[(STORGE DIFF.) AJD]]+(TABL123[[#This Row],[AJD_Evaporation]])/1000)</f>
        <v>19.767000000000053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8">
        <f>TABL123[[#This Row],[(A/B) AJD]]-TABL123[[#This Row],[BER_IN]]</f>
        <v>495</v>
      </c>
      <c r="AK165" s="68">
        <v>21</v>
      </c>
      <c r="AL165" s="87">
        <v>41.305799999999998</v>
      </c>
      <c r="AM165" s="87">
        <v>2202650</v>
      </c>
      <c r="AN165" s="87">
        <f>TABL123[[#This Row],[ (RESV. STORGE) SER]]/10</f>
        <v>220265</v>
      </c>
      <c r="AO165" s="43">
        <v>2023</v>
      </c>
      <c r="AP165" s="32">
        <f>TABL123[[#This Row],[(A/S) AJD]]-TABL123[[#This Row],[SER_IN]]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 (T/B) SAR]]+TABL123[[#This Row],[ (S/S) SAR]]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 (S/S) SAR]]-TABL123[[#This Row],[(S/S) AJD]]</f>
        <v>82</v>
      </c>
      <c r="Q166" s="40">
        <v>441</v>
      </c>
      <c r="R166" s="10">
        <f>TABL123[[#This Row],[ (T/B) SAR]]-TABL123[[#This Row],[(T/B) AJD]]</f>
        <v>67</v>
      </c>
      <c r="S166" s="10">
        <f>TABL123[[#This Row],[T/B-CON.]]+TABL123[[#This Row],[S/S_CON.]]</f>
        <v>149</v>
      </c>
      <c r="T166" s="10">
        <f>TABL123[[#This Row],[(S/S) AJD]]+TABL123[[#This Row],[(T/B) AJD]]</f>
        <v>849</v>
      </c>
      <c r="U166" s="44">
        <v>534</v>
      </c>
      <c r="V166" s="44">
        <v>236</v>
      </c>
      <c r="W166" s="10">
        <f>TABL123[[#This Row],[(A/B) AJD]]+TABL123[[#This Row],[(A/S)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3">
        <f>TABL123[[#This Row],[( S/S+T/B) AJD]]-(TABL123[[#This Row],[(A/B + A/S) AJD]]+TABL123[[#This Row],[(STORGE DIFF.) AJD]]+(TABL123[[#This Row],[AJD_Evaporation]])/1000)</f>
        <v>35.004000000000019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8">
        <f>TABL123[[#This Row],[(A/B) AJD]]-TABL123[[#This Row],[BER_IN]]</f>
        <v>489</v>
      </c>
      <c r="AK166" s="68">
        <v>34</v>
      </c>
      <c r="AL166" s="87">
        <v>41.305100000000003</v>
      </c>
      <c r="AM166" s="87">
        <v>2202190</v>
      </c>
      <c r="AN166" s="87">
        <f>TABL123[[#This Row],[ (RESV. STORGE) SER]]/10</f>
        <v>220219</v>
      </c>
      <c r="AO166" s="45">
        <v>2023</v>
      </c>
      <c r="AP166" s="32">
        <f>TABL123[[#This Row],[(A/S) AJD]]-TABL123[[#This Row],[SER_IN]]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 (T/B) SAR]]+TABL123[[#This Row],[ (S/S) SAR]]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 (S/S) SAR]]-TABL123[[#This Row],[(S/S) AJD]]</f>
        <v>49</v>
      </c>
      <c r="Q167" s="39">
        <v>410</v>
      </c>
      <c r="R167" s="10">
        <f>TABL123[[#This Row],[ (T/B) SAR]]-TABL123[[#This Row],[(T/B) AJD]]</f>
        <v>93</v>
      </c>
      <c r="S167" s="10">
        <f>TABL123[[#This Row],[T/B-CON.]]+TABL123[[#This Row],[S/S_CON.]]</f>
        <v>142</v>
      </c>
      <c r="T167" s="10">
        <f>TABL123[[#This Row],[(S/S) AJD]]+TABL123[[#This Row],[(T/B) AJD]]</f>
        <v>852</v>
      </c>
      <c r="U167" s="41">
        <v>549</v>
      </c>
      <c r="V167" s="41">
        <v>241</v>
      </c>
      <c r="W167" s="10">
        <f>TABL123[[#This Row],[(A/B) AJD]]+TABL123[[#This Row],[(A/S)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3">
        <f>TABL123[[#This Row],[( S/S+T/B) AJD]]-(TABL123[[#This Row],[(A/B + A/S) AJD]]+TABL123[[#This Row],[(STORGE DIFF.) AJD]]+(TABL123[[#This Row],[AJD_Evaporation]])/1000)</f>
        <v>25.879999999999995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8">
        <f>TABL123[[#This Row],[(A/B) AJD]]-TABL123[[#This Row],[BER_IN]]</f>
        <v>499</v>
      </c>
      <c r="AK167" s="68">
        <v>31</v>
      </c>
      <c r="AL167" s="87">
        <v>41.2988</v>
      </c>
      <c r="AM167" s="87">
        <v>2198960</v>
      </c>
      <c r="AN167" s="87">
        <f>TABL123[[#This Row],[ (RESV. STORGE) SER]]/10</f>
        <v>219896</v>
      </c>
      <c r="AO167" s="43">
        <v>2023</v>
      </c>
      <c r="AP167" s="32">
        <f>TABL123[[#This Row],[(A/S) AJD]]-TABL123[[#This Row],[SER_IN]]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 (T/B) SAR]]+TABL123[[#This Row],[ (S/S) SAR]]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 (S/S) SAR]]-TABL123[[#This Row],[(S/S) AJD]]</f>
        <v>78</v>
      </c>
      <c r="Q168" s="40">
        <v>442</v>
      </c>
      <c r="R168" s="10">
        <f>TABL123[[#This Row],[ (T/B) SAR]]-TABL123[[#This Row],[(T/B) AJD]]</f>
        <v>59</v>
      </c>
      <c r="S168" s="10">
        <f>TABL123[[#This Row],[T/B-CON.]]+TABL123[[#This Row],[S/S_CON.]]</f>
        <v>137</v>
      </c>
      <c r="T168" s="10">
        <f>TABL123[[#This Row],[(S/S) AJD]]+TABL123[[#This Row],[(T/B) AJD]]</f>
        <v>852</v>
      </c>
      <c r="U168" s="44">
        <v>550</v>
      </c>
      <c r="V168" s="44">
        <v>241</v>
      </c>
      <c r="W168" s="10">
        <f>TABL123[[#This Row],[(A/B) AJD]]+TABL123[[#This Row],[(A/S)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3">
        <f>TABL123[[#This Row],[( S/S+T/B) AJD]]-(TABL123[[#This Row],[(A/B + A/S) AJD]]+TABL123[[#This Row],[(STORGE DIFF.) AJD]]+(TABL123[[#This Row],[AJD_Evaporation]])/1000)</f>
        <v>58.916000000000054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8">
        <f>TABL123[[#This Row],[(A/B) AJD]]-TABL123[[#This Row],[BER_IN]]</f>
        <v>495</v>
      </c>
      <c r="AK168" s="68">
        <v>27</v>
      </c>
      <c r="AL168" s="87">
        <v>41.288400000000003</v>
      </c>
      <c r="AM168" s="87">
        <v>2193170</v>
      </c>
      <c r="AN168" s="87">
        <f>TABL123[[#This Row],[ (RESV. STORGE) SER]]/10</f>
        <v>219317</v>
      </c>
      <c r="AO168" s="45">
        <v>2868</v>
      </c>
      <c r="AP168" s="32">
        <f>TABL123[[#This Row],[(A/S) AJD]]-TABL123[[#This Row],[SER_IN]]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 (T/B) SAR]]+TABL123[[#This Row],[ (S/S) SAR]]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 (S/S) SAR]]-TABL123[[#This Row],[(S/S) AJD]]</f>
        <v>80</v>
      </c>
      <c r="Q169" s="39">
        <v>441</v>
      </c>
      <c r="R169" s="10">
        <f>TABL123[[#This Row],[ (T/B) SAR]]-TABL123[[#This Row],[(T/B) AJD]]</f>
        <v>60</v>
      </c>
      <c r="S169" s="10">
        <f>TABL123[[#This Row],[T/B-CON.]]+TABL123[[#This Row],[S/S_CON.]]</f>
        <v>140</v>
      </c>
      <c r="T169" s="10">
        <f>TABL123[[#This Row],[(S/S) AJD]]+TABL123[[#This Row],[(T/B) AJD]]</f>
        <v>849</v>
      </c>
      <c r="U169" s="41">
        <v>539</v>
      </c>
      <c r="V169" s="41">
        <v>271</v>
      </c>
      <c r="W169" s="10">
        <f>TABL123[[#This Row],[(A/B) AJD]]+TABL123[[#This Row],[(A/S)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3">
        <f>TABL123[[#This Row],[( S/S+T/B) AJD]]-(TABL123[[#This Row],[(A/B + A/S) AJD]]+TABL123[[#This Row],[(STORGE DIFF.) AJD]]+(TABL123[[#This Row],[AJD_Evaporation]])/1000)</f>
        <v>19.54099999999994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8">
        <f>TABL123[[#This Row],[(A/B) AJD]]-TABL123[[#This Row],[BER_IN]]</f>
        <v>480</v>
      </c>
      <c r="AK169" s="68">
        <v>28</v>
      </c>
      <c r="AL169" s="87">
        <v>41.29</v>
      </c>
      <c r="AM169" s="87">
        <v>2194210</v>
      </c>
      <c r="AN169" s="87">
        <f>TABL123[[#This Row],[ (RESV. STORGE) SER]]/10</f>
        <v>219421</v>
      </c>
      <c r="AO169" s="43">
        <v>1890</v>
      </c>
      <c r="AP169" s="32">
        <f>TABL123[[#This Row],[(A/S) AJD]]-TABL123[[#This Row],[SER_IN]]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 (T/B) SAR]]+TABL123[[#This Row],[ (S/S) SAR]]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 (S/S) SAR]]-TABL123[[#This Row],[(S/S) AJD]]</f>
        <v>80</v>
      </c>
      <c r="Q170" s="40">
        <v>440</v>
      </c>
      <c r="R170" s="3">
        <f>TABL123[[#This Row],[ (T/B) SAR]]-TABL123[[#This Row],[(T/B) AJD]]</f>
        <v>61</v>
      </c>
      <c r="S170" s="3">
        <f>TABL123[[#This Row],[T/B-CON.]]+TABL123[[#This Row],[S/S_CON.]]</f>
        <v>141</v>
      </c>
      <c r="T170" s="3">
        <f>TABL123[[#This Row],[(S/S) AJD]]+TABL123[[#This Row],[(T/B) AJD]]</f>
        <v>848</v>
      </c>
      <c r="U170" s="44">
        <v>570</v>
      </c>
      <c r="V170" s="44">
        <v>269</v>
      </c>
      <c r="W170" s="3">
        <f>TABL123[[#This Row],[(A/B) AJD]]+TABL123[[#This Row],[(A/S)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3">
        <f>TABL123[[#This Row],[( S/S+T/B) AJD]]-(TABL123[[#This Row],[(A/B + A/S) AJD]]+TABL123[[#This Row],[(STORGE DIFF.) AJD]]+(TABL123[[#This Row],[AJD_Evaporation]])/1000)</f>
        <v>29.567999999999984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8">
        <f>TABL123[[#This Row],[(A/B) AJD]]-TABL123[[#This Row],[BER_IN]]</f>
        <v>511</v>
      </c>
      <c r="AK170" s="68">
        <v>30</v>
      </c>
      <c r="AL170" s="87">
        <v>41.296999999999997</v>
      </c>
      <c r="AM170" s="87">
        <v>2197980</v>
      </c>
      <c r="AN170" s="87">
        <f>TABL123[[#This Row],[ (RESV. STORGE) SER]]/10</f>
        <v>219798</v>
      </c>
      <c r="AO170" s="45">
        <v>1830</v>
      </c>
      <c r="AP170" s="32">
        <f>TABL123[[#This Row],[(A/S) AJD]]-TABL123[[#This Row],[SER_IN]]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 (T/B) SAR]]+TABL123[[#This Row],[ (S/S) SAR]]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 (S/S) SAR]]-TABL123[[#This Row],[(S/S) AJD]]</f>
        <v>82</v>
      </c>
      <c r="Q171" s="39">
        <v>442</v>
      </c>
      <c r="R171" s="3">
        <f>TABL123[[#This Row],[ (T/B) SAR]]-TABL123[[#This Row],[(T/B) AJD]]</f>
        <v>65</v>
      </c>
      <c r="S171" s="3">
        <f>TABL123[[#This Row],[T/B-CON.]]+TABL123[[#This Row],[S/S_CON.]]</f>
        <v>147</v>
      </c>
      <c r="T171" s="3">
        <f>TABL123[[#This Row],[(S/S) AJD]]+TABL123[[#This Row],[(T/B) AJD]]</f>
        <v>852</v>
      </c>
      <c r="U171" s="41">
        <v>566</v>
      </c>
      <c r="V171" s="41">
        <v>276</v>
      </c>
      <c r="W171" s="3">
        <f>TABL123[[#This Row],[(A/B) AJD]]+TABL123[[#This Row],[(A/S)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3">
        <f>TABL123[[#This Row],[( S/S+T/B) AJD]]-(TABL123[[#This Row],[(A/B + A/S) AJD]]+TABL123[[#This Row],[(STORGE DIFF.) AJD]]+(TABL123[[#This Row],[AJD_Evaporation]])/1000)</f>
        <v>22.95900000000006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8">
        <f>TABL123[[#This Row],[(A/B) AJD]]-TABL123[[#This Row],[BER_IN]]</f>
        <v>506</v>
      </c>
      <c r="AK171" s="68">
        <v>30</v>
      </c>
      <c r="AL171" s="87">
        <v>41.245199999999997</v>
      </c>
      <c r="AM171" s="87">
        <v>2170510</v>
      </c>
      <c r="AN171" s="87">
        <f>TABL123[[#This Row],[ (RESV. STORGE) SER]]/10</f>
        <v>217051</v>
      </c>
      <c r="AO171" s="43">
        <v>1870</v>
      </c>
      <c r="AP171" s="32">
        <f>TABL123[[#This Row],[(A/S) AJD]]-TABL123[[#This Row],[SER_IN]]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 (T/B) SAR]]+TABL123[[#This Row],[ (S/S) SAR]]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 (S/S) SAR]]-TABL123[[#This Row],[(S/S) AJD]]</f>
        <v>79</v>
      </c>
      <c r="Q172" s="40">
        <v>445</v>
      </c>
      <c r="R172" s="3">
        <f>TABL123[[#This Row],[ (T/B) SAR]]-TABL123[[#This Row],[(T/B) AJD]]</f>
        <v>59</v>
      </c>
      <c r="S172" s="3">
        <f>TABL123[[#This Row],[T/B-CON.]]+TABL123[[#This Row],[S/S_CON.]]</f>
        <v>138</v>
      </c>
      <c r="T172" s="3">
        <f>TABL123[[#This Row],[(S/S) AJD]]+TABL123[[#This Row],[(T/B) AJD]]</f>
        <v>857</v>
      </c>
      <c r="U172" s="44">
        <v>590</v>
      </c>
      <c r="V172" s="44">
        <v>278</v>
      </c>
      <c r="W172" s="3">
        <f>TABL123[[#This Row],[(A/B) AJD]]+TABL123[[#This Row],[(A/S)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3">
        <f>TABL123[[#This Row],[( S/S+T/B) AJD]]-(TABL123[[#This Row],[(A/B + A/S) AJD]]+TABL123[[#This Row],[(STORGE DIFF.) AJD]]+(TABL123[[#This Row],[AJD_Evaporation]])/1000)</f>
        <v>13.323999999999955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8">
        <f>TABL123[[#This Row],[(A/B) AJD]]-TABL123[[#This Row],[BER_IN]]</f>
        <v>530</v>
      </c>
      <c r="AK172" s="68">
        <v>30</v>
      </c>
      <c r="AL172" s="87">
        <v>41.244999999999997</v>
      </c>
      <c r="AM172" s="87">
        <v>2170490</v>
      </c>
      <c r="AN172" s="87">
        <f>TABL123[[#This Row],[ (RESV. STORGE) SER]]/10</f>
        <v>217049</v>
      </c>
      <c r="AO172" s="45">
        <v>1820</v>
      </c>
      <c r="AP172" s="32">
        <f>TABL123[[#This Row],[(A/S) AJD]]-TABL123[[#This Row],[SER_IN]]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 (T/B) SAR]]+TABL123[[#This Row],[ (S/S) SAR]]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 (S/S) SAR]]-TABL123[[#This Row],[(S/S) AJD]]</f>
        <v>79</v>
      </c>
      <c r="Q173" s="39">
        <v>444</v>
      </c>
      <c r="R173" s="3">
        <f>TABL123[[#This Row],[ (T/B) SAR]]-TABL123[[#This Row],[(T/B) AJD]]</f>
        <v>62</v>
      </c>
      <c r="S173" s="3">
        <f>TABL123[[#This Row],[T/B-CON.]]+TABL123[[#This Row],[S/S_CON.]]</f>
        <v>141</v>
      </c>
      <c r="T173" s="3">
        <f>TABL123[[#This Row],[(S/S) AJD]]+TABL123[[#This Row],[(T/B) AJD]]</f>
        <v>857</v>
      </c>
      <c r="U173" s="41">
        <v>566</v>
      </c>
      <c r="V173" s="41">
        <v>274</v>
      </c>
      <c r="W173" s="3">
        <f>TABL123[[#This Row],[(A/B) AJD]]+TABL123[[#This Row],[(A/S)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3">
        <f>TABL123[[#This Row],[( S/S+T/B) AJD]]-(TABL123[[#This Row],[(A/B + A/S) AJD]]+TABL123[[#This Row],[(STORGE DIFF.) AJD]]+(TABL123[[#This Row],[AJD_Evaporation]])/1000)</f>
        <v>22.956999999999994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8">
        <f>TABL123[[#This Row],[(A/B) AJD]]-TABL123[[#This Row],[BER_IN]]</f>
        <v>506</v>
      </c>
      <c r="AK173" s="68">
        <v>30</v>
      </c>
      <c r="AL173" s="87">
        <v>41.2286</v>
      </c>
      <c r="AM173" s="87">
        <v>2162020</v>
      </c>
      <c r="AN173" s="87">
        <f>TABL123[[#This Row],[ (RESV. STORGE) SER]]/10</f>
        <v>216202</v>
      </c>
      <c r="AO173" s="43">
        <v>1870</v>
      </c>
      <c r="AP173" s="32">
        <f>TABL123[[#This Row],[(A/S) AJD]]-TABL123[[#This Row],[SER_IN]]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 (T/B) SAR]]+TABL123[[#This Row],[ (S/S) SAR]]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 (S/S) SAR]]-TABL123[[#This Row],[(S/S) AJD]]</f>
        <v>80</v>
      </c>
      <c r="Q174" s="40">
        <v>444</v>
      </c>
      <c r="R174" s="3">
        <f>TABL123[[#This Row],[ (T/B) SAR]]-TABL123[[#This Row],[(T/B) AJD]]</f>
        <v>63</v>
      </c>
      <c r="S174" s="3">
        <f>TABL123[[#This Row],[T/B-CON.]]+TABL123[[#This Row],[S/S_CON.]]</f>
        <v>143</v>
      </c>
      <c r="T174" s="3">
        <f>TABL123[[#This Row],[(S/S) AJD]]+TABL123[[#This Row],[(T/B) AJD]]</f>
        <v>857</v>
      </c>
      <c r="U174" s="44">
        <v>565</v>
      </c>
      <c r="V174" s="44">
        <v>264</v>
      </c>
      <c r="W174" s="3">
        <f>TABL123[[#This Row],[(A/B) AJD]]+TABL123[[#This Row],[(A/S)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3">
        <f>TABL123[[#This Row],[( S/S+T/B) AJD]]-(TABL123[[#This Row],[(A/B + A/S) AJD]]+TABL123[[#This Row],[(STORGE DIFF.) AJD]]+(TABL123[[#This Row],[AJD_Evaporation]])/1000)</f>
        <v>29.059999999999945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8">
        <f>TABL123[[#This Row],[(A/B) AJD]]-TABL123[[#This Row],[BER_IN]]</f>
        <v>505</v>
      </c>
      <c r="AK174" s="68">
        <v>30</v>
      </c>
      <c r="AL174" s="87">
        <v>41.183</v>
      </c>
      <c r="AM174" s="87">
        <v>2137770</v>
      </c>
      <c r="AN174" s="87">
        <f>TABL123[[#This Row],[ (RESV. STORGE) SER]]/10</f>
        <v>213777</v>
      </c>
      <c r="AO174" s="45">
        <v>1850</v>
      </c>
      <c r="AP174" s="32">
        <f>TABL123[[#This Row],[(A/S) AJD]]-TABL123[[#This Row],[SER_IN]]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 (T/B) SAR]]+TABL123[[#This Row],[ (S/S) SAR]]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 (S/S) SAR]]-TABL123[[#This Row],[(S/S) AJD]]</f>
        <v>79</v>
      </c>
      <c r="Q175" s="39">
        <v>444</v>
      </c>
      <c r="R175" s="3">
        <f>TABL123[[#This Row],[ (T/B) SAR]]-TABL123[[#This Row],[(T/B) AJD]]</f>
        <v>63</v>
      </c>
      <c r="S175" s="3">
        <f>TABL123[[#This Row],[T/B-CON.]]+TABL123[[#This Row],[S/S_CON.]]</f>
        <v>142</v>
      </c>
      <c r="T175" s="3">
        <f>TABL123[[#This Row],[(S/S) AJD]]+TABL123[[#This Row],[(T/B) AJD]]</f>
        <v>859</v>
      </c>
      <c r="U175" s="41">
        <v>558</v>
      </c>
      <c r="V175" s="41">
        <v>274</v>
      </c>
      <c r="W175" s="3">
        <f>TABL123[[#This Row],[(A/B) AJD]]+TABL123[[#This Row],[(A/S)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3">
        <f>TABL123[[#This Row],[( S/S+T/B) AJD]]-(TABL123[[#This Row],[(A/B + A/S) AJD]]+TABL123[[#This Row],[(STORGE DIFF.) AJD]]+(TABL123[[#This Row],[AJD_Evaporation]])/1000)</f>
        <v>23.031000000000063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8">
        <f>TABL123[[#This Row],[(A/B) AJD]]-TABL123[[#This Row],[BER_IN]]</f>
        <v>498</v>
      </c>
      <c r="AK175" s="68">
        <v>30</v>
      </c>
      <c r="AL175" s="87">
        <v>41.145099999999999</v>
      </c>
      <c r="AM175" s="87">
        <v>2117740</v>
      </c>
      <c r="AN175" s="87">
        <f>TABL123[[#This Row],[ (RESV. STORGE) SER]]/10</f>
        <v>211774</v>
      </c>
      <c r="AO175" s="43">
        <v>1830</v>
      </c>
      <c r="AP175" s="32">
        <f>TABL123[[#This Row],[(A/S) AJD]]-TABL123[[#This Row],[SER_IN]]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 (T/B) SAR]]+TABL123[[#This Row],[ (S/S) SAR]]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 (S/S) SAR]]-TABL123[[#This Row],[(S/S) AJD]]</f>
        <v>67</v>
      </c>
      <c r="Q176" s="40">
        <v>443</v>
      </c>
      <c r="R176" s="3">
        <f>TABL123[[#This Row],[ (T/B) SAR]]-TABL123[[#This Row],[(T/B) AJD]]</f>
        <v>64</v>
      </c>
      <c r="S176" s="3">
        <f>TABL123[[#This Row],[T/B-CON.]]+TABL123[[#This Row],[S/S_CON.]]</f>
        <v>131</v>
      </c>
      <c r="T176" s="3">
        <f>TABL123[[#This Row],[(S/S) AJD]]+TABL123[[#This Row],[(T/B) AJD]]</f>
        <v>856</v>
      </c>
      <c r="U176" s="44">
        <v>547</v>
      </c>
      <c r="V176" s="44">
        <v>297</v>
      </c>
      <c r="W176" s="3">
        <f>TABL123[[#This Row],[(A/B) AJD]]+TABL123[[#This Row],[(A/S)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3">
        <f>TABL123[[#This Row],[( S/S+T/B) AJD]]-(TABL123[[#This Row],[(A/B + A/S) AJD]]+TABL123[[#This Row],[(STORGE DIFF.) AJD]]+(TABL123[[#This Row],[AJD_Evaporation]])/1000)</f>
        <v>26.629000000000019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8">
        <f>TABL123[[#This Row],[(A/B) AJD]]-TABL123[[#This Row],[BER_IN]]</f>
        <v>487</v>
      </c>
      <c r="AK176" s="68">
        <v>30</v>
      </c>
      <c r="AL176" s="87">
        <v>41.128399999999999</v>
      </c>
      <c r="AM176" s="87">
        <v>2109030</v>
      </c>
      <c r="AN176" s="87">
        <f>TABL123[[#This Row],[ (RESV. STORGE) SER]]/10</f>
        <v>210903</v>
      </c>
      <c r="AO176" s="45">
        <v>1810</v>
      </c>
      <c r="AP176" s="32">
        <f>TABL123[[#This Row],[(A/S) AJD]]-TABL123[[#This Row],[SER_IN]]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 (T/B) SAR]]+TABL123[[#This Row],[ (S/S) SAR]]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 (S/S) SAR]]-TABL123[[#This Row],[(S/S) AJD]]</f>
        <v>100</v>
      </c>
      <c r="Q177" s="39">
        <v>392</v>
      </c>
      <c r="R177" s="3">
        <f>TABL123[[#This Row],[ (T/B) SAR]]-TABL123[[#This Row],[(T/B) AJD]]</f>
        <v>86</v>
      </c>
      <c r="S177" s="3">
        <f>TABL123[[#This Row],[T/B-CON.]]+TABL123[[#This Row],[S/S_CON.]]</f>
        <v>186</v>
      </c>
      <c r="T177" s="3">
        <f>TABL123[[#This Row],[(S/S) AJD]]+TABL123[[#This Row],[(T/B) AJD]]</f>
        <v>757</v>
      </c>
      <c r="U177" s="41">
        <v>519</v>
      </c>
      <c r="V177" s="41">
        <v>271</v>
      </c>
      <c r="W177" s="3">
        <f>TABL123[[#This Row],[(A/B) AJD]]+TABL123[[#This Row],[(A/S)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3">
        <f>TABL123[[#This Row],[( S/S+T/B) AJD]]-(TABL123[[#This Row],[(A/B + A/S) AJD]]+TABL123[[#This Row],[(STORGE DIFF.) AJD]]+(TABL123[[#This Row],[AJD_Evaporation]])/1000)</f>
        <v>25.374000000000024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8">
        <f>TABL123[[#This Row],[(A/B) AJD]]-TABL123[[#This Row],[BER_IN]]</f>
        <v>466</v>
      </c>
      <c r="AK177" s="68">
        <v>16</v>
      </c>
      <c r="AL177" s="87">
        <v>41.130899999999997</v>
      </c>
      <c r="AM177" s="87">
        <v>2110370</v>
      </c>
      <c r="AN177" s="87">
        <f>TABL123[[#This Row],[ (RESV. STORGE) SER]]/10</f>
        <v>211037</v>
      </c>
      <c r="AO177" s="43">
        <v>1860</v>
      </c>
      <c r="AP177" s="32">
        <f>TABL123[[#This Row],[(A/S) AJD]]-TABL123[[#This Row],[SER_IN]]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 (T/B) SAR]]+TABL123[[#This Row],[ (S/S) SAR]]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 (S/S) SAR]]-TABL123[[#This Row],[(S/S) AJD]]</f>
        <v>81</v>
      </c>
      <c r="Q178" s="40">
        <v>405</v>
      </c>
      <c r="R178" s="3">
        <f>TABL123[[#This Row],[ (T/B) SAR]]-TABL123[[#This Row],[(T/B) AJD]]</f>
        <v>74</v>
      </c>
      <c r="S178" s="3">
        <f>TABL123[[#This Row],[T/B-CON.]]+TABL123[[#This Row],[S/S_CON.]]</f>
        <v>155</v>
      </c>
      <c r="T178" s="3">
        <f>TABL123[[#This Row],[(S/S) AJD]]+TABL123[[#This Row],[(T/B) AJD]]</f>
        <v>788</v>
      </c>
      <c r="U178" s="44">
        <v>553</v>
      </c>
      <c r="V178" s="44">
        <v>259</v>
      </c>
      <c r="W178" s="3">
        <f>TABL123[[#This Row],[(A/B) AJD]]+TABL123[[#This Row],[(A/S)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3">
        <f>TABL123[[#This Row],[( S/S+T/B) AJD]]-(TABL123[[#This Row],[(A/B + A/S) AJD]]+TABL123[[#This Row],[(STORGE DIFF.) AJD]]+(TABL123[[#This Row],[AJD_Evaporation]])/1000)</f>
        <v>21.508000000000038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8">
        <f>TABL123[[#This Row],[(A/B) AJD]]-TABL123[[#This Row],[BER_IN]]</f>
        <v>513</v>
      </c>
      <c r="AK178" s="68">
        <v>13</v>
      </c>
      <c r="AL178" s="87">
        <v>41.135800000000003</v>
      </c>
      <c r="AM178" s="87">
        <v>2113010</v>
      </c>
      <c r="AN178" s="87">
        <f>TABL123[[#This Row],[ (RESV. STORGE) SER]]/10</f>
        <v>211301</v>
      </c>
      <c r="AO178" s="45">
        <v>1860</v>
      </c>
      <c r="AP178" s="32">
        <f>TABL123[[#This Row],[(A/S) AJD]]-TABL123[[#This Row],[SER_IN]]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 (T/B) SAR]]+TABL123[[#This Row],[ (S/S) SAR]]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 (S/S) SAR]]-TABL123[[#This Row],[(S/S) AJD]]</f>
        <v>82</v>
      </c>
      <c r="Q179" s="39">
        <v>420</v>
      </c>
      <c r="R179" s="3">
        <f>TABL123[[#This Row],[ (T/B) SAR]]-TABL123[[#This Row],[(T/B) AJD]]</f>
        <v>62</v>
      </c>
      <c r="S179" s="3">
        <f>TABL123[[#This Row],[T/B-CON.]]+TABL123[[#This Row],[S/S_CON.]]</f>
        <v>144</v>
      </c>
      <c r="T179" s="3">
        <f>TABL123[[#This Row],[(S/S) AJD]]+TABL123[[#This Row],[(T/B) AJD]]</f>
        <v>808</v>
      </c>
      <c r="U179" s="41">
        <v>555</v>
      </c>
      <c r="V179" s="41">
        <v>286</v>
      </c>
      <c r="W179" s="3">
        <f>TABL123[[#This Row],[(A/B) AJD]]+TABL123[[#This Row],[(A/S)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3">
        <f>TABL123[[#This Row],[( S/S+T/B) AJD]]-(TABL123[[#This Row],[(A/B + A/S) AJD]]+TABL123[[#This Row],[(STORGE DIFF.) AJD]]+(TABL123[[#This Row],[AJD_Evaporation]])/1000)</f>
        <v>25.033999999999992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8">
        <f>TABL123[[#This Row],[(A/B) AJD]]-TABL123[[#This Row],[BER_IN]]</f>
        <v>515</v>
      </c>
      <c r="AK179" s="68">
        <v>13</v>
      </c>
      <c r="AL179" s="87">
        <v>41.137999999999998</v>
      </c>
      <c r="AM179" s="87">
        <v>2114640</v>
      </c>
      <c r="AN179" s="87">
        <f>TABL123[[#This Row],[ (RESV. STORGE) SER]]/10</f>
        <v>211464</v>
      </c>
      <c r="AO179" s="43">
        <v>1870</v>
      </c>
      <c r="AP179" s="32">
        <f>TABL123[[#This Row],[(A/S) AJD]]-TABL123[[#This Row],[SER_IN]]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 (T/B) SAR]]+TABL123[[#This Row],[ (S/S) SAR]]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 (S/S) SAR]]-TABL123[[#This Row],[(S/S) AJD]]</f>
        <v>80</v>
      </c>
      <c r="Q180" s="40">
        <v>423</v>
      </c>
      <c r="R180" s="3">
        <f>TABL123[[#This Row],[ (T/B) SAR]]-TABL123[[#This Row],[(T/B) AJD]]</f>
        <v>63</v>
      </c>
      <c r="S180" s="3">
        <f>TABL123[[#This Row],[T/B-CON.]]+TABL123[[#This Row],[S/S_CON.]]</f>
        <v>143</v>
      </c>
      <c r="T180" s="3">
        <f>TABL123[[#This Row],[(S/S) AJD]]+TABL123[[#This Row],[(T/B) AJD]]</f>
        <v>816</v>
      </c>
      <c r="U180" s="44">
        <v>554</v>
      </c>
      <c r="V180" s="44">
        <v>245</v>
      </c>
      <c r="W180" s="3">
        <f>TABL123[[#This Row],[(A/B) AJD]]+TABL123[[#This Row],[(A/S)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3">
        <f>TABL123[[#This Row],[( S/S+T/B) AJD]]-(TABL123[[#This Row],[(A/B + A/S) AJD]]+TABL123[[#This Row],[(STORGE DIFF.) AJD]]+(TABL123[[#This Row],[AJD_Evaporation]])/1000)</f>
        <v>20.660999999999945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8">
        <f>TABL123[[#This Row],[(A/B) AJD]]-TABL123[[#This Row],[BER_IN]]</f>
        <v>512</v>
      </c>
      <c r="AK180" s="68">
        <v>14</v>
      </c>
      <c r="AL180" s="87">
        <v>41.145000000000003</v>
      </c>
      <c r="AM180" s="87">
        <v>2114380</v>
      </c>
      <c r="AN180" s="87">
        <f>TABL123[[#This Row],[ (RESV. STORGE) SER]]/10</f>
        <v>211438</v>
      </c>
      <c r="AO180" s="45">
        <v>1860</v>
      </c>
      <c r="AP180" s="32">
        <f>TABL123[[#This Row],[(A/S) AJD]]-TABL123[[#This Row],[SER_IN]]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 (T/B) SAR]]+TABL123[[#This Row],[ (S/S) SAR]]</f>
        <v>998</v>
      </c>
      <c r="L181" s="41"/>
      <c r="M181" s="42"/>
      <c r="N181" s="42">
        <v>7.8</v>
      </c>
      <c r="O181" s="39">
        <v>400</v>
      </c>
      <c r="P181" s="3">
        <f>TABL123[[#This Row],[ (S/S) SAR]]-TABL123[[#This Row],[(S/S) AJD]]</f>
        <v>92</v>
      </c>
      <c r="Q181" s="39">
        <v>429</v>
      </c>
      <c r="R181" s="3">
        <f>TABL123[[#This Row],[ (T/B) SAR]]-TABL123[[#This Row],[(T/B) AJD]]</f>
        <v>77</v>
      </c>
      <c r="S181" s="3">
        <f>TABL123[[#This Row],[T/B-CON.]]+TABL123[[#This Row],[S/S_CON.]]</f>
        <v>169</v>
      </c>
      <c r="T181" s="3">
        <f>TABL123[[#This Row],[(S/S) AJD]]+TABL123[[#This Row],[(T/B) AJD]]</f>
        <v>829</v>
      </c>
      <c r="U181" s="41">
        <v>553</v>
      </c>
      <c r="V181" s="41">
        <v>250</v>
      </c>
      <c r="W181" s="3">
        <f>TABL123[[#This Row],[(A/B) AJD]]+TABL123[[#This Row],[(A/S)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3">
        <f>TABL123[[#This Row],[( S/S+T/B) AJD]]-(TABL123[[#This Row],[(A/B + A/S) AJD]]+TABL123[[#This Row],[(STORGE DIFF.) AJD]]+(TABL123[[#This Row],[AJD_Evaporation]])/1000)</f>
        <v>33.851999999999975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8">
        <f>TABL123[[#This Row],[(A/B) AJD]]-TABL123[[#This Row],[BER_IN]]</f>
        <v>510</v>
      </c>
      <c r="AK181" s="68">
        <v>13</v>
      </c>
      <c r="AL181" s="87">
        <v>41.118600000000001</v>
      </c>
      <c r="AM181" s="87">
        <v>2103570</v>
      </c>
      <c r="AN181" s="87">
        <f>TABL123[[#This Row],[ (RESV. STORGE) SER]]/10</f>
        <v>210357</v>
      </c>
      <c r="AO181" s="43">
        <v>1810</v>
      </c>
      <c r="AP181" s="32">
        <f>TABL123[[#This Row],[(A/S) AJD]]-TABL123[[#This Row],[SER_IN]]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 (T/B) SAR]]+TABL123[[#This Row],[ (S/S) SAR]]</f>
        <v>1008</v>
      </c>
      <c r="L182" s="45"/>
      <c r="M182" s="46"/>
      <c r="N182" s="46">
        <v>7.8</v>
      </c>
      <c r="O182" s="40">
        <v>412</v>
      </c>
      <c r="P182" s="3">
        <f>TABL123[[#This Row],[ (S/S) SAR]]-TABL123[[#This Row],[(S/S) AJD]]</f>
        <v>86</v>
      </c>
      <c r="Q182" s="40">
        <v>442</v>
      </c>
      <c r="R182" s="3">
        <f>TABL123[[#This Row],[ (T/B) SAR]]-TABL123[[#This Row],[(T/B) AJD]]</f>
        <v>68</v>
      </c>
      <c r="S182" s="3">
        <f>TABL123[[#This Row],[T/B-CON.]]+TABL123[[#This Row],[S/S_CON.]]</f>
        <v>154</v>
      </c>
      <c r="T182" s="3">
        <f>TABL123[[#This Row],[(S/S) AJD]]+TABL123[[#This Row],[(T/B) AJD]]</f>
        <v>854</v>
      </c>
      <c r="U182" s="44">
        <v>557</v>
      </c>
      <c r="V182" s="44">
        <v>230</v>
      </c>
      <c r="W182" s="3">
        <f>TABL123[[#This Row],[(A/B) AJD]]+TABL123[[#This Row],[(A/S)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3">
        <f>TABL123[[#This Row],[( S/S+T/B) AJD]]-(TABL123[[#This Row],[(A/B + A/S) AJD]]+TABL123[[#This Row],[(STORGE DIFF.) AJD]]+(TABL123[[#This Row],[AJD_Evaporation]])/1000)</f>
        <v>15.303999999999974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8">
        <f>TABL123[[#This Row],[(A/B) AJD]]-TABL123[[#This Row],[BER_IN]]</f>
        <v>518</v>
      </c>
      <c r="AK182" s="68">
        <v>14</v>
      </c>
      <c r="AL182" s="87">
        <v>41.096400000000003</v>
      </c>
      <c r="AM182" s="87">
        <v>2092440</v>
      </c>
      <c r="AN182" s="87">
        <f>TABL123[[#This Row],[ (RESV. STORGE) SER]]/10</f>
        <v>209244</v>
      </c>
      <c r="AO182" s="45">
        <v>1830</v>
      </c>
      <c r="AP182" s="32">
        <f>TABL123[[#This Row],[(A/S) AJD]]-TABL123[[#This Row],[SER_IN]]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 (T/B) SAR]]+TABL123[[#This Row],[ (S/S) SAR]]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 (S/S) SAR]]-TABL123[[#This Row],[(S/S) AJD]]</f>
        <v>92</v>
      </c>
      <c r="Q183" s="39">
        <v>449</v>
      </c>
      <c r="R183" s="12">
        <f>TABL123[[#This Row],[ (T/B) SAR]]-TABL123[[#This Row],[(T/B) AJD]]</f>
        <v>76</v>
      </c>
      <c r="S183" s="12">
        <f>TABL123[[#This Row],[T/B-CON.]]+TABL123[[#This Row],[S/S_CON.]]</f>
        <v>168</v>
      </c>
      <c r="T183" s="12">
        <f>TABL123[[#This Row],[(S/S) AJD]]+TABL123[[#This Row],[(T/B) AJD]]</f>
        <v>866</v>
      </c>
      <c r="U183" s="41">
        <v>555</v>
      </c>
      <c r="V183" s="41">
        <v>256</v>
      </c>
      <c r="W183" s="12">
        <f>TABL123[[#This Row],[(A/B) AJD]]+TABL123[[#This Row],[(A/S)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3">
        <f>TABL123[[#This Row],[( S/S+T/B) AJD]]-(TABL123[[#This Row],[(A/B + A/S) AJD]]+TABL123[[#This Row],[(STORGE DIFF.) AJD]]+(TABL123[[#This Row],[AJD_Evaporation]])/1000)</f>
        <v>15.519999999999982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8">
        <f>TABL123[[#This Row],[(A/B) AJD]]-TABL123[[#This Row],[BER_IN]]</f>
        <v>515</v>
      </c>
      <c r="AK183" s="68">
        <v>13</v>
      </c>
      <c r="AL183" s="87">
        <v>41.068199999999997</v>
      </c>
      <c r="AM183" s="87">
        <v>2077210</v>
      </c>
      <c r="AN183" s="87">
        <f>TABL123[[#This Row],[ (RESV. STORGE) SER]]/10</f>
        <v>207721</v>
      </c>
      <c r="AO183" s="43">
        <v>1850</v>
      </c>
      <c r="AP183" s="32">
        <f>TABL123[[#This Row],[(A/S) AJD]]-TABL123[[#This Row],[SER_IN]]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 (T/B) SAR]]+TABL123[[#This Row],[ (S/S) SAR]]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 (S/S) SAR]]-TABL123[[#This Row],[(S/S) AJD]]</f>
        <v>85</v>
      </c>
      <c r="Q184" s="40">
        <v>461</v>
      </c>
      <c r="R184" s="12">
        <f>TABL123[[#This Row],[ (T/B) SAR]]-TABL123[[#This Row],[(T/B) AJD]]</f>
        <v>64</v>
      </c>
      <c r="S184" s="12">
        <f>TABL123[[#This Row],[T/B-CON.]]+TABL123[[#This Row],[S/S_CON.]]</f>
        <v>149</v>
      </c>
      <c r="T184" s="12">
        <f>TABL123[[#This Row],[(S/S) AJD]]+TABL123[[#This Row],[(T/B) AJD]]</f>
        <v>892</v>
      </c>
      <c r="U184" s="44">
        <v>535</v>
      </c>
      <c r="V184" s="44">
        <v>260</v>
      </c>
      <c r="W184" s="12">
        <f>TABL123[[#This Row],[(A/B) AJD]]+TABL123[[#This Row],[(A/S)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3">
        <f>TABL123[[#This Row],[( S/S+T/B) AJD]]-(TABL123[[#This Row],[(A/B + A/S) AJD]]+TABL123[[#This Row],[(STORGE DIFF.) AJD]]+(TABL123[[#This Row],[AJD_Evaporation]])/1000)</f>
        <v>21.047000000000025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8">
        <f>TABL123[[#This Row],[(A/B) AJD]]-TABL123[[#This Row],[BER_IN]]</f>
        <v>491</v>
      </c>
      <c r="AK184" s="68">
        <v>13</v>
      </c>
      <c r="AL184" s="87">
        <v>41.0381</v>
      </c>
      <c r="AM184" s="87">
        <v>2061430</v>
      </c>
      <c r="AN184" s="87">
        <f>TABL123[[#This Row],[ (RESV. STORGE) SER]]/10</f>
        <v>206143</v>
      </c>
      <c r="AO184" s="45">
        <v>1865</v>
      </c>
      <c r="AP184" s="32">
        <f>TABL123[[#This Row],[(A/S) AJD]]-TABL123[[#This Row],[SER_IN]]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 (T/B) SAR]]+TABL123[[#This Row],[ (S/S) SAR]]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 (S/S) SAR]]-TABL123[[#This Row],[(S/S) AJD]]</f>
        <v>80</v>
      </c>
      <c r="Q185" s="39">
        <v>458</v>
      </c>
      <c r="R185" s="12">
        <f>TABL123[[#This Row],[ (T/B) SAR]]-TABL123[[#This Row],[(T/B) AJD]]</f>
        <v>62</v>
      </c>
      <c r="S185" s="12">
        <f>TABL123[[#This Row],[T/B-CON.]]+TABL123[[#This Row],[S/S_CON.]]</f>
        <v>142</v>
      </c>
      <c r="T185" s="12">
        <f>TABL123[[#This Row],[(S/S) AJD]]+TABL123[[#This Row],[(T/B) AJD]]</f>
        <v>883</v>
      </c>
      <c r="U185" s="41">
        <v>515</v>
      </c>
      <c r="V185" s="41">
        <v>262</v>
      </c>
      <c r="W185" s="12">
        <f>TABL123[[#This Row],[(A/B) AJD]]+TABL123[[#This Row],[(A/S)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3">
        <f>TABL123[[#This Row],[( S/S+T/B) AJD]]-(TABL123[[#This Row],[(A/B + A/S) AJD]]+TABL123[[#This Row],[(STORGE DIFF.) AJD]]+(TABL123[[#This Row],[AJD_Evaporation]])/1000)</f>
        <v>22.904999999999973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8">
        <f>TABL123[[#This Row],[(A/B) AJD]]-TABL123[[#This Row],[BER_IN]]</f>
        <v>474</v>
      </c>
      <c r="AK185" s="68">
        <v>13</v>
      </c>
      <c r="AL185" s="87">
        <v>41.0015</v>
      </c>
      <c r="AM185" s="87">
        <v>2042032</v>
      </c>
      <c r="AN185" s="87">
        <f>TABL123[[#This Row],[ (RESV. STORGE) SER]]/10</f>
        <v>204203.2</v>
      </c>
      <c r="AO185" s="43">
        <v>1835</v>
      </c>
      <c r="AP185" s="32">
        <f>TABL123[[#This Row],[(A/S) AJD]]-TABL123[[#This Row],[SER_IN]]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 (T/B) SAR]]+TABL123[[#This Row],[ (S/S) SAR]]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 (S/S) SAR]]-TABL123[[#This Row],[(S/S) AJD]]</f>
        <v>81</v>
      </c>
      <c r="Q186" s="40">
        <v>460</v>
      </c>
      <c r="R186" s="12">
        <f>TABL123[[#This Row],[ (T/B) SAR]]-TABL123[[#This Row],[(T/B) AJD]]</f>
        <v>62</v>
      </c>
      <c r="S186" s="12">
        <f>TABL123[[#This Row],[T/B-CON.]]+TABL123[[#This Row],[S/S_CON.]]</f>
        <v>143</v>
      </c>
      <c r="T186" s="12">
        <f>TABL123[[#This Row],[(S/S) AJD]]+TABL123[[#This Row],[(T/B) AJD]]</f>
        <v>886</v>
      </c>
      <c r="U186" s="44">
        <v>562</v>
      </c>
      <c r="V186" s="44">
        <v>261</v>
      </c>
      <c r="W186" s="12">
        <f>TABL123[[#This Row],[(A/B) AJD]]+TABL123[[#This Row],[(A/S)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3">
        <f>TABL123[[#This Row],[( S/S+T/B) AJD]]-(TABL123[[#This Row],[(A/B + A/S) AJD]]+TABL123[[#This Row],[(STORGE DIFF.) AJD]]+(TABL123[[#This Row],[AJD_Evaporation]])/1000)</f>
        <v>28.284999999999968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8">
        <f>TABL123[[#This Row],[(A/B) AJD]]-TABL123[[#This Row],[BER_IN]]</f>
        <v>521</v>
      </c>
      <c r="AK186" s="68">
        <v>14</v>
      </c>
      <c r="AL186" s="87">
        <v>41.000700000000002</v>
      </c>
      <c r="AM186" s="87">
        <v>2041850</v>
      </c>
      <c r="AN186" s="87">
        <f>TABL123[[#This Row],[ (RESV. STORGE) SER]]/10</f>
        <v>204185</v>
      </c>
      <c r="AO186" s="45">
        <v>1950</v>
      </c>
      <c r="AP186" s="32">
        <f>TABL123[[#This Row],[(A/S) AJD]]-TABL123[[#This Row],[SER_IN]]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 (T/B) SAR]]+TABL123[[#This Row],[ (S/S) SAR]]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 (S/S) SAR]]-TABL123[[#This Row],[(S/S) AJD]]</f>
        <v>76</v>
      </c>
      <c r="Q187" s="39">
        <v>466</v>
      </c>
      <c r="R187" s="12">
        <f>TABL123[[#This Row],[ (T/B) SAR]]-TABL123[[#This Row],[(T/B) AJD]]</f>
        <v>59</v>
      </c>
      <c r="S187" s="12">
        <f>TABL123[[#This Row],[T/B-CON.]]+TABL123[[#This Row],[S/S_CON.]]</f>
        <v>135</v>
      </c>
      <c r="T187" s="12">
        <f>TABL123[[#This Row],[(S/S) AJD]]+TABL123[[#This Row],[(T/B) AJD]]</f>
        <v>900</v>
      </c>
      <c r="U187" s="41">
        <v>559</v>
      </c>
      <c r="V187" s="41">
        <v>270</v>
      </c>
      <c r="W187" s="10">
        <f>TABL123[[#This Row],[(A/B) AJD]]+TABL123[[#This Row],[(A/S)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3">
        <f>TABL123[[#This Row],[( S/S+T/B) AJD]]-(TABL123[[#This Row],[(A/B + A/S) AJD]]+TABL123[[#This Row],[(STORGE DIFF.) AJD]]+(TABL123[[#This Row],[AJD_Evaporation]])/1000)</f>
        <v>26.891999999999939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8">
        <f>TABL123[[#This Row],[(A/B) AJD]]-TABL123[[#This Row],[BER_IN]]</f>
        <v>517</v>
      </c>
      <c r="AK187" s="68">
        <v>13</v>
      </c>
      <c r="AL187" s="87">
        <v>40.9925</v>
      </c>
      <c r="AM187" s="87">
        <v>2037770</v>
      </c>
      <c r="AN187" s="87">
        <f>TABL123[[#This Row],[ (RESV. STORGE) SER]]/10</f>
        <v>203777</v>
      </c>
      <c r="AO187" s="43">
        <v>2015</v>
      </c>
      <c r="AP187" s="32">
        <f>TABL123[[#This Row],[(A/S) AJD]]-TABL123[[#This Row],[SER_IN]]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 (T/B) SAR]]+TABL123[[#This Row],[ (S/S) SAR]]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 (S/S) SAR]]-TABL123[[#This Row],[(S/S) AJD]]</f>
        <v>49</v>
      </c>
      <c r="Q188" s="40">
        <v>437</v>
      </c>
      <c r="R188" s="12">
        <f>TABL123[[#This Row],[ (T/B) SAR]]-TABL123[[#This Row],[(T/B) AJD]]</f>
        <v>95</v>
      </c>
      <c r="S188" s="12">
        <f>TABL123[[#This Row],[T/B-CON.]]+TABL123[[#This Row],[S/S_CON.]]</f>
        <v>144</v>
      </c>
      <c r="T188" s="12">
        <f>TABL123[[#This Row],[(S/S) AJD]]+TABL123[[#This Row],[(T/B) AJD]]</f>
        <v>906</v>
      </c>
      <c r="U188" s="44">
        <v>568</v>
      </c>
      <c r="V188" s="44">
        <v>283</v>
      </c>
      <c r="W188" s="12">
        <f>TABL123[[#This Row],[(A/B) AJD]]+TABL123[[#This Row],[(A/S)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3">
        <f>TABL123[[#This Row],[( S/S+T/B) AJD]]-(TABL123[[#This Row],[(A/B + A/S) AJD]]+TABL123[[#This Row],[(STORGE DIFF.) AJD]]+(TABL123[[#This Row],[AJD_Evaporation]])/1000)</f>
        <v>31.968000000000075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8">
        <f>TABL123[[#This Row],[(A/B) AJD]]-TABL123[[#This Row],[BER_IN]]</f>
        <v>529</v>
      </c>
      <c r="AK188" s="68">
        <v>14</v>
      </c>
      <c r="AL188" s="87">
        <v>40.979300000000002</v>
      </c>
      <c r="AM188" s="87">
        <v>2030920</v>
      </c>
      <c r="AN188" s="87">
        <f>TABL123[[#This Row],[ (RESV. STORGE) SER]]/10</f>
        <v>203092</v>
      </c>
      <c r="AO188" s="45">
        <v>2035</v>
      </c>
      <c r="AP188" s="32">
        <f>TABL123[[#This Row],[(A/S) AJD]]-TABL123[[#This Row],[SER_IN]]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 (T/B) SAR]]+TABL123[[#This Row],[ (S/S) SAR]]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 (S/S) SAR]]-TABL123[[#This Row],[(S/S) AJD]]</f>
        <v>83</v>
      </c>
      <c r="Q189" s="39">
        <v>465</v>
      </c>
      <c r="R189" s="12">
        <f>TABL123[[#This Row],[ (T/B) SAR]]-TABL123[[#This Row],[(T/B) AJD]]</f>
        <v>68</v>
      </c>
      <c r="S189" s="12">
        <f>TABL123[[#This Row],[T/B-CON.]]+TABL123[[#This Row],[S/S_CON.]]</f>
        <v>151</v>
      </c>
      <c r="T189" s="12">
        <f>TABL123[[#This Row],[(S/S) AJD]]+TABL123[[#This Row],[(T/B) AJD]]</f>
        <v>900</v>
      </c>
      <c r="U189" s="41">
        <v>565</v>
      </c>
      <c r="V189" s="41">
        <v>285</v>
      </c>
      <c r="W189" s="12">
        <f>TABL123[[#This Row],[(A/B) AJD]]+TABL123[[#This Row],[(A/S)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3">
        <f>TABL123[[#This Row],[( S/S+T/B) AJD]]-(TABL123[[#This Row],[(A/B + A/S) AJD]]+TABL123[[#This Row],[(STORGE DIFF.) AJD]]+(TABL123[[#This Row],[AJD_Evaporation]])/1000)</f>
        <v>29.126999999999953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8">
        <f>TABL123[[#This Row],[(A/B) AJD]]-TABL123[[#This Row],[BER_IN]]</f>
        <v>517</v>
      </c>
      <c r="AK189" s="68">
        <v>22</v>
      </c>
      <c r="AL189" s="87">
        <v>40.976100000000002</v>
      </c>
      <c r="AM189" s="87">
        <v>2028840</v>
      </c>
      <c r="AN189" s="87">
        <f>TABL123[[#This Row],[ (RESV. STORGE) SER]]/10</f>
        <v>202884</v>
      </c>
      <c r="AO189" s="43">
        <v>2048</v>
      </c>
      <c r="AP189" s="32">
        <f>TABL123[[#This Row],[(A/S) AJD]]-TABL123[[#This Row],[SER_IN]]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 (T/B) SAR]]+TABL123[[#This Row],[ (S/S) SAR]]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 (S/S) SAR]]-TABL123[[#This Row],[(S/S) AJD]]</f>
        <v>84</v>
      </c>
      <c r="Q190" s="40">
        <v>468</v>
      </c>
      <c r="R190" s="12">
        <f>TABL123[[#This Row],[ (T/B) SAR]]-TABL123[[#This Row],[(T/B) AJD]]</f>
        <v>69</v>
      </c>
      <c r="S190" s="12">
        <f>TABL123[[#This Row],[T/B-CON.]]+TABL123[[#This Row],[S/S_CON.]]</f>
        <v>153</v>
      </c>
      <c r="T190" s="12">
        <f>TABL123[[#This Row],[(S/S) AJD]]+TABL123[[#This Row],[(T/B) AJD]]</f>
        <v>904</v>
      </c>
      <c r="U190" s="44">
        <v>559</v>
      </c>
      <c r="V190" s="44">
        <v>280</v>
      </c>
      <c r="W190" s="12">
        <f>TABL123[[#This Row],[(A/B) AJD]]+TABL123[[#This Row],[(A/S)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3">
        <f>TABL123[[#This Row],[( S/S+T/B) AJD]]-(TABL123[[#This Row],[(A/B + A/S) AJD]]+TABL123[[#This Row],[(STORGE DIFF.) AJD]]+(TABL123[[#This Row],[AJD_Evaporation]])/1000)</f>
        <v>29.934999999999945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8">
        <f>TABL123[[#This Row],[(A/B) AJD]]-TABL123[[#This Row],[BER_IN]]</f>
        <v>509</v>
      </c>
      <c r="AK190" s="68">
        <v>23</v>
      </c>
      <c r="AL190" s="87">
        <v>40.973399999999998</v>
      </c>
      <c r="AM190" s="87">
        <v>2027130</v>
      </c>
      <c r="AN190" s="87">
        <f>TABL123[[#This Row],[ (RESV. STORGE) SER]]/10</f>
        <v>202713</v>
      </c>
      <c r="AO190" s="45">
        <v>2050</v>
      </c>
      <c r="AP190" s="32">
        <f>TABL123[[#This Row],[(A/S) AJD]]-TABL123[[#This Row],[SER_IN]]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 (T/B) SAR]]+TABL123[[#This Row],[ (S/S) SAR]]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 (S/S) SAR]]-TABL123[[#This Row],[(S/S) AJD]]</f>
        <v>85</v>
      </c>
      <c r="Q191" s="39">
        <v>473</v>
      </c>
      <c r="R191" s="12">
        <f>TABL123[[#This Row],[ (T/B) SAR]]-TABL123[[#This Row],[(T/B) AJD]]</f>
        <v>67</v>
      </c>
      <c r="S191" s="12">
        <f>TABL123[[#This Row],[T/B-CON.]]+TABL123[[#This Row],[S/S_CON.]]</f>
        <v>152</v>
      </c>
      <c r="T191" s="12">
        <f>TABL123[[#This Row],[(S/S) AJD]]+TABL123[[#This Row],[(T/B) AJD]]</f>
        <v>913</v>
      </c>
      <c r="U191" s="41">
        <v>559</v>
      </c>
      <c r="V191" s="41">
        <v>267</v>
      </c>
      <c r="W191" s="12">
        <f>TABL123[[#This Row],[(A/B) AJD]]+TABL123[[#This Row],[(A/S)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3">
        <f>TABL123[[#This Row],[( S/S+T/B) AJD]]-(TABL123[[#This Row],[(A/B + A/S) AJD]]+TABL123[[#This Row],[(STORGE DIFF.) AJD]]+(TABL123[[#This Row],[AJD_Evaporation]])/1000)</f>
        <v>38.269999999999982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8">
        <f>TABL123[[#This Row],[(A/B) AJD]]-TABL123[[#This Row],[BER_IN]]</f>
        <v>503</v>
      </c>
      <c r="AK191" s="68">
        <v>32</v>
      </c>
      <c r="AL191" s="87">
        <v>40.979100000000003</v>
      </c>
      <c r="AM191" s="87">
        <v>2028840</v>
      </c>
      <c r="AN191" s="87">
        <f>TABL123[[#This Row],[ (RESV. STORGE) SER]]/10</f>
        <v>202884</v>
      </c>
      <c r="AO191" s="43">
        <v>2057</v>
      </c>
      <c r="AP191" s="32">
        <f>TABL123[[#This Row],[(A/S) AJD]]-TABL123[[#This Row],[SER_IN]]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 (T/B) SAR]]+TABL123[[#This Row],[ (S/S) SAR]]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 (S/S) SAR]]-TABL123[[#This Row],[(S/S) AJD]]</f>
        <v>58</v>
      </c>
      <c r="Q192" s="40">
        <v>477</v>
      </c>
      <c r="R192" s="12">
        <f>TABL123[[#This Row],[ (T/B) SAR]]-TABL123[[#This Row],[(T/B) AJD]]</f>
        <v>83</v>
      </c>
      <c r="S192" s="12">
        <f>TABL123[[#This Row],[T/B-CON.]]+TABL123[[#This Row],[S/S_CON.]]</f>
        <v>141</v>
      </c>
      <c r="T192" s="12">
        <f>TABL123[[#This Row],[(S/S) AJD]]+TABL123[[#This Row],[(T/B) AJD]]</f>
        <v>954</v>
      </c>
      <c r="U192" s="44">
        <v>559</v>
      </c>
      <c r="V192" s="44">
        <v>273</v>
      </c>
      <c r="W192" s="12">
        <f>TABL123[[#This Row],[(A/B) AJD]]+TABL123[[#This Row],[(A/S)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3">
        <f>TABL123[[#This Row],[( S/S+T/B) AJD]]-(TABL123[[#This Row],[(A/B + A/S) AJD]]+TABL123[[#This Row],[(STORGE DIFF.) AJD]]+(TABL123[[#This Row],[AJD_Evaporation]])/1000)</f>
        <v>64.69399999999996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8">
        <f>TABL123[[#This Row],[(A/B) AJD]]-TABL123[[#This Row],[BER_IN]]</f>
        <v>482</v>
      </c>
      <c r="AK192" s="68">
        <v>41</v>
      </c>
      <c r="AL192" s="87">
        <v>40.978700000000003</v>
      </c>
      <c r="AM192" s="87">
        <v>2030220</v>
      </c>
      <c r="AN192" s="87">
        <f>TABL123[[#This Row],[ (RESV. STORGE) SER]]/10</f>
        <v>203022</v>
      </c>
      <c r="AO192" s="45">
        <v>2075</v>
      </c>
      <c r="AP192" s="32">
        <f>TABL123[[#This Row],[(A/S) AJD]]-TABL123[[#This Row],[SER_IN]]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 (T/B) SAR]]+TABL123[[#This Row],[ (S/S) SAR]]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 (S/S) SAR]]-TABL123[[#This Row],[(S/S) AJD]]</f>
        <v>79</v>
      </c>
      <c r="Q193" s="39">
        <v>486</v>
      </c>
      <c r="R193" s="12">
        <f>TABL123[[#This Row],[ (T/B) SAR]]-TABL123[[#This Row],[(T/B) AJD]]</f>
        <v>72</v>
      </c>
      <c r="S193" s="12">
        <f>TABL123[[#This Row],[T/B-CON.]]+TABL123[[#This Row],[S/S_CON.]]</f>
        <v>151</v>
      </c>
      <c r="T193" s="12">
        <f>TABL123[[#This Row],[(S/S) AJD]]+TABL123[[#This Row],[(T/B) AJD]]</f>
        <v>939</v>
      </c>
      <c r="U193" s="41">
        <v>567</v>
      </c>
      <c r="V193" s="41">
        <v>257</v>
      </c>
      <c r="W193" s="12">
        <f>TABL123[[#This Row],[(A/B) AJD]]+TABL123[[#This Row],[(A/S)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3">
        <f>TABL123[[#This Row],[( S/S+T/B) AJD]]-(TABL123[[#This Row],[(A/B + A/S) AJD]]+TABL123[[#This Row],[(STORGE DIFF.) AJD]]+(TABL123[[#This Row],[AJD_Evaporation]])/1000)</f>
        <v>40.446000000000026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8">
        <f>TABL123[[#This Row],[(A/B) AJD]]-TABL123[[#This Row],[BER_IN]]</f>
        <v>490</v>
      </c>
      <c r="AK193" s="68">
        <v>42</v>
      </c>
      <c r="AL193" s="87">
        <v>40.9848</v>
      </c>
      <c r="AM193" s="87">
        <v>2033560</v>
      </c>
      <c r="AN193" s="87">
        <f>TABL123[[#This Row],[ (RESV. STORGE) SER]]/10</f>
        <v>203356</v>
      </c>
      <c r="AO193" s="43">
        <v>2095</v>
      </c>
      <c r="AP193" s="32">
        <f>TABL123[[#This Row],[(A/S) AJD]]-TABL123[[#This Row],[SER_IN]]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 (T/B) SAR]]+TABL123[[#This Row],[ (S/S) SAR]]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 (S/S) SAR]]-TABL123[[#This Row],[(S/S) AJD]]</f>
        <v>81</v>
      </c>
      <c r="Q194" s="40">
        <v>486</v>
      </c>
      <c r="R194" s="12">
        <f>TABL123[[#This Row],[ (T/B) SAR]]-TABL123[[#This Row],[(T/B) AJD]]</f>
        <v>72</v>
      </c>
      <c r="S194" s="12">
        <f>TABL123[[#This Row],[T/B-CON.]]+TABL123[[#This Row],[S/S_CON.]]</f>
        <v>153</v>
      </c>
      <c r="T194" s="12">
        <f>TABL123[[#This Row],[(S/S) AJD]]+TABL123[[#This Row],[(T/B) AJD]]</f>
        <v>940</v>
      </c>
      <c r="U194" s="44">
        <v>584</v>
      </c>
      <c r="V194" s="44">
        <v>327</v>
      </c>
      <c r="W194" s="12">
        <f>TABL123[[#This Row],[(A/B) AJD]]+TABL123[[#This Row],[(A/S)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3">
        <f>TABL123[[#This Row],[( S/S+T/B) AJD]]-(TABL123[[#This Row],[(A/B + A/S) AJD]]+TABL123[[#This Row],[(STORGE DIFF.) AJD]]+(TABL123[[#This Row],[AJD_Evaporation]])/1000)</f>
        <v>40.585999999999899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8">
        <f>TABL123[[#This Row],[(A/B) AJD]]-TABL123[[#This Row],[BER_IN]]</f>
        <v>502</v>
      </c>
      <c r="AK194" s="68">
        <v>60</v>
      </c>
      <c r="AL194" s="87">
        <v>41.0366</v>
      </c>
      <c r="AM194" s="87">
        <v>2060900</v>
      </c>
      <c r="AN194" s="87">
        <f>TABL123[[#This Row],[ (RESV. STORGE) SER]]/10</f>
        <v>206090</v>
      </c>
      <c r="AO194" s="45">
        <v>2115</v>
      </c>
      <c r="AP194" s="32">
        <f>TABL123[[#This Row],[(A/S) AJD]]-TABL123[[#This Row],[SER_IN]]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 (T/B) SAR]]+TABL123[[#This Row],[ (S/S) SAR]]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 (S/S) SAR]]-TABL123[[#This Row],[(S/S) AJD]]</f>
        <v>78</v>
      </c>
      <c r="Q195" s="39">
        <v>485</v>
      </c>
      <c r="R195" s="12">
        <f>TABL123[[#This Row],[ (T/B) SAR]]-TABL123[[#This Row],[(T/B) AJD]]</f>
        <v>70</v>
      </c>
      <c r="S195" s="12">
        <f>TABL123[[#This Row],[T/B-CON.]]+TABL123[[#This Row],[S/S_CON.]]</f>
        <v>148</v>
      </c>
      <c r="T195" s="12">
        <f>TABL123[[#This Row],[(S/S) AJD]]+TABL123[[#This Row],[(T/B) AJD]]</f>
        <v>937</v>
      </c>
      <c r="U195" s="41">
        <v>587</v>
      </c>
      <c r="V195" s="41">
        <v>352</v>
      </c>
      <c r="W195" s="12">
        <f>TABL123[[#This Row],[(A/B) AJD]]+TABL123[[#This Row],[(A/S)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83">
        <f>TABL123[[#This Row],[( S/S+T/B) AJD]]-(TABL123[[#This Row],[(A/B + A/S) AJD]]+TABL123[[#This Row],[(STORGE DIFF.) AJD]]+(TABL123[[#This Row],[AJD_Evaporation]])/1000)</f>
        <v>40.956999999999994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8">
        <f>TABL123[[#This Row],[(A/B) AJD]]-TABL123[[#This Row],[BER_IN]]</f>
        <v>501</v>
      </c>
      <c r="AK195" s="68">
        <v>68</v>
      </c>
      <c r="AL195" s="87">
        <v>41.119100000000003</v>
      </c>
      <c r="AM195" s="87">
        <v>2104220</v>
      </c>
      <c r="AN195" s="87">
        <f>TABL123[[#This Row],[ (RESV. STORGE) SER]]/10</f>
        <v>210422</v>
      </c>
      <c r="AO195" s="43">
        <v>2125</v>
      </c>
      <c r="AP195" s="32">
        <f>TABL123[[#This Row],[(A/S) AJD]]-TABL123[[#This Row],[SER_IN]]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 (T/B) SAR]]+TABL123[[#This Row],[ (S/S) SAR]]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 (S/S) SAR]]-TABL123[[#This Row],[(S/S) AJD]]</f>
        <v>84</v>
      </c>
      <c r="Q196" s="40">
        <v>483</v>
      </c>
      <c r="R196" s="12">
        <f>TABL123[[#This Row],[ (T/B) SAR]]-TABL123[[#This Row],[(T/B) AJD]]</f>
        <v>67</v>
      </c>
      <c r="S196" s="12">
        <f>TABL123[[#This Row],[T/B-CON.]]+TABL123[[#This Row],[S/S_CON.]]</f>
        <v>151</v>
      </c>
      <c r="T196" s="12">
        <f>TABL123[[#This Row],[(S/S) AJD]]+TABL123[[#This Row],[(T/B) AJD]]</f>
        <v>931</v>
      </c>
      <c r="U196" s="44">
        <v>586</v>
      </c>
      <c r="V196" s="44">
        <v>360</v>
      </c>
      <c r="W196" s="12">
        <f>TABL123[[#This Row],[(A/B) AJD]]+TABL123[[#This Row],[(A/S)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IF(TRIM(Z196)="",,(Z196-Z195)/1000)</f>
        <v>-50.843000000000004</v>
      </c>
      <c r="AC196" s="45">
        <v>2499</v>
      </c>
      <c r="AD196" s="83">
        <f>TABL123[[#This Row],[( S/S+T/B) AJD]]-(TABL123[[#This Row],[(A/B + A/S) AJD]]+TABL123[[#This Row],[(STORGE DIFF.) AJD]]+(TABL123[[#This Row],[AJD_Evaporation]])/1000)</f>
        <v>33.343999999999937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8">
        <f>TABL123[[#This Row],[(A/B) AJD]]-TABL123[[#This Row],[BER_IN]]</f>
        <v>500</v>
      </c>
      <c r="AK196" s="68">
        <v>70</v>
      </c>
      <c r="AL196" s="87">
        <v>41.213700000000003</v>
      </c>
      <c r="AM196" s="87">
        <v>2154110</v>
      </c>
      <c r="AN196" s="87">
        <f>TABL123[[#This Row],[ (RESV. STORGE) SER]]/10</f>
        <v>215411</v>
      </c>
      <c r="AO196" s="45">
        <v>2130</v>
      </c>
      <c r="AP196" s="32">
        <f>TABL123[[#This Row],[(A/S) AJD]]-TABL123[[#This Row],[SER_IN]]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 (T/B) SAR]]+TABL123[[#This Row],[ (S/S) SAR]]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 (S/S) SAR]]-TABL123[[#This Row],[(S/S) AJD]]</f>
        <v>29</v>
      </c>
      <c r="Q197" s="39">
        <v>440</v>
      </c>
      <c r="R197" s="12">
        <f>TABL123[[#This Row],[ (T/B) SAR]]-TABL123[[#This Row],[(T/B) AJD]]</f>
        <v>4</v>
      </c>
      <c r="S197" s="12">
        <f>TABL123[[#This Row],[T/B-CON.]]+TABL123[[#This Row],[S/S_CON.]]</f>
        <v>33</v>
      </c>
      <c r="T197" s="12">
        <f>TABL123[[#This Row],[(S/S) AJD]]+TABL123[[#This Row],[(T/B) AJD]]</f>
        <v>839</v>
      </c>
      <c r="U197" s="41">
        <v>577</v>
      </c>
      <c r="V197" s="41">
        <v>329</v>
      </c>
      <c r="W197" s="12">
        <f>TABL123[[#This Row],[(A/B) AJD]]+TABL123[[#This Row],[(A/S)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3">
        <f>TABL123[[#This Row],[( S/S+T/B) AJD]]-(TABL123[[#This Row],[(A/B + A/S) AJD]]+TABL123[[#This Row],[(STORGE DIFF.) AJD]]+(TABL123[[#This Row],[AJD_Evaporation]])/1000)</f>
        <v>40.628000000000043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8">
        <f>TABL123[[#This Row],[(A/B) AJD]]-TABL123[[#This Row],[BER_IN]]</f>
        <v>491</v>
      </c>
      <c r="AK197" s="68">
        <v>71</v>
      </c>
      <c r="AL197" s="87">
        <v>41.320300000000003</v>
      </c>
      <c r="AM197" s="87">
        <v>2210540</v>
      </c>
      <c r="AN197" s="87">
        <f>TABL123[[#This Row],[ (RESV. STORGE) SER]]/10</f>
        <v>221054</v>
      </c>
      <c r="AO197" s="43">
        <v>2140</v>
      </c>
      <c r="AP197" s="32">
        <f>TABL123[[#This Row],[(A/S) AJD]]-TABL123[[#This Row],[SER_IN]]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 (T/B) SAR]]+TABL123[[#This Row],[ (S/S) SAR]]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 (S/S) SAR]]-TABL123[[#This Row],[(S/S) AJD]]</f>
        <v>205</v>
      </c>
      <c r="Q198" s="40">
        <v>351</v>
      </c>
      <c r="R198" s="12">
        <f>TABL123[[#This Row],[ (T/B) SAR]]-TABL123[[#This Row],[(T/B) AJD]]</f>
        <v>189</v>
      </c>
      <c r="S198" s="12">
        <f>TABL123[[#This Row],[T/B-CON.]]+TABL123[[#This Row],[S/S_CON.]]</f>
        <v>394</v>
      </c>
      <c r="T198" s="12">
        <f>TABL123[[#This Row],[(S/S) AJD]]+TABL123[[#This Row],[(T/B) AJD]]</f>
        <v>672</v>
      </c>
      <c r="U198" s="44">
        <v>584</v>
      </c>
      <c r="V198" s="44">
        <v>312</v>
      </c>
      <c r="W198" s="12">
        <f>TABL123[[#This Row],[(A/B) AJD]]+TABL123[[#This Row],[(A/S)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3">
        <f>TABL123[[#This Row],[( S/S+T/B) AJD]]-(TABL123[[#This Row],[(A/B + A/S) AJD]]+TABL123[[#This Row],[(STORGE DIFF.) AJD]]+(TABL123[[#This Row],[AJD_Evaporation]])/1000)</f>
        <v>30.081000000000017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8">
        <f>TABL123[[#This Row],[(A/B) AJD]]-TABL123[[#This Row],[BER_IN]]</f>
        <v>494</v>
      </c>
      <c r="AK198" s="68">
        <v>70</v>
      </c>
      <c r="AL198" s="87">
        <v>41.420499999999997</v>
      </c>
      <c r="AM198" s="87">
        <v>2263420</v>
      </c>
      <c r="AN198" s="87">
        <f>TABL123[[#This Row],[ (RESV. STORGE) SER]]/10</f>
        <v>226342</v>
      </c>
      <c r="AO198" s="45">
        <v>1820</v>
      </c>
      <c r="AP198" s="32">
        <f>TABL123[[#This Row],[(A/S) AJD]]-TABL123[[#This Row],[SER_IN]]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 (T/B) SAR]]+TABL123[[#This Row],[ (S/S) SAR]]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 (S/S) SAR]]-TABL123[[#This Row],[(S/S) AJD]]</f>
        <v>93</v>
      </c>
      <c r="Q199" s="39">
        <v>460</v>
      </c>
      <c r="R199" s="12">
        <f>TABL123[[#This Row],[ (T/B) SAR]]-TABL123[[#This Row],[(T/B) AJD]]</f>
        <v>77</v>
      </c>
      <c r="S199" s="12">
        <f>TABL123[[#This Row],[T/B-CON.]]+TABL123[[#This Row],[S/S_CON.]]</f>
        <v>170</v>
      </c>
      <c r="T199" s="12">
        <f>TABL123[[#This Row],[(S/S) AJD]]+TABL123[[#This Row],[(T/B) AJD]]</f>
        <v>892</v>
      </c>
      <c r="U199" s="41">
        <v>550</v>
      </c>
      <c r="V199" s="41">
        <v>277</v>
      </c>
      <c r="W199" s="12">
        <f>TABL123[[#This Row],[(A/B) AJD]]+TABL123[[#This Row],[(A/S)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3">
        <f>TABL123[[#This Row],[( S/S+T/B) AJD]]-(TABL123[[#This Row],[(A/B + A/S) AJD]]+TABL123[[#This Row],[(STORGE DIFF.) AJD]]+(TABL123[[#This Row],[AJD_Evaporation]])/1000)</f>
        <v>19.287000000000035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8">
        <f>TABL123[[#This Row],[(A/B) AJD]]-TABL123[[#This Row],[BER_IN]]</f>
        <v>489</v>
      </c>
      <c r="AK199" s="68">
        <v>51</v>
      </c>
      <c r="AL199" s="87">
        <v>41.489100000000001</v>
      </c>
      <c r="AM199" s="87">
        <v>2299400</v>
      </c>
      <c r="AN199" s="87">
        <f>TABL123[[#This Row],[ (RESV. STORGE) SER]]/10</f>
        <v>229940</v>
      </c>
      <c r="AO199" s="43">
        <v>1920</v>
      </c>
      <c r="AP199" s="32">
        <f>TABL123[[#This Row],[(A/S) AJD]]-TABL123[[#This Row],[SER_IN]]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 (T/B) SAR]]+TABL123[[#This Row],[ (S/S) SAR]]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 (S/S) SAR]]-TABL123[[#This Row],[(S/S) AJD]]</f>
        <v>41</v>
      </c>
      <c r="Q200" s="40">
        <v>472</v>
      </c>
      <c r="R200" s="12">
        <f>TABL123[[#This Row],[ (T/B) SAR]]-TABL123[[#This Row],[(T/B) AJD]]</f>
        <v>-2</v>
      </c>
      <c r="S200" s="12">
        <f>TABL123[[#This Row],[T/B-CON.]]+TABL123[[#This Row],[S/S_CON.]]</f>
        <v>39</v>
      </c>
      <c r="T200" s="12">
        <f>TABL123[[#This Row],[(S/S) AJD]]+TABL123[[#This Row],[(T/B) AJD]]</f>
        <v>911</v>
      </c>
      <c r="U200" s="44">
        <v>487</v>
      </c>
      <c r="V200" s="44">
        <v>275</v>
      </c>
      <c r="W200" s="12">
        <f>TABL123[[#This Row],[(A/B) AJD]]+TABL123[[#This Row],[(A/S)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3">
        <f>TABL123[[#This Row],[( S/S+T/B) AJD]]-(TABL123[[#This Row],[(A/B + A/S) AJD]]+TABL123[[#This Row],[(STORGE DIFF.) AJD]]+(TABL123[[#This Row],[AJD_Evaporation]])/1000)</f>
        <v>20.987999999999943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8">
        <f>TABL123[[#This Row],[(A/B) AJD]]-TABL123[[#This Row],[BER_IN]]</f>
        <v>436</v>
      </c>
      <c r="AK200" s="68">
        <v>42</v>
      </c>
      <c r="AL200" s="87">
        <v>41.5</v>
      </c>
      <c r="AM200" s="87">
        <v>2304060</v>
      </c>
      <c r="AN200" s="87">
        <f>TABL123[[#This Row],[ (RESV. STORGE) SER]]/10</f>
        <v>230406</v>
      </c>
      <c r="AO200" s="45">
        <v>1940</v>
      </c>
      <c r="AP200" s="32">
        <f>TABL123[[#This Row],[(A/S) AJD]]-TABL123[[#This Row],[SER_IN]]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 (T/B) SAR]]+TABL123[[#This Row],[ (S/S) SAR]]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 (S/S) SAR]]-TABL123[[#This Row],[(S/S) AJD]]</f>
        <v>105</v>
      </c>
      <c r="Q201" s="39">
        <v>385</v>
      </c>
      <c r="R201" s="12">
        <f>TABL123[[#This Row],[ (T/B) SAR]]-TABL123[[#This Row],[(T/B) AJD]]</f>
        <v>80</v>
      </c>
      <c r="S201" s="12">
        <f>TABL123[[#This Row],[T/B-CON.]]+TABL123[[#This Row],[S/S_CON.]]</f>
        <v>185</v>
      </c>
      <c r="T201" s="12">
        <f>TABL123[[#This Row],[(S/S) AJD]]+TABL123[[#This Row],[(T/B) AJD]]</f>
        <v>740</v>
      </c>
      <c r="U201" s="41">
        <v>453</v>
      </c>
      <c r="V201" s="41">
        <v>258</v>
      </c>
      <c r="W201" s="12">
        <f>TABL123[[#This Row],[(A/B) AJD]]+TABL123[[#This Row],[(A/S)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3">
        <f>TABL123[[#This Row],[( S/S+T/B) AJD]]-(TABL123[[#This Row],[(A/B + A/S) AJD]]+TABL123[[#This Row],[(STORGE DIFF.) AJD]]+(TABL123[[#This Row],[AJD_Evaporation]])/1000)</f>
        <v>37.630999999999972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8">
        <f>TABL123[[#This Row],[(A/B) AJD]]-TABL123[[#This Row],[BER_IN]]</f>
        <v>403</v>
      </c>
      <c r="AK201" s="68">
        <v>21</v>
      </c>
      <c r="AL201" s="87">
        <v>41.534999999999997</v>
      </c>
      <c r="AM201" s="87">
        <v>2322990</v>
      </c>
      <c r="AN201" s="87">
        <f>TABL123[[#This Row],[ (RESV. STORGE) SER]]/10</f>
        <v>232299</v>
      </c>
      <c r="AO201" s="43">
        <v>2070</v>
      </c>
      <c r="AP201" s="32">
        <f>TABL123[[#This Row],[(A/S) AJD]]-TABL123[[#This Row],[SER_IN]]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 (T/B) SAR]]+TABL123[[#This Row],[ (S/S) SAR]]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 (S/S) SAR]]-TABL123[[#This Row],[(S/S) AJD]]</f>
        <v>116</v>
      </c>
      <c r="Q202" s="40">
        <v>345</v>
      </c>
      <c r="R202" s="12">
        <f>TABL123[[#This Row],[ (T/B) SAR]]-TABL123[[#This Row],[(T/B) AJD]]</f>
        <v>114</v>
      </c>
      <c r="S202" s="12">
        <f>TABL123[[#This Row],[T/B-CON.]]+TABL123[[#This Row],[S/S_CON.]]</f>
        <v>230</v>
      </c>
      <c r="T202" s="12">
        <f>TABL123[[#This Row],[(S/S) AJD]]+TABL123[[#This Row],[(T/B) AJD]]</f>
        <v>674</v>
      </c>
      <c r="U202" s="44">
        <v>479</v>
      </c>
      <c r="V202" s="44">
        <v>238</v>
      </c>
      <c r="W202" s="12">
        <f>TABL123[[#This Row],[(A/B) AJD]]+TABL123[[#This Row],[(A/S)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3">
        <f>TABL123[[#This Row],[( S/S+T/B) AJD]]-(TABL123[[#This Row],[(A/B + A/S) AJD]]+TABL123[[#This Row],[(STORGE DIFF.) AJD]]+(TABL123[[#This Row],[AJD_Evaporation]])/1000)</f>
        <v>19.774000000000001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8">
        <f>TABL123[[#This Row],[(A/B) AJD]]-TABL123[[#This Row],[BER_IN]]</f>
        <v>429</v>
      </c>
      <c r="AK202" s="68">
        <v>0</v>
      </c>
      <c r="AL202" s="87">
        <v>41.502800000000001</v>
      </c>
      <c r="AM202" s="87">
        <v>2306820</v>
      </c>
      <c r="AN202" s="87">
        <f>TABL123[[#This Row],[ (RESV. STORGE) SER]]/10</f>
        <v>230682</v>
      </c>
      <c r="AO202" s="45">
        <v>1870</v>
      </c>
      <c r="AP202" s="32">
        <f>TABL123[[#This Row],[(A/S) AJD]]-TABL123[[#This Row],[SER_IN]]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 (T/B) SAR]]+TABL123[[#This Row],[ (S/S) SAR]]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 (S/S) SAR]]-TABL123[[#This Row],[(S/S) AJD]]</f>
        <v>77</v>
      </c>
      <c r="Q203" s="39">
        <v>384</v>
      </c>
      <c r="R203" s="12">
        <f>TABL123[[#This Row],[ (T/B) SAR]]-TABL123[[#This Row],[(T/B) AJD]]</f>
        <v>67</v>
      </c>
      <c r="S203" s="12">
        <f>TABL123[[#This Row],[T/B-CON.]]+TABL123[[#This Row],[S/S_CON.]]</f>
        <v>144</v>
      </c>
      <c r="T203" s="12">
        <f>TABL123[[#This Row],[(S/S) AJD]]+TABL123[[#This Row],[(T/B) AJD]]</f>
        <v>745</v>
      </c>
      <c r="U203" s="41">
        <v>528</v>
      </c>
      <c r="V203" s="41">
        <v>262</v>
      </c>
      <c r="W203" s="12">
        <f>TABL123[[#This Row],[(A/B) AJD]]+TABL123[[#This Row],[(A/S)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3">
        <f>TABL123[[#This Row],[( S/S+T/B) AJD]]-(TABL123[[#This Row],[(A/B + A/S) AJD]]+TABL123[[#This Row],[(STORGE DIFF.) AJD]]+(TABL123[[#This Row],[AJD_Evaporation]])/1000)</f>
        <v>17.088999999999942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8">
        <f>TABL123[[#This Row],[(A/B) AJD]]-TABL123[[#This Row],[BER_IN]]</f>
        <v>475</v>
      </c>
      <c r="AK203" s="68">
        <v>0</v>
      </c>
      <c r="AL203" s="87">
        <v>41.482100000000003</v>
      </c>
      <c r="AM203" s="87">
        <v>2295170</v>
      </c>
      <c r="AN203" s="87">
        <f>TABL123[[#This Row],[ (RESV. STORGE) SER]]/10</f>
        <v>229517</v>
      </c>
      <c r="AO203" s="43">
        <v>1820</v>
      </c>
      <c r="AP203" s="32">
        <f>TABL123[[#This Row],[(A/S) AJD]]-TABL123[[#This Row],[SER_IN]]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 (T/B) SAR]]+TABL123[[#This Row],[ (S/S) SAR]]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 (S/S) SAR]]-TABL123[[#This Row],[(S/S) AJD]]</f>
        <v>120</v>
      </c>
      <c r="Q204" s="40">
        <v>395</v>
      </c>
      <c r="R204" s="12">
        <f>TABL123[[#This Row],[ (T/B) SAR]]-TABL123[[#This Row],[(T/B) AJD]]</f>
        <v>104</v>
      </c>
      <c r="S204" s="12">
        <f>TABL123[[#This Row],[T/B-CON.]]+TABL123[[#This Row],[S/S_CON.]]</f>
        <v>224</v>
      </c>
      <c r="T204" s="12">
        <f>TABL123[[#This Row],[(S/S) AJD]]+TABL123[[#This Row],[(T/B) AJD]]</f>
        <v>762</v>
      </c>
      <c r="U204" s="44">
        <v>552</v>
      </c>
      <c r="V204" s="44">
        <v>259</v>
      </c>
      <c r="W204" s="12">
        <f>TABL123[[#This Row],[(A/B) AJD]]+TABL123[[#This Row],[(A/S)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3">
        <f>TABL123[[#This Row],[( S/S+T/B) AJD]]-(TABL123[[#This Row],[(A/B + A/S) AJD]]+TABL123[[#This Row],[(STORGE DIFF.) AJD]]+(TABL123[[#This Row],[AJD_Evaporation]])/1000)</f>
        <v>18.302999999999997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8">
        <f>TABL123[[#This Row],[(A/B) AJD]]-TABL123[[#This Row],[BER_IN]]</f>
        <v>502</v>
      </c>
      <c r="AK204" s="68">
        <v>0</v>
      </c>
      <c r="AL204" s="87">
        <v>41.4664</v>
      </c>
      <c r="AM204" s="87">
        <v>2287280</v>
      </c>
      <c r="AN204" s="87">
        <f>TABL123[[#This Row],[ (RESV. STORGE) SER]]/10</f>
        <v>228728</v>
      </c>
      <c r="AO204" s="45">
        <v>1890</v>
      </c>
      <c r="AP204" s="32">
        <f>TABL123[[#This Row],[(A/S) AJD]]-TABL123[[#This Row],[SER_IN]]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 (T/B) SAR]]+TABL123[[#This Row],[ (S/S) SAR]]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 (S/S) SAR]]-TABL123[[#This Row],[(S/S) AJD]]</f>
        <v>78</v>
      </c>
      <c r="Q205" s="39">
        <v>437</v>
      </c>
      <c r="R205" s="12">
        <f>TABL123[[#This Row],[ (T/B) SAR]]-TABL123[[#This Row],[(T/B) AJD]]</f>
        <v>62</v>
      </c>
      <c r="S205" s="12">
        <f>TABL123[[#This Row],[T/B-CON.]]+TABL123[[#This Row],[S/S_CON.]]</f>
        <v>140</v>
      </c>
      <c r="T205" s="12">
        <f>TABL123[[#This Row],[(S/S) AJD]]+TABL123[[#This Row],[(T/B) AJD]]</f>
        <v>846</v>
      </c>
      <c r="U205" s="41">
        <v>560</v>
      </c>
      <c r="V205" s="41">
        <v>252</v>
      </c>
      <c r="W205" s="12">
        <f>TABL123[[#This Row],[(A/B) AJD]]+TABL123[[#This Row],[(A/S)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3">
        <f>TABL123[[#This Row],[( S/S+T/B) AJD]]-(TABL123[[#This Row],[(A/B + A/S) AJD]]+TABL123[[#This Row],[(STORGE DIFF.) AJD]]+(TABL123[[#This Row],[AJD_Evaporation]])/1000)</f>
        <v>14.201999999999998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8">
        <f>TABL123[[#This Row],[(A/B) AJD]]-TABL123[[#This Row],[BER_IN]]</f>
        <v>509</v>
      </c>
      <c r="AK205" s="68">
        <v>0</v>
      </c>
      <c r="AL205" s="87">
        <v>41.449399999999997</v>
      </c>
      <c r="AM205" s="87">
        <v>2278040</v>
      </c>
      <c r="AN205" s="87">
        <f>TABL123[[#This Row],[ (RESV. STORGE) SER]]/10</f>
        <v>227804</v>
      </c>
      <c r="AO205" s="43">
        <v>1940</v>
      </c>
      <c r="AP205" s="32">
        <f>TABL123[[#This Row],[(A/S) AJD]]-TABL123[[#This Row],[SER_IN]]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 (T/B) SAR]]+TABL123[[#This Row],[ (S/S) SAR]]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 (S/S) SAR]]-TABL123[[#This Row],[(S/S) AJD]]</f>
        <v>-54</v>
      </c>
      <c r="Q206" s="45">
        <v>473</v>
      </c>
      <c r="R206" s="12">
        <f>TABL123[[#This Row],[ (T/B) SAR]]-TABL123[[#This Row],[(T/B) AJD]]</f>
        <v>-65</v>
      </c>
      <c r="S206" s="12">
        <f>TABL123[[#This Row],[T/B-CON.]]+TABL123[[#This Row],[S/S_CON.]]</f>
        <v>-119</v>
      </c>
      <c r="T206" s="12">
        <f>TABL123[[#This Row],[(S/S) AJD]]+TABL123[[#This Row],[(T/B) AJD]]</f>
        <v>922</v>
      </c>
      <c r="U206" s="44">
        <v>497</v>
      </c>
      <c r="V206" s="44">
        <v>224</v>
      </c>
      <c r="W206" s="12">
        <f>TABL123[[#This Row],[(A/B) AJD]]+TABL123[[#This Row],[(A/S)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3">
        <f>TABL123[[#This Row],[( S/S+T/B) AJD]]-(TABL123[[#This Row],[(A/B + A/S) AJD]]+TABL123[[#This Row],[(STORGE DIFF.) AJD]]+(TABL123[[#This Row],[AJD_Evaporation]])/1000)</f>
        <v>27.026000000000067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8">
        <f>TABL123[[#This Row],[(A/B) AJD]]-TABL123[[#This Row],[BER_IN]]</f>
        <v>447</v>
      </c>
      <c r="AK206" s="68">
        <v>0</v>
      </c>
      <c r="AL206" s="87">
        <v>41.427700000000002</v>
      </c>
      <c r="AM206" s="87">
        <v>2267130</v>
      </c>
      <c r="AN206" s="87">
        <f>TABL123[[#This Row],[ (RESV. STORGE) SER]]/10</f>
        <v>226713</v>
      </c>
      <c r="AO206" s="45">
        <v>2010</v>
      </c>
      <c r="AP206" s="32">
        <f>TABL123[[#This Row],[(A/S) AJD]]-TABL123[[#This Row],[SER_IN]]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 (T/B) SAR]]+TABL123[[#This Row],[ (S/S) SAR]]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 (S/S) SAR]]-TABL123[[#This Row],[(S/S) AJD]]</f>
        <v>-156</v>
      </c>
      <c r="Q207" s="43">
        <v>432</v>
      </c>
      <c r="R207" s="12">
        <f>TABL123[[#This Row],[ (T/B) SAR]]-TABL123[[#This Row],[(T/B) AJD]]</f>
        <v>-165</v>
      </c>
      <c r="S207" s="12">
        <f>TABL123[[#This Row],[T/B-CON.]]+TABL123[[#This Row],[S/S_CON.]]</f>
        <v>-321</v>
      </c>
      <c r="T207" s="12">
        <f>TABL123[[#This Row],[(S/S) AJD]]+TABL123[[#This Row],[(T/B) AJD]]</f>
        <v>834</v>
      </c>
      <c r="U207" s="41">
        <v>448</v>
      </c>
      <c r="V207" s="41">
        <v>190</v>
      </c>
      <c r="W207" s="12">
        <f>TABL123[[#This Row],[(A/B) AJD]]+TABL123[[#This Row],[(A/S)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3">
        <f>TABL123[[#This Row],[( S/S+T/B) AJD]]-(TABL123[[#This Row],[(A/B + A/S) AJD]]+TABL123[[#This Row],[(STORGE DIFF.) AJD]]+(TABL123[[#This Row],[AJD_Evaporation]])/1000)</f>
        <v>18.855999999999995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8">
        <f>TABL123[[#This Row],[(A/B) AJD]]-TABL123[[#This Row],[BER_IN]]</f>
        <v>399</v>
      </c>
      <c r="AK207" s="68">
        <v>0</v>
      </c>
      <c r="AL207" s="87">
        <v>41.4176</v>
      </c>
      <c r="AM207" s="87">
        <v>2261480</v>
      </c>
      <c r="AN207" s="87">
        <f>TABL123[[#This Row],[ (RESV. STORGE) SER]]/10</f>
        <v>226148</v>
      </c>
      <c r="AO207" s="43">
        <v>1950</v>
      </c>
      <c r="AP207" s="32">
        <f>TABL123[[#This Row],[(A/S) AJD]]-TABL123[[#This Row],[SER_IN]]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 (T/B) SAR]]+TABL123[[#This Row],[ (S/S) SAR]]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 (S/S) SAR]]-TABL123[[#This Row],[(S/S) AJD]]</f>
        <v>120</v>
      </c>
      <c r="Q208" s="45">
        <v>311</v>
      </c>
      <c r="R208" s="12">
        <f>TABL123[[#This Row],[ (T/B) SAR]]-TABL123[[#This Row],[(T/B) AJD]]</f>
        <v>106</v>
      </c>
      <c r="S208" s="12">
        <f>TABL123[[#This Row],[T/B-CON.]]+TABL123[[#This Row],[S/S_CON.]]</f>
        <v>226</v>
      </c>
      <c r="T208" s="12">
        <f>TABL123[[#This Row],[(S/S) AJD]]+TABL123[[#This Row],[(T/B) AJD]]</f>
        <v>598</v>
      </c>
      <c r="U208" s="44">
        <v>463</v>
      </c>
      <c r="V208" s="44">
        <v>174</v>
      </c>
      <c r="W208" s="12">
        <f>TABL123[[#This Row],[(A/B) AJD]]+TABL123[[#This Row],[(A/S)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3">
        <f>TABL123[[#This Row],[( S/S+T/B) AJD]]-(TABL123[[#This Row],[(A/B + A/S) AJD]]+TABL123[[#This Row],[(STORGE DIFF.) AJD]]+(TABL123[[#This Row],[AJD_Evaporation]])/1000)</f>
        <v>57.115000000000009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8">
        <f>TABL123[[#This Row],[(A/B) AJD]]-TABL123[[#This Row],[BER_IN]]</f>
        <v>413</v>
      </c>
      <c r="AK208" s="68">
        <v>0</v>
      </c>
      <c r="AL208" s="87">
        <v>41.412799999999997</v>
      </c>
      <c r="AM208" s="87">
        <v>2259190</v>
      </c>
      <c r="AN208" s="87">
        <f>TABL123[[#This Row],[ (RESV. STORGE) SER]]/10</f>
        <v>225919</v>
      </c>
      <c r="AO208" s="45">
        <v>2290</v>
      </c>
      <c r="AP208" s="32">
        <f>TABL123[[#This Row],[(A/S) AJD]]-TABL123[[#This Row],[SER_IN]]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 (T/B) SAR]]+TABL123[[#This Row],[ (S/S) SAR]]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 (S/S) SAR]]-TABL123[[#This Row],[(S/S) AJD]]</f>
        <v>90</v>
      </c>
      <c r="Q209" s="39">
        <v>372</v>
      </c>
      <c r="R209" s="12">
        <f>TABL123[[#This Row],[ (T/B) SAR]]-TABL123[[#This Row],[(T/B) AJD]]</f>
        <v>60</v>
      </c>
      <c r="S209" s="12">
        <f>TABL123[[#This Row],[T/B-CON.]]+TABL123[[#This Row],[S/S_CON.]]</f>
        <v>150</v>
      </c>
      <c r="T209" s="12">
        <f>TABL123[[#This Row],[(S/S) AJD]]+TABL123[[#This Row],[(T/B) AJD]]</f>
        <v>701</v>
      </c>
      <c r="U209" s="41">
        <v>498</v>
      </c>
      <c r="V209" s="41">
        <v>173</v>
      </c>
      <c r="W209" s="12">
        <f>TABL123[[#This Row],[(A/B) AJD]]+TABL123[[#This Row],[(A/S)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3">
        <f>TABL123[[#This Row],[( S/S+T/B) AJD]]-(TABL123[[#This Row],[(A/B + A/S) AJD]]+TABL123[[#This Row],[(STORGE DIFF.) AJD]]+(TABL123[[#This Row],[AJD_Evaporation]])/1000)</f>
        <v>48.675000000000068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8">
        <f>TABL123[[#This Row],[(A/B) AJD]]-TABL123[[#This Row],[BER_IN]]</f>
        <v>448</v>
      </c>
      <c r="AK209" s="68">
        <v>0</v>
      </c>
      <c r="AL209" s="87">
        <v>41.380200000000002</v>
      </c>
      <c r="AM209" s="87">
        <v>2241950</v>
      </c>
      <c r="AN209" s="87">
        <f>TABL123[[#This Row],[ (RESV. STORGE) SER]]/10</f>
        <v>224195</v>
      </c>
      <c r="AO209" s="43">
        <v>1940</v>
      </c>
      <c r="AP209" s="32">
        <f>TABL123[[#This Row],[(A/S) AJD]]-TABL123[[#This Row],[SER_IN]]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 (T/B) SAR]]+TABL123[[#This Row],[ (S/S) SAR]]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 (S/S) SAR]]-TABL123[[#This Row],[(S/S) AJD]]</f>
        <v>148</v>
      </c>
      <c r="Q210" s="40">
        <v>384</v>
      </c>
      <c r="R210" s="12">
        <f>TABL123[[#This Row],[ (T/B) SAR]]-TABL123[[#This Row],[(T/B) AJD]]</f>
        <v>134</v>
      </c>
      <c r="S210" s="12">
        <f>TABL123[[#This Row],[T/B-CON.]]+TABL123[[#This Row],[S/S_CON.]]</f>
        <v>282</v>
      </c>
      <c r="T210" s="12">
        <f>TABL123[[#This Row],[(S/S) AJD]]+TABL123[[#This Row],[(T/B) AJD]]</f>
        <v>742</v>
      </c>
      <c r="U210" s="44">
        <v>529</v>
      </c>
      <c r="V210" s="44">
        <v>172</v>
      </c>
      <c r="W210" s="12">
        <f>TABL123[[#This Row],[(A/B) AJD]]+TABL123[[#This Row],[(A/S)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3">
        <f>TABL123[[#This Row],[( S/S+T/B) AJD]]-(TABL123[[#This Row],[(A/B + A/S) AJD]]+TABL123[[#This Row],[(STORGE DIFF.) AJD]]+(TABL123[[#This Row],[AJD_Evaporation]])/1000)</f>
        <v>29.04200000000003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8">
        <f>TABL123[[#This Row],[(A/B) AJD]]-TABL123[[#This Row],[BER_IN]]</f>
        <v>479</v>
      </c>
      <c r="AK210" s="68">
        <v>0</v>
      </c>
      <c r="AL210" s="87">
        <v>41.343600000000002</v>
      </c>
      <c r="AM210" s="87">
        <v>2222630</v>
      </c>
      <c r="AN210" s="87">
        <f>TABL123[[#This Row],[ (RESV. STORGE) SER]]/10</f>
        <v>222263</v>
      </c>
      <c r="AO210" s="45">
        <v>1920</v>
      </c>
      <c r="AP210" s="32">
        <f>TABL123[[#This Row],[(A/S) AJD]]-TABL123[[#This Row],[SER_IN]]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 (T/B) SAR]]+TABL123[[#This Row],[ (S/S) SAR]]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 (S/S) SAR]]-TABL123[[#This Row],[(S/S) AJD]]</f>
        <v>111</v>
      </c>
      <c r="Q211" s="39">
        <v>450</v>
      </c>
      <c r="R211" s="12">
        <f>TABL123[[#This Row],[ (T/B) SAR]]-TABL123[[#This Row],[(T/B) AJD]]</f>
        <v>104</v>
      </c>
      <c r="S211" s="12">
        <f>TABL123[[#This Row],[T/B-CON.]]+TABL123[[#This Row],[S/S_CON.]]</f>
        <v>215</v>
      </c>
      <c r="T211" s="12">
        <f>TABL123[[#This Row],[(S/S) AJD]]+TABL123[[#This Row],[(T/B) AJD]]</f>
        <v>873</v>
      </c>
      <c r="U211" s="41">
        <v>554</v>
      </c>
      <c r="V211" s="41">
        <v>191</v>
      </c>
      <c r="W211" s="12">
        <f>TABL123[[#This Row],[(A/B) AJD]]+TABL123[[#This Row],[(A/S)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3">
        <f>TABL123[[#This Row],[( S/S+T/B) AJD]]-(TABL123[[#This Row],[(A/B + A/S) AJD]]+TABL123[[#This Row],[(STORGE DIFF.) AJD]]+(TABL123[[#This Row],[AJD_Evaporation]])/1000)</f>
        <v>10.500999999999976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8">
        <f>TABL123[[#This Row],[(A/B) AJD]]-TABL123[[#This Row],[BER_IN]]</f>
        <v>505</v>
      </c>
      <c r="AK211" s="68">
        <v>15</v>
      </c>
      <c r="AL211" s="87">
        <v>41.328699999999998</v>
      </c>
      <c r="AM211" s="87">
        <v>2214800</v>
      </c>
      <c r="AN211" s="87">
        <f>TABL123[[#This Row],[ (RESV. STORGE) SER]]/10</f>
        <v>221480</v>
      </c>
      <c r="AO211" s="43">
        <v>1930</v>
      </c>
      <c r="AP211" s="32">
        <f>TABL123[[#This Row],[(A/S) AJD]]-TABL123[[#This Row],[SER_IN]]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 (T/B) SAR]]+TABL123[[#This Row],[ (S/S) SAR]]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 (S/S) SAR]]-TABL123[[#This Row],[(S/S) AJD]]</f>
        <v>58</v>
      </c>
      <c r="Q212" s="40">
        <v>449</v>
      </c>
      <c r="R212" s="12">
        <f>TABL123[[#This Row],[ (T/B) SAR]]-TABL123[[#This Row],[(T/B) AJD]]</f>
        <v>33</v>
      </c>
      <c r="S212" s="12">
        <f>TABL123[[#This Row],[T/B-CON.]]+TABL123[[#This Row],[S/S_CON.]]</f>
        <v>91</v>
      </c>
      <c r="T212" s="12">
        <f>TABL123[[#This Row],[(S/S) AJD]]+TABL123[[#This Row],[(T/B) AJD]]</f>
        <v>862</v>
      </c>
      <c r="U212" s="44">
        <v>518</v>
      </c>
      <c r="V212" s="44">
        <v>223</v>
      </c>
      <c r="W212" s="12">
        <f>TABL123[[#This Row],[(A/B) AJD]]+TABL123[[#This Row],[(A/S)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3">
        <f>TABL123[[#This Row],[( S/S+T/B) AJD]]-(TABL123[[#This Row],[(A/B + A/S) AJD]]+TABL123[[#This Row],[(STORGE DIFF.) AJD]]+(TABL123[[#This Row],[AJD_Evaporation]])/1000)</f>
        <v>33.489000000000033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8">
        <f>TABL123[[#This Row],[(A/B) AJD]]-TABL123[[#This Row],[BER_IN]]</f>
        <v>452</v>
      </c>
      <c r="AK212" s="68">
        <v>20</v>
      </c>
      <c r="AL212" s="87">
        <v>41.328600000000002</v>
      </c>
      <c r="AM212" s="87">
        <v>2213500</v>
      </c>
      <c r="AN212" s="87">
        <f>TABL123[[#This Row],[ (RESV. STORGE) SER]]/10</f>
        <v>221350</v>
      </c>
      <c r="AO212" s="45">
        <v>1900</v>
      </c>
      <c r="AP212" s="32">
        <f>TABL123[[#This Row],[(A/S) AJD]]-TABL123[[#This Row],[SER_IN]]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 (T/B) SAR]]+TABL123[[#This Row],[ (S/S) SAR]]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 (S/S) SAR]]-TABL123[[#This Row],[(S/S) AJD]]</f>
        <v>57</v>
      </c>
      <c r="Q213" s="39">
        <v>389</v>
      </c>
      <c r="R213" s="12">
        <f>TABL123[[#This Row],[ (T/B) SAR]]-TABL123[[#This Row],[(T/B) AJD]]</f>
        <v>101</v>
      </c>
      <c r="S213" s="12">
        <f>TABL123[[#This Row],[T/B-CON.]]+TABL123[[#This Row],[S/S_CON.]]</f>
        <v>158</v>
      </c>
      <c r="T213" s="12">
        <f>TABL123[[#This Row],[(S/S) AJD]]+TABL123[[#This Row],[(T/B) AJD]]</f>
        <v>809</v>
      </c>
      <c r="U213" s="41">
        <v>562</v>
      </c>
      <c r="V213" s="41">
        <v>192</v>
      </c>
      <c r="W213" s="12">
        <f>TABL123[[#This Row],[(A/B) AJD]]+TABL123[[#This Row],[(A/S)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3">
        <f>TABL123[[#This Row],[( S/S+T/B) AJD]]-(TABL123[[#This Row],[(A/B + A/S) AJD]]+TABL123[[#This Row],[(STORGE DIFF.) AJD]]+(TABL123[[#This Row],[AJD_Evaporation]])/1000)</f>
        <v>112.52099999999996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8">
        <f>TABL123[[#This Row],[(A/B) AJD]]-TABL123[[#This Row],[BER_IN]]</f>
        <v>494</v>
      </c>
      <c r="AK213" s="68">
        <v>22</v>
      </c>
      <c r="AL213" s="87">
        <v>41.319699999999997</v>
      </c>
      <c r="AM213" s="87">
        <v>2210030</v>
      </c>
      <c r="AN213" s="87">
        <f>TABL123[[#This Row],[ (RESV. STORGE) SER]]/10</f>
        <v>221003</v>
      </c>
      <c r="AO213" s="43">
        <v>1970</v>
      </c>
      <c r="AP213" s="32">
        <f>TABL123[[#This Row],[(A/S) AJD]]-TABL123[[#This Row],[SER_IN]]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 (T/B) SAR]]+TABL123[[#This Row],[ (S/S) SAR]]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 (S/S) SAR]]-TABL123[[#This Row],[(S/S) AJD]]</f>
        <v>-75</v>
      </c>
      <c r="Q214" s="39">
        <v>429</v>
      </c>
      <c r="R214" s="3">
        <f>TABL123[[#This Row],[ (T/B) SAR]]-TABL123[[#This Row],[(T/B) AJD]]</f>
        <v>-82</v>
      </c>
      <c r="S214" s="3">
        <f>TABL123[[#This Row],[T/B-CON.]]+TABL123[[#This Row],[S/S_CON.]]</f>
        <v>-157</v>
      </c>
      <c r="T214" s="3">
        <f>TABL123[[#This Row],[(S/S) AJD]]+TABL123[[#This Row],[(T/B) AJD]]</f>
        <v>830</v>
      </c>
      <c r="U214" s="41">
        <v>494</v>
      </c>
      <c r="V214" s="41">
        <v>224</v>
      </c>
      <c r="W214" s="3">
        <f>TABL123[[#This Row],[(A/B) AJD]]+TABL123[[#This Row],[(A/S)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3">
        <f>TABL123[[#This Row],[( S/S+T/B) AJD]]-(TABL123[[#This Row],[(A/B + A/S) AJD]]+TABL123[[#This Row],[(STORGE DIFF.) AJD]]+(TABL123[[#This Row],[AJD_Evaporation]])/1000)</f>
        <v>24.100999999999999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8">
        <f>TABL123[[#This Row],[(A/B) AJD]]-TABL123[[#This Row],[BER_IN]]</f>
        <v>427</v>
      </c>
      <c r="AK214" s="68">
        <v>23</v>
      </c>
      <c r="AL214" s="87">
        <v>41.328699999999998</v>
      </c>
      <c r="AM214" s="87">
        <v>2214800</v>
      </c>
      <c r="AN214" s="87">
        <f>TABL123[[#This Row],[ (RESV. STORGE) SER]]/10</f>
        <v>221480</v>
      </c>
      <c r="AO214" s="43">
        <v>1960</v>
      </c>
      <c r="AP214" s="32">
        <f>TABL123[[#This Row],[(A/S) AJD]]-TABL123[[#This Row],[SER_IN]]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 (T/B) SAR]]+TABL123[[#This Row],[ (S/S) SAR]]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 (S/S) SAR]]-TABL123[[#This Row],[(S/S) AJD]]</f>
        <v>68</v>
      </c>
      <c r="Q215" s="40">
        <v>397</v>
      </c>
      <c r="R215" s="3">
        <f>TABL123[[#This Row],[ (T/B) SAR]]-TABL123[[#This Row],[(T/B) AJD]]</f>
        <v>48</v>
      </c>
      <c r="S215" s="3">
        <f>TABL123[[#This Row],[T/B-CON.]]+TABL123[[#This Row],[S/S_CON.]]</f>
        <v>116</v>
      </c>
      <c r="T215" s="3">
        <f>TABL123[[#This Row],[(S/S) AJD]]+TABL123[[#This Row],[(T/B) AJD]]</f>
        <v>758</v>
      </c>
      <c r="U215" s="44">
        <v>526</v>
      </c>
      <c r="V215" s="44">
        <v>189</v>
      </c>
      <c r="W215" s="3">
        <f>TABL123[[#This Row],[(A/B) AJD]]+TABL123[[#This Row],[(A/S)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3">
        <f>TABL123[[#This Row],[( S/S+T/B) AJD]]-(TABL123[[#This Row],[(A/B + A/S) AJD]]+TABL123[[#This Row],[(STORGE DIFF.) AJD]]+(TABL123[[#This Row],[AJD_Evaporation]])/1000)</f>
        <v>39.990999999999985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8">
        <f>TABL123[[#This Row],[(A/B) AJD]]-TABL123[[#This Row],[BER_IN]]</f>
        <v>476</v>
      </c>
      <c r="AK215" s="68">
        <v>21</v>
      </c>
      <c r="AL215" s="87">
        <v>41.271799999999999</v>
      </c>
      <c r="AM215" s="87">
        <v>2184700</v>
      </c>
      <c r="AN215" s="87">
        <f>TABL123[[#This Row],[ (RESV. STORGE) SER]]/10</f>
        <v>218470</v>
      </c>
      <c r="AO215" s="45">
        <v>1975</v>
      </c>
      <c r="AP215" s="32">
        <f>TABL123[[#This Row],[(A/S) AJD]]-TABL123[[#This Row],[SER_IN]]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 (T/B) SAR]]+TABL123[[#This Row],[ (S/S) SAR]]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 (S/S) SAR]]-TABL123[[#This Row],[(S/S) AJD]]</f>
        <v>99</v>
      </c>
      <c r="Q216" s="39">
        <v>390</v>
      </c>
      <c r="R216" s="3">
        <f>TABL123[[#This Row],[ (T/B) SAR]]-TABL123[[#This Row],[(T/B) AJD]]</f>
        <v>82</v>
      </c>
      <c r="S216" s="3">
        <f>TABL123[[#This Row],[T/B-CON.]]+TABL123[[#This Row],[S/S_CON.]]</f>
        <v>181</v>
      </c>
      <c r="T216" s="3">
        <f>TABL123[[#This Row],[(S/S) AJD]]+TABL123[[#This Row],[(T/B) AJD]]</f>
        <v>751</v>
      </c>
      <c r="U216" s="41">
        <v>557</v>
      </c>
      <c r="V216" s="41">
        <v>210</v>
      </c>
      <c r="W216" s="3">
        <f>TABL123[[#This Row],[(A/B) AJD]]+TABL123[[#This Row],[(A/S)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3">
        <f>TABL123[[#This Row],[( S/S+T/B) AJD]]-(TABL123[[#This Row],[(A/B + A/S) AJD]]+TABL123[[#This Row],[(STORGE DIFF.) AJD]]+(TABL123[[#This Row],[AJD_Evaporation]])/1000)</f>
        <v>33.270000000000095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8">
        <f>TABL123[[#This Row],[(A/B) AJD]]-TABL123[[#This Row],[BER_IN]]</f>
        <v>494</v>
      </c>
      <c r="AK216" s="68">
        <v>41</v>
      </c>
      <c r="AL216" s="87">
        <v>41.247999999999998</v>
      </c>
      <c r="AM216" s="87">
        <v>2171750</v>
      </c>
      <c r="AN216" s="87">
        <f>TABL123[[#This Row],[ (RESV. STORGE) SER]]/10</f>
        <v>217175</v>
      </c>
      <c r="AO216" s="43">
        <v>1980</v>
      </c>
      <c r="AP216" s="32">
        <f>TABL123[[#This Row],[(A/S) AJD]]-TABL123[[#This Row],[SER_IN]]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 (T/B) SAR]]+TABL123[[#This Row],[ (S/S) SAR]]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 (S/S) SAR]]-TABL123[[#This Row],[(S/S) AJD]]</f>
        <v>113</v>
      </c>
      <c r="Q217" s="40">
        <v>414</v>
      </c>
      <c r="R217" s="3">
        <f>TABL123[[#This Row],[ (T/B) SAR]]-TABL123[[#This Row],[(T/B) AJD]]</f>
        <v>101</v>
      </c>
      <c r="S217" s="3">
        <f>TABL123[[#This Row],[T/B-CON.]]+TABL123[[#This Row],[S/S_CON.]]</f>
        <v>214</v>
      </c>
      <c r="T217" s="3">
        <f>TABL123[[#This Row],[(S/S) AJD]]+TABL123[[#This Row],[(T/B) AJD]]</f>
        <v>800</v>
      </c>
      <c r="U217" s="44">
        <v>572</v>
      </c>
      <c r="V217" s="44">
        <v>221</v>
      </c>
      <c r="W217" s="3">
        <f>TABL123[[#This Row],[(A/B) AJD]]+TABL123[[#This Row],[(A/S)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3">
        <f>TABL123[[#This Row],[( S/S+T/B) AJD]]-(TABL123[[#This Row],[(A/B + A/S) AJD]]+TABL123[[#This Row],[(STORGE DIFF.) AJD]]+(TABL123[[#This Row],[AJD_Evaporation]])/1000)</f>
        <v>30.382999999999925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8">
        <f>TABL123[[#This Row],[(A/B) AJD]]-TABL123[[#This Row],[BER_IN]]</f>
        <v>502</v>
      </c>
      <c r="AK217" s="68">
        <v>45</v>
      </c>
      <c r="AL217" s="87">
        <v>41.244999999999997</v>
      </c>
      <c r="AM217" s="87">
        <v>2170460</v>
      </c>
      <c r="AN217" s="87">
        <f>TABL123[[#This Row],[ (RESV. STORGE) SER]]/10</f>
        <v>217046</v>
      </c>
      <c r="AO217" s="45">
        <v>1985</v>
      </c>
      <c r="AP217" s="32">
        <f>TABL123[[#This Row],[(A/S) AJD]]-TABL123[[#This Row],[SER_IN]]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 (T/B) SAR]]+TABL123[[#This Row],[ (S/S) SAR]]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 (S/S) SAR]]-TABL123[[#This Row],[(S/S) AJD]]</f>
        <v>55</v>
      </c>
      <c r="Q218" s="39">
        <v>426</v>
      </c>
      <c r="R218" s="3">
        <f>TABL123[[#This Row],[ (T/B) SAR]]-TABL123[[#This Row],[(T/B) AJD]]</f>
        <v>99</v>
      </c>
      <c r="S218" s="3">
        <f>TABL123[[#This Row],[T/B-CON.]]+TABL123[[#This Row],[S/S_CON.]]</f>
        <v>154</v>
      </c>
      <c r="T218" s="3">
        <f>TABL123[[#This Row],[(S/S) AJD]]+TABL123[[#This Row],[(T/B) AJD]]</f>
        <v>881</v>
      </c>
      <c r="U218" s="41">
        <v>570</v>
      </c>
      <c r="V218" s="41">
        <v>231</v>
      </c>
      <c r="W218" s="3">
        <f>TABL123[[#This Row],[(A/B) AJD]]+TABL123[[#This Row],[(A/S)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3">
        <f>TABL123[[#This Row],[( S/S+T/B) AJD]]-(TABL123[[#This Row],[(A/B + A/S) AJD]]+TABL123[[#This Row],[(STORGE DIFF.) AJD]]+(TABL123[[#This Row],[AJD_Evaporation]])/1000)</f>
        <v>36.509000000000015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8">
        <f>TABL123[[#This Row],[(A/B) AJD]]-TABL123[[#This Row],[BER_IN]]</f>
        <v>487</v>
      </c>
      <c r="AK218" s="68">
        <v>50</v>
      </c>
      <c r="AL218" s="87">
        <v>41.2986</v>
      </c>
      <c r="AM218" s="87">
        <v>2198960</v>
      </c>
      <c r="AN218" s="87">
        <f>TABL123[[#This Row],[ (RESV. STORGE) SER]]/10</f>
        <v>219896</v>
      </c>
      <c r="AO218" s="43">
        <v>1995</v>
      </c>
      <c r="AP218" s="32">
        <f>TABL123[[#This Row],[(A/S) AJD]]-TABL123[[#This Row],[SER_IN]]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 (T/B) SAR]]+TABL123[[#This Row],[ (S/S) SAR]]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 (S/S) SAR]]-TABL123[[#This Row],[(S/S) AJD]]</f>
        <v>78</v>
      </c>
      <c r="Q219" s="40">
        <v>467</v>
      </c>
      <c r="R219" s="3">
        <f>TABL123[[#This Row],[ (T/B) SAR]]-TABL123[[#This Row],[(T/B) AJD]]</f>
        <v>63</v>
      </c>
      <c r="S219" s="3">
        <f>TABL123[[#This Row],[T/B-CON.]]+TABL123[[#This Row],[S/S_CON.]]</f>
        <v>141</v>
      </c>
      <c r="T219" s="3">
        <f>TABL123[[#This Row],[(S/S) AJD]]+TABL123[[#This Row],[(T/B) AJD]]</f>
        <v>904</v>
      </c>
      <c r="U219" s="44">
        <v>558</v>
      </c>
      <c r="V219" s="44">
        <v>249</v>
      </c>
      <c r="W219" s="3">
        <f>TABL123[[#This Row],[(A/B) AJD]]+TABL123[[#This Row],[(A/S)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3">
        <f>TABL123[[#This Row],[( S/S+T/B) AJD]]-(TABL123[[#This Row],[(A/B + A/S) AJD]]+TABL123[[#This Row],[(STORGE DIFF.) AJD]]+(TABL123[[#This Row],[AJD_Evaporation]])/1000)</f>
        <v>30.294999999999959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8">
        <f>TABL123[[#This Row],[(A/B) AJD]]-TABL123[[#This Row],[BER_IN]]</f>
        <v>471</v>
      </c>
      <c r="AK219" s="68">
        <v>58</v>
      </c>
      <c r="AL219" s="87">
        <v>41.331000000000003</v>
      </c>
      <c r="AM219" s="87">
        <v>2215980</v>
      </c>
      <c r="AN219" s="87">
        <f>TABL123[[#This Row],[ (RESV. STORGE) SER]]/10</f>
        <v>221598</v>
      </c>
      <c r="AO219" s="45">
        <v>2035</v>
      </c>
      <c r="AP219" s="32">
        <f>TABL123[[#This Row],[(A/S) AJD]]-TABL123[[#This Row],[SER_IN]]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 (T/B) SAR]]+TABL123[[#This Row],[ (S/S) SAR]]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 (S/S) SAR]]-TABL123[[#This Row],[(S/S) AJD]]</f>
        <v>82</v>
      </c>
      <c r="Q220" s="39">
        <v>471</v>
      </c>
      <c r="R220" s="3">
        <f>TABL123[[#This Row],[ (T/B) SAR]]-TABL123[[#This Row],[(T/B) AJD]]</f>
        <v>64</v>
      </c>
      <c r="S220" s="3">
        <f>TABL123[[#This Row],[T/B-CON.]]+TABL123[[#This Row],[S/S_CON.]]</f>
        <v>146</v>
      </c>
      <c r="T220" s="3">
        <f>TABL123[[#This Row],[(S/S) AJD]]+TABL123[[#This Row],[(T/B) AJD]]</f>
        <v>909</v>
      </c>
      <c r="U220" s="41">
        <v>551</v>
      </c>
      <c r="V220" s="41">
        <v>295</v>
      </c>
      <c r="W220" s="3">
        <f>TABL123[[#This Row],[(A/B) AJD]]+TABL123[[#This Row],[(A/S)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3">
        <f>TABL123[[#This Row],[( S/S+T/B) AJD]]-(TABL123[[#This Row],[(A/B + A/S) AJD]]+TABL123[[#This Row],[(STORGE DIFF.) AJD]]+(TABL123[[#This Row],[AJD_Evaporation]])/1000)</f>
        <v>31.303999999999974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8">
        <f>TABL123[[#This Row],[(A/B) AJD]]-TABL123[[#This Row],[BER_IN]]</f>
        <v>455</v>
      </c>
      <c r="AK220" s="68">
        <v>80</v>
      </c>
      <c r="AL220" s="87">
        <v>41.331000000000003</v>
      </c>
      <c r="AM220" s="87">
        <v>2280368</v>
      </c>
      <c r="AN220" s="87">
        <f>TABL123[[#This Row],[ (RESV. STORGE) SER]]/10</f>
        <v>228036.8</v>
      </c>
      <c r="AO220" s="43">
        <v>1910</v>
      </c>
      <c r="AP220" s="32">
        <f>TABL123[[#This Row],[(A/S) AJD]]-TABL123[[#This Row],[SER_IN]]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 (T/B) SAR]]+TABL123[[#This Row],[ (S/S) SAR]]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 (S/S) SAR]]-TABL123[[#This Row],[(S/S) AJD]]</f>
        <v>75</v>
      </c>
      <c r="Q221" s="40">
        <v>478</v>
      </c>
      <c r="R221" s="3">
        <f>TABL123[[#This Row],[ (T/B) SAR]]-TABL123[[#This Row],[(T/B) AJD]]</f>
        <v>59</v>
      </c>
      <c r="S221" s="3">
        <f>TABL123[[#This Row],[T/B-CON.]]+TABL123[[#This Row],[S/S_CON.]]</f>
        <v>134</v>
      </c>
      <c r="T221" s="3">
        <f>TABL123[[#This Row],[(S/S) AJD]]+TABL123[[#This Row],[(T/B) AJD]]</f>
        <v>925</v>
      </c>
      <c r="U221" s="44">
        <v>546</v>
      </c>
      <c r="V221" s="44">
        <v>304</v>
      </c>
      <c r="W221" s="3">
        <f>TABL123[[#This Row],[(A/B) AJD]]+TABL123[[#This Row],[(A/S)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3">
        <f>TABL123[[#This Row],[( S/S+T/B) AJD]]-(TABL123[[#This Row],[(A/B + A/S) AJD]]+TABL123[[#This Row],[(STORGE DIFF.) AJD]]+(TABL123[[#This Row],[AJD_Evaporation]])/1000)</f>
        <v>45.170999999999935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8">
        <f>TABL123[[#This Row],[(A/B) AJD]]-TABL123[[#This Row],[BER_IN]]</f>
        <v>430</v>
      </c>
      <c r="AK221" s="68">
        <v>87</v>
      </c>
      <c r="AL221" s="87">
        <v>41.453600000000002</v>
      </c>
      <c r="AM221" s="87">
        <v>2343099</v>
      </c>
      <c r="AN221" s="87">
        <f>TABL123[[#This Row],[ (RESV. STORGE) SER]]/10</f>
        <v>234309.9</v>
      </c>
      <c r="AO221" s="45">
        <v>1985</v>
      </c>
      <c r="AP221" s="32">
        <f>TABL123[[#This Row],[(A/S) AJD]]-TABL123[[#This Row],[SER_IN]]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 (T/B) SAR]]+TABL123[[#This Row],[ (S/S) SAR]]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 (S/S) SAR]]-TABL123[[#This Row],[(S/S) AJD]]</f>
        <v>78</v>
      </c>
      <c r="Q222" s="39">
        <v>479</v>
      </c>
      <c r="R222" s="3">
        <f>TABL123[[#This Row],[ (T/B) SAR]]-TABL123[[#This Row],[(T/B) AJD]]</f>
        <v>58</v>
      </c>
      <c r="S222" s="3">
        <f>TABL123[[#This Row],[T/B-CON.]]+TABL123[[#This Row],[S/S_CON.]]</f>
        <v>136</v>
      </c>
      <c r="T222" s="3">
        <f>TABL123[[#This Row],[(S/S) AJD]]+TABL123[[#This Row],[(T/B) AJD]]</f>
        <v>924</v>
      </c>
      <c r="U222" s="41">
        <v>524</v>
      </c>
      <c r="V222" s="41">
        <v>302</v>
      </c>
      <c r="W222" s="3">
        <f>TABL123[[#This Row],[(A/B) AJD]]+TABL123[[#This Row],[(A/S)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3">
        <f>TABL123[[#This Row],[( S/S+T/B) AJD]]-(TABL123[[#This Row],[(A/B + A/S) AJD]]+TABL123[[#This Row],[(STORGE DIFF.) AJD]]+(TABL123[[#This Row],[AJD_Evaporation]])/1000)</f>
        <v>42.691000000000031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8">
        <f>TABL123[[#This Row],[(A/B) AJD]]-TABL123[[#This Row],[BER_IN]]</f>
        <v>395</v>
      </c>
      <c r="AK222" s="68">
        <v>93</v>
      </c>
      <c r="AL222" s="87">
        <v>41.688200000000002</v>
      </c>
      <c r="AM222" s="87">
        <v>2404913</v>
      </c>
      <c r="AN222" s="87">
        <f>TABL123[[#This Row],[ (RESV. STORGE) SER]]/10</f>
        <v>240491.3</v>
      </c>
      <c r="AO222" s="43">
        <v>2012</v>
      </c>
      <c r="AP222" s="32">
        <f>TABL123[[#This Row],[(A/S) AJD]]-TABL123[[#This Row],[SER_IN]]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 (T/B) SAR]]+TABL123[[#This Row],[ (S/S) SAR]]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 (S/S) SAR]]-TABL123[[#This Row],[(S/S) AJD]]</f>
        <v>80</v>
      </c>
      <c r="Q223" s="40">
        <v>478</v>
      </c>
      <c r="R223" s="3">
        <f>TABL123[[#This Row],[ (T/B) SAR]]-TABL123[[#This Row],[(T/B) AJD]]</f>
        <v>59</v>
      </c>
      <c r="S223" s="3">
        <f>TABL123[[#This Row],[T/B-CON.]]+TABL123[[#This Row],[S/S_CON.]]</f>
        <v>139</v>
      </c>
      <c r="T223" s="3">
        <f>TABL123[[#This Row],[(S/S) AJD]]+TABL123[[#This Row],[(T/B) AJD]]</f>
        <v>920</v>
      </c>
      <c r="U223" s="44">
        <v>528</v>
      </c>
      <c r="V223" s="44">
        <v>324</v>
      </c>
      <c r="W223" s="3">
        <f>TABL123[[#This Row],[(A/B) AJD]]+TABL123[[#This Row],[(A/S)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3">
        <f>TABL123[[#This Row],[( S/S+T/B) AJD]]-(TABL123[[#This Row],[(A/B + A/S) AJD]]+TABL123[[#This Row],[(STORGE DIFF.) AJD]]+(TABL123[[#This Row],[AJD_Evaporation]])/1000)</f>
        <v>42.326000000000022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8">
        <f>TABL123[[#This Row],[(A/B) AJD]]-TABL123[[#This Row],[BER_IN]]</f>
        <v>383</v>
      </c>
      <c r="AK223" s="68">
        <v>120</v>
      </c>
      <c r="AL223" s="87">
        <v>41.848799999999997</v>
      </c>
      <c r="AM223" s="87">
        <v>2490499</v>
      </c>
      <c r="AN223" s="87">
        <f>TABL123[[#This Row],[ (RESV. STORGE) SER]]/10</f>
        <v>249049.9</v>
      </c>
      <c r="AO223" s="45">
        <v>2025</v>
      </c>
      <c r="AP223" s="32">
        <f>TABL123[[#This Row],[(A/S) AJD]]-TABL123[[#This Row],[SER_IN]]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 (T/B) SAR]]+TABL123[[#This Row],[ (S/S) SAR]]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 (S/S) SAR]]-TABL123[[#This Row],[(S/S) AJD]]</f>
        <v>79</v>
      </c>
      <c r="Q224" s="39">
        <v>479</v>
      </c>
      <c r="R224" s="3">
        <f>TABL123[[#This Row],[ (T/B) SAR]]-TABL123[[#This Row],[(T/B) AJD]]</f>
        <v>58</v>
      </c>
      <c r="S224" s="3">
        <f>TABL123[[#This Row],[T/B-CON.]]+TABL123[[#This Row],[S/S_CON.]]</f>
        <v>137</v>
      </c>
      <c r="T224" s="3">
        <f>TABL123[[#This Row],[(S/S) AJD]]+TABL123[[#This Row],[(T/B) AJD]]</f>
        <v>922</v>
      </c>
      <c r="U224" s="41">
        <v>558</v>
      </c>
      <c r="V224" s="41">
        <v>348</v>
      </c>
      <c r="W224" s="3">
        <f>TABL123[[#This Row],[(A/B) AJD]]+TABL123[[#This Row],[(A/S)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3">
        <f>TABL123[[#This Row],[( S/S+T/B) AJD]]-(TABL123[[#This Row],[(A/B + A/S) AJD]]+TABL123[[#This Row],[(STORGE DIFF.) AJD]]+(TABL123[[#This Row],[AJD_Evaporation]])/1000)</f>
        <v>50.794999999999959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8">
        <f>TABL123[[#This Row],[(A/B) AJD]]-TABL123[[#This Row],[BER_IN]]</f>
        <v>409</v>
      </c>
      <c r="AK224" s="68">
        <v>141</v>
      </c>
      <c r="AL224" s="87">
        <v>42.0854</v>
      </c>
      <c r="AM224" s="87">
        <v>2616840</v>
      </c>
      <c r="AN224" s="87">
        <f>TABL123[[#This Row],[ (RESV. STORGE) SER]]/10</f>
        <v>261684</v>
      </c>
      <c r="AO224" s="43">
        <v>2030</v>
      </c>
      <c r="AP224" s="32">
        <f>TABL123[[#This Row],[(A/S) AJD]]-TABL123[[#This Row],[SER_IN]]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 (T/B) SAR]]+TABL123[[#This Row],[ (S/S) SAR]]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 (S/S) SAR]]-TABL123[[#This Row],[(S/S) AJD]]</f>
        <v>78</v>
      </c>
      <c r="Q225" s="40">
        <v>479</v>
      </c>
      <c r="R225" s="3">
        <f>TABL123[[#This Row],[ (T/B) SAR]]-TABL123[[#This Row],[(T/B) AJD]]</f>
        <v>58</v>
      </c>
      <c r="S225" s="3">
        <f>TABL123[[#This Row],[T/B-CON.]]+TABL123[[#This Row],[S/S_CON.]]</f>
        <v>136</v>
      </c>
      <c r="T225" s="3">
        <f>TABL123[[#This Row],[(S/S) AJD]]+TABL123[[#This Row],[(T/B) AJD]]</f>
        <v>923</v>
      </c>
      <c r="U225" s="44">
        <v>594</v>
      </c>
      <c r="V225" s="44">
        <v>352</v>
      </c>
      <c r="W225" s="3">
        <f>TABL123[[#This Row],[(A/B) AJD]]+TABL123[[#This Row],[(A/S)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3">
        <f>TABL123[[#This Row],[( S/S+T/B) AJD]]-(TABL123[[#This Row],[(A/B + A/S) AJD]]+TABL123[[#This Row],[(STORGE DIFF.) AJD]]+(TABL123[[#This Row],[AJD_Evaporation]])/1000)</f>
        <v>44.223999999999933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8">
        <f>TABL123[[#This Row],[(A/B) AJD]]-TABL123[[#This Row],[BER_IN]]</f>
        <v>446</v>
      </c>
      <c r="AK225" s="68">
        <v>153</v>
      </c>
      <c r="AL225" s="87">
        <v>42.323300000000003</v>
      </c>
      <c r="AM225" s="87">
        <v>2743630</v>
      </c>
      <c r="AN225" s="87">
        <f>TABL123[[#This Row],[ (RESV. STORGE) SER]]/10</f>
        <v>274363</v>
      </c>
      <c r="AO225" s="45">
        <v>2035</v>
      </c>
      <c r="AP225" s="32">
        <f>TABL123[[#This Row],[(A/S) AJD]]-TABL123[[#This Row],[SER_IN]]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 (T/B) SAR]]+TABL123[[#This Row],[ (S/S) SAR]]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 (S/S) SAR]]-TABL123[[#This Row],[(S/S) AJD]]</f>
        <v>75</v>
      </c>
      <c r="Q226" s="39">
        <v>481</v>
      </c>
      <c r="R226" s="3">
        <f>TABL123[[#This Row],[ (T/B) SAR]]-TABL123[[#This Row],[(T/B) AJD]]</f>
        <v>54</v>
      </c>
      <c r="S226" s="3">
        <f>TABL123[[#This Row],[T/B-CON.]]+TABL123[[#This Row],[S/S_CON.]]</f>
        <v>129</v>
      </c>
      <c r="T226" s="3">
        <f>TABL123[[#This Row],[(S/S) AJD]]+TABL123[[#This Row],[(T/B) AJD]]</f>
        <v>928</v>
      </c>
      <c r="U226" s="41">
        <v>612</v>
      </c>
      <c r="V226" s="41">
        <v>357</v>
      </c>
      <c r="W226" s="3">
        <f>TABL123[[#This Row],[(A/B) AJD]]+TABL123[[#This Row],[(A/S)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3">
        <f>TABL123[[#This Row],[( S/S+T/B) AJD]]-(TABL123[[#This Row],[(A/B + A/S) AJD]]+TABL123[[#This Row],[(STORGE DIFF.) AJD]]+(TABL123[[#This Row],[AJD_Evaporation]])/1000)</f>
        <v>38.075999999999908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8">
        <f>TABL123[[#This Row],[(A/B) AJD]]-TABL123[[#This Row],[BER_IN]]</f>
        <v>464</v>
      </c>
      <c r="AK226" s="68">
        <v>151</v>
      </c>
      <c r="AL226" s="87">
        <v>42.583199999999998</v>
      </c>
      <c r="AM226" s="87">
        <v>2883220</v>
      </c>
      <c r="AN226" s="87">
        <f>TABL123[[#This Row],[ (RESV. STORGE) SER]]/10</f>
        <v>288322</v>
      </c>
      <c r="AO226" s="43">
        <v>2045</v>
      </c>
      <c r="AP226" s="32">
        <f>TABL123[[#This Row],[(A/S) AJD]]-TABL123[[#This Row],[SER_IN]]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 (T/B) SAR]]+TABL123[[#This Row],[ (S/S) SAR]]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 (S/S) SAR]]-TABL123[[#This Row],[(S/S) AJD]]</f>
        <v>80</v>
      </c>
      <c r="Q227" s="40">
        <v>479</v>
      </c>
      <c r="R227" s="3">
        <f>TABL123[[#This Row],[ (T/B) SAR]]-TABL123[[#This Row],[(T/B) AJD]]</f>
        <v>58</v>
      </c>
      <c r="S227" s="3">
        <f>TABL123[[#This Row],[T/B-CON.]]+TABL123[[#This Row],[S/S_CON.]]</f>
        <v>138</v>
      </c>
      <c r="T227" s="3">
        <f>TABL123[[#This Row],[(S/S) AJD]]+TABL123[[#This Row],[(T/B) AJD]]</f>
        <v>921</v>
      </c>
      <c r="U227" s="44">
        <v>616</v>
      </c>
      <c r="V227" s="44">
        <v>359</v>
      </c>
      <c r="W227" s="3">
        <f>TABL123[[#This Row],[(A/B) AJD]]+TABL123[[#This Row],[(A/S)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3">
        <f>TABL123[[#This Row],[( S/S+T/B) AJD]]-(TABL123[[#This Row],[(A/B + A/S) AJD]]+TABL123[[#This Row],[(STORGE DIFF.) AJD]]+(TABL123[[#This Row],[AJD_Evaporation]])/1000)</f>
        <v>31.822999999999979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8">
        <f>TABL123[[#This Row],[(A/B) AJD]]-TABL123[[#This Row],[BER_IN]]</f>
        <v>465</v>
      </c>
      <c r="AK227" s="68">
        <v>153</v>
      </c>
      <c r="AL227" s="87">
        <v>42.850900000000003</v>
      </c>
      <c r="AM227" s="87">
        <v>3027660</v>
      </c>
      <c r="AN227" s="87">
        <f>TABL123[[#This Row],[ (RESV. STORGE) SER]]/10</f>
        <v>302766</v>
      </c>
      <c r="AO227" s="45">
        <v>2040</v>
      </c>
      <c r="AP227" s="32">
        <f>TABL123[[#This Row],[(A/S) AJD]]-TABL123[[#This Row],[SER_IN]]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 (T/B) SAR]]+TABL123[[#This Row],[ (S/S) SAR]]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 (S/S) SAR]]-TABL123[[#This Row],[(S/S) AJD]]</f>
        <v>83</v>
      </c>
      <c r="Q228" s="39">
        <v>477</v>
      </c>
      <c r="R228" s="3">
        <f>TABL123[[#This Row],[ (T/B) SAR]]-TABL123[[#This Row],[(T/B) AJD]]</f>
        <v>58</v>
      </c>
      <c r="S228" s="3">
        <f>TABL123[[#This Row],[T/B-CON.]]+TABL123[[#This Row],[S/S_CON.]]</f>
        <v>141</v>
      </c>
      <c r="T228" s="3">
        <f>TABL123[[#This Row],[(S/S) AJD]]+TABL123[[#This Row],[(T/B) AJD]]</f>
        <v>916</v>
      </c>
      <c r="U228" s="41">
        <v>616</v>
      </c>
      <c r="V228" s="41">
        <v>328</v>
      </c>
      <c r="W228" s="3">
        <f>TABL123[[#This Row],[(A/B) AJD]]+TABL123[[#This Row],[(A/S)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3">
        <f>TABL123[[#This Row],[( S/S+T/B) AJD]]-(TABL123[[#This Row],[(A/B + A/S) AJD]]+TABL123[[#This Row],[(STORGE DIFF.) AJD]]+(TABL123[[#This Row],[AJD_Evaporation]])/1000)</f>
        <v>34.029999999999973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8">
        <f>TABL123[[#This Row],[(A/B) AJD]]-TABL123[[#This Row],[BER_IN]]</f>
        <v>482</v>
      </c>
      <c r="AK228" s="68">
        <v>132</v>
      </c>
      <c r="AL228" s="87">
        <v>43.091700000000003</v>
      </c>
      <c r="AM228" s="87">
        <v>3157820</v>
      </c>
      <c r="AN228" s="87">
        <f>TABL123[[#This Row],[ (RESV. STORGE) SER]]/10</f>
        <v>315782</v>
      </c>
      <c r="AO228" s="43">
        <v>1840</v>
      </c>
      <c r="AP228" s="32">
        <f>TABL123[[#This Row],[(A/S) AJD]]-TABL123[[#This Row],[SER_IN]]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 (T/B) SAR]]+TABL123[[#This Row],[ (S/S) SAR]]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 (S/S) SAR]]-TABL123[[#This Row],[(S/S) AJD]]</f>
        <v>33</v>
      </c>
      <c r="Q229" s="40">
        <v>440</v>
      </c>
      <c r="R229" s="3">
        <f>TABL123[[#This Row],[ (T/B) SAR]]-TABL123[[#This Row],[(T/B) AJD]]</f>
        <v>88</v>
      </c>
      <c r="S229" s="3">
        <f>TABL123[[#This Row],[T/B-CON.]]+TABL123[[#This Row],[S/S_CON.]]</f>
        <v>121</v>
      </c>
      <c r="T229" s="3">
        <f>TABL123[[#This Row],[(S/S) AJD]]+TABL123[[#This Row],[(T/B) AJD]]</f>
        <v>917</v>
      </c>
      <c r="U229" s="44">
        <v>615</v>
      </c>
      <c r="V229" s="44">
        <v>341</v>
      </c>
      <c r="W229" s="3">
        <f>TABL123[[#This Row],[(A/B) AJD]]+TABL123[[#This Row],[(A/S)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3">
        <f>TABL123[[#This Row],[( S/S+T/B) AJD]]-(TABL123[[#This Row],[(A/B + A/S) AJD]]+TABL123[[#This Row],[(STORGE DIFF.) AJD]]+(TABL123[[#This Row],[AJD_Evaporation]])/1000)</f>
        <v>33.133000000000038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8">
        <f>TABL123[[#This Row],[(A/B) AJD]]-TABL123[[#This Row],[BER_IN]]</f>
        <v>475</v>
      </c>
      <c r="AK229" s="68">
        <v>122</v>
      </c>
      <c r="AL229" s="87">
        <v>43.300600000000003</v>
      </c>
      <c r="AM229" s="87">
        <v>3271450</v>
      </c>
      <c r="AN229" s="87">
        <f>TABL123[[#This Row],[ (RESV. STORGE) SER]]/10</f>
        <v>327145</v>
      </c>
      <c r="AO229" s="45">
        <v>1870</v>
      </c>
      <c r="AP229" s="32">
        <f>TABL123[[#This Row],[(A/S) AJD]]-TABL123[[#This Row],[SER_IN]]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 (T/B) SAR]]+TABL123[[#This Row],[ (S/S) SAR]]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 (S/S) SAR]]-TABL123[[#This Row],[(S/S) AJD]]</f>
        <v>85</v>
      </c>
      <c r="Q230" s="39">
        <v>466</v>
      </c>
      <c r="R230" s="3">
        <f>TABL123[[#This Row],[ (T/B) SAR]]-TABL123[[#This Row],[(T/B) AJD]]</f>
        <v>64</v>
      </c>
      <c r="S230" s="3">
        <f>TABL123[[#This Row],[T/B-CON.]]+TABL123[[#This Row],[S/S_CON.]]</f>
        <v>149</v>
      </c>
      <c r="T230" s="3">
        <f>TABL123[[#This Row],[(S/S) AJD]]+TABL123[[#This Row],[(T/B) AJD]]</f>
        <v>896</v>
      </c>
      <c r="U230" s="41">
        <v>591</v>
      </c>
      <c r="V230" s="41">
        <v>320</v>
      </c>
      <c r="W230" s="3">
        <f>TABL123[[#This Row],[(A/B) AJD]]+TABL123[[#This Row],[(A/S)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3">
        <f>TABL123[[#This Row],[( S/S+T/B) AJD]]-(TABL123[[#This Row],[(A/B + A/S) AJD]]+TABL123[[#This Row],[(STORGE DIFF.) AJD]]+(TABL123[[#This Row],[AJD_Evaporation]])/1000)</f>
        <v>19.689000000000078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8">
        <f>TABL123[[#This Row],[(A/B) AJD]]-TABL123[[#This Row],[BER_IN]]</f>
        <v>480</v>
      </c>
      <c r="AK230" s="68">
        <v>92</v>
      </c>
      <c r="AL230" s="87">
        <v>43.420900000000003</v>
      </c>
      <c r="AM230" s="87">
        <v>3334980</v>
      </c>
      <c r="AN230" s="87">
        <f>TABL123[[#This Row],[ (RESV. STORGE) SER]]/10</f>
        <v>333498</v>
      </c>
      <c r="AO230" s="43">
        <v>1870</v>
      </c>
      <c r="AP230" s="32">
        <f>TABL123[[#This Row],[(A/S) AJD]]-TABL123[[#This Row],[SER_IN]]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 (T/B) SAR]]+TABL123[[#This Row],[ (S/S) SAR]]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 (S/S) SAR]]-TABL123[[#This Row],[(S/S) AJD]]</f>
        <v>83</v>
      </c>
      <c r="Q231" s="40">
        <v>469</v>
      </c>
      <c r="R231" s="3">
        <f>TABL123[[#This Row],[ (T/B) SAR]]-TABL123[[#This Row],[(T/B) AJD]]</f>
        <v>64</v>
      </c>
      <c r="S231" s="3">
        <f>TABL123[[#This Row],[T/B-CON.]]+TABL123[[#This Row],[S/S_CON.]]</f>
        <v>147</v>
      </c>
      <c r="T231" s="3">
        <f>TABL123[[#This Row],[(S/S) AJD]]+TABL123[[#This Row],[(T/B) AJD]]</f>
        <v>905</v>
      </c>
      <c r="U231" s="44">
        <v>599</v>
      </c>
      <c r="V231" s="44">
        <v>290</v>
      </c>
      <c r="W231" s="3">
        <f>TABL123[[#This Row],[(A/B) AJD]]+TABL123[[#This Row],[(A/S)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3">
        <f>TABL123[[#This Row],[( S/S+T/B) AJD]]-(TABL123[[#This Row],[(A/B + A/S) AJD]]+TABL123[[#This Row],[(STORGE DIFF.) AJD]]+(TABL123[[#This Row],[AJD_Evaporation]])/1000)</f>
        <v>27.252999999999929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8">
        <f>TABL123[[#This Row],[(A/B) AJD]]-TABL123[[#This Row],[BER_IN]]</f>
        <v>503</v>
      </c>
      <c r="AK231" s="68">
        <v>82</v>
      </c>
      <c r="AL231" s="87">
        <v>43.521999999999998</v>
      </c>
      <c r="AM231" s="87">
        <v>3390043</v>
      </c>
      <c r="AN231" s="87">
        <f>TABL123[[#This Row],[ (RESV. STORGE) SER]]/10</f>
        <v>339004.3</v>
      </c>
      <c r="AO231" s="45">
        <v>1837</v>
      </c>
      <c r="AP231" s="32">
        <f>TABL123[[#This Row],[(A/S) AJD]]-TABL123[[#This Row],[SER_IN]]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1">
        <v>530</v>
      </c>
      <c r="J232" s="39">
        <v>516</v>
      </c>
      <c r="K232" s="28">
        <f>TABL123[[#This Row],[ (T/B) SAR]]+TABL123[[#This Row],[ (S/S) SAR]]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 (S/S) SAR]]-TABL123[[#This Row],[(S/S) AJD]]</f>
        <v>80</v>
      </c>
      <c r="Q232" s="39">
        <v>469</v>
      </c>
      <c r="R232" s="3">
        <f>TABL123[[#This Row],[ (T/B) SAR]]-TABL123[[#This Row],[(T/B) AJD]]</f>
        <v>61</v>
      </c>
      <c r="S232" s="3">
        <f>TABL123[[#This Row],[T/B-CON.]]+TABL123[[#This Row],[S/S_CON.]]</f>
        <v>141</v>
      </c>
      <c r="T232" s="3">
        <f>TABL123[[#This Row],[(S/S) AJD]]+TABL123[[#This Row],[(T/B) AJD]]</f>
        <v>905</v>
      </c>
      <c r="U232" s="41">
        <v>598</v>
      </c>
      <c r="V232" s="41">
        <v>238</v>
      </c>
      <c r="W232" s="3">
        <f>TABL123[[#This Row],[(A/B) AJD]]+TABL123[[#This Row],[(A/S)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3">
        <f>TABL123[[#This Row],[( S/S+T/B) AJD]]-(TABL123[[#This Row],[(A/B + A/S) AJD]]+TABL123[[#This Row],[(STORGE DIFF.) AJD]]+(TABL123[[#This Row],[AJD_Evaporation]])/1000)</f>
        <v>21.325000000000045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8">
        <f>TABL123[[#This Row],[(A/B) AJD]]-TABL123[[#This Row],[BER_IN]]</f>
        <v>504</v>
      </c>
      <c r="AK232" s="68">
        <v>70</v>
      </c>
      <c r="AL232" s="87">
        <v>43.555</v>
      </c>
      <c r="AM232" s="87">
        <v>3408031</v>
      </c>
      <c r="AN232" s="87">
        <f>TABL123[[#This Row],[ (RESV. STORGE) SER]]/10</f>
        <v>340803.1</v>
      </c>
      <c r="AO232" s="43">
        <v>1912</v>
      </c>
      <c r="AP232" s="32">
        <f>TABL123[[#This Row],[(A/S) AJD]]-TABL123[[#This Row],[SER_IN]]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 (T/B) SAR]]+TABL123[[#This Row],[ (S/S) SAR]]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 (S/S) SAR]]-TABL123[[#This Row],[(S/S) AJD]]</f>
        <v>86</v>
      </c>
      <c r="Q233" s="40">
        <v>467</v>
      </c>
      <c r="R233" s="3">
        <f>TABL123[[#This Row],[ (T/B) SAR]]-TABL123[[#This Row],[(T/B) AJD]]</f>
        <v>69</v>
      </c>
      <c r="S233" s="3">
        <f>TABL123[[#This Row],[T/B-CON.]]+TABL123[[#This Row],[S/S_CON.]]</f>
        <v>155</v>
      </c>
      <c r="T233" s="3">
        <f>TABL123[[#This Row],[(S/S) AJD]]+TABL123[[#This Row],[(T/B) AJD]]</f>
        <v>903</v>
      </c>
      <c r="U233" s="44">
        <v>593</v>
      </c>
      <c r="V233" s="44">
        <v>288</v>
      </c>
      <c r="W233" s="3">
        <f>TABL123[[#This Row],[(A/B) AJD]]+TABL123[[#This Row],[(A/S)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3">
        <f>TABL123[[#This Row],[( S/S+T/B) AJD]]-(TABL123[[#This Row],[(A/B + A/S) AJD]]+TABL123[[#This Row],[(STORGE DIFF.) AJD]]+(TABL123[[#This Row],[AJD_Evaporation]])/1000)</f>
        <v>22.981999999999971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8">
        <f>TABL123[[#This Row],[(A/B) AJD]]-TABL123[[#This Row],[BER_IN]]</f>
        <v>497</v>
      </c>
      <c r="AK233" s="68">
        <v>74</v>
      </c>
      <c r="AL233" s="87">
        <v>43.512</v>
      </c>
      <c r="AM233" s="87">
        <v>3384593</v>
      </c>
      <c r="AN233" s="87">
        <f>TABL123[[#This Row],[ (RESV. STORGE) SER]]/10</f>
        <v>338459.3</v>
      </c>
      <c r="AO233" s="45">
        <v>1938</v>
      </c>
      <c r="AP233" s="32">
        <f>TABL123[[#This Row],[(A/S) AJD]]-TABL123[[#This Row],[SER_IN]]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 (T/B) SAR]]+TABL123[[#This Row],[ (S/S) SAR]]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 (S/S) SAR]]-TABL123[[#This Row],[(S/S) AJD]]</f>
        <v>-198</v>
      </c>
      <c r="Q234" s="39">
        <v>469</v>
      </c>
      <c r="R234" s="3">
        <f>TABL123[[#This Row],[ (T/B) SAR]]-TABL123[[#This Row],[(T/B) AJD]]</f>
        <v>-194</v>
      </c>
      <c r="S234" s="3">
        <f>TABL123[[#This Row],[T/B-CON.]]+TABL123[[#This Row],[S/S_CON.]]</f>
        <v>-392</v>
      </c>
      <c r="T234" s="3">
        <f>TABL123[[#This Row],[(S/S) AJD]]+TABL123[[#This Row],[(T/B) AJD]]</f>
        <v>907</v>
      </c>
      <c r="U234" s="41">
        <v>521</v>
      </c>
      <c r="V234" s="41">
        <v>281</v>
      </c>
      <c r="W234" s="3">
        <f>TABL123[[#This Row],[(A/B) AJD]]+TABL123[[#This Row],[(A/S)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3">
        <f>TABL123[[#This Row],[( S/S+T/B) AJD]]-(TABL123[[#This Row],[(A/B + A/S) AJD]]+TABL123[[#This Row],[(STORGE DIFF.) AJD]]+(TABL123[[#This Row],[AJD_Evaporation]])/1000)</f>
        <v>12.553999999999974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8">
        <f>TABL123[[#This Row],[(A/B) AJD]]-TABL123[[#This Row],[BER_IN]]</f>
        <v>439</v>
      </c>
      <c r="AK234" s="68">
        <v>45</v>
      </c>
      <c r="AL234" s="87">
        <v>43.3795</v>
      </c>
      <c r="AM234" s="87">
        <v>3313880</v>
      </c>
      <c r="AN234" s="87">
        <f>TABL123[[#This Row],[ (RESV. STORGE) SER]]/10</f>
        <v>331388</v>
      </c>
      <c r="AO234" s="43">
        <v>1913</v>
      </c>
      <c r="AP234" s="32">
        <f>TABL123[[#This Row],[(A/S) AJD]]-TABL123[[#This Row],[SER_IN]]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 (T/B) SAR]]+TABL123[[#This Row],[ (S/S) SAR]]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 (S/S) SAR]]-TABL123[[#This Row],[(S/S) AJD]]</f>
        <v>-80</v>
      </c>
      <c r="Q235" s="40">
        <v>359</v>
      </c>
      <c r="R235" s="3">
        <f>TABL123[[#This Row],[ (T/B) SAR]]-TABL123[[#This Row],[(T/B) AJD]]</f>
        <v>-98</v>
      </c>
      <c r="S235" s="3">
        <f>TABL123[[#This Row],[T/B-CON.]]+TABL123[[#This Row],[S/S_CON.]]</f>
        <v>-178</v>
      </c>
      <c r="T235" s="3">
        <f>TABL123[[#This Row],[(S/S) AJD]]+TABL123[[#This Row],[(T/B) AJD]]</f>
        <v>689</v>
      </c>
      <c r="U235" s="44">
        <v>489</v>
      </c>
      <c r="V235" s="44">
        <v>211</v>
      </c>
      <c r="W235" s="3">
        <f>TABL123[[#This Row],[(A/B) AJD]]+TABL123[[#This Row],[(A/S)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3">
        <f>TABL123[[#This Row],[( S/S+T/B) AJD]]-(TABL123[[#This Row],[(A/B + A/S) AJD]]+TABL123[[#This Row],[(STORGE DIFF.) AJD]]+(TABL123[[#This Row],[AJD_Evaporation]])/1000)</f>
        <v>39.769000000000005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8">
        <f>TABL123[[#This Row],[(A/B) AJD]]-TABL123[[#This Row],[BER_IN]]</f>
        <v>444</v>
      </c>
      <c r="AK235" s="68">
        <v>0</v>
      </c>
      <c r="AL235" s="87">
        <v>43.203299999999999</v>
      </c>
      <c r="AM235" s="87">
        <v>3218240</v>
      </c>
      <c r="AN235" s="87">
        <f>TABL123[[#This Row],[ (RESV. STORGE) SER]]/10</f>
        <v>321824</v>
      </c>
      <c r="AO235" s="45">
        <v>3356</v>
      </c>
      <c r="AP235" s="32">
        <f>TABL123[[#This Row],[(A/S) AJD]]-TABL123[[#This Row],[SER_IN]]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 (T/B) SAR]]+TABL123[[#This Row],[ (S/S) SAR]]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 (S/S) SAR]]-TABL123[[#This Row],[(S/S) AJD]]</f>
        <v>141</v>
      </c>
      <c r="Q236" s="39">
        <v>325</v>
      </c>
      <c r="R236" s="3">
        <f>TABL123[[#This Row],[ (T/B) SAR]]-TABL123[[#This Row],[(T/B) AJD]]</f>
        <v>128</v>
      </c>
      <c r="S236" s="3">
        <f>TABL123[[#This Row],[T/B-CON.]]+TABL123[[#This Row],[S/S_CON.]]</f>
        <v>269</v>
      </c>
      <c r="T236" s="3">
        <f>TABL123[[#This Row],[(S/S) AJD]]+TABL123[[#This Row],[(T/B) AJD]]</f>
        <v>624</v>
      </c>
      <c r="U236" s="41">
        <v>467</v>
      </c>
      <c r="V236" s="41">
        <v>232</v>
      </c>
      <c r="W236" s="3">
        <f>TABL123[[#This Row],[(A/B) AJD]]+TABL123[[#This Row],[(A/S)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3">
        <f>TABL123[[#This Row],[( S/S+T/B) AJD]]-(TABL123[[#This Row],[(A/B + A/S) AJD]]+TABL123[[#This Row],[(STORGE DIFF.) AJD]]+(TABL123[[#This Row],[AJD_Evaporation]])/1000)</f>
        <v>23.775999999999954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8">
        <f>TABL123[[#This Row],[(A/B) AJD]]-TABL123[[#This Row],[BER_IN]]</f>
        <v>419</v>
      </c>
      <c r="AK236" s="68">
        <v>0</v>
      </c>
      <c r="AL236" s="87">
        <v>43.134099999999997</v>
      </c>
      <c r="AM236" s="87">
        <v>3180790</v>
      </c>
      <c r="AN236" s="87">
        <f>TABL123[[#This Row],[ (RESV. STORGE) SER]]/10</f>
        <v>318079</v>
      </c>
      <c r="AO236" s="43">
        <v>1850</v>
      </c>
      <c r="AP236" s="32">
        <f>TABL123[[#This Row],[(A/S) AJD]]-TABL123[[#This Row],[SER_IN]]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 (T/B) SAR]]+TABL123[[#This Row],[ (S/S) SAR]]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 (S/S) SAR]]-TABL123[[#This Row],[(S/S) AJD]]</f>
        <v>150</v>
      </c>
      <c r="Q237" s="40">
        <v>363</v>
      </c>
      <c r="R237" s="3">
        <f>TABL123[[#This Row],[ (T/B) SAR]]-TABL123[[#This Row],[(T/B) AJD]]</f>
        <v>134</v>
      </c>
      <c r="S237" s="3">
        <f>TABL123[[#This Row],[T/B-CON.]]+TABL123[[#This Row],[S/S_CON.]]</f>
        <v>284</v>
      </c>
      <c r="T237" s="3">
        <f>TABL123[[#This Row],[(S/S) AJD]]+TABL123[[#This Row],[(T/B) AJD]]</f>
        <v>698</v>
      </c>
      <c r="U237" s="44">
        <v>517</v>
      </c>
      <c r="V237" s="44">
        <v>249</v>
      </c>
      <c r="W237" s="3">
        <f>TABL123[[#This Row],[(A/B) AJD]]+TABL123[[#This Row],[(A/S)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3">
        <f>TABL123[[#This Row],[( S/S+T/B) AJD]]-(TABL123[[#This Row],[(A/B + A/S) AJD]]+TABL123[[#This Row],[(STORGE DIFF.) AJD]]+(TABL123[[#This Row],[AJD_Evaporation]])/1000)</f>
        <v>22.149999999999977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8">
        <f>TABL123[[#This Row],[(A/B) AJD]]-TABL123[[#This Row],[BER_IN]]</f>
        <v>472</v>
      </c>
      <c r="AK237" s="68">
        <v>0</v>
      </c>
      <c r="AL237" s="87">
        <v>43.095599999999997</v>
      </c>
      <c r="AM237" s="87">
        <v>3160200</v>
      </c>
      <c r="AN237" s="87">
        <f>TABL123[[#This Row],[ (RESV. STORGE) SER]]/10</f>
        <v>316020</v>
      </c>
      <c r="AO237" s="45">
        <v>1890</v>
      </c>
      <c r="AP237" s="32">
        <f>TABL123[[#This Row],[(A/S) AJD]]-TABL123[[#This Row],[SER_IN]]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 (T/B) SAR]]+TABL123[[#This Row],[ (S/S) SAR]]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 (S/S) SAR]]-TABL123[[#This Row],[(S/S) AJD]]</f>
        <v>112</v>
      </c>
      <c r="Q238" s="39">
        <v>431</v>
      </c>
      <c r="R238" s="3">
        <f>TABL123[[#This Row],[ (T/B) SAR]]-TABL123[[#This Row],[(T/B) AJD]]</f>
        <v>96</v>
      </c>
      <c r="S238" s="3">
        <f>TABL123[[#This Row],[T/B-CON.]]+TABL123[[#This Row],[S/S_CON.]]</f>
        <v>208</v>
      </c>
      <c r="T238" s="3">
        <f>TABL123[[#This Row],[(S/S) AJD]]+TABL123[[#This Row],[(T/B) AJD]]</f>
        <v>831</v>
      </c>
      <c r="U238" s="41">
        <v>464</v>
      </c>
      <c r="V238" s="41">
        <v>249</v>
      </c>
      <c r="W238" s="3">
        <f>TABL123[[#This Row],[(A/B) AJD]]+TABL123[[#This Row],[(A/S)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3">
        <f>TABL123[[#This Row],[( S/S+T/B) AJD]]-(TABL123[[#This Row],[(A/B + A/S) AJD]]+TABL123[[#This Row],[(STORGE DIFF.) AJD]]+(TABL123[[#This Row],[AJD_Evaporation]])/1000)</f>
        <v>8.12600000000009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8">
        <f>TABL123[[#This Row],[(A/B) AJD]]-TABL123[[#This Row],[BER_IN]]</f>
        <v>419</v>
      </c>
      <c r="AK238" s="68">
        <v>0</v>
      </c>
      <c r="AL238" s="87">
        <v>43.050199999999997</v>
      </c>
      <c r="AM238" s="87">
        <v>3134740</v>
      </c>
      <c r="AN238" s="87">
        <f>TABL123[[#This Row],[ (RESV. STORGE) SER]]/10</f>
        <v>313474</v>
      </c>
      <c r="AO238" s="43">
        <v>1860</v>
      </c>
      <c r="AP238" s="32">
        <f>TABL123[[#This Row],[(A/S) AJD]]-TABL123[[#This Row],[SER_IN]]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 (T/B) SAR]]+TABL123[[#This Row],[ (S/S) SAR]]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 (S/S) SAR]]-TABL123[[#This Row],[(S/S) AJD]]</f>
        <v>90</v>
      </c>
      <c r="Q239" s="40">
        <v>463</v>
      </c>
      <c r="R239" s="3">
        <f>TABL123[[#This Row],[ (T/B) SAR]]-TABL123[[#This Row],[(T/B) AJD]]</f>
        <v>71</v>
      </c>
      <c r="S239" s="3">
        <f>TABL123[[#This Row],[T/B-CON.]]+TABL123[[#This Row],[S/S_CON.]]</f>
        <v>161</v>
      </c>
      <c r="T239" s="3">
        <f>TABL123[[#This Row],[(S/S) AJD]]+TABL123[[#This Row],[(T/B) AJD]]</f>
        <v>893</v>
      </c>
      <c r="U239" s="44">
        <v>514</v>
      </c>
      <c r="V239" s="44">
        <v>248</v>
      </c>
      <c r="W239" s="3">
        <f>TABL123[[#This Row],[(A/B) AJD]]+TABL123[[#This Row],[(A/S)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3">
        <f>TABL123[[#This Row],[( S/S+T/B) AJD]]-(TABL123[[#This Row],[(A/B + A/S) AJD]]+TABL123[[#This Row],[(STORGE DIFF.) AJD]]+(TABL123[[#This Row],[AJD_Evaporation]])/1000)</f>
        <v>43.668000000000006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8">
        <f>TABL123[[#This Row],[(A/B) AJD]]-TABL123[[#This Row],[BER_IN]]</f>
        <v>469</v>
      </c>
      <c r="AK239" s="68">
        <v>0</v>
      </c>
      <c r="AL239" s="87">
        <v>43.0426</v>
      </c>
      <c r="AM239" s="87">
        <v>3131220</v>
      </c>
      <c r="AN239" s="87">
        <f>TABL123[[#This Row],[ (RESV. STORGE) SER]]/10</f>
        <v>313122</v>
      </c>
      <c r="AO239" s="45">
        <v>1820</v>
      </c>
      <c r="AP239" s="32">
        <f>TABL123[[#This Row],[(A/S) AJD]]-TABL123[[#This Row],[SER_IN]]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 (T/B) SAR]]+TABL123[[#This Row],[ (S/S) SAR]]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 (S/S) SAR]]-TABL123[[#This Row],[(S/S) AJD]]</f>
        <v>82</v>
      </c>
      <c r="Q240" s="39">
        <v>470</v>
      </c>
      <c r="R240" s="3">
        <f>TABL123[[#This Row],[ (T/B) SAR]]-TABL123[[#This Row],[(T/B) AJD]]</f>
        <v>64</v>
      </c>
      <c r="S240" s="3">
        <f>TABL123[[#This Row],[T/B-CON.]]+TABL123[[#This Row],[S/S_CON.]]</f>
        <v>146</v>
      </c>
      <c r="T240" s="3">
        <f>TABL123[[#This Row],[(S/S) AJD]]+TABL123[[#This Row],[(T/B) AJD]]</f>
        <v>908</v>
      </c>
      <c r="U240" s="41">
        <v>537</v>
      </c>
      <c r="V240" s="41">
        <v>247</v>
      </c>
      <c r="W240" s="3">
        <f>TABL123[[#This Row],[(A/B) AJD]]+TABL123[[#This Row],[(A/S)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3">
        <f>TABL123[[#This Row],[( S/S+T/B) AJD]]-(TABL123[[#This Row],[(A/B + A/S) AJD]]+TABL123[[#This Row],[(STORGE DIFF.) AJD]]+(TABL123[[#This Row],[AJD_Evaporation]])/1000)</f>
        <v>-3.1599999999999682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8">
        <f>TABL123[[#This Row],[(A/B) AJD]]-TABL123[[#This Row],[BER_IN]]</f>
        <v>492</v>
      </c>
      <c r="AK240" s="68">
        <v>12</v>
      </c>
      <c r="AL240" s="87">
        <v>43.049399999999999</v>
      </c>
      <c r="AM240" s="87">
        <v>3134730</v>
      </c>
      <c r="AN240" s="87">
        <f>TABL123[[#This Row],[ (RESV. STORGE) SER]]/10</f>
        <v>313473</v>
      </c>
      <c r="AO240" s="43">
        <v>1890</v>
      </c>
      <c r="AP240" s="32">
        <f>TABL123[[#This Row],[(A/S) AJD]]-TABL123[[#This Row],[SER_IN]]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 (T/B) SAR]]+TABL123[[#This Row],[ (S/S) SAR]]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 (S/S) SAR]]-TABL123[[#This Row],[(S/S) AJD]]</f>
        <v>85</v>
      </c>
      <c r="Q241" s="40">
        <v>473</v>
      </c>
      <c r="R241" s="3">
        <f>TABL123[[#This Row],[ (T/B) SAR]]-TABL123[[#This Row],[(T/B) AJD]]</f>
        <v>62</v>
      </c>
      <c r="S241" s="3">
        <f>TABL123[[#This Row],[T/B-CON.]]+TABL123[[#This Row],[S/S_CON.]]</f>
        <v>147</v>
      </c>
      <c r="T241" s="3">
        <f>TABL123[[#This Row],[(S/S) AJD]]+TABL123[[#This Row],[(T/B) AJD]]</f>
        <v>911</v>
      </c>
      <c r="U241" s="44">
        <v>542</v>
      </c>
      <c r="V241" s="44">
        <v>272</v>
      </c>
      <c r="W241" s="3">
        <f>TABL123[[#This Row],[(A/B) AJD]]+TABL123[[#This Row],[(A/S)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3">
        <f>TABL123[[#This Row],[( S/S+T/B) AJD]]-(TABL123[[#This Row],[(A/B + A/S) AJD]]+TABL123[[#This Row],[(STORGE DIFF.) AJD]]+(TABL123[[#This Row],[AJD_Evaporation]])/1000)</f>
        <v>48.630999999999972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8">
        <f>TABL123[[#This Row],[(A/B) AJD]]-TABL123[[#This Row],[BER_IN]]</f>
        <v>497</v>
      </c>
      <c r="AK241" s="68">
        <v>0</v>
      </c>
      <c r="AL241" s="87">
        <v>43.0077</v>
      </c>
      <c r="AM241" s="87">
        <v>3112500</v>
      </c>
      <c r="AN241" s="87">
        <f>TABL123[[#This Row],[ (RESV. STORGE) SER]]/10</f>
        <v>311250</v>
      </c>
      <c r="AO241" s="45">
        <v>1930</v>
      </c>
      <c r="AP241" s="32">
        <f>TABL123[[#This Row],[(A/S) AJD]]-TABL123[[#This Row],[SER_IN]]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 (T/B) SAR]]+TABL123[[#This Row],[ (S/S) SAR]]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 (S/S) SAR]]-TABL123[[#This Row],[(S/S) AJD]]</f>
        <v>83</v>
      </c>
      <c r="Q242" s="39">
        <v>473</v>
      </c>
      <c r="R242" s="3">
        <f>TABL123[[#This Row],[ (T/B) SAR]]-TABL123[[#This Row],[(T/B) AJD]]</f>
        <v>62</v>
      </c>
      <c r="S242" s="3">
        <f>TABL123[[#This Row],[T/B-CON.]]+TABL123[[#This Row],[S/S_CON.]]</f>
        <v>145</v>
      </c>
      <c r="T242" s="3">
        <f>TABL123[[#This Row],[(S/S) AJD]]+TABL123[[#This Row],[(T/B) AJD]]</f>
        <v>911</v>
      </c>
      <c r="U242" s="41">
        <v>549</v>
      </c>
      <c r="V242" s="41">
        <v>260</v>
      </c>
      <c r="W242" s="3">
        <f>TABL123[[#This Row],[(A/B) AJD]]+TABL123[[#This Row],[(A/S)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3">
        <f>TABL123[[#This Row],[( S/S+T/B) AJD]]-(TABL123[[#This Row],[(A/B + A/S) AJD]]+TABL123[[#This Row],[(STORGE DIFF.) AJD]]+(TABL123[[#This Row],[AJD_Evaporation]])/1000)</f>
        <v>13.116000000000099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8">
        <f>TABL123[[#This Row],[(A/B) AJD]]-TABL123[[#This Row],[BER_IN]]</f>
        <v>476</v>
      </c>
      <c r="AK242" s="68">
        <v>0</v>
      </c>
      <c r="AL242" s="87">
        <v>43.002699999999997</v>
      </c>
      <c r="AM242" s="87">
        <v>3108990</v>
      </c>
      <c r="AN242" s="87">
        <f>TABL123[[#This Row],[ (RESV. STORGE) SER]]/10</f>
        <v>310899</v>
      </c>
      <c r="AO242" s="43">
        <v>1810</v>
      </c>
      <c r="AP242" s="32">
        <f>TABL123[[#This Row],[(A/S) AJD]]-TABL123[[#This Row],[SER_IN]]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 (T/B) SAR]]+TABL123[[#This Row],[ (S/S) SAR]]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 (S/S) SAR]]-TABL123[[#This Row],[(S/S) AJD]]</f>
        <v>74</v>
      </c>
      <c r="Q243" s="40">
        <v>471</v>
      </c>
      <c r="R243" s="3">
        <f>TABL123[[#This Row],[ (T/B) SAR]]-TABL123[[#This Row],[(T/B) AJD]]</f>
        <v>61</v>
      </c>
      <c r="S243" s="3">
        <f>TABL123[[#This Row],[T/B-CON.]]+TABL123[[#This Row],[S/S_CON.]]</f>
        <v>135</v>
      </c>
      <c r="T243" s="3">
        <f>TABL123[[#This Row],[(S/S) AJD]]+TABL123[[#This Row],[(T/B) AJD]]</f>
        <v>907</v>
      </c>
      <c r="U243" s="44">
        <v>572</v>
      </c>
      <c r="V243" s="44">
        <v>290</v>
      </c>
      <c r="W243" s="3">
        <f>TABL123[[#This Row],[(A/B) AJD]]+TABL123[[#This Row],[(A/S)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3">
        <f>TABL123[[#This Row],[( S/S+T/B) AJD]]-(TABL123[[#This Row],[(A/B + A/S) AJD]]+TABL123[[#This Row],[(STORGE DIFF.) AJD]]+(TABL123[[#This Row],[AJD_Evaporation]])/1000)</f>
        <v>44.293000000000006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8">
        <f>TABL123[[#This Row],[(A/B) AJD]]-TABL123[[#This Row],[BER_IN]]</f>
        <v>483</v>
      </c>
      <c r="AK243" s="68">
        <v>28</v>
      </c>
      <c r="AL243" s="87">
        <v>42.983499999999999</v>
      </c>
      <c r="AM243" s="87">
        <v>3099020</v>
      </c>
      <c r="AN243" s="87">
        <f>TABL123[[#This Row],[ (RESV. STORGE) SER]]/10</f>
        <v>309902</v>
      </c>
      <c r="AO243" s="45">
        <v>1870</v>
      </c>
      <c r="AP243" s="32">
        <f>TABL123[[#This Row],[(A/S) AJD]]-TABL123[[#This Row],[SER_IN]]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 (T/B) SAR]]+TABL123[[#This Row],[ (S/S) SAR]]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 (S/S) SAR]]-TABL123[[#This Row],[(S/S) AJD]]</f>
        <v>77</v>
      </c>
      <c r="Q244" s="39">
        <v>468</v>
      </c>
      <c r="R244" s="3">
        <f>TABL123[[#This Row],[ (T/B) SAR]]-TABL123[[#This Row],[(T/B) AJD]]</f>
        <v>52</v>
      </c>
      <c r="S244" s="3">
        <f>TABL123[[#This Row],[T/B-CON.]]+TABL123[[#This Row],[S/S_CON.]]</f>
        <v>129</v>
      </c>
      <c r="T244" s="3">
        <f>TABL123[[#This Row],[(S/S) AJD]]+TABL123[[#This Row],[(T/B) AJD]]</f>
        <v>897</v>
      </c>
      <c r="U244" s="41">
        <v>581</v>
      </c>
      <c r="V244" s="41">
        <v>335</v>
      </c>
      <c r="W244" s="3">
        <f>TABL123[[#This Row],[(A/B) AJD]]+TABL123[[#This Row],[(A/S)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3">
        <f>TABL123[[#This Row],[( S/S+T/B) AJD]]-(TABL123[[#This Row],[(A/B + A/S) AJD]]+TABL123[[#This Row],[(STORGE DIFF.) AJD]]+(TABL123[[#This Row],[AJD_Evaporation]])/1000)</f>
        <v>22.143000000000029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8">
        <f>TABL123[[#This Row],[(A/B) AJD]]-TABL123[[#This Row],[BER_IN]]</f>
        <v>483</v>
      </c>
      <c r="AK244" s="68">
        <v>43</v>
      </c>
      <c r="AL244" s="87">
        <v>43.018900000000002</v>
      </c>
      <c r="AM244" s="87">
        <v>3118490</v>
      </c>
      <c r="AN244" s="87">
        <f>TABL123[[#This Row],[ (RESV. STORGE) SER]]/10</f>
        <v>311849</v>
      </c>
      <c r="AO244" s="43">
        <v>1930</v>
      </c>
      <c r="AP244" s="32">
        <f>TABL123[[#This Row],[(A/S) AJD]]-TABL123[[#This Row],[SER_IN]]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 (T/B) SAR]]+TABL123[[#This Row],[ (S/S) SAR]]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 (S/S) SAR]]-TABL123[[#This Row],[(S/S) AJD]]</f>
        <v>40</v>
      </c>
      <c r="Q245" s="39">
        <v>456</v>
      </c>
      <c r="R245" s="14">
        <f>TABL123[[#This Row],[ (T/B) SAR]]-TABL123[[#This Row],[(T/B) AJD]]</f>
        <v>15</v>
      </c>
      <c r="S245" s="14">
        <f>TABL123[[#This Row],[T/B-CON.]]+TABL123[[#This Row],[S/S_CON.]]</f>
        <v>55</v>
      </c>
      <c r="T245" s="9">
        <f>TABL123[[#This Row],[(S/S) AJD]]+TABL123[[#This Row],[(T/B) AJD]]</f>
        <v>875</v>
      </c>
      <c r="U245" s="41">
        <v>588</v>
      </c>
      <c r="V245" s="41">
        <v>346</v>
      </c>
      <c r="W245" s="9">
        <f>TABL123[[#This Row],[(A/B) AJD]]+TABL123[[#This Row],[(A/S)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3">
        <f>TABL123[[#This Row],[( S/S+T/B) AJD]]-(TABL123[[#This Row],[(A/B + A/S) AJD]]+TABL123[[#This Row],[(STORGE DIFF.) AJD]]+(TABL123[[#This Row],[AJD_Evaporation]])/1000)</f>
        <v>25.380000000000109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8">
        <f>TABL123[[#This Row],[(A/B) AJD]]-TABL123[[#This Row],[BER_IN]]</f>
        <v>491</v>
      </c>
      <c r="AK245" s="68">
        <v>43</v>
      </c>
      <c r="AL245" s="87">
        <v>43.018900000000002</v>
      </c>
      <c r="AM245" s="87">
        <v>3118490</v>
      </c>
      <c r="AN245" s="87">
        <f>TABL123[[#This Row],[ (RESV. STORGE) SER]]/10</f>
        <v>311849</v>
      </c>
      <c r="AO245" s="43">
        <v>1930</v>
      </c>
      <c r="AP245" s="32">
        <f>TABL123[[#This Row],[(A/S) AJD]]-TABL123[[#This Row],[SER_IN]]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 (T/B) SAR]]+TABL123[[#This Row],[ (S/S) SAR]]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 (S/S) SAR]]-TABL123[[#This Row],[(S/S) AJD]]</f>
        <v>73</v>
      </c>
      <c r="Q246" s="40">
        <v>426</v>
      </c>
      <c r="R246" s="14">
        <f>TABL123[[#This Row],[ (T/B) SAR]]-TABL123[[#This Row],[(T/B) AJD]]</f>
        <v>49</v>
      </c>
      <c r="S246" s="14">
        <f>TABL123[[#This Row],[T/B-CON.]]+TABL123[[#This Row],[S/S_CON.]]</f>
        <v>122</v>
      </c>
      <c r="T246" s="9">
        <f>TABL123[[#This Row],[(S/S) AJD]]+TABL123[[#This Row],[(T/B) AJD]]</f>
        <v>816</v>
      </c>
      <c r="U246" s="44">
        <v>583</v>
      </c>
      <c r="V246" s="44">
        <v>308</v>
      </c>
      <c r="W246" s="9">
        <f>TABL123[[#This Row],[(A/B) AJD]]+TABL123[[#This Row],[(A/S)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3">
        <f>TABL123[[#This Row],[( S/S+T/B) AJD]]-(TABL123[[#This Row],[(A/B + A/S) AJD]]+TABL123[[#This Row],[(STORGE DIFF.) AJD]]+(TABL123[[#This Row],[AJD_Evaporation]])/1000)</f>
        <v>51.312000000000012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8">
        <f>TABL123[[#This Row],[(A/B) AJD]]-TABL123[[#This Row],[BER_IN]]</f>
        <v>494</v>
      </c>
      <c r="AK246" s="68">
        <v>42</v>
      </c>
      <c r="AL246" s="87">
        <v>43.122999999999998</v>
      </c>
      <c r="AM246" s="87">
        <v>3175280</v>
      </c>
      <c r="AN246" s="87">
        <f>TABL123[[#This Row],[ (RESV. STORGE) SER]]/10</f>
        <v>317528</v>
      </c>
      <c r="AO246" s="45">
        <v>2015</v>
      </c>
      <c r="AP246" s="32">
        <f>TABL123[[#This Row],[(A/S) AJD]]-TABL123[[#This Row],[SER_IN]]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 (T/B) SAR]]+TABL123[[#This Row],[ (S/S) SAR]]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 (S/S) SAR]]-TABL123[[#This Row],[(S/S) AJD]]</f>
        <v>75</v>
      </c>
      <c r="Q247" s="39">
        <v>418</v>
      </c>
      <c r="R247" s="14">
        <f>TABL123[[#This Row],[ (T/B) SAR]]-TABL123[[#This Row],[(T/B) AJD]]</f>
        <v>57</v>
      </c>
      <c r="S247" s="14">
        <f>TABL123[[#This Row],[T/B-CON.]]+TABL123[[#This Row],[S/S_CON.]]</f>
        <v>132</v>
      </c>
      <c r="T247" s="9">
        <f>TABL123[[#This Row],[(S/S) AJD]]+TABL123[[#This Row],[(T/B) AJD]]</f>
        <v>803</v>
      </c>
      <c r="U247" s="41">
        <v>600</v>
      </c>
      <c r="V247" s="41">
        <v>287</v>
      </c>
      <c r="W247" s="9">
        <f>TABL123[[#This Row],[(A/B) AJD]]+TABL123[[#This Row],[(A/S)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3">
        <f>TABL123[[#This Row],[( S/S+T/B) AJD]]-(TABL123[[#This Row],[(A/B + A/S) AJD]]+TABL123[[#This Row],[(STORGE DIFF.) AJD]]+(TABL123[[#This Row],[AJD_Evaporation]])/1000)</f>
        <v>24.045000000000073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8">
        <f>TABL123[[#This Row],[(A/B) AJD]]-TABL123[[#This Row],[BER_IN]]</f>
        <v>520</v>
      </c>
      <c r="AK247" s="68">
        <v>16</v>
      </c>
      <c r="AL247" s="87">
        <v>43.104399999999998</v>
      </c>
      <c r="AM247" s="87">
        <v>3166401</v>
      </c>
      <c r="AN247" s="87">
        <f>TABL123[[#This Row],[ (RESV. STORGE) SER]]/10</f>
        <v>316640.09999999998</v>
      </c>
      <c r="AO247" s="43">
        <v>2010</v>
      </c>
      <c r="AP247" s="32">
        <f>TABL123[[#This Row],[(A/S) AJD]]-TABL123[[#This Row],[SER_IN]]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 (T/B) SAR]]+TABL123[[#This Row],[ (S/S) SAR]]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 (S/S) SAR]]-TABL123[[#This Row],[(S/S) AJD]]</f>
        <v>102</v>
      </c>
      <c r="Q248" s="40">
        <v>422</v>
      </c>
      <c r="R248" s="14">
        <f>TABL123[[#This Row],[ (T/B) SAR]]-TABL123[[#This Row],[(T/B) AJD]]</f>
        <v>88</v>
      </c>
      <c r="S248" s="14">
        <f>TABL123[[#This Row],[T/B-CON.]]+TABL123[[#This Row],[S/S_CON.]]</f>
        <v>190</v>
      </c>
      <c r="T248" s="9">
        <f>TABL123[[#This Row],[(S/S) AJD]]+TABL123[[#This Row],[(T/B) AJD]]</f>
        <v>810</v>
      </c>
      <c r="U248" s="44">
        <v>576</v>
      </c>
      <c r="V248" s="44">
        <v>272</v>
      </c>
      <c r="W248" s="9">
        <f>TABL123[[#This Row],[(A/B) AJD]]+TABL123[[#This Row],[(A/S)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3">
        <f>TABL123[[#This Row],[( S/S+T/B) AJD]]-(TABL123[[#This Row],[(A/B + A/S) AJD]]+TABL123[[#This Row],[(STORGE DIFF.) AJD]]+(TABL123[[#This Row],[AJD_Evaporation]])/1000)</f>
        <v>18.336000000000013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8">
        <f>TABL123[[#This Row],[(A/B) AJD]]-TABL123[[#This Row],[BER_IN]]</f>
        <v>520</v>
      </c>
      <c r="AK248" s="68">
        <v>0</v>
      </c>
      <c r="AL248" s="87">
        <v>43.0627</v>
      </c>
      <c r="AM248" s="87">
        <v>3142146</v>
      </c>
      <c r="AN248" s="87">
        <f>TABL123[[#This Row],[ (RESV. STORGE) SER]]/10</f>
        <v>314214.59999999998</v>
      </c>
      <c r="AO248" s="45">
        <v>2035</v>
      </c>
      <c r="AP248" s="32">
        <f>TABL123[[#This Row],[(A/S) AJD]]-TABL123[[#This Row],[SER_IN]]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 (T/B) SAR]]+TABL123[[#This Row],[ (S/S) SAR]]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 (S/S) SAR]]-TABL123[[#This Row],[(S/S) AJD]]</f>
        <v>92</v>
      </c>
      <c r="Q249" s="39">
        <v>440</v>
      </c>
      <c r="R249" s="14">
        <f>TABL123[[#This Row],[ (T/B) SAR]]-TABL123[[#This Row],[(T/B) AJD]]</f>
        <v>70</v>
      </c>
      <c r="S249" s="14">
        <f>TABL123[[#This Row],[T/B-CON.]]+TABL123[[#This Row],[S/S_CON.]]</f>
        <v>162</v>
      </c>
      <c r="T249" s="9">
        <f>TABL123[[#This Row],[(S/S) AJD]]+TABL123[[#This Row],[(T/B) AJD]]</f>
        <v>843</v>
      </c>
      <c r="U249" s="41">
        <v>568</v>
      </c>
      <c r="V249" s="41">
        <v>267</v>
      </c>
      <c r="W249" s="9">
        <f>TABL123[[#This Row],[(A/B) AJD]]+TABL123[[#This Row],[(A/S)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3">
        <f>TABL123[[#This Row],[( S/S+T/B) AJD]]-(TABL123[[#This Row],[(A/B + A/S) AJD]]+TABL123[[#This Row],[(STORGE DIFF.) AJD]]+(TABL123[[#This Row],[AJD_Evaporation]])/1000)</f>
        <v>16.757000000000062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8">
        <f>TABL123[[#This Row],[(A/B) AJD]]-TABL123[[#This Row],[BER_IN]]</f>
        <v>518</v>
      </c>
      <c r="AK249" s="68">
        <v>0</v>
      </c>
      <c r="AL249" s="87">
        <v>43.034500000000001</v>
      </c>
      <c r="AM249" s="87">
        <v>3126610</v>
      </c>
      <c r="AN249" s="87">
        <f>TABL123[[#This Row],[ (RESV. STORGE) SER]]/10</f>
        <v>312661</v>
      </c>
      <c r="AO249" s="43">
        <v>2015</v>
      </c>
      <c r="AP249" s="32">
        <f>TABL123[[#This Row],[(A/S) AJD]]-TABL123[[#This Row],[SER_IN]]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 (T/B) SAR]]+TABL123[[#This Row],[ (S/S) SAR]]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 (S/S) SAR]]-TABL123[[#This Row],[(S/S) AJD]]</f>
        <v>77</v>
      </c>
      <c r="Q250" s="40">
        <v>453</v>
      </c>
      <c r="R250" s="9">
        <f>TABL123[[#This Row],[ (T/B) SAR]]-TABL123[[#This Row],[(T/B) AJD]]</f>
        <v>57</v>
      </c>
      <c r="S250" s="9">
        <f>TABL123[[#This Row],[T/B-CON.]]+TABL123[[#This Row],[S/S_CON.]]</f>
        <v>134</v>
      </c>
      <c r="T250" s="9">
        <f>TABL123[[#This Row],[(S/S) AJD]]+TABL123[[#This Row],[(T/B) AJD]]</f>
        <v>871</v>
      </c>
      <c r="U250" s="44">
        <v>558</v>
      </c>
      <c r="V250" s="44">
        <v>250</v>
      </c>
      <c r="W250" s="9">
        <f>TABL123[[#This Row],[(A/B) AJD]]+TABL123[[#This Row],[(A/S)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3">
        <f>TABL123[[#This Row],[( S/S+T/B) AJD]]-(TABL123[[#This Row],[(A/B + A/S) AJD]]+TABL123[[#This Row],[(STORGE DIFF.) AJD]]+(TABL123[[#This Row],[AJD_Evaporation]])/1000)</f>
        <v>28.865000000000009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8">
        <f>TABL123[[#This Row],[(A/B) AJD]]-TABL123[[#This Row],[BER_IN]]</f>
        <v>508</v>
      </c>
      <c r="AK250" s="68">
        <v>0</v>
      </c>
      <c r="AL250" s="87">
        <v>42.995699999999999</v>
      </c>
      <c r="AM250" s="87">
        <v>3106040</v>
      </c>
      <c r="AN250" s="87">
        <f>TABL123[[#This Row],[ (RESV. STORGE) SER]]/10</f>
        <v>310604</v>
      </c>
      <c r="AO250" s="45">
        <v>2010</v>
      </c>
      <c r="AP250" s="32">
        <f>TABL123[[#This Row],[(A/S) AJD]]-TABL123[[#This Row],[SER_IN]]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 (T/B) SAR]]+TABL123[[#This Row],[ (S/S) SAR]]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 (S/S) SAR]]-TABL123[[#This Row],[(S/S) AJD]]</f>
        <v>67</v>
      </c>
      <c r="Q251" s="39">
        <v>450</v>
      </c>
      <c r="R251" s="9">
        <f>TABL123[[#This Row],[ (T/B) SAR]]-TABL123[[#This Row],[(T/B) AJD]]</f>
        <v>62</v>
      </c>
      <c r="S251" s="9">
        <f>TABL123[[#This Row],[T/B-CON.]]+TABL123[[#This Row],[S/S_CON.]]</f>
        <v>129</v>
      </c>
      <c r="T251" s="9">
        <f>TABL123[[#This Row],[(S/S) AJD]]+TABL123[[#This Row],[(T/B) AJD]]</f>
        <v>881</v>
      </c>
      <c r="U251" s="41">
        <v>563</v>
      </c>
      <c r="V251" s="41">
        <v>257</v>
      </c>
      <c r="W251" s="9">
        <f>TABL123[[#This Row],[(A/B) AJD]]+TABL123[[#This Row],[(A/S)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3">
        <f>TABL123[[#This Row],[( S/S+T/B) AJD]]-(TABL123[[#This Row],[(A/B + A/S) AJD]]+TABL123[[#This Row],[(STORGE DIFF.) AJD]]+(TABL123[[#This Row],[AJD_Evaporation]])/1000)</f>
        <v>33.504999999999995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8">
        <f>TABL123[[#This Row],[(A/B) AJD]]-TABL123[[#This Row],[BER_IN]]</f>
        <v>513</v>
      </c>
      <c r="AK251" s="68">
        <v>0</v>
      </c>
      <c r="AL251" s="87">
        <v>42.906399999999998</v>
      </c>
      <c r="AM251" s="87">
        <v>3057400</v>
      </c>
      <c r="AN251" s="87">
        <f>TABL123[[#This Row],[ (RESV. STORGE) SER]]/10</f>
        <v>305740</v>
      </c>
      <c r="AO251" s="43">
        <v>2015</v>
      </c>
      <c r="AP251" s="32">
        <f>TABL123[[#This Row],[(A/S) AJD]]-TABL123[[#This Row],[SER_IN]]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 (T/B) SAR]]+TABL123[[#This Row],[ (S/S) SAR]]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 (S/S) SAR]]-TABL123[[#This Row],[(S/S) AJD]]</f>
        <v>79</v>
      </c>
      <c r="Q252" s="40">
        <v>458</v>
      </c>
      <c r="R252" s="9">
        <f>TABL123[[#This Row],[ (T/B) SAR]]-TABL123[[#This Row],[(T/B) AJD]]</f>
        <v>57</v>
      </c>
      <c r="S252" s="9">
        <f>TABL123[[#This Row],[T/B-CON.]]+TABL123[[#This Row],[S/S_CON.]]</f>
        <v>136</v>
      </c>
      <c r="T252" s="9">
        <f>TABL123[[#This Row],[(S/S) AJD]]+TABL123[[#This Row],[(T/B) AJD]]</f>
        <v>884</v>
      </c>
      <c r="U252" s="44">
        <v>581</v>
      </c>
      <c r="V252" s="44">
        <v>273</v>
      </c>
      <c r="W252" s="9">
        <f>TABL123[[#This Row],[(A/B) AJD]]+TABL123[[#This Row],[(A/S)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3">
        <f>TABL123[[#This Row],[( S/S+T/B) AJD]]-(TABL123[[#This Row],[(A/B + A/S) AJD]]+TABL123[[#This Row],[(STORGE DIFF.) AJD]]+(TABL123[[#This Row],[AJD_Evaporation]])/1000)</f>
        <v>29.118000000000052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8">
        <f>TABL123[[#This Row],[(A/B) AJD]]-TABL123[[#This Row],[BER_IN]]</f>
        <v>531</v>
      </c>
      <c r="AK252" s="68">
        <v>0</v>
      </c>
      <c r="AL252" s="87">
        <v>42.828499999999998</v>
      </c>
      <c r="AM252" s="87">
        <v>3015620</v>
      </c>
      <c r="AN252" s="87">
        <f>TABL123[[#This Row],[ (RESV. STORGE) SER]]/10</f>
        <v>301562</v>
      </c>
      <c r="AO252" s="45">
        <v>2018</v>
      </c>
      <c r="AP252" s="32">
        <f>TABL123[[#This Row],[(A/S) AJD]]-TABL123[[#This Row],[SER_IN]]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 (T/B) SAR]]+TABL123[[#This Row],[ (S/S) SAR]]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 (S/S) SAR]]-TABL123[[#This Row],[(S/S) AJD]]</f>
        <v>78</v>
      </c>
      <c r="Q253" s="39">
        <v>458</v>
      </c>
      <c r="R253" s="9">
        <f>TABL123[[#This Row],[ (T/B) SAR]]-TABL123[[#This Row],[(T/B) AJD]]</f>
        <v>57</v>
      </c>
      <c r="S253" s="9">
        <f>TABL123[[#This Row],[T/B-CON.]]+TABL123[[#This Row],[S/S_CON.]]</f>
        <v>135</v>
      </c>
      <c r="T253" s="9">
        <f>TABL123[[#This Row],[(S/S) AJD]]+TABL123[[#This Row],[(T/B) AJD]]</f>
        <v>885</v>
      </c>
      <c r="U253" s="41">
        <v>558</v>
      </c>
      <c r="V253" s="41">
        <v>260</v>
      </c>
      <c r="W253" s="9">
        <f>TABL123[[#This Row],[(A/B) AJD]]+TABL123[[#This Row],[(A/S)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3">
        <f>TABL123[[#This Row],[( S/S+T/B) AJD]]-(TABL123[[#This Row],[(A/B + A/S) AJD]]+TABL123[[#This Row],[(STORGE DIFF.) AJD]]+(TABL123[[#This Row],[AJD_Evaporation]])/1000)</f>
        <v>21.838999999999942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8">
        <f>TABL123[[#This Row],[(A/B) AJD]]-TABL123[[#This Row],[BER_IN]]</f>
        <v>508</v>
      </c>
      <c r="AK253" s="68">
        <v>0</v>
      </c>
      <c r="AL253" s="87">
        <v>42.805300000000003</v>
      </c>
      <c r="AM253" s="87">
        <v>3002832</v>
      </c>
      <c r="AN253" s="87">
        <f>TABL123[[#This Row],[ (RESV. STORGE) SER]]/10</f>
        <v>300283.2</v>
      </c>
      <c r="AO253" s="43">
        <v>2000</v>
      </c>
      <c r="AP253" s="32">
        <f>TABL123[[#This Row],[(A/S) AJD]]-TABL123[[#This Row],[SER_IN]]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 (T/B) SAR]]+TABL123[[#This Row],[ (S/S) SAR]]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 (S/S) SAR]]-TABL123[[#This Row],[(S/S) AJD]]</f>
        <v>75</v>
      </c>
      <c r="Q254" s="40">
        <v>455</v>
      </c>
      <c r="R254" s="9">
        <f>TABL123[[#This Row],[ (T/B) SAR]]-TABL123[[#This Row],[(T/B) AJD]]</f>
        <v>55</v>
      </c>
      <c r="S254" s="9">
        <f>TABL123[[#This Row],[T/B-CON.]]+TABL123[[#This Row],[S/S_CON.]]</f>
        <v>130</v>
      </c>
      <c r="T254" s="9">
        <f>TABL123[[#This Row],[(S/S) AJD]]+TABL123[[#This Row],[(T/B) AJD]]</f>
        <v>877</v>
      </c>
      <c r="U254" s="44">
        <v>557</v>
      </c>
      <c r="V254" s="44">
        <v>225</v>
      </c>
      <c r="W254" s="9">
        <f>TABL123[[#This Row],[(A/B) AJD]]+TABL123[[#This Row],[(A/S)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3">
        <f>TABL123[[#This Row],[( S/S+T/B) AJD]]-(TABL123[[#This Row],[(A/B + A/S) AJD]]+TABL123[[#This Row],[(STORGE DIFF.) AJD]]+(TABL123[[#This Row],[AJD_Evaporation]])/1000)</f>
        <v>18.201000000000022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8">
        <f>TABL123[[#This Row],[(A/B) AJD]]-TABL123[[#This Row],[BER_IN]]</f>
        <v>507</v>
      </c>
      <c r="AK254" s="68">
        <v>0</v>
      </c>
      <c r="AL254" s="87">
        <v>42.728099999999998</v>
      </c>
      <c r="AM254" s="87">
        <v>2961303</v>
      </c>
      <c r="AN254" s="87">
        <f>TABL123[[#This Row],[ (RESV. STORGE) SER]]/10</f>
        <v>296130.3</v>
      </c>
      <c r="AO254" s="45">
        <v>2010</v>
      </c>
      <c r="AP254" s="32">
        <f>TABL123[[#This Row],[(A/S) AJD]]-TABL123[[#This Row],[SER_IN]]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 (T/B) SAR]]+TABL123[[#This Row],[ (S/S) SAR]]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 (S/S) SAR]]-TABL123[[#This Row],[(S/S) AJD]]</f>
        <v>55</v>
      </c>
      <c r="Q255" s="39">
        <v>448</v>
      </c>
      <c r="R255" s="9">
        <f>TABL123[[#This Row],[ (T/B) SAR]]-TABL123[[#This Row],[(T/B) AJD]]</f>
        <v>37</v>
      </c>
      <c r="S255" s="9">
        <f>TABL123[[#This Row],[T/B-CON.]]+TABL123[[#This Row],[S/S_CON.]]</f>
        <v>92</v>
      </c>
      <c r="T255" s="9">
        <f>TABL123[[#This Row],[(S/S) AJD]]+TABL123[[#This Row],[(T/B) AJD]]</f>
        <v>863</v>
      </c>
      <c r="U255" s="41">
        <v>573</v>
      </c>
      <c r="V255" s="41">
        <v>236</v>
      </c>
      <c r="W255" s="9">
        <f>TABL123[[#This Row],[(A/B) AJD]]+TABL123[[#This Row],[(A/S)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3">
        <f>TABL123[[#This Row],[( S/S+T/B) AJD]]-(TABL123[[#This Row],[(A/B + A/S) AJD]]+TABL123[[#This Row],[(STORGE DIFF.) AJD]]+(TABL123[[#This Row],[AJD_Evaporation]])/1000)</f>
        <v>24.799999999999955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8">
        <f>TABL123[[#This Row],[(A/B) AJD]]-TABL123[[#This Row],[BER_IN]]</f>
        <v>523</v>
      </c>
      <c r="AK255" s="68">
        <v>0</v>
      </c>
      <c r="AL255" s="87">
        <v>42.695999999999998</v>
      </c>
      <c r="AM255" s="87">
        <v>2945137</v>
      </c>
      <c r="AN255" s="87">
        <f>TABL123[[#This Row],[ (RESV. STORGE) SER]]/10</f>
        <v>294513.7</v>
      </c>
      <c r="AO255" s="43">
        <v>1980</v>
      </c>
      <c r="AP255" s="32">
        <f>TABL123[[#This Row],[(A/S) AJD]]-TABL123[[#This Row],[SER_IN]]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 (T/B) SAR]]+TABL123[[#This Row],[ (S/S) SAR]]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 (S/S) SAR]]-TABL123[[#This Row],[(S/S) AJD]]</f>
        <v>85</v>
      </c>
      <c r="Q256" s="40">
        <v>423</v>
      </c>
      <c r="R256" s="9">
        <f>TABL123[[#This Row],[ (T/B) SAR]]-TABL123[[#This Row],[(T/B) AJD]]</f>
        <v>62</v>
      </c>
      <c r="S256" s="9">
        <f>TABL123[[#This Row],[T/B-CON.]]+TABL123[[#This Row],[S/S_CON.]]</f>
        <v>147</v>
      </c>
      <c r="T256" s="9">
        <f>TABL123[[#This Row],[(S/S) AJD]]+TABL123[[#This Row],[(T/B) AJD]]</f>
        <v>813</v>
      </c>
      <c r="U256" s="44">
        <v>564</v>
      </c>
      <c r="V256" s="44">
        <v>236</v>
      </c>
      <c r="W256" s="9">
        <f>TABL123[[#This Row],[(A/B) AJD]]+TABL123[[#This Row],[(A/S)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3">
        <f>TABL123[[#This Row],[( S/S+T/B) AJD]]-(TABL123[[#This Row],[(A/B + A/S) AJD]]+TABL123[[#This Row],[(STORGE DIFF.) AJD]]+(TABL123[[#This Row],[AJD_Evaporation]])/1000)</f>
        <v>20.706000000000017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8">
        <f>TABL123[[#This Row],[(A/B) AJD]]-TABL123[[#This Row],[BER_IN]]</f>
        <v>514</v>
      </c>
      <c r="AK256" s="68">
        <v>0</v>
      </c>
      <c r="AL256" s="87">
        <v>42.651800000000001</v>
      </c>
      <c r="AM256" s="87">
        <v>2920698</v>
      </c>
      <c r="AN256" s="87">
        <f>TABL123[[#This Row],[ (RESV. STORGE) SER]]/10</f>
        <v>292069.8</v>
      </c>
      <c r="AO256" s="45">
        <v>1935</v>
      </c>
      <c r="AP256" s="32">
        <f>TABL123[[#This Row],[(A/S) AJD]]-TABL123[[#This Row],[SER_IN]]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 (T/B) SAR]]+TABL123[[#This Row],[ (S/S) SAR]]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 (S/S) SAR]]-TABL123[[#This Row],[(S/S) AJD]]</f>
        <v>52</v>
      </c>
      <c r="Q257" s="39">
        <v>389</v>
      </c>
      <c r="R257" s="9">
        <f>TABL123[[#This Row],[ (T/B) SAR]]-TABL123[[#This Row],[(T/B) AJD]]</f>
        <v>93</v>
      </c>
      <c r="S257" s="9">
        <f>TABL123[[#This Row],[T/B-CON.]]+TABL123[[#This Row],[S/S_CON.]]</f>
        <v>145</v>
      </c>
      <c r="T257" s="9">
        <f>TABL123[[#This Row],[(S/S) AJD]]+TABL123[[#This Row],[(T/B) AJD]]</f>
        <v>809</v>
      </c>
      <c r="U257" s="41">
        <v>534</v>
      </c>
      <c r="V257" s="41">
        <v>209</v>
      </c>
      <c r="W257" s="9">
        <f>TABL123[[#This Row],[(A/B) AJD]]+TABL123[[#This Row],[(A/S)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3">
        <f>TABL123[[#This Row],[( S/S+T/B) AJD]]-(TABL123[[#This Row],[(A/B + A/S) AJD]]+TABL123[[#This Row],[(STORGE DIFF.) AJD]]+(TABL123[[#This Row],[AJD_Evaporation]])/1000)</f>
        <v>24.120000000000005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8">
        <f>TABL123[[#This Row],[(A/B) AJD]]-TABL123[[#This Row],[BER_IN]]</f>
        <v>484</v>
      </c>
      <c r="AK257" s="68">
        <v>0</v>
      </c>
      <c r="AL257" s="87">
        <v>42.598100000000002</v>
      </c>
      <c r="AM257" s="87">
        <v>2891290</v>
      </c>
      <c r="AN257" s="87">
        <f>TABL123[[#This Row],[ (RESV. STORGE) SER]]/10</f>
        <v>289129</v>
      </c>
      <c r="AO257" s="43">
        <v>1955</v>
      </c>
      <c r="AP257" s="32">
        <f>TABL123[[#This Row],[(A/S) AJD]]-TABL123[[#This Row],[SER_IN]]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 (T/B) SAR]]+TABL123[[#This Row],[ (S/S) SAR]]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 (S/S) SAR]]-TABL123[[#This Row],[(S/S) AJD]]</f>
        <v>98</v>
      </c>
      <c r="Q258" s="40">
        <v>420</v>
      </c>
      <c r="R258" s="9">
        <f>TABL123[[#This Row],[ (T/B) SAR]]-TABL123[[#This Row],[(T/B) AJD]]</f>
        <v>58</v>
      </c>
      <c r="S258" s="9">
        <f>TABL123[[#This Row],[T/B-CON.]]+TABL123[[#This Row],[S/S_CON.]]</f>
        <v>156</v>
      </c>
      <c r="T258" s="9">
        <f>TABL123[[#This Row],[(S/S) AJD]]+TABL123[[#This Row],[(T/B) AJD]]</f>
        <v>808</v>
      </c>
      <c r="U258" s="44">
        <v>570</v>
      </c>
      <c r="V258" s="44">
        <v>201</v>
      </c>
      <c r="W258" s="9">
        <f>TABL123[[#This Row],[(A/B) AJD]]+TABL123[[#This Row],[(A/S)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3">
        <f>TABL123[[#This Row],[( S/S+T/B) AJD]]-(TABL123[[#This Row],[(A/B + A/S) AJD]]+TABL123[[#This Row],[(STORGE DIFF.) AJD]]+(TABL123[[#This Row],[AJD_Evaporation]])/1000)</f>
        <v>26.522000000000048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8">
        <f>TABL123[[#This Row],[(A/B) AJD]]-TABL123[[#This Row],[BER_IN]]</f>
        <v>520</v>
      </c>
      <c r="AK258" s="68">
        <v>0</v>
      </c>
      <c r="AL258" s="87">
        <v>42.539400000000001</v>
      </c>
      <c r="AM258" s="87">
        <v>2860540</v>
      </c>
      <c r="AN258" s="87">
        <f>TABL123[[#This Row],[ (RESV. STORGE) SER]]/10</f>
        <v>286054</v>
      </c>
      <c r="AO258" s="45">
        <v>1960</v>
      </c>
      <c r="AP258" s="32">
        <f>TABL123[[#This Row],[(A/S) AJD]]-TABL123[[#This Row],[SER_IN]]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 (T/B) SAR]]+TABL123[[#This Row],[ (S/S) SAR]]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 (S/S) SAR]]-TABL123[[#This Row],[(S/S) AJD]]</f>
        <v>-118</v>
      </c>
      <c r="Q259" s="39">
        <v>421</v>
      </c>
      <c r="R259" s="9">
        <f>TABL123[[#This Row],[ (T/B) SAR]]-TABL123[[#This Row],[(T/B) AJD]]</f>
        <v>-141</v>
      </c>
      <c r="S259" s="9">
        <f>TABL123[[#This Row],[T/B-CON.]]+TABL123[[#This Row],[S/S_CON.]]</f>
        <v>-259</v>
      </c>
      <c r="T259" s="9">
        <f>TABL123[[#This Row],[(S/S) AJD]]+TABL123[[#This Row],[(T/B) AJD]]</f>
        <v>809</v>
      </c>
      <c r="U259" s="41">
        <v>522</v>
      </c>
      <c r="V259" s="41">
        <v>192</v>
      </c>
      <c r="W259" s="9">
        <f>TABL123[[#This Row],[(A/B) AJD]]+TABL123[[#This Row],[(A/S)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83">
        <f>TABL123[[#This Row],[( S/S+T/B) AJD]]-(TABL123[[#This Row],[(A/B + A/S) AJD]]+TABL123[[#This Row],[(STORGE DIFF.) AJD]]+(TABL123[[#This Row],[AJD_Evaporation]])/1000)</f>
        <v>26.086999999999989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8">
        <f>TABL123[[#This Row],[(A/B) AJD]]-TABL123[[#This Row],[BER_IN]]</f>
        <v>472</v>
      </c>
      <c r="AK259" s="68">
        <v>0</v>
      </c>
      <c r="AL259" s="87">
        <v>42.4998</v>
      </c>
      <c r="AM259" s="87">
        <v>2838760</v>
      </c>
      <c r="AN259" s="87">
        <f>TABL123[[#This Row],[ (RESV. STORGE) SER]]/10</f>
        <v>283876</v>
      </c>
      <c r="AO259" s="43">
        <v>1900</v>
      </c>
      <c r="AP259" s="32">
        <f>TABL123[[#This Row],[(A/S) AJD]]-TABL123[[#This Row],[SER_IN]]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 (T/B) SAR]]+TABL123[[#This Row],[ (S/S) SAR]]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 (S/S) SAR]]-TABL123[[#This Row],[(S/S) AJD]]</f>
        <v>111</v>
      </c>
      <c r="Q260" s="40">
        <v>382</v>
      </c>
      <c r="R260" s="9">
        <f>TABL123[[#This Row],[ (T/B) SAR]]-TABL123[[#This Row],[(T/B) AJD]]</f>
        <v>83</v>
      </c>
      <c r="S260" s="9">
        <f>TABL123[[#This Row],[T/B-CON.]]+TABL123[[#This Row],[S/S_CON.]]</f>
        <v>194</v>
      </c>
      <c r="T260" s="9">
        <f>TABL123[[#This Row],[(S/S) AJD]]+TABL123[[#This Row],[(T/B) AJD]]</f>
        <v>731</v>
      </c>
      <c r="U260" s="44">
        <v>536</v>
      </c>
      <c r="V260" s="44">
        <v>237</v>
      </c>
      <c r="W260" s="9">
        <f>TABL123[[#This Row],[(A/B) AJD]]+TABL123[[#This Row],[(A/S)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IF(TRIM(Z260)="",,(Z260-Z259)/1000)</f>
        <v>-66.77</v>
      </c>
      <c r="AC260" s="45">
        <v>2586</v>
      </c>
      <c r="AD260" s="83">
        <f>TABL123[[#This Row],[( S/S+T/B) AJD]]-(TABL123[[#This Row],[(A/B + A/S) AJD]]+TABL123[[#This Row],[(STORGE DIFF.) AJD]]+(TABL123[[#This Row],[AJD_Evaporation]])/1000)</f>
        <v>22.183999999999969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8">
        <f>TABL123[[#This Row],[(A/B) AJD]]-TABL123[[#This Row],[BER_IN]]</f>
        <v>486</v>
      </c>
      <c r="AK260" s="68">
        <v>0</v>
      </c>
      <c r="AL260" s="87">
        <v>42.476199999999999</v>
      </c>
      <c r="AM260" s="87">
        <v>2825714</v>
      </c>
      <c r="AN260" s="87">
        <f>TABL123[[#This Row],[ (RESV. STORGE) SER]]/10</f>
        <v>282571.40000000002</v>
      </c>
      <c r="AO260" s="45">
        <v>1870</v>
      </c>
      <c r="AP260" s="32">
        <f>TABL123[[#This Row],[(A/S) AJD]]-TABL123[[#This Row],[SER_IN]]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 (T/B) SAR]]+TABL123[[#This Row],[ (S/S) SAR]]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 (S/S) SAR]]-TABL123[[#This Row],[(S/S) AJD]]</f>
        <v>94</v>
      </c>
      <c r="Q261" s="39">
        <v>425</v>
      </c>
      <c r="R261" s="9">
        <f>TABL123[[#This Row],[ (T/B) SAR]]-TABL123[[#This Row],[(T/B) AJD]]</f>
        <v>71</v>
      </c>
      <c r="S261" s="9">
        <f>TABL123[[#This Row],[T/B-CON.]]+TABL123[[#This Row],[S/S_CON.]]</f>
        <v>165</v>
      </c>
      <c r="T261" s="9">
        <f>TABL123[[#This Row],[(S/S) AJD]]+TABL123[[#This Row],[(T/B) AJD]]</f>
        <v>821</v>
      </c>
      <c r="U261" s="41">
        <v>570</v>
      </c>
      <c r="V261" s="41">
        <v>259</v>
      </c>
      <c r="W261" s="9">
        <f>TABL123[[#This Row],[(A/B) AJD]]+TABL123[[#This Row],[(A/S)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3">
        <f>TABL123[[#This Row],[( S/S+T/B) AJD]]-(TABL123[[#This Row],[(A/B + A/S) AJD]]+TABL123[[#This Row],[(STORGE DIFF.) AJD]]+(TABL123[[#This Row],[AJD_Evaporation]])/1000)</f>
        <v>27.357999999999947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8">
        <f>TABL123[[#This Row],[(A/B) AJD]]-TABL123[[#This Row],[BER_IN]]</f>
        <v>520</v>
      </c>
      <c r="AK261" s="68">
        <v>8</v>
      </c>
      <c r="AL261" s="87">
        <v>42.4602</v>
      </c>
      <c r="AM261" s="87">
        <v>2817110</v>
      </c>
      <c r="AN261" s="87">
        <f>TABL123[[#This Row],[ (RESV. STORGE) SER]]/10</f>
        <v>281711</v>
      </c>
      <c r="AO261" s="43">
        <v>1804</v>
      </c>
      <c r="AP261" s="32">
        <f>TABL123[[#This Row],[(A/S) AJD]]-TABL123[[#This Row],[SER_IN]]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 (T/B) SAR]]+TABL123[[#This Row],[ (S/S) SAR]]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 (S/S) SAR]]-TABL123[[#This Row],[(S/S) AJD]]</f>
        <v>82</v>
      </c>
      <c r="Q262" s="40">
        <v>441</v>
      </c>
      <c r="R262" s="9">
        <f>TABL123[[#This Row],[ (T/B) SAR]]-TABL123[[#This Row],[(T/B) AJD]]</f>
        <v>58</v>
      </c>
      <c r="S262" s="9">
        <f>TABL123[[#This Row],[T/B-CON.]]+TABL123[[#This Row],[S/S_CON.]]</f>
        <v>140</v>
      </c>
      <c r="T262" s="9">
        <f>TABL123[[#This Row],[(S/S) AJD]]+TABL123[[#This Row],[(T/B) AJD]]</f>
        <v>851</v>
      </c>
      <c r="U262" s="44">
        <v>566</v>
      </c>
      <c r="V262" s="44">
        <v>294</v>
      </c>
      <c r="W262" s="9">
        <f>TABL123[[#This Row],[(A/B) AJD]]+TABL123[[#This Row],[(A/S)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3">
        <f>TABL123[[#This Row],[( S/S+T/B) AJD]]-(TABL123[[#This Row],[(A/B + A/S) AJD]]+TABL123[[#This Row],[(STORGE DIFF.) AJD]]+(TABL123[[#This Row],[AJD_Evaporation]])/1000)</f>
        <v>31.429000000000087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8">
        <f>TABL123[[#This Row],[(A/B) AJD]]-TABL123[[#This Row],[BER_IN]]</f>
        <v>516</v>
      </c>
      <c r="AK262" s="68">
        <v>48</v>
      </c>
      <c r="AL262" s="87">
        <v>42.494900000000001</v>
      </c>
      <c r="AM262" s="87">
        <v>2835450</v>
      </c>
      <c r="AN262" s="87">
        <f>TABL123[[#This Row],[ (RESV. STORGE) SER]]/10</f>
        <v>283545</v>
      </c>
      <c r="AO262" s="45">
        <v>1860</v>
      </c>
      <c r="AP262" s="32">
        <f>TABL123[[#This Row],[(A/S) AJD]]-TABL123[[#This Row],[SER_IN]]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 (T/B) SAR]]+TABL123[[#This Row],[ (S/S) SAR]]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 (S/S) SAR]]-TABL123[[#This Row],[(S/S) AJD]]</f>
        <v>79</v>
      </c>
      <c r="Q263" s="39">
        <v>442</v>
      </c>
      <c r="R263" s="9">
        <f>TABL123[[#This Row],[ (T/B) SAR]]-TABL123[[#This Row],[(T/B) AJD]]</f>
        <v>50</v>
      </c>
      <c r="S263" s="9">
        <f>TABL123[[#This Row],[T/B-CON.]]+TABL123[[#This Row],[S/S_CON.]]</f>
        <v>129</v>
      </c>
      <c r="T263" s="9">
        <f>TABL123[[#This Row],[(S/S) AJD]]+TABL123[[#This Row],[(T/B) AJD]]</f>
        <v>850</v>
      </c>
      <c r="U263" s="41">
        <v>571</v>
      </c>
      <c r="V263" s="41">
        <v>257</v>
      </c>
      <c r="W263" s="9">
        <f>TABL123[[#This Row],[(A/B) AJD]]+TABL123[[#This Row],[(A/S)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3">
        <f>TABL123[[#This Row],[( S/S+T/B) AJD]]-(TABL123[[#This Row],[(A/B + A/S) AJD]]+TABL123[[#This Row],[(STORGE DIFF.) AJD]]+(TABL123[[#This Row],[AJD_Evaporation]])/1000)</f>
        <v>23.815000000000055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8">
        <f>TABL123[[#This Row],[(A/B) AJD]]-TABL123[[#This Row],[BER_IN]]</f>
        <v>521</v>
      </c>
      <c r="AK263" s="68">
        <v>27</v>
      </c>
      <c r="AL263" s="87">
        <v>42.5002</v>
      </c>
      <c r="AM263" s="87">
        <v>2839080</v>
      </c>
      <c r="AN263" s="87">
        <f>TABL123[[#This Row],[ (RESV. STORGE) SER]]/10</f>
        <v>283908</v>
      </c>
      <c r="AO263" s="43">
        <v>1870</v>
      </c>
      <c r="AP263" s="32">
        <f>TABL123[[#This Row],[(A/S) AJD]]-TABL123[[#This Row],[SER_IN]]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 (T/B) SAR]]+TABL123[[#This Row],[ (S/S) SAR]]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 (S/S) SAR]]-TABL123[[#This Row],[(S/S) AJD]]</f>
        <v>86</v>
      </c>
      <c r="Q264" s="40">
        <v>433</v>
      </c>
      <c r="R264" s="9">
        <f>TABL123[[#This Row],[ (T/B) SAR]]-TABL123[[#This Row],[(T/B) AJD]]</f>
        <v>58</v>
      </c>
      <c r="S264" s="9">
        <f>TABL123[[#This Row],[T/B-CON.]]+TABL123[[#This Row],[S/S_CON.]]</f>
        <v>144</v>
      </c>
      <c r="T264" s="9">
        <f>TABL123[[#This Row],[(S/S) AJD]]+TABL123[[#This Row],[(T/B) AJD]]</f>
        <v>831</v>
      </c>
      <c r="U264" s="44">
        <v>568</v>
      </c>
      <c r="V264" s="44">
        <v>233</v>
      </c>
      <c r="W264" s="9">
        <f>TABL123[[#This Row],[(A/B) AJD]]+TABL123[[#This Row],[(A/S)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3">
        <f>TABL123[[#This Row],[( S/S+T/B) AJD]]-(TABL123[[#This Row],[(A/B + A/S) AJD]]+TABL123[[#This Row],[(STORGE DIFF.) AJD]]+(TABL123[[#This Row],[AJD_Evaporation]])/1000)</f>
        <v>18.961000000000013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8">
        <f>TABL123[[#This Row],[(A/B) AJD]]-TABL123[[#This Row],[BER_IN]]</f>
        <v>518</v>
      </c>
      <c r="AK264" s="68">
        <v>0</v>
      </c>
      <c r="AL264" s="87">
        <v>42.4604</v>
      </c>
      <c r="AM264" s="87">
        <v>2817120</v>
      </c>
      <c r="AN264" s="87">
        <f>TABL123[[#This Row],[ (RESV. STORGE) SER]]/10</f>
        <v>281712</v>
      </c>
      <c r="AO264" s="45">
        <v>1860</v>
      </c>
      <c r="AP264" s="32">
        <f>TABL123[[#This Row],[(A/S) AJD]]-TABL123[[#This Row],[SER_IN]]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 (T/B) SAR]]+TABL123[[#This Row],[ (S/S) SAR]]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 (S/S) SAR]]-TABL123[[#This Row],[(S/S) AJD]]</f>
        <v>82</v>
      </c>
      <c r="Q265" s="39">
        <v>430</v>
      </c>
      <c r="R265" s="9">
        <f>TABL123[[#This Row],[ (T/B) SAR]]-TABL123[[#This Row],[(T/B) AJD]]</f>
        <v>59</v>
      </c>
      <c r="S265" s="9">
        <f>TABL123[[#This Row],[T/B-CON.]]+TABL123[[#This Row],[S/S_CON.]]</f>
        <v>141</v>
      </c>
      <c r="T265" s="9">
        <f>TABL123[[#This Row],[(S/S) AJD]]+TABL123[[#This Row],[(T/B) AJD]]</f>
        <v>828</v>
      </c>
      <c r="U265" s="41">
        <v>568</v>
      </c>
      <c r="V265" s="41">
        <v>210</v>
      </c>
      <c r="W265" s="9">
        <f>TABL123[[#This Row],[(A/B) AJD]]+TABL123[[#This Row],[(A/S)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3">
        <f>TABL123[[#This Row],[( S/S+T/B) AJD]]-(TABL123[[#This Row],[(A/B + A/S) AJD]]+TABL123[[#This Row],[(STORGE DIFF.) AJD]]+(TABL123[[#This Row],[AJD_Evaporation]])/1000)</f>
        <v>17.587999999999965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8">
        <f>TABL123[[#This Row],[(A/B) AJD]]-TABL123[[#This Row],[BER_IN]]</f>
        <v>518</v>
      </c>
      <c r="AK265" s="68">
        <v>0</v>
      </c>
      <c r="AL265" s="87">
        <v>42.416400000000003</v>
      </c>
      <c r="AM265" s="87">
        <v>2793280</v>
      </c>
      <c r="AN265" s="87">
        <f>TABL123[[#This Row],[ (RESV. STORGE) SER]]/10</f>
        <v>279328</v>
      </c>
      <c r="AO265" s="43">
        <v>1840</v>
      </c>
      <c r="AP265" s="32">
        <f>TABL123[[#This Row],[(A/S) AJD]]-TABL123[[#This Row],[SER_IN]]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 (T/B) SAR]]+TABL123[[#This Row],[ (S/S) SAR]]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 (S/S) SAR]]-TABL123[[#This Row],[(S/S) AJD]]</f>
        <v>82</v>
      </c>
      <c r="Q266" s="40">
        <v>431</v>
      </c>
      <c r="R266" s="9">
        <f>TABL123[[#This Row],[ (T/B) SAR]]-TABL123[[#This Row],[(T/B) AJD]]</f>
        <v>63</v>
      </c>
      <c r="S266" s="9">
        <f>TABL123[[#This Row],[T/B-CON.]]+TABL123[[#This Row],[S/S_CON.]]</f>
        <v>145</v>
      </c>
      <c r="T266" s="9">
        <f>TABL123[[#This Row],[(S/S) AJD]]+TABL123[[#This Row],[(T/B) AJD]]</f>
        <v>833</v>
      </c>
      <c r="U266" s="44">
        <v>565</v>
      </c>
      <c r="V266" s="44">
        <v>201</v>
      </c>
      <c r="W266" s="9">
        <f>TABL123[[#This Row],[(A/B) AJD]]+TABL123[[#This Row],[(A/S)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3">
        <f>TABL123[[#This Row],[( S/S+T/B) AJD]]-(TABL123[[#This Row],[(A/B + A/S) AJD]]+TABL123[[#This Row],[(STORGE DIFF.) AJD]]+(TABL123[[#This Row],[AJD_Evaporation]])/1000)</f>
        <v>22.653999999999996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8">
        <f>TABL123[[#This Row],[(A/B) AJD]]-TABL123[[#This Row],[BER_IN]]</f>
        <v>513</v>
      </c>
      <c r="AK266" s="68">
        <v>0</v>
      </c>
      <c r="AL266" s="87">
        <v>42.380800000000001</v>
      </c>
      <c r="AM266" s="87">
        <v>2774470</v>
      </c>
      <c r="AN266" s="87">
        <f>TABL123[[#This Row],[ (RESV. STORGE) SER]]/10</f>
        <v>277447</v>
      </c>
      <c r="AO266" s="45">
        <v>1810</v>
      </c>
      <c r="AP266" s="32">
        <f>TABL123[[#This Row],[(A/S) AJD]]-TABL123[[#This Row],[SER_IN]]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 (T/B) SAR]]+TABL123[[#This Row],[ (S/S) SAR]]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 (S/S) SAR]]-TABL123[[#This Row],[(S/S) AJD]]</f>
        <v>83</v>
      </c>
      <c r="Q267" s="39">
        <v>435</v>
      </c>
      <c r="R267" s="9">
        <f>TABL123[[#This Row],[ (T/B) SAR]]-TABL123[[#This Row],[(T/B) AJD]]</f>
        <v>63</v>
      </c>
      <c r="S267" s="9">
        <f>TABL123[[#This Row],[T/B-CON.]]+TABL123[[#This Row],[S/S_CON.]]</f>
        <v>146</v>
      </c>
      <c r="T267" s="9">
        <f>TABL123[[#This Row],[(S/S) AJD]]+TABL123[[#This Row],[(T/B) AJD]]</f>
        <v>840</v>
      </c>
      <c r="U267" s="41">
        <v>565</v>
      </c>
      <c r="V267" s="41">
        <v>205</v>
      </c>
      <c r="W267" s="9">
        <f>TABL123[[#This Row],[(A/B) AJD]]+TABL123[[#This Row],[(A/S)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3">
        <f>TABL123[[#This Row],[( S/S+T/B) AJD]]-(TABL123[[#This Row],[(A/B + A/S) AJD]]+TABL123[[#This Row],[(STORGE DIFF.) AJD]]+(TABL123[[#This Row],[AJD_Evaporation]])/1000)</f>
        <v>22.969000000000051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8">
        <f>TABL123[[#This Row],[(A/B) AJD]]-TABL123[[#This Row],[BER_IN]]</f>
        <v>514</v>
      </c>
      <c r="AK267" s="68">
        <v>0</v>
      </c>
      <c r="AL267" s="87">
        <v>42.315600000000003</v>
      </c>
      <c r="AM267" s="87">
        <v>2739880</v>
      </c>
      <c r="AN267" s="87">
        <f>TABL123[[#This Row],[ (RESV. STORGE) SER]]/10</f>
        <v>273988</v>
      </c>
      <c r="AO267" s="43">
        <v>1890</v>
      </c>
      <c r="AP267" s="32">
        <f>TABL123[[#This Row],[(A/S) AJD]]-TABL123[[#This Row],[SER_IN]]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 (T/B) SAR]]+TABL123[[#This Row],[ (S/S) SAR]]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 (S/S) SAR]]-TABL123[[#This Row],[(S/S) AJD]]</f>
        <v>71</v>
      </c>
      <c r="Q268" s="40">
        <v>436</v>
      </c>
      <c r="R268" s="9">
        <f>TABL123[[#This Row],[ (T/B) SAR]]-TABL123[[#This Row],[(T/B) AJD]]</f>
        <v>49</v>
      </c>
      <c r="S268" s="9">
        <f>TABL123[[#This Row],[T/B-CON.]]+TABL123[[#This Row],[S/S_CON.]]</f>
        <v>120</v>
      </c>
      <c r="T268" s="9">
        <f>TABL123[[#This Row],[(S/S) AJD]]+TABL123[[#This Row],[(T/B) AJD]]</f>
        <v>841</v>
      </c>
      <c r="U268" s="44">
        <v>572</v>
      </c>
      <c r="V268" s="44">
        <v>254</v>
      </c>
      <c r="W268" s="9">
        <f>TABL123[[#This Row],[(A/B) AJD]]+TABL123[[#This Row],[(A/S)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3">
        <f>TABL123[[#This Row],[( S/S+T/B) AJD]]-(TABL123[[#This Row],[(A/B + A/S) AJD]]+TABL123[[#This Row],[(STORGE DIFF.) AJD]]+(TABL123[[#This Row],[AJD_Evaporation]])/1000)</f>
        <v>29.229000000000042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8">
        <f>TABL123[[#This Row],[(A/B) AJD]]-TABL123[[#This Row],[BER_IN]]</f>
        <v>521</v>
      </c>
      <c r="AK268" s="68">
        <v>0</v>
      </c>
      <c r="AL268" s="87">
        <v>42.254800000000003</v>
      </c>
      <c r="AM268" s="87">
        <v>2707210</v>
      </c>
      <c r="AN268" s="87">
        <f>TABL123[[#This Row],[ (RESV. STORGE) SER]]/10</f>
        <v>270721</v>
      </c>
      <c r="AO268" s="45">
        <v>1870</v>
      </c>
      <c r="AP268" s="32">
        <f>TABL123[[#This Row],[(A/S) AJD]]-TABL123[[#This Row],[SER_IN]]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 (T/B) SAR]]+TABL123[[#This Row],[ (S/S) SAR]]</f>
        <v>0</v>
      </c>
      <c r="L269" s="41"/>
      <c r="M269" s="42"/>
      <c r="N269" s="42"/>
      <c r="O269" s="14">
        <v>395</v>
      </c>
      <c r="P269" s="9">
        <f>TABL123[[#This Row],[ (S/S) SAR]]-TABL123[[#This Row],[(S/S) AJD]]</f>
        <v>-395</v>
      </c>
      <c r="Q269" s="14">
        <v>425</v>
      </c>
      <c r="R269" s="9">
        <f>TABL123[[#This Row],[ (T/B) SAR]]-TABL123[[#This Row],[(T/B) AJD]]</f>
        <v>-425</v>
      </c>
      <c r="S269" s="9">
        <f>TABL123[[#This Row],[T/B-CON.]]+TABL123[[#This Row],[S/S_CON.]]</f>
        <v>-820</v>
      </c>
      <c r="T269" s="9">
        <f>TABL123[[#This Row],[(S/S) AJD]]+TABL123[[#This Row],[(T/B) AJD]]</f>
        <v>820</v>
      </c>
      <c r="U269" s="14">
        <v>570</v>
      </c>
      <c r="V269" s="14">
        <v>245</v>
      </c>
      <c r="W269" s="9">
        <f>TABL123[[#This Row],[(A/B) AJD]]+TABL123[[#This Row],[(A/S)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3">
        <f>TABL123[[#This Row],[( S/S+T/B) AJD]]-(TABL123[[#This Row],[(A/B + A/S) AJD]]+TABL123[[#This Row],[(STORGE DIFF.) AJD]]+(TABL123[[#This Row],[AJD_Evaporation]])/1000)</f>
        <v>30.025999999999954</v>
      </c>
      <c r="AE269" s="68"/>
      <c r="AF269" s="68"/>
      <c r="AG269" s="68"/>
      <c r="AH269" s="43"/>
      <c r="AI269" s="78"/>
      <c r="AJ269" s="78">
        <f>TABL123[[#This Row],[(A/B) AJD]]-TABL123[[#This Row],[BER_IN]]</f>
        <v>570</v>
      </c>
      <c r="AK269" s="78"/>
      <c r="AL269" s="68"/>
      <c r="AM269" s="87"/>
      <c r="AN269" s="87">
        <f>TABL123[[#This Row],[ (RESV. STORGE) SER]]/10</f>
        <v>0</v>
      </c>
      <c r="AO269" s="43"/>
      <c r="AP269" s="32">
        <f>TABL123[[#This Row],[(A/S) AJD]]-TABL123[[#This Row],[SER_IN]]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 (T/B) SAR]]+TABL123[[#This Row],[ (S/S) SAR]]</f>
        <v>0</v>
      </c>
      <c r="L270" s="45"/>
      <c r="M270" s="46"/>
      <c r="N270" s="46"/>
      <c r="O270" s="14">
        <v>389</v>
      </c>
      <c r="P270" s="9">
        <f>TABL123[[#This Row],[ (S/S) SAR]]-TABL123[[#This Row],[(S/S) AJD]]</f>
        <v>-389</v>
      </c>
      <c r="Q270" s="14">
        <v>420</v>
      </c>
      <c r="R270" s="9">
        <f>TABL123[[#This Row],[ (T/B) SAR]]-TABL123[[#This Row],[(T/B) AJD]]</f>
        <v>-420</v>
      </c>
      <c r="S270" s="9">
        <f>TABL123[[#This Row],[T/B-CON.]]+TABL123[[#This Row],[S/S_CON.]]</f>
        <v>-809</v>
      </c>
      <c r="T270" s="9">
        <f>TABL123[[#This Row],[(S/S) AJD]]+TABL123[[#This Row],[(T/B) AJD]]</f>
        <v>809</v>
      </c>
      <c r="U270" s="14">
        <v>549</v>
      </c>
      <c r="V270" s="14">
        <v>244</v>
      </c>
      <c r="W270" s="9">
        <f>TABL123[[#This Row],[(A/B) AJD]]+TABL123[[#This Row],[(A/S)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3">
        <f>TABL123[[#This Row],[( S/S+T/B) AJD]]-(TABL123[[#This Row],[(A/B + A/S) AJD]]+TABL123[[#This Row],[(STORGE DIFF.) AJD]]+(TABL123[[#This Row],[AJD_Evaporation]])/1000)</f>
        <v>24.933999999999969</v>
      </c>
      <c r="AE270" s="68"/>
      <c r="AF270" s="68"/>
      <c r="AG270" s="68"/>
      <c r="AH270" s="45"/>
      <c r="AI270" s="78"/>
      <c r="AJ270" s="78">
        <f>TABL123[[#This Row],[(A/B) AJD]]-TABL123[[#This Row],[BER_IN]]</f>
        <v>549</v>
      </c>
      <c r="AK270" s="78"/>
      <c r="AL270" s="68"/>
      <c r="AM270" s="87"/>
      <c r="AN270" s="87">
        <f>TABL123[[#This Row],[ (RESV. STORGE) SER]]/10</f>
        <v>0</v>
      </c>
      <c r="AO270" s="45"/>
      <c r="AP270" s="32">
        <f>TABL123[[#This Row],[(A/S) AJD]]-TABL123[[#This Row],[SER_IN]]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 (T/B) SAR]]+TABL123[[#This Row],[ (S/S) SAR]]</f>
        <v>0</v>
      </c>
      <c r="L271" s="41"/>
      <c r="M271" s="42"/>
      <c r="N271" s="42"/>
      <c r="O271" s="14">
        <v>376</v>
      </c>
      <c r="P271" s="9">
        <f>TABL123[[#This Row],[ (S/S) SAR]]-TABL123[[#This Row],[(S/S) AJD]]</f>
        <v>-376</v>
      </c>
      <c r="Q271" s="14">
        <v>409</v>
      </c>
      <c r="R271" s="9">
        <f>TABL123[[#This Row],[ (T/B) SAR]]-TABL123[[#This Row],[(T/B) AJD]]</f>
        <v>-409</v>
      </c>
      <c r="S271" s="9">
        <f>TABL123[[#This Row],[T/B-CON.]]+TABL123[[#This Row],[S/S_CON.]]</f>
        <v>-785</v>
      </c>
      <c r="T271" s="9">
        <f>TABL123[[#This Row],[(S/S) AJD]]+TABL123[[#This Row],[(T/B) AJD]]</f>
        <v>785</v>
      </c>
      <c r="U271" s="14">
        <v>543</v>
      </c>
      <c r="V271" s="14">
        <v>236</v>
      </c>
      <c r="W271" s="9">
        <f>TABL123[[#This Row],[(A/B) AJD]]+TABL123[[#This Row],[(A/S)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3">
        <f>TABL123[[#This Row],[( S/S+T/B) AJD]]-(TABL123[[#This Row],[(A/B + A/S) AJD]]+TABL123[[#This Row],[(STORGE DIFF.) AJD]]+(TABL123[[#This Row],[AJD_Evaporation]])/1000)</f>
        <v>22.077999999999975</v>
      </c>
      <c r="AE271" s="68"/>
      <c r="AF271" s="68"/>
      <c r="AG271" s="68"/>
      <c r="AH271" s="43"/>
      <c r="AI271" s="78"/>
      <c r="AJ271" s="78">
        <f>TABL123[[#This Row],[(A/B) AJD]]-TABL123[[#This Row],[BER_IN]]</f>
        <v>543</v>
      </c>
      <c r="AK271" s="78"/>
      <c r="AL271" s="68"/>
      <c r="AM271" s="87"/>
      <c r="AN271" s="87">
        <f>TABL123[[#This Row],[ (RESV. STORGE) SER]]/10</f>
        <v>0</v>
      </c>
      <c r="AO271" s="43"/>
      <c r="AP271" s="32">
        <f>TABL123[[#This Row],[(A/S) AJD]]-TABL123[[#This Row],[SER_IN]]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 (T/B) SAR]]+TABL123[[#This Row],[ (S/S) SAR]]</f>
        <v>0</v>
      </c>
      <c r="L272" s="45"/>
      <c r="M272" s="46"/>
      <c r="N272" s="46"/>
      <c r="O272" s="14">
        <v>383</v>
      </c>
      <c r="P272" s="9">
        <f>TABL123[[#This Row],[ (S/S) SAR]]-TABL123[[#This Row],[(S/S) AJD]]</f>
        <v>-383</v>
      </c>
      <c r="Q272" s="14">
        <v>414</v>
      </c>
      <c r="R272" s="9">
        <f>TABL123[[#This Row],[ (T/B) SAR]]-TABL123[[#This Row],[(T/B) AJD]]</f>
        <v>-414</v>
      </c>
      <c r="S272" s="9">
        <f>TABL123[[#This Row],[T/B-CON.]]+TABL123[[#This Row],[S/S_CON.]]</f>
        <v>-797</v>
      </c>
      <c r="T272" s="9">
        <f>TABL123[[#This Row],[(S/S) AJD]]+TABL123[[#This Row],[(T/B) AJD]]</f>
        <v>797</v>
      </c>
      <c r="U272" s="14">
        <v>545</v>
      </c>
      <c r="V272" s="14">
        <v>216</v>
      </c>
      <c r="W272" s="9">
        <f>TABL123[[#This Row],[(A/B) AJD]]+TABL123[[#This Row],[(A/S)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3">
        <f>TABL123[[#This Row],[( S/S+T/B) AJD]]-(TABL123[[#This Row],[(A/B + A/S) AJD]]+TABL123[[#This Row],[(STORGE DIFF.) AJD]]+(TABL123[[#This Row],[AJD_Evaporation]])/1000)</f>
        <v>30.043999999999983</v>
      </c>
      <c r="AE272" s="68"/>
      <c r="AF272" s="68"/>
      <c r="AG272" s="68"/>
      <c r="AH272" s="45"/>
      <c r="AI272" s="78"/>
      <c r="AJ272" s="78">
        <f>TABL123[[#This Row],[(A/B) AJD]]-TABL123[[#This Row],[BER_IN]]</f>
        <v>545</v>
      </c>
      <c r="AK272" s="78"/>
      <c r="AL272" s="68"/>
      <c r="AM272" s="87"/>
      <c r="AN272" s="87">
        <f>TABL123[[#This Row],[ (RESV. STORGE) SER]]/10</f>
        <v>0</v>
      </c>
      <c r="AO272" s="6"/>
      <c r="AP272" s="32">
        <f>TABL123[[#This Row],[(A/S) AJD]]-TABL123[[#This Row],[SER_IN]]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 (T/B) SAR]]+TABL123[[#This Row],[ (S/S) SAR]]</f>
        <v>0</v>
      </c>
      <c r="L273" s="28"/>
      <c r="M273" s="29"/>
      <c r="N273" s="30"/>
      <c r="O273" s="14">
        <v>393</v>
      </c>
      <c r="P273" s="9">
        <f>TABL123[[#This Row],[ (S/S) SAR]]-TABL123[[#This Row],[(S/S) AJD]]</f>
        <v>-393</v>
      </c>
      <c r="Q273" s="14">
        <v>423</v>
      </c>
      <c r="R273" s="9">
        <f>TABL123[[#This Row],[ (T/B) SAR]]-TABL123[[#This Row],[(T/B) AJD]]</f>
        <v>-423</v>
      </c>
      <c r="S273" s="9">
        <f>TABL123[[#This Row],[T/B-CON.]]+TABL123[[#This Row],[S/S_CON.]]</f>
        <v>-816</v>
      </c>
      <c r="T273" s="9">
        <f>TABL123[[#This Row],[(S/S) AJD]]+TABL123[[#This Row],[(T/B) AJD]]</f>
        <v>816</v>
      </c>
      <c r="U273" s="14">
        <v>538</v>
      </c>
      <c r="V273" s="14">
        <v>213</v>
      </c>
      <c r="W273" s="9">
        <f>TABL123[[#This Row],[(A/B) AJD]]+TABL123[[#This Row],[(A/S)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3">
        <f>TABL123[[#This Row],[( S/S+T/B) AJD]]-(TABL123[[#This Row],[(A/B + A/S) AJD]]+TABL123[[#This Row],[(STORGE DIFF.) AJD]]+(TABL123[[#This Row],[AJD_Evaporation]])/1000)</f>
        <v>22.109000000000037</v>
      </c>
      <c r="AE273" s="68"/>
      <c r="AF273" s="68"/>
      <c r="AG273" s="68"/>
      <c r="AH273" s="43"/>
      <c r="AI273" s="78"/>
      <c r="AJ273" s="78">
        <f>TABL123[[#This Row],[(A/B) AJD]]-TABL123[[#This Row],[BER_IN]]</f>
        <v>538</v>
      </c>
      <c r="AK273" s="78"/>
      <c r="AL273" s="68"/>
      <c r="AM273" s="87"/>
      <c r="AN273" s="87">
        <f>TABL123[[#This Row],[ (RESV. STORGE) SER]]/10</f>
        <v>0</v>
      </c>
      <c r="AO273" s="6"/>
      <c r="AP273" s="32">
        <f>TABL123[[#This Row],[(A/S) AJD]]-TABL123[[#This Row],[SER_IN]]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 (T/B) SAR]]+TABL123[[#This Row],[ (S/S) SAR]]</f>
        <v>0</v>
      </c>
      <c r="L274" s="28"/>
      <c r="M274" s="29"/>
      <c r="N274" s="30"/>
      <c r="O274" s="77">
        <v>395</v>
      </c>
      <c r="P274" s="9">
        <f>TABL123[[#This Row],[ (S/S) SAR]]-TABL123[[#This Row],[(S/S) AJD]]</f>
        <v>-395</v>
      </c>
      <c r="Q274" s="77">
        <v>428</v>
      </c>
      <c r="R274" s="9">
        <f>TABL123[[#This Row],[ (T/B) SAR]]-TABL123[[#This Row],[(T/B) AJD]]</f>
        <v>-428</v>
      </c>
      <c r="S274" s="9">
        <f>TABL123[[#This Row],[T/B-CON.]]+TABL123[[#This Row],[S/S_CON.]]</f>
        <v>-823</v>
      </c>
      <c r="T274" s="9">
        <f>TABL123[[#This Row],[(S/S) AJD]]+TABL123[[#This Row],[(T/B) AJD]]</f>
        <v>823</v>
      </c>
      <c r="U274" s="77">
        <v>536</v>
      </c>
      <c r="V274" s="77">
        <v>212</v>
      </c>
      <c r="W274" s="9">
        <f>TABL123[[#This Row],[(A/B) AJD]]+TABL123[[#This Row],[(A/S) AJD]]</f>
        <v>748</v>
      </c>
      <c r="X274" s="9">
        <f>TABL123[[#This Row],[( S/S+T/B) AJD]]-TABL123[[#This Row],[(A/B + A/S) AJD]]</f>
        <v>75</v>
      </c>
      <c r="Y274" s="85">
        <v>92.617000000000004</v>
      </c>
      <c r="Z274" s="86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3">
        <f>TABL123[[#This Row],[( S/S+T/B) AJD]]-(TABL123[[#This Row],[(A/B + A/S) AJD]]+TABL123[[#This Row],[(STORGE DIFF.) AJD]]+(TABL123[[#This Row],[AJD_Evaporation]])/1000)</f>
        <v>30.277000000000044</v>
      </c>
      <c r="AE274" s="68"/>
      <c r="AF274" s="68"/>
      <c r="AG274" s="68"/>
      <c r="AH274" s="6"/>
      <c r="AI274" s="78"/>
      <c r="AJ274" s="78">
        <f>TABL123[[#This Row],[(A/B) AJD]]-TABL123[[#This Row],[BER_IN]]</f>
        <v>536</v>
      </c>
      <c r="AK274" s="78"/>
      <c r="AL274" s="68"/>
      <c r="AM274" s="87"/>
      <c r="AN274" s="87">
        <f>TABL123[[#This Row],[ (RESV. STORGE) SER]]/10</f>
        <v>0</v>
      </c>
      <c r="AO274" s="6"/>
      <c r="AP274" s="32">
        <f>TABL123[[#This Row],[(A/S) AJD]]-TABL123[[#This Row],[SER_IN]]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 (T/B) SAR]]+TABL123[[#This Row],[ (S/S) SAR]]</f>
        <v>0</v>
      </c>
      <c r="L275" s="28"/>
      <c r="M275" s="29"/>
      <c r="N275" s="30"/>
      <c r="O275" s="14">
        <v>395</v>
      </c>
      <c r="P275" s="9">
        <f>TABL123[[#This Row],[ (S/S) SAR]]-TABL123[[#This Row],[(S/S) AJD]]</f>
        <v>-395</v>
      </c>
      <c r="Q275" s="14">
        <v>427</v>
      </c>
      <c r="R275" s="9">
        <f>TABL123[[#This Row],[ (T/B) SAR]]-TABL123[[#This Row],[(T/B) AJD]]</f>
        <v>-427</v>
      </c>
      <c r="S275" s="9">
        <f>TABL123[[#This Row],[T/B-CON.]]+TABL123[[#This Row],[S/S_CON.]]</f>
        <v>-822</v>
      </c>
      <c r="T275" s="9">
        <f>TABL123[[#This Row],[(S/S) AJD]]+TABL123[[#This Row],[(T/B) AJD]]</f>
        <v>822</v>
      </c>
      <c r="U275" s="14">
        <v>538</v>
      </c>
      <c r="V275" s="14">
        <v>222</v>
      </c>
      <c r="W275" s="9">
        <f>TABL123[[#This Row],[(A/B) AJD]]+TABL123[[#This Row],[(A/S)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3">
        <f>TABL123[[#This Row],[( S/S+T/B) AJD]]-(TABL123[[#This Row],[(A/B + A/S) AJD]]+TABL123[[#This Row],[(STORGE DIFF.) AJD]]+(TABL123[[#This Row],[AJD_Evaporation]])/1000)</f>
        <v>27.974000000000046</v>
      </c>
      <c r="AE275" s="68"/>
      <c r="AF275" s="68"/>
      <c r="AG275" s="68"/>
      <c r="AH275" s="6"/>
      <c r="AI275" s="78"/>
      <c r="AJ275" s="78">
        <f>TABL123[[#This Row],[(A/B) AJD]]-TABL123[[#This Row],[BER_IN]]</f>
        <v>538</v>
      </c>
      <c r="AK275" s="78"/>
      <c r="AL275" s="68"/>
      <c r="AM275" s="87"/>
      <c r="AN275" s="87">
        <f>TABL123[[#This Row],[ (RESV. STORGE) SER]]/10</f>
        <v>0</v>
      </c>
      <c r="AO275" s="6"/>
      <c r="AP275" s="32">
        <f>TABL123[[#This Row],[(A/S) AJD]]-TABL123[[#This Row],[SER_IN]]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 (T/B) SAR]]+TABL123[[#This Row],[ (S/S) SAR]]</f>
        <v>0</v>
      </c>
      <c r="L276" s="28"/>
      <c r="M276" s="29"/>
      <c r="N276" s="30"/>
      <c r="O276" s="14">
        <v>396</v>
      </c>
      <c r="P276" s="9">
        <f>TABL123[[#This Row],[ (S/S) SAR]]-TABL123[[#This Row],[(S/S) AJD]]</f>
        <v>-396</v>
      </c>
      <c r="Q276" s="14">
        <v>427</v>
      </c>
      <c r="R276" s="9">
        <f>TABL123[[#This Row],[ (T/B) SAR]]-TABL123[[#This Row],[(T/B) AJD]]</f>
        <v>-427</v>
      </c>
      <c r="S276" s="9">
        <f>TABL123[[#This Row],[T/B-CON.]]+TABL123[[#This Row],[S/S_CON.]]</f>
        <v>-823</v>
      </c>
      <c r="T276" s="9">
        <f>TABL123[[#This Row],[(S/S) AJD]]+TABL123[[#This Row],[(T/B) AJD]]</f>
        <v>823</v>
      </c>
      <c r="U276" s="14">
        <v>529</v>
      </c>
      <c r="V276" s="14">
        <v>260</v>
      </c>
      <c r="W276" s="9">
        <f>TABL123[[#This Row],[(A/B) AJD]]+TABL123[[#This Row],[(A/S)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3">
        <f>TABL123[[#This Row],[( S/S+T/B) AJD]]-(TABL123[[#This Row],[(A/B + A/S) AJD]]+TABL123[[#This Row],[(STORGE DIFF.) AJD]]+(TABL123[[#This Row],[AJD_Evaporation]])/1000)</f>
        <v>20.268000000000029</v>
      </c>
      <c r="AE276" s="68"/>
      <c r="AF276" s="68"/>
      <c r="AG276" s="68"/>
      <c r="AH276" s="6"/>
      <c r="AI276" s="78"/>
      <c r="AJ276" s="78">
        <f>TABL123[[#This Row],[(A/B) AJD]]-TABL123[[#This Row],[BER_IN]]</f>
        <v>529</v>
      </c>
      <c r="AK276" s="78"/>
      <c r="AL276" s="68"/>
      <c r="AM276" s="87"/>
      <c r="AN276" s="87">
        <f>TABL123[[#This Row],[ (RESV. STORGE) SER]]/10</f>
        <v>0</v>
      </c>
      <c r="AO276" s="6"/>
      <c r="AP276" s="32">
        <f>TABL123[[#This Row],[(A/S) AJD]]-TABL123[[#This Row],[SER_IN]]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 (T/B) SAR]]+TABL123[[#This Row],[ (S/S) SAR]]</f>
        <v>0</v>
      </c>
      <c r="L277" s="28"/>
      <c r="M277" s="29"/>
      <c r="N277" s="30"/>
      <c r="O277" s="14">
        <v>397</v>
      </c>
      <c r="P277" s="9">
        <f>TABL123[[#This Row],[ (S/S) SAR]]-TABL123[[#This Row],[(S/S) AJD]]</f>
        <v>-397</v>
      </c>
      <c r="Q277" s="14">
        <v>431</v>
      </c>
      <c r="R277" s="9">
        <f>TABL123[[#This Row],[ (T/B) SAR]]-TABL123[[#This Row],[(T/B) AJD]]</f>
        <v>-431</v>
      </c>
      <c r="S277" s="9">
        <f>TABL123[[#This Row],[T/B-CON.]]+TABL123[[#This Row],[S/S_CON.]]</f>
        <v>-828</v>
      </c>
      <c r="T277" s="9">
        <f>TABL123[[#This Row],[(S/S) AJD]]+TABL123[[#This Row],[(T/B) AJD]]</f>
        <v>828</v>
      </c>
      <c r="U277" s="14">
        <v>538</v>
      </c>
      <c r="V277" s="14">
        <v>261</v>
      </c>
      <c r="W277" s="9">
        <f>TABL123[[#This Row],[(A/B) AJD]]+TABL123[[#This Row],[(A/S)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3">
        <f>TABL123[[#This Row],[( S/S+T/B) AJD]]-(TABL123[[#This Row],[(A/B + A/S) AJD]]+TABL123[[#This Row],[(STORGE DIFF.) AJD]]+(TABL123[[#This Row],[AJD_Evaporation]])/1000)</f>
        <v>31.994000000000028</v>
      </c>
      <c r="AE277" s="68"/>
      <c r="AF277" s="68"/>
      <c r="AG277" s="68"/>
      <c r="AH277" s="6"/>
      <c r="AI277" s="78"/>
      <c r="AJ277" s="78">
        <f>TABL123[[#This Row],[(A/B) AJD]]-TABL123[[#This Row],[BER_IN]]</f>
        <v>538</v>
      </c>
      <c r="AK277" s="78"/>
      <c r="AL277" s="68"/>
      <c r="AM277" s="87"/>
      <c r="AN277" s="87">
        <f>TABL123[[#This Row],[ (RESV. STORGE) SER]]/10</f>
        <v>0</v>
      </c>
      <c r="AO277" s="6"/>
      <c r="AP277" s="32">
        <f>TABL123[[#This Row],[(A/S) AJD]]-TABL123[[#This Row],[SER_IN]]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 (T/B) SAR]]+TABL123[[#This Row],[ (S/S) SAR]]</f>
        <v>0</v>
      </c>
      <c r="L278" s="28"/>
      <c r="M278" s="29"/>
      <c r="N278" s="30"/>
      <c r="O278" s="14">
        <v>402</v>
      </c>
      <c r="P278" s="9">
        <f>TABL123[[#This Row],[ (S/S) SAR]]-TABL123[[#This Row],[(S/S) AJD]]</f>
        <v>-402</v>
      </c>
      <c r="Q278" s="14">
        <v>436</v>
      </c>
      <c r="R278" s="9">
        <f>TABL123[[#This Row],[ (T/B) SAR]]-TABL123[[#This Row],[(T/B) AJD]]</f>
        <v>-436</v>
      </c>
      <c r="S278" s="9">
        <f>TABL123[[#This Row],[T/B-CON.]]+TABL123[[#This Row],[S/S_CON.]]</f>
        <v>-838</v>
      </c>
      <c r="T278" s="9">
        <f>TABL123[[#This Row],[(S/S) AJD]]+TABL123[[#This Row],[(T/B) AJD]]</f>
        <v>838</v>
      </c>
      <c r="U278" s="14">
        <v>539</v>
      </c>
      <c r="V278" s="14">
        <v>263</v>
      </c>
      <c r="W278" s="9">
        <f>TABL123[[#This Row],[(A/B) AJD]]+TABL123[[#This Row],[(A/S)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3">
        <f>TABL123[[#This Row],[( S/S+T/B) AJD]]-(TABL123[[#This Row],[(A/B + A/S) AJD]]+TABL123[[#This Row],[(STORGE DIFF.) AJD]]+(TABL123[[#This Row],[AJD_Evaporation]])/1000)</f>
        <v>33.005999999999972</v>
      </c>
      <c r="AE278" s="68"/>
      <c r="AF278" s="68"/>
      <c r="AG278" s="68"/>
      <c r="AH278" s="6"/>
      <c r="AI278" s="78"/>
      <c r="AJ278" s="78">
        <f>TABL123[[#This Row],[(A/B) AJD]]-TABL123[[#This Row],[BER_IN]]</f>
        <v>539</v>
      </c>
      <c r="AK278" s="78"/>
      <c r="AL278" s="68"/>
      <c r="AM278" s="87"/>
      <c r="AN278" s="87">
        <f>TABL123[[#This Row],[ (RESV. STORGE) SER]]/10</f>
        <v>0</v>
      </c>
      <c r="AO278" s="6"/>
      <c r="AP278" s="32">
        <f>TABL123[[#This Row],[(A/S) AJD]]-TABL123[[#This Row],[SER_IN]]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 (T/B) SAR]]+TABL123[[#This Row],[ (S/S) SAR]]</f>
        <v>0</v>
      </c>
      <c r="L279" s="28"/>
      <c r="M279" s="29"/>
      <c r="N279" s="30"/>
      <c r="O279" s="14">
        <v>406</v>
      </c>
      <c r="P279" s="9">
        <f>TABL123[[#This Row],[ (S/S) SAR]]-TABL123[[#This Row],[(S/S) AJD]]</f>
        <v>-406</v>
      </c>
      <c r="Q279" s="14">
        <v>440</v>
      </c>
      <c r="R279" s="9">
        <f>TABL123[[#This Row],[ (T/B) SAR]]-TABL123[[#This Row],[(T/B) AJD]]</f>
        <v>-440</v>
      </c>
      <c r="S279" s="9">
        <f>TABL123[[#This Row],[T/B-CON.]]+TABL123[[#This Row],[S/S_CON.]]</f>
        <v>-846</v>
      </c>
      <c r="T279" s="9">
        <f>TABL123[[#This Row],[(S/S) AJD]]+TABL123[[#This Row],[(T/B) AJD]]</f>
        <v>846</v>
      </c>
      <c r="U279" s="14">
        <v>542</v>
      </c>
      <c r="V279" s="14">
        <v>262</v>
      </c>
      <c r="W279" s="9">
        <f>TABL123[[#This Row],[(A/B) AJD]]+TABL123[[#This Row],[(A/S)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3">
        <f>TABL123[[#This Row],[( S/S+T/B) AJD]]-(TABL123[[#This Row],[(A/B + A/S) AJD]]+TABL123[[#This Row],[(STORGE DIFF.) AJD]]+(TABL123[[#This Row],[AJD_Evaporation]])/1000)</f>
        <v>33.039999999999964</v>
      </c>
      <c r="AE279" s="68"/>
      <c r="AF279" s="68"/>
      <c r="AG279" s="68"/>
      <c r="AH279" s="6"/>
      <c r="AI279" s="78"/>
      <c r="AJ279" s="78">
        <f>TABL123[[#This Row],[(A/B) AJD]]-TABL123[[#This Row],[BER_IN]]</f>
        <v>542</v>
      </c>
      <c r="AK279" s="78"/>
      <c r="AL279" s="68"/>
      <c r="AM279" s="87"/>
      <c r="AN279" s="87">
        <f>TABL123[[#This Row],[ (RESV. STORGE) SER]]/10</f>
        <v>0</v>
      </c>
      <c r="AO279" s="6"/>
      <c r="AP279" s="32">
        <f>TABL123[[#This Row],[(A/S) AJD]]-TABL123[[#This Row],[SER_IN]]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 (T/B) SAR]]+TABL123[[#This Row],[ (S/S) SAR]]</f>
        <v>0</v>
      </c>
      <c r="L280" s="28"/>
      <c r="M280" s="29"/>
      <c r="N280" s="30"/>
      <c r="O280" s="14">
        <v>404</v>
      </c>
      <c r="P280" s="9">
        <f>TABL123[[#This Row],[ (S/S) SAR]]-TABL123[[#This Row],[(S/S) AJD]]</f>
        <v>-404</v>
      </c>
      <c r="Q280" s="14">
        <v>437</v>
      </c>
      <c r="R280" s="9">
        <f>TABL123[[#This Row],[ (T/B) SAR]]-TABL123[[#This Row],[(T/B) AJD]]</f>
        <v>-437</v>
      </c>
      <c r="S280" s="9">
        <f>TABL123[[#This Row],[T/B-CON.]]+TABL123[[#This Row],[S/S_CON.]]</f>
        <v>-841</v>
      </c>
      <c r="T280" s="9">
        <f>TABL123[[#This Row],[(S/S) AJD]]+TABL123[[#This Row],[(T/B) AJD]]</f>
        <v>841</v>
      </c>
      <c r="U280" s="14">
        <v>551</v>
      </c>
      <c r="V280" s="14">
        <v>263</v>
      </c>
      <c r="W280" s="9">
        <f>TABL123[[#This Row],[(A/B) AJD]]+TABL123[[#This Row],[(A/S)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3">
        <f>TABL123[[#This Row],[( S/S+T/B) AJD]]-(TABL123[[#This Row],[(A/B + A/S) AJD]]+TABL123[[#This Row],[(STORGE DIFF.) AJD]]+(TABL123[[#This Row],[AJD_Evaporation]])/1000)</f>
        <v>22.815000000000055</v>
      </c>
      <c r="AE280" s="68"/>
      <c r="AF280" s="68"/>
      <c r="AG280" s="68"/>
      <c r="AH280" s="6"/>
      <c r="AI280" s="78"/>
      <c r="AJ280" s="78">
        <f>TABL123[[#This Row],[(A/B) AJD]]-TABL123[[#This Row],[BER_IN]]</f>
        <v>551</v>
      </c>
      <c r="AK280" s="78"/>
      <c r="AL280" s="68"/>
      <c r="AM280" s="87"/>
      <c r="AN280" s="87">
        <f>TABL123[[#This Row],[ (RESV. STORGE) SER]]/10</f>
        <v>0</v>
      </c>
      <c r="AO280" s="6"/>
      <c r="AP280" s="32">
        <f>TABL123[[#This Row],[(A/S) AJD]]-TABL123[[#This Row],[SER_IN]]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 (T/B) SAR]]+TABL123[[#This Row],[ (S/S) SAR]]</f>
        <v>0</v>
      </c>
      <c r="L281" s="28"/>
      <c r="M281" s="29"/>
      <c r="N281" s="30"/>
      <c r="O281" s="14">
        <v>402</v>
      </c>
      <c r="P281" s="9">
        <f>TABL123[[#This Row],[ (S/S) SAR]]-TABL123[[#This Row],[(S/S) AJD]]</f>
        <v>-402</v>
      </c>
      <c r="Q281" s="14">
        <v>435</v>
      </c>
      <c r="R281" s="9">
        <f>TABL123[[#This Row],[ (T/B) SAR]]-TABL123[[#This Row],[(T/B) AJD]]</f>
        <v>-435</v>
      </c>
      <c r="S281" s="9">
        <f>TABL123[[#This Row],[T/B-CON.]]+TABL123[[#This Row],[S/S_CON.]]</f>
        <v>-837</v>
      </c>
      <c r="T281" s="9">
        <f>TABL123[[#This Row],[(S/S) AJD]]+TABL123[[#This Row],[(T/B) AJD]]</f>
        <v>837</v>
      </c>
      <c r="U281" s="14">
        <v>545</v>
      </c>
      <c r="V281" s="14">
        <v>257</v>
      </c>
      <c r="W281" s="9">
        <f>TABL123[[#This Row],[(A/B) AJD]]+TABL123[[#This Row],[(A/S)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3">
        <f>TABL123[[#This Row],[( S/S+T/B) AJD]]-(TABL123[[#This Row],[(A/B + A/S) AJD]]+TABL123[[#This Row],[(STORGE DIFF.) AJD]]+(TABL123[[#This Row],[AJD_Evaporation]])/1000)</f>
        <v>35</v>
      </c>
      <c r="AE281" s="68"/>
      <c r="AF281" s="68"/>
      <c r="AG281" s="68"/>
      <c r="AH281" s="6"/>
      <c r="AI281" s="78"/>
      <c r="AJ281" s="78">
        <f>TABL123[[#This Row],[(A/B) AJD]]-TABL123[[#This Row],[BER_IN]]</f>
        <v>545</v>
      </c>
      <c r="AK281" s="78"/>
      <c r="AL281" s="68"/>
      <c r="AM281" s="87"/>
      <c r="AN281" s="87">
        <f>TABL123[[#This Row],[ (RESV. STORGE) SER]]/10</f>
        <v>0</v>
      </c>
      <c r="AO281" s="6"/>
      <c r="AP281" s="32">
        <f>TABL123[[#This Row],[(A/S) AJD]]-TABL123[[#This Row],[SER_IN]]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 (T/B) SAR]]+TABL123[[#This Row],[ (S/S) SAR]]</f>
        <v>0</v>
      </c>
      <c r="L282" s="28"/>
      <c r="M282" s="29"/>
      <c r="N282" s="30"/>
      <c r="O282" s="14">
        <v>402</v>
      </c>
      <c r="P282" s="9">
        <f>TABL123[[#This Row],[ (S/S) SAR]]-TABL123[[#This Row],[(S/S) AJD]]</f>
        <v>-402</v>
      </c>
      <c r="Q282" s="14">
        <v>433</v>
      </c>
      <c r="R282" s="9">
        <f>TABL123[[#This Row],[ (T/B) SAR]]-TABL123[[#This Row],[(T/B) AJD]]</f>
        <v>-433</v>
      </c>
      <c r="S282" s="9">
        <f>TABL123[[#This Row],[T/B-CON.]]+TABL123[[#This Row],[S/S_CON.]]</f>
        <v>-835</v>
      </c>
      <c r="T282" s="9">
        <f>TABL123[[#This Row],[(S/S) AJD]]+TABL123[[#This Row],[(T/B) AJD]]</f>
        <v>835</v>
      </c>
      <c r="U282" s="14">
        <v>543</v>
      </c>
      <c r="V282" s="14">
        <v>254</v>
      </c>
      <c r="W282" s="9">
        <f>TABL123[[#This Row],[(A/B) AJD]]+TABL123[[#This Row],[(A/S)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3">
        <f>TABL123[[#This Row],[( S/S+T/B) AJD]]-(TABL123[[#This Row],[(A/B + A/S) AJD]]+TABL123[[#This Row],[(STORGE DIFF.) AJD]]+(TABL123[[#This Row],[AJD_Evaporation]])/1000)</f>
        <v>39.19399999999996</v>
      </c>
      <c r="AE282" s="68"/>
      <c r="AF282" s="68"/>
      <c r="AG282" s="68"/>
      <c r="AH282" s="6"/>
      <c r="AI282" s="78"/>
      <c r="AJ282" s="78">
        <f>TABL123[[#This Row],[(A/B) AJD]]-TABL123[[#This Row],[BER_IN]]</f>
        <v>543</v>
      </c>
      <c r="AK282" s="78"/>
      <c r="AL282" s="68"/>
      <c r="AM282" s="87"/>
      <c r="AN282" s="87">
        <f>TABL123[[#This Row],[ (RESV. STORGE) SER]]/10</f>
        <v>0</v>
      </c>
      <c r="AO282" s="6"/>
      <c r="AP282" s="32">
        <f>TABL123[[#This Row],[(A/S) AJD]]-TABL123[[#This Row],[SER_IN]]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 (T/B) SAR]]+TABL123[[#This Row],[ (S/S) SAR]]</f>
        <v>0</v>
      </c>
      <c r="L283" s="28"/>
      <c r="M283" s="29"/>
      <c r="N283" s="30"/>
      <c r="O283" s="14">
        <v>401</v>
      </c>
      <c r="P283" s="9">
        <f>TABL123[[#This Row],[ (S/S) SAR]]-TABL123[[#This Row],[(S/S) AJD]]</f>
        <v>-401</v>
      </c>
      <c r="Q283" s="14">
        <v>432</v>
      </c>
      <c r="R283" s="9">
        <f>TABL123[[#This Row],[ (T/B) SAR]]-TABL123[[#This Row],[(T/B) AJD]]</f>
        <v>-432</v>
      </c>
      <c r="S283" s="9">
        <f>TABL123[[#This Row],[T/B-CON.]]+TABL123[[#This Row],[S/S_CON.]]</f>
        <v>-833</v>
      </c>
      <c r="T283" s="9">
        <f>TABL123[[#This Row],[(S/S) AJD]]+TABL123[[#This Row],[(T/B) AJD]]</f>
        <v>833</v>
      </c>
      <c r="U283" s="14">
        <v>552</v>
      </c>
      <c r="V283" s="14">
        <v>248</v>
      </c>
      <c r="W283" s="9">
        <f>TABL123[[#This Row],[(A/B) AJD]]+TABL123[[#This Row],[(A/S)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3">
        <f>TABL123[[#This Row],[( S/S+T/B) AJD]]-(TABL123[[#This Row],[(A/B + A/S) AJD]]+TABL123[[#This Row],[(STORGE DIFF.) AJD]]+(TABL123[[#This Row],[AJD_Evaporation]])/1000)</f>
        <v>24.038000000000011</v>
      </c>
      <c r="AE283" s="68"/>
      <c r="AF283" s="68"/>
      <c r="AG283" s="68"/>
      <c r="AH283" s="6"/>
      <c r="AI283" s="78"/>
      <c r="AJ283" s="78">
        <f>TABL123[[#This Row],[(A/B) AJD]]-TABL123[[#This Row],[BER_IN]]</f>
        <v>552</v>
      </c>
      <c r="AK283" s="78"/>
      <c r="AL283" s="68"/>
      <c r="AM283" s="87"/>
      <c r="AN283" s="87">
        <f>TABL123[[#This Row],[ (RESV. STORGE) SER]]/10</f>
        <v>0</v>
      </c>
      <c r="AO283" s="6"/>
      <c r="AP283" s="32">
        <f>TABL123[[#This Row],[(A/S) AJD]]-TABL123[[#This Row],[SER_IN]]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 (T/B) SAR]]+TABL123[[#This Row],[ (S/S) SAR]]</f>
        <v>0</v>
      </c>
      <c r="L284" s="28"/>
      <c r="M284" s="29"/>
      <c r="N284" s="30"/>
      <c r="O284" s="14">
        <v>399</v>
      </c>
      <c r="P284" s="9">
        <f>TABL123[[#This Row],[ (S/S) SAR]]-TABL123[[#This Row],[(S/S) AJD]]</f>
        <v>-399</v>
      </c>
      <c r="Q284" s="14">
        <v>432</v>
      </c>
      <c r="R284" s="9">
        <f>TABL123[[#This Row],[ (T/B) SAR]]-TABL123[[#This Row],[(T/B) AJD]]</f>
        <v>-432</v>
      </c>
      <c r="S284" s="9">
        <f>TABL123[[#This Row],[T/B-CON.]]+TABL123[[#This Row],[S/S_CON.]]</f>
        <v>-831</v>
      </c>
      <c r="T284" s="9">
        <f>TABL123[[#This Row],[(S/S) AJD]]+TABL123[[#This Row],[(T/B) AJD]]</f>
        <v>831</v>
      </c>
      <c r="U284" s="14">
        <v>549</v>
      </c>
      <c r="V284" s="14">
        <v>241</v>
      </c>
      <c r="W284" s="9">
        <f>TABL123[[#This Row],[(A/B) AJD]]+TABL123[[#This Row],[(A/S)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3">
        <f>TABL123[[#This Row],[( S/S+T/B) AJD]]-(TABL123[[#This Row],[(A/B + A/S) AJD]]+TABL123[[#This Row],[(STORGE DIFF.) AJD]]+(TABL123[[#This Row],[AJD_Evaporation]])/1000)</f>
        <v>33.827999999999975</v>
      </c>
      <c r="AE284" s="68"/>
      <c r="AF284" s="68"/>
      <c r="AG284" s="68"/>
      <c r="AH284" s="6"/>
      <c r="AI284" s="78"/>
      <c r="AJ284" s="78">
        <f>TABL123[[#This Row],[(A/B) AJD]]-TABL123[[#This Row],[BER_IN]]</f>
        <v>549</v>
      </c>
      <c r="AK284" s="78"/>
      <c r="AL284" s="68"/>
      <c r="AM284" s="87"/>
      <c r="AN284" s="87">
        <f>TABL123[[#This Row],[ (RESV. STORGE) SER]]/10</f>
        <v>0</v>
      </c>
      <c r="AO284" s="6"/>
      <c r="AP284" s="32">
        <f>TABL123[[#This Row],[(A/S) AJD]]-TABL123[[#This Row],[SER_IN]]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 (T/B) SAR]]+TABL123[[#This Row],[ (S/S) SAR]]</f>
        <v>0</v>
      </c>
      <c r="L285" s="28"/>
      <c r="M285" s="29"/>
      <c r="N285" s="30"/>
      <c r="O285" s="14">
        <v>395</v>
      </c>
      <c r="P285" s="9">
        <f>TABL123[[#This Row],[ (S/S) SAR]]-TABL123[[#This Row],[(S/S) AJD]]</f>
        <v>-395</v>
      </c>
      <c r="Q285" s="14">
        <v>429</v>
      </c>
      <c r="R285" s="9">
        <f>TABL123[[#This Row],[ (T/B) SAR]]-TABL123[[#This Row],[(T/B) AJD]]</f>
        <v>-429</v>
      </c>
      <c r="S285" s="9">
        <f>TABL123[[#This Row],[T/B-CON.]]+TABL123[[#This Row],[S/S_CON.]]</f>
        <v>-824</v>
      </c>
      <c r="T285" s="9">
        <f>TABL123[[#This Row],[(S/S) AJD]]+TABL123[[#This Row],[(T/B) AJD]]</f>
        <v>824</v>
      </c>
      <c r="U285" s="14">
        <v>548</v>
      </c>
      <c r="V285" s="14">
        <v>237</v>
      </c>
      <c r="W285" s="9">
        <f>TABL123[[#This Row],[(A/B) AJD]]+TABL123[[#This Row],[(A/S)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3">
        <f>TABL123[[#This Row],[( S/S+T/B) AJD]]-(TABL123[[#This Row],[(A/B + A/S) AJD]]+TABL123[[#This Row],[(STORGE DIFF.) AJD]]+(TABL123[[#This Row],[AJD_Evaporation]])/1000)</f>
        <v>25.254000000000019</v>
      </c>
      <c r="AE285" s="68"/>
      <c r="AF285" s="68"/>
      <c r="AG285" s="68"/>
      <c r="AH285" s="6"/>
      <c r="AI285" s="78"/>
      <c r="AJ285" s="78">
        <f>TABL123[[#This Row],[(A/B) AJD]]-TABL123[[#This Row],[BER_IN]]</f>
        <v>548</v>
      </c>
      <c r="AK285" s="78"/>
      <c r="AL285" s="68"/>
      <c r="AM285" s="87"/>
      <c r="AN285" s="87">
        <f>TABL123[[#This Row],[ (RESV. STORGE) SER]]/10</f>
        <v>0</v>
      </c>
      <c r="AO285" s="6"/>
      <c r="AP285" s="32">
        <f>TABL123[[#This Row],[(A/S) AJD]]-TABL123[[#This Row],[SER_IN]]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 (T/B) SAR]]+TABL123[[#This Row],[ (S/S) SAR]]</f>
        <v>0</v>
      </c>
      <c r="L286" s="28"/>
      <c r="M286" s="29"/>
      <c r="N286" s="30"/>
      <c r="O286" s="14">
        <v>395</v>
      </c>
      <c r="P286" s="9">
        <f>TABL123[[#This Row],[ (S/S) SAR]]-TABL123[[#This Row],[(S/S) AJD]]</f>
        <v>-395</v>
      </c>
      <c r="Q286" s="14">
        <v>428</v>
      </c>
      <c r="R286" s="9">
        <f>TABL123[[#This Row],[ (T/B) SAR]]-TABL123[[#This Row],[(T/B) AJD]]</f>
        <v>-428</v>
      </c>
      <c r="S286" s="9">
        <f>TABL123[[#This Row],[T/B-CON.]]+TABL123[[#This Row],[S/S_CON.]]</f>
        <v>-823</v>
      </c>
      <c r="T286" s="9">
        <f>TABL123[[#This Row],[(S/S) AJD]]+TABL123[[#This Row],[(T/B) AJD]]</f>
        <v>823</v>
      </c>
      <c r="U286" s="14">
        <v>548</v>
      </c>
      <c r="V286" s="14">
        <v>244</v>
      </c>
      <c r="W286" s="9">
        <f>TABL123[[#This Row],[(A/B) AJD]]+TABL123[[#This Row],[(A/S)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3">
        <f>TABL123[[#This Row],[( S/S+T/B) AJD]]-(TABL123[[#This Row],[(A/B + A/S) AJD]]+TABL123[[#This Row],[(STORGE DIFF.) AJD]]+(TABL123[[#This Row],[AJD_Evaporation]])/1000)</f>
        <v>25.019000000000005</v>
      </c>
      <c r="AE286" s="68"/>
      <c r="AF286" s="68"/>
      <c r="AG286" s="68"/>
      <c r="AH286" s="6"/>
      <c r="AI286" s="78"/>
      <c r="AJ286" s="78">
        <f>TABL123[[#This Row],[(A/B) AJD]]-TABL123[[#This Row],[BER_IN]]</f>
        <v>548</v>
      </c>
      <c r="AK286" s="78"/>
      <c r="AL286" s="68"/>
      <c r="AM286" s="87"/>
      <c r="AN286" s="87">
        <f>TABL123[[#This Row],[ (RESV. STORGE) SER]]/10</f>
        <v>0</v>
      </c>
      <c r="AO286" s="6"/>
      <c r="AP286" s="32">
        <f>TABL123[[#This Row],[(A/S) AJD]]-TABL123[[#This Row],[SER_IN]]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 (T/B) SAR]]+TABL123[[#This Row],[ (S/S) SAR]]</f>
        <v>0</v>
      </c>
      <c r="L287" s="28"/>
      <c r="M287" s="29"/>
      <c r="N287" s="30"/>
      <c r="O287" s="14">
        <v>397</v>
      </c>
      <c r="P287" s="9">
        <f>TABL123[[#This Row],[ (S/S) SAR]]-TABL123[[#This Row],[(S/S) AJD]]</f>
        <v>-397</v>
      </c>
      <c r="Q287" s="14">
        <v>428</v>
      </c>
      <c r="R287" s="9">
        <f>TABL123[[#This Row],[ (T/B) SAR]]-TABL123[[#This Row],[(T/B) AJD]]</f>
        <v>-428</v>
      </c>
      <c r="S287" s="9">
        <f>TABL123[[#This Row],[T/B-CON.]]+TABL123[[#This Row],[S/S_CON.]]</f>
        <v>-825</v>
      </c>
      <c r="T287" s="9">
        <f>TABL123[[#This Row],[(S/S) AJD]]+TABL123[[#This Row],[(T/B) AJD]]</f>
        <v>825</v>
      </c>
      <c r="U287" s="14">
        <v>561</v>
      </c>
      <c r="V287" s="14">
        <v>261</v>
      </c>
      <c r="W287" s="9">
        <f>TABL123[[#This Row],[(A/B) AJD]]+TABL123[[#This Row],[(A/S)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3">
        <f>TABL123[[#This Row],[( S/S+T/B) AJD]]-(TABL123[[#This Row],[(A/B + A/S) AJD]]+TABL123[[#This Row],[(STORGE DIFF.) AJD]]+(TABL123[[#This Row],[AJD_Evaporation]])/1000)</f>
        <v>34.691000000000031</v>
      </c>
      <c r="AE287" s="68"/>
      <c r="AF287" s="68"/>
      <c r="AG287" s="68"/>
      <c r="AH287" s="6"/>
      <c r="AI287" s="78"/>
      <c r="AJ287" s="78">
        <f>TABL123[[#This Row],[(A/B) AJD]]-TABL123[[#This Row],[BER_IN]]</f>
        <v>561</v>
      </c>
      <c r="AK287" s="78"/>
      <c r="AL287" s="68"/>
      <c r="AM287" s="87"/>
      <c r="AN287" s="87">
        <f>TABL123[[#This Row],[ (RESV. STORGE) SER]]/10</f>
        <v>0</v>
      </c>
      <c r="AO287" s="6"/>
      <c r="AP287" s="32">
        <f>TABL123[[#This Row],[(A/S) AJD]]-TABL123[[#This Row],[SER_IN]]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 (T/B) SAR]]+TABL123[[#This Row],[ (S/S) SAR]]</f>
        <v>0</v>
      </c>
      <c r="L288" s="28"/>
      <c r="M288" s="29"/>
      <c r="N288" s="30"/>
      <c r="O288" s="14">
        <v>398</v>
      </c>
      <c r="P288" s="9">
        <f>TABL123[[#This Row],[ (S/S) SAR]]-TABL123[[#This Row],[(S/S) AJD]]</f>
        <v>-398</v>
      </c>
      <c r="Q288" s="14">
        <v>428</v>
      </c>
      <c r="R288" s="9">
        <f>TABL123[[#This Row],[ (T/B) SAR]]-TABL123[[#This Row],[(T/B) AJD]]</f>
        <v>-428</v>
      </c>
      <c r="S288" s="9">
        <f>TABL123[[#This Row],[T/B-CON.]]+TABL123[[#This Row],[S/S_CON.]]</f>
        <v>-826</v>
      </c>
      <c r="T288" s="9">
        <f>TABL123[[#This Row],[(S/S) AJD]]+TABL123[[#This Row],[(T/B) AJD]]</f>
        <v>826</v>
      </c>
      <c r="U288" s="14">
        <v>561</v>
      </c>
      <c r="V288" s="14">
        <v>266</v>
      </c>
      <c r="W288" s="9">
        <f>TABL123[[#This Row],[(A/B) AJD]]+TABL123[[#This Row],[(A/S)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3">
        <f>TABL123[[#This Row],[( S/S+T/B) AJD]]-(TABL123[[#This Row],[(A/B + A/S) AJD]]+TABL123[[#This Row],[(STORGE DIFF.) AJD]]+(TABL123[[#This Row],[AJD_Evaporation]])/1000)</f>
        <v>15.129999999999995</v>
      </c>
      <c r="AE288" s="68"/>
      <c r="AF288" s="68"/>
      <c r="AG288" s="68"/>
      <c r="AH288" s="6"/>
      <c r="AI288" s="78"/>
      <c r="AJ288" s="78">
        <f>TABL123[[#This Row],[(A/B) AJD]]-TABL123[[#This Row],[BER_IN]]</f>
        <v>561</v>
      </c>
      <c r="AK288" s="78"/>
      <c r="AL288" s="68"/>
      <c r="AM288" s="87"/>
      <c r="AN288" s="87">
        <f>TABL123[[#This Row],[ (RESV. STORGE) SER]]/10</f>
        <v>0</v>
      </c>
      <c r="AO288" s="6"/>
      <c r="AP288" s="32">
        <f>TABL123[[#This Row],[(A/S) AJD]]-TABL123[[#This Row],[SER_IN]]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 (T/B) SAR]]+TABL123[[#This Row],[ (S/S) SAR]]</f>
        <v>0</v>
      </c>
      <c r="L289" s="28"/>
      <c r="M289" s="29"/>
      <c r="N289" s="30"/>
      <c r="O289" s="14">
        <v>402</v>
      </c>
      <c r="P289" s="9">
        <f>TABL123[[#This Row],[ (S/S) SAR]]-TABL123[[#This Row],[(S/S) AJD]]</f>
        <v>-402</v>
      </c>
      <c r="Q289" s="14">
        <v>430</v>
      </c>
      <c r="R289" s="9">
        <f>TABL123[[#This Row],[ (T/B) SAR]]-TABL123[[#This Row],[(T/B) AJD]]</f>
        <v>-430</v>
      </c>
      <c r="S289" s="9">
        <f>TABL123[[#This Row],[T/B-CON.]]+TABL123[[#This Row],[S/S_CON.]]</f>
        <v>-832</v>
      </c>
      <c r="T289" s="9">
        <f>TABL123[[#This Row],[(S/S) AJD]]+TABL123[[#This Row],[(T/B) AJD]]</f>
        <v>832</v>
      </c>
      <c r="U289" s="14">
        <v>563</v>
      </c>
      <c r="V289" s="14">
        <v>278</v>
      </c>
      <c r="W289" s="9">
        <f>TABL123[[#This Row],[(A/B) AJD]]+TABL123[[#This Row],[(A/S)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3">
        <f>TABL123[[#This Row],[( S/S+T/B) AJD]]-(TABL123[[#This Row],[(A/B + A/S) AJD]]+TABL123[[#This Row],[(STORGE DIFF.) AJD]]+(TABL123[[#This Row],[AJD_Evaporation]])/1000)</f>
        <v>38.749000000000024</v>
      </c>
      <c r="AE289" s="68"/>
      <c r="AF289" s="68"/>
      <c r="AG289" s="68"/>
      <c r="AH289" s="6"/>
      <c r="AI289" s="78"/>
      <c r="AJ289" s="78">
        <f>TABL123[[#This Row],[(A/B) AJD]]-TABL123[[#This Row],[BER_IN]]</f>
        <v>563</v>
      </c>
      <c r="AK289" s="78"/>
      <c r="AL289" s="68"/>
      <c r="AM289" s="87"/>
      <c r="AN289" s="87">
        <f>TABL123[[#This Row],[ (RESV. STORGE) SER]]/10</f>
        <v>0</v>
      </c>
      <c r="AO289" s="6"/>
      <c r="AP289" s="32">
        <f>TABL123[[#This Row],[(A/S) AJD]]-TABL123[[#This Row],[SER_IN]]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 (T/B) SAR]]+TABL123[[#This Row],[ (S/S) SAR]]</f>
        <v>0</v>
      </c>
      <c r="L290" s="28"/>
      <c r="M290" s="29"/>
      <c r="N290" s="30"/>
      <c r="O290" s="14">
        <v>398</v>
      </c>
      <c r="P290" s="9">
        <f>TABL123[[#This Row],[ (S/S) SAR]]-TABL123[[#This Row],[(S/S) AJD]]</f>
        <v>-398</v>
      </c>
      <c r="Q290" s="14">
        <v>429</v>
      </c>
      <c r="R290" s="9">
        <f>TABL123[[#This Row],[ (T/B) SAR]]-TABL123[[#This Row],[(T/B) AJD]]</f>
        <v>-429</v>
      </c>
      <c r="S290" s="9">
        <f>TABL123[[#This Row],[T/B-CON.]]+TABL123[[#This Row],[S/S_CON.]]</f>
        <v>-827</v>
      </c>
      <c r="T290" s="9">
        <f>TABL123[[#This Row],[(S/S) AJD]]+TABL123[[#This Row],[(T/B) AJD]]</f>
        <v>827</v>
      </c>
      <c r="U290" s="14">
        <v>558</v>
      </c>
      <c r="V290" s="14">
        <v>253</v>
      </c>
      <c r="W290" s="9">
        <f>TABL123[[#This Row],[(A/B) AJD]]+TABL123[[#This Row],[(A/S)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3">
        <f>TABL123[[#This Row],[( S/S+T/B) AJD]]-(TABL123[[#This Row],[(A/B + A/S) AJD]]+TABL123[[#This Row],[(STORGE DIFF.) AJD]]+(TABL123[[#This Row],[AJD_Evaporation]])/1000)</f>
        <v>21.962999999999965</v>
      </c>
      <c r="AE290" s="68"/>
      <c r="AF290" s="68"/>
      <c r="AG290" s="68"/>
      <c r="AH290" s="6"/>
      <c r="AI290" s="78"/>
      <c r="AJ290" s="78">
        <f>TABL123[[#This Row],[(A/B) AJD]]-TABL123[[#This Row],[BER_IN]]</f>
        <v>558</v>
      </c>
      <c r="AK290" s="78"/>
      <c r="AL290" s="68"/>
      <c r="AM290" s="87"/>
      <c r="AN290" s="87">
        <f>TABL123[[#This Row],[ (RESV. STORGE) SER]]/10</f>
        <v>0</v>
      </c>
      <c r="AO290" s="6"/>
      <c r="AP290" s="32">
        <f>TABL123[[#This Row],[(A/S) AJD]]-TABL123[[#This Row],[SER_IN]]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 (T/B) SAR]]+TABL123[[#This Row],[ (S/S) SAR]]</f>
        <v>0</v>
      </c>
      <c r="L291" s="28"/>
      <c r="M291" s="29"/>
      <c r="N291" s="30"/>
      <c r="O291" s="14">
        <v>397</v>
      </c>
      <c r="P291" s="9">
        <f>TABL123[[#This Row],[ (S/S) SAR]]-TABL123[[#This Row],[(S/S) AJD]]</f>
        <v>-397</v>
      </c>
      <c r="Q291" s="14">
        <v>428</v>
      </c>
      <c r="R291" s="9">
        <f>TABL123[[#This Row],[ (T/B) SAR]]-TABL123[[#This Row],[(T/B) AJD]]</f>
        <v>-428</v>
      </c>
      <c r="S291" s="9">
        <f>TABL123[[#This Row],[T/B-CON.]]+TABL123[[#This Row],[S/S_CON.]]</f>
        <v>-825</v>
      </c>
      <c r="T291" s="9">
        <f>TABL123[[#This Row],[(S/S) AJD]]+TABL123[[#This Row],[(T/B) AJD]]</f>
        <v>825</v>
      </c>
      <c r="U291" s="14">
        <v>558</v>
      </c>
      <c r="V291" s="14">
        <v>224</v>
      </c>
      <c r="W291" s="9">
        <f>TABL123[[#This Row],[(A/B) AJD]]+TABL123[[#This Row],[(A/S)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3">
        <f>TABL123[[#This Row],[( S/S+T/B) AJD]]-(TABL123[[#This Row],[(A/B + A/S) AJD]]+TABL123[[#This Row],[(STORGE DIFF.) AJD]]+(TABL123[[#This Row],[AJD_Evaporation]])/1000)</f>
        <v>32.857999999999947</v>
      </c>
      <c r="AE291" s="68"/>
      <c r="AF291" s="68"/>
      <c r="AG291" s="68"/>
      <c r="AH291" s="6"/>
      <c r="AI291" s="78"/>
      <c r="AJ291" s="78">
        <f>TABL123[[#This Row],[(A/B) AJD]]-TABL123[[#This Row],[BER_IN]]</f>
        <v>558</v>
      </c>
      <c r="AK291" s="78"/>
      <c r="AL291" s="68"/>
      <c r="AM291" s="87"/>
      <c r="AN291" s="87">
        <f>TABL123[[#This Row],[ (RESV. STORGE) SER]]/10</f>
        <v>0</v>
      </c>
      <c r="AO291" s="6"/>
      <c r="AP291" s="32">
        <f>TABL123[[#This Row],[(A/S) AJD]]-TABL123[[#This Row],[SER_IN]]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 (T/B) SAR]]+TABL123[[#This Row],[ (S/S) SAR]]</f>
        <v>0</v>
      </c>
      <c r="L292" s="28"/>
      <c r="M292" s="29"/>
      <c r="N292" s="30"/>
      <c r="O292" s="14">
        <v>393</v>
      </c>
      <c r="P292" s="9">
        <f>TABL123[[#This Row],[ (S/S) SAR]]-TABL123[[#This Row],[(S/S) AJD]]</f>
        <v>-393</v>
      </c>
      <c r="Q292" s="14">
        <v>426</v>
      </c>
      <c r="R292" s="9">
        <f>TABL123[[#This Row],[ (T/B) SAR]]-TABL123[[#This Row],[(T/B) AJD]]</f>
        <v>-426</v>
      </c>
      <c r="S292" s="9">
        <f>TABL123[[#This Row],[T/B-CON.]]+TABL123[[#This Row],[S/S_CON.]]</f>
        <v>-819</v>
      </c>
      <c r="T292" s="9">
        <f>TABL123[[#This Row],[(S/S) AJD]]+TABL123[[#This Row],[(T/B) AJD]]</f>
        <v>819</v>
      </c>
      <c r="U292" s="14">
        <v>565</v>
      </c>
      <c r="V292" s="14">
        <v>217</v>
      </c>
      <c r="W292" s="9">
        <f>TABL123[[#This Row],[(A/B) AJD]]+TABL123[[#This Row],[(A/S)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3">
        <f>TABL123[[#This Row],[( S/S+T/B) AJD]]-(TABL123[[#This Row],[(A/B + A/S) AJD]]+TABL123[[#This Row],[(STORGE DIFF.) AJD]]+(TABL123[[#This Row],[AJD_Evaporation]])/1000)</f>
        <v>20.289999999999964</v>
      </c>
      <c r="AE292" s="68"/>
      <c r="AF292" s="68"/>
      <c r="AG292" s="68"/>
      <c r="AH292" s="6"/>
      <c r="AI292" s="78"/>
      <c r="AJ292" s="78">
        <f>TABL123[[#This Row],[(A/B) AJD]]-TABL123[[#This Row],[BER_IN]]</f>
        <v>565</v>
      </c>
      <c r="AK292" s="78"/>
      <c r="AL292" s="68"/>
      <c r="AM292" s="87"/>
      <c r="AN292" s="87">
        <f>TABL123[[#This Row],[ (RESV. STORGE) SER]]/10</f>
        <v>0</v>
      </c>
      <c r="AO292" s="6"/>
      <c r="AP292" s="32">
        <f>TABL123[[#This Row],[(A/S) AJD]]-TABL123[[#This Row],[SER_IN]]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 (T/B) SAR]]+TABL123[[#This Row],[ (S/S) SAR]]</f>
        <v>0</v>
      </c>
      <c r="L293" s="28"/>
      <c r="M293" s="29"/>
      <c r="N293" s="30"/>
      <c r="O293" s="14">
        <v>387</v>
      </c>
      <c r="P293" s="9">
        <f>TABL123[[#This Row],[ (S/S) SAR]]-TABL123[[#This Row],[(S/S) AJD]]</f>
        <v>-387</v>
      </c>
      <c r="Q293" s="14">
        <v>417</v>
      </c>
      <c r="R293" s="9">
        <f>TABL123[[#This Row],[ (T/B) SAR]]-TABL123[[#This Row],[(T/B) AJD]]</f>
        <v>-417</v>
      </c>
      <c r="S293" s="9">
        <f>TABL123[[#This Row],[T/B-CON.]]+TABL123[[#This Row],[S/S_CON.]]</f>
        <v>-804</v>
      </c>
      <c r="T293" s="9">
        <f>TABL123[[#This Row],[(S/S) AJD]]+TABL123[[#This Row],[(T/B) AJD]]</f>
        <v>804</v>
      </c>
      <c r="U293" s="14">
        <v>568</v>
      </c>
      <c r="V293" s="14">
        <v>216</v>
      </c>
      <c r="W293" s="9">
        <f>TABL123[[#This Row],[(A/B) AJD]]+TABL123[[#This Row],[(A/S)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3">
        <f>TABL123[[#This Row],[( S/S+T/B) AJD]]-(TABL123[[#This Row],[(A/B + A/S) AJD]]+TABL123[[#This Row],[(STORGE DIFF.) AJD]]+(TABL123[[#This Row],[AJD_Evaporation]])/1000)</f>
        <v>30.740999999999985</v>
      </c>
      <c r="AE293" s="68"/>
      <c r="AF293" s="68"/>
      <c r="AG293" s="68"/>
      <c r="AH293" s="6"/>
      <c r="AI293" s="78"/>
      <c r="AJ293" s="78">
        <f>TABL123[[#This Row],[(A/B) AJD]]-TABL123[[#This Row],[BER_IN]]</f>
        <v>568</v>
      </c>
      <c r="AK293" s="78"/>
      <c r="AL293" s="68"/>
      <c r="AM293" s="87"/>
      <c r="AN293" s="87">
        <f>TABL123[[#This Row],[ (RESV. STORGE) SER]]/10</f>
        <v>0</v>
      </c>
      <c r="AO293" s="6"/>
      <c r="AP293" s="32">
        <f>TABL123[[#This Row],[(A/S) AJD]]-TABL123[[#This Row],[SER_IN]]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 (T/B) SAR]]+TABL123[[#This Row],[ (S/S) SAR]]</f>
        <v>0</v>
      </c>
      <c r="L294" s="28"/>
      <c r="M294" s="29"/>
      <c r="N294" s="30"/>
      <c r="O294" s="14">
        <v>379</v>
      </c>
      <c r="P294" s="9">
        <f>TABL123[[#This Row],[ (S/S) SAR]]-TABL123[[#This Row],[(S/S) AJD]]</f>
        <v>-379</v>
      </c>
      <c r="Q294" s="14">
        <v>409</v>
      </c>
      <c r="R294" s="9">
        <f>TABL123[[#This Row],[ (T/B) SAR]]-TABL123[[#This Row],[(T/B) AJD]]</f>
        <v>-409</v>
      </c>
      <c r="S294" s="9">
        <f>TABL123[[#This Row],[T/B-CON.]]+TABL123[[#This Row],[S/S_CON.]]</f>
        <v>-788</v>
      </c>
      <c r="T294" s="9">
        <f>TABL123[[#This Row],[(S/S) AJD]]+TABL123[[#This Row],[(T/B) AJD]]</f>
        <v>788</v>
      </c>
      <c r="U294" s="14">
        <v>564</v>
      </c>
      <c r="V294" s="14">
        <v>227</v>
      </c>
      <c r="W294" s="9">
        <f>TABL123[[#This Row],[(A/B) AJD]]+TABL123[[#This Row],[(A/S)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3">
        <f>TABL123[[#This Row],[( S/S+T/B) AJD]]-(TABL123[[#This Row],[(A/B + A/S) AJD]]+TABL123[[#This Row],[(STORGE DIFF.) AJD]]+(TABL123[[#This Row],[AJD_Evaporation]])/1000)</f>
        <v>29.811000000000035</v>
      </c>
      <c r="AE294" s="68"/>
      <c r="AF294" s="68"/>
      <c r="AG294" s="68"/>
      <c r="AH294" s="6"/>
      <c r="AI294" s="78"/>
      <c r="AJ294" s="78">
        <f>TABL123[[#This Row],[(A/B) AJD]]-TABL123[[#This Row],[BER_IN]]</f>
        <v>564</v>
      </c>
      <c r="AK294" s="78"/>
      <c r="AL294" s="68"/>
      <c r="AM294" s="87"/>
      <c r="AN294" s="87">
        <f>TABL123[[#This Row],[ (RESV. STORGE) SER]]/10</f>
        <v>0</v>
      </c>
      <c r="AO294" s="6"/>
      <c r="AP294" s="32">
        <f>TABL123[[#This Row],[(A/S) AJD]]-TABL123[[#This Row],[SER_IN]]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 (T/B) SAR]]+TABL123[[#This Row],[ (S/S) SAR]]</f>
        <v>0</v>
      </c>
      <c r="L295" s="28"/>
      <c r="M295" s="29"/>
      <c r="N295" s="30"/>
      <c r="O295" s="14">
        <v>381</v>
      </c>
      <c r="P295" s="9">
        <f>TABL123[[#This Row],[ (S/S) SAR]]-TABL123[[#This Row],[(S/S) AJD]]</f>
        <v>-381</v>
      </c>
      <c r="Q295" s="14">
        <v>412</v>
      </c>
      <c r="R295" s="9">
        <f>TABL123[[#This Row],[ (T/B) SAR]]-TABL123[[#This Row],[(T/B) AJD]]</f>
        <v>-412</v>
      </c>
      <c r="S295" s="9">
        <f>TABL123[[#This Row],[T/B-CON.]]+TABL123[[#This Row],[S/S_CON.]]</f>
        <v>-793</v>
      </c>
      <c r="T295" s="9">
        <f>TABL123[[#This Row],[(S/S) AJD]]+TABL123[[#This Row],[(T/B) AJD]]</f>
        <v>793</v>
      </c>
      <c r="U295" s="14">
        <v>565</v>
      </c>
      <c r="V295" s="14">
        <v>225</v>
      </c>
      <c r="W295" s="9">
        <f>TABL123[[#This Row],[(A/B) AJD]]+TABL123[[#This Row],[(A/S)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3">
        <f>TABL123[[#This Row],[( S/S+T/B) AJD]]-(TABL123[[#This Row],[(A/B + A/S) AJD]]+TABL123[[#This Row],[(STORGE DIFF.) AJD]]+(TABL123[[#This Row],[AJD_Evaporation]])/1000)</f>
        <v>33.999000000000024</v>
      </c>
      <c r="AE295" s="68"/>
      <c r="AF295" s="68"/>
      <c r="AG295" s="68"/>
      <c r="AH295" s="6"/>
      <c r="AI295" s="78"/>
      <c r="AJ295" s="78">
        <f>TABL123[[#This Row],[(A/B) AJD]]-TABL123[[#This Row],[BER_IN]]</f>
        <v>565</v>
      </c>
      <c r="AK295" s="78"/>
      <c r="AL295" s="68"/>
      <c r="AM295" s="87"/>
      <c r="AN295" s="87">
        <f>TABL123[[#This Row],[ (RESV. STORGE) SER]]/10</f>
        <v>0</v>
      </c>
      <c r="AO295" s="6"/>
      <c r="AP295" s="32">
        <f>TABL123[[#This Row],[(A/S) AJD]]-TABL123[[#This Row],[SER_IN]]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 (T/B) SAR]]+TABL123[[#This Row],[ (S/S) SAR]]</f>
        <v>0</v>
      </c>
      <c r="L296" s="28"/>
      <c r="M296" s="29"/>
      <c r="N296" s="30"/>
      <c r="O296" s="14">
        <v>382</v>
      </c>
      <c r="P296" s="9">
        <f>TABL123[[#This Row],[ (S/S) SAR]]-TABL123[[#This Row],[(S/S) AJD]]</f>
        <v>-382</v>
      </c>
      <c r="Q296" s="14">
        <v>412</v>
      </c>
      <c r="R296" s="9">
        <f>TABL123[[#This Row],[ (T/B) SAR]]-TABL123[[#This Row],[(T/B) AJD]]</f>
        <v>-412</v>
      </c>
      <c r="S296" s="9">
        <f>TABL123[[#This Row],[T/B-CON.]]+TABL123[[#This Row],[S/S_CON.]]</f>
        <v>-794</v>
      </c>
      <c r="T296" s="9">
        <f>TABL123[[#This Row],[(S/S) AJD]]+TABL123[[#This Row],[(T/B) AJD]]</f>
        <v>794</v>
      </c>
      <c r="U296" s="14">
        <v>558</v>
      </c>
      <c r="V296" s="14">
        <v>263</v>
      </c>
      <c r="W296" s="9">
        <f>TABL123[[#This Row],[(A/B) AJD]]+TABL123[[#This Row],[(A/S)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3">
        <f>TABL123[[#This Row],[( S/S+T/B) AJD]]-(TABL123[[#This Row],[(A/B + A/S) AJD]]+TABL123[[#This Row],[(STORGE DIFF.) AJD]]+(TABL123[[#This Row],[AJD_Evaporation]])/1000)</f>
        <v>20.647000000000048</v>
      </c>
      <c r="AE296" s="68"/>
      <c r="AF296" s="68"/>
      <c r="AG296" s="68"/>
      <c r="AH296" s="6"/>
      <c r="AI296" s="78"/>
      <c r="AJ296" s="78">
        <f>TABL123[[#This Row],[(A/B) AJD]]-TABL123[[#This Row],[BER_IN]]</f>
        <v>558</v>
      </c>
      <c r="AK296" s="78"/>
      <c r="AL296" s="68"/>
      <c r="AM296" s="87"/>
      <c r="AN296" s="87">
        <f>TABL123[[#This Row],[ (RESV. STORGE) SER]]/10</f>
        <v>0</v>
      </c>
      <c r="AO296" s="6"/>
      <c r="AP296" s="32">
        <f>TABL123[[#This Row],[(A/S) AJD]]-TABL123[[#This Row],[SER_IN]]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 (T/B) SAR]]+TABL123[[#This Row],[ (S/S) SAR]]</f>
        <v>0</v>
      </c>
      <c r="L297" s="28"/>
      <c r="M297" s="29"/>
      <c r="N297" s="30"/>
      <c r="O297" s="14">
        <v>383</v>
      </c>
      <c r="P297" s="9">
        <f>TABL123[[#This Row],[ (S/S) SAR]]-TABL123[[#This Row],[(S/S) AJD]]</f>
        <v>-383</v>
      </c>
      <c r="Q297" s="14">
        <v>411</v>
      </c>
      <c r="R297" s="9">
        <f>TABL123[[#This Row],[ (T/B) SAR]]-TABL123[[#This Row],[(T/B) AJD]]</f>
        <v>-411</v>
      </c>
      <c r="S297" s="9">
        <f>TABL123[[#This Row],[T/B-CON.]]+TABL123[[#This Row],[S/S_CON.]]</f>
        <v>-794</v>
      </c>
      <c r="T297" s="9">
        <f>TABL123[[#This Row],[(S/S) AJD]]+TABL123[[#This Row],[(T/B) AJD]]</f>
        <v>794</v>
      </c>
      <c r="U297" s="14">
        <v>551</v>
      </c>
      <c r="V297" s="14">
        <v>260</v>
      </c>
      <c r="W297" s="9">
        <f>TABL123[[#This Row],[(A/B) AJD]]+TABL123[[#This Row],[(A/S)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422229</v>
      </c>
      <c r="AA297" s="3">
        <f>TABL123[[#This Row],[(RESV. STORGE) AJD]]/10</f>
        <v>42222.9</v>
      </c>
      <c r="AB297" s="45">
        <f t="shared" si="14"/>
        <v>-42.835000000000001</v>
      </c>
      <c r="AC297" s="5"/>
      <c r="AD297" s="83">
        <f>TABL123[[#This Row],[( S/S+T/B) AJD]]-(TABL123[[#This Row],[(A/B + A/S) AJD]]+TABL123[[#This Row],[(STORGE DIFF.) AJD]]+(TABL123[[#This Row],[AJD_Evaporation]])/1000)</f>
        <v>25.835000000000036</v>
      </c>
      <c r="AE297" s="68"/>
      <c r="AF297" s="68"/>
      <c r="AG297" s="68"/>
      <c r="AH297" s="6"/>
      <c r="AI297" s="78"/>
      <c r="AJ297" s="78">
        <f>TABL123[[#This Row],[(A/B) AJD]]-TABL123[[#This Row],[BER_IN]]</f>
        <v>551</v>
      </c>
      <c r="AK297" s="78"/>
      <c r="AL297" s="68"/>
      <c r="AM297" s="87"/>
      <c r="AN297" s="87">
        <f>TABL123[[#This Row],[ (RESV. STORGE) SER]]/10</f>
        <v>0</v>
      </c>
      <c r="AO297" s="6"/>
      <c r="AP297" s="32">
        <f>TABL123[[#This Row],[(A/S) AJD]]-TABL123[[#This Row],[SER_IN]]</f>
        <v>260</v>
      </c>
    </row>
    <row r="298" spans="1:42" ht="19.5" thickBot="1" x14ac:dyDescent="0.35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 (T/B) SAR]]+TABL123[[#This Row],[ (S/S) SAR]]</f>
        <v>0</v>
      </c>
      <c r="L298" s="28"/>
      <c r="M298" s="29"/>
      <c r="N298" s="30"/>
      <c r="O298" s="14">
        <v>404</v>
      </c>
      <c r="P298" s="9">
        <f>TABL123[[#This Row],[ (S/S) SAR]]-TABL123[[#This Row],[(S/S) AJD]]</f>
        <v>-404</v>
      </c>
      <c r="Q298" s="14">
        <v>436</v>
      </c>
      <c r="R298" s="9">
        <f>TABL123[[#This Row],[ (T/B) SAR]]-TABL123[[#This Row],[(T/B) AJD]]</f>
        <v>-436</v>
      </c>
      <c r="S298" s="9">
        <f>TABL123[[#This Row],[T/B-CON.]]+TABL123[[#This Row],[S/S_CON.]]</f>
        <v>-840</v>
      </c>
      <c r="T298" s="9">
        <f>TABL123[[#This Row],[(S/S) AJD]]+TABL123[[#This Row],[(T/B) AJD]]</f>
        <v>840</v>
      </c>
      <c r="U298" s="14">
        <v>543</v>
      </c>
      <c r="V298" s="14">
        <v>257</v>
      </c>
      <c r="W298" s="9">
        <f>TABL123[[#This Row],[(A/B) AJD]]+TABL123[[#This Row],[(A/S) AJD]]</f>
        <v>800</v>
      </c>
      <c r="X298" s="9">
        <f>TABL123[[#This Row],[( S/S+T/B) AJD]]-TABL123[[#This Row],[(A/B + A/S) AJD]]</f>
        <v>40</v>
      </c>
      <c r="Y298" s="15">
        <v>92.41</v>
      </c>
      <c r="Z298" s="16">
        <v>443049</v>
      </c>
      <c r="AA298" s="3">
        <f>TABL123[[#This Row],[(RESV. STORGE) AJD]]/10</f>
        <v>44304.9</v>
      </c>
      <c r="AB298" s="45">
        <f t="shared" si="14"/>
        <v>20.82</v>
      </c>
      <c r="AC298" s="5"/>
      <c r="AD298" s="83">
        <f>TABL123[[#This Row],[( S/S+T/B) AJD]]-(TABL123[[#This Row],[(A/B + A/S) AJD]]+TABL123[[#This Row],[(STORGE DIFF.) AJD]]+(TABL123[[#This Row],[AJD_Evaporation]])/1000)</f>
        <v>19.17999999999995</v>
      </c>
      <c r="AE298" s="68"/>
      <c r="AF298" s="68"/>
      <c r="AG298" s="68"/>
      <c r="AH298" s="6"/>
      <c r="AI298" s="78"/>
      <c r="AJ298" s="78">
        <f>TABL123[[#This Row],[(A/B) AJD]]-TABL123[[#This Row],[BER_IN]]</f>
        <v>543</v>
      </c>
      <c r="AK298" s="78"/>
      <c r="AL298" s="68"/>
      <c r="AM298" s="87"/>
      <c r="AN298" s="87">
        <f>TABL123[[#This Row],[ (RESV. STORGE) SER]]/10</f>
        <v>0</v>
      </c>
      <c r="AO298" s="6"/>
      <c r="AP298" s="32">
        <f>TABL123[[#This Row],[(A/S) AJD]]-TABL123[[#This Row],[SER_IN]]</f>
        <v>257</v>
      </c>
    </row>
    <row r="299" spans="1:42" ht="19.5" thickBot="1" x14ac:dyDescent="0.35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 (T/B) SAR]]+TABL123[[#This Row],[ (S/S) SAR]]</f>
        <v>0</v>
      </c>
      <c r="L299" s="28"/>
      <c r="M299" s="29"/>
      <c r="N299" s="30"/>
      <c r="O299" s="14">
        <v>413</v>
      </c>
      <c r="P299" s="9">
        <f>TABL123[[#This Row],[ (S/S) SAR]]-TABL123[[#This Row],[(S/S) AJD]]</f>
        <v>-413</v>
      </c>
      <c r="Q299" s="14">
        <v>446</v>
      </c>
      <c r="R299" s="9">
        <f>TABL123[[#This Row],[ (T/B) SAR]]-TABL123[[#This Row],[(T/B) AJD]]</f>
        <v>-446</v>
      </c>
      <c r="S299" s="9">
        <f>TABL123[[#This Row],[T/B-CON.]]+TABL123[[#This Row],[S/S_CON.]]</f>
        <v>-859</v>
      </c>
      <c r="T299" s="9">
        <f>TABL123[[#This Row],[(S/S) AJD]]+TABL123[[#This Row],[(T/B) AJD]]</f>
        <v>859</v>
      </c>
      <c r="U299" s="14">
        <v>527</v>
      </c>
      <c r="V299" s="14">
        <v>264</v>
      </c>
      <c r="W299" s="9">
        <f>TABL123[[#This Row],[(A/B) AJD]]+TABL123[[#This Row],[(A/S) AJD]]</f>
        <v>791</v>
      </c>
      <c r="X299" s="9">
        <f>TABL123[[#This Row],[( S/S+T/B) AJD]]-TABL123[[#This Row],[(A/B + A/S) AJD]]</f>
        <v>68</v>
      </c>
      <c r="Y299" s="15">
        <v>92.474999999999994</v>
      </c>
      <c r="Z299" s="16">
        <v>481734</v>
      </c>
      <c r="AA299" s="3">
        <f>TABL123[[#This Row],[(RESV. STORGE) AJD]]/10</f>
        <v>48173.4</v>
      </c>
      <c r="AB299" s="45">
        <f t="shared" si="14"/>
        <v>38.685000000000002</v>
      </c>
      <c r="AC299" s="5"/>
      <c r="AD299" s="83">
        <f>TABL123[[#This Row],[( S/S+T/B) AJD]]-(TABL123[[#This Row],[(A/B + A/S) AJD]]+TABL123[[#This Row],[(STORGE DIFF.) AJD]]+(TABL123[[#This Row],[AJD_Evaporation]])/1000)</f>
        <v>29.315000000000055</v>
      </c>
      <c r="AE299" s="68"/>
      <c r="AF299" s="68"/>
      <c r="AG299" s="68"/>
      <c r="AH299" s="6"/>
      <c r="AI299" s="78"/>
      <c r="AJ299" s="78">
        <f>TABL123[[#This Row],[(A/B) AJD]]-TABL123[[#This Row],[BER_IN]]</f>
        <v>527</v>
      </c>
      <c r="AK299" s="78"/>
      <c r="AL299" s="68"/>
      <c r="AM299" s="87"/>
      <c r="AN299" s="87">
        <f>TABL123[[#This Row],[ (RESV. STORGE) SER]]/10</f>
        <v>0</v>
      </c>
      <c r="AO299" s="6"/>
      <c r="AP299" s="32">
        <f>TABL123[[#This Row],[(A/S) AJD]]-TABL123[[#This Row],[SER_IN]]</f>
        <v>264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 (T/B) SAR]]+TABL123[[#This Row],[ (S/S) SAR]]</f>
        <v>0</v>
      </c>
      <c r="L300" s="28"/>
      <c r="M300" s="29"/>
      <c r="N300" s="30"/>
      <c r="O300" s="14"/>
      <c r="P300" s="9">
        <f>TABL123[[#This Row],[ (S/S) SAR]]-TABL123[[#This Row],[(S/S) AJD]]</f>
        <v>0</v>
      </c>
      <c r="Q300" s="14"/>
      <c r="R300" s="9">
        <f>TABL123[[#This Row],[ (T/B) SAR]]-TABL123[[#This Row],[(T/B) AJD]]</f>
        <v>0</v>
      </c>
      <c r="S300" s="9">
        <f>TABL123[[#This Row],[T/B-CON.]]+TABL123[[#This Row],[S/S_CON.]]</f>
        <v>0</v>
      </c>
      <c r="T300" s="9">
        <f>TABL123[[#This Row],[(S/S) AJD]]+TABL123[[#This Row],[(T/B) AJD]]</f>
        <v>0</v>
      </c>
      <c r="U300" s="14"/>
      <c r="V300" s="14"/>
      <c r="W300" s="9">
        <f>TABL123[[#This Row],[(A/B) AJD]]+TABL123[[#This Row],[(A/S)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3">
        <f>TABL123[[#This Row],[( S/S+T/B) AJD]]-(TABL123[[#This Row],[(A/B + A/S) AJD]]+TABL123[[#This Row],[(STORGE DIFF.) AJD]]+(TABL123[[#This Row],[AJD_Evaporation]])/1000)</f>
        <v>0</v>
      </c>
      <c r="AE300" s="68"/>
      <c r="AF300" s="68"/>
      <c r="AG300" s="68"/>
      <c r="AH300" s="6"/>
      <c r="AI300" s="78"/>
      <c r="AJ300" s="78">
        <f>TABL123[[#This Row],[(A/B) AJD]]-TABL123[[#This Row],[BER_IN]]</f>
        <v>0</v>
      </c>
      <c r="AK300" s="78"/>
      <c r="AL300" s="68"/>
      <c r="AM300" s="87"/>
      <c r="AN300" s="87">
        <f>TABL123[[#This Row],[ (RESV. STORGE) SER]]/10</f>
        <v>0</v>
      </c>
      <c r="AO300" s="6"/>
      <c r="AP300" s="32">
        <f>TABL123[[#This Row],[(A/S) AJD]]-TABL123[[#This Row],[SER_IN]]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 (T/B) SAR]]+TABL123[[#This Row],[ (S/S) SAR]]</f>
        <v>0</v>
      </c>
      <c r="L301" s="28"/>
      <c r="M301" s="29"/>
      <c r="N301" s="30"/>
      <c r="O301" s="14"/>
      <c r="P301" s="9">
        <f>TABL123[[#This Row],[ (S/S) SAR]]-TABL123[[#This Row],[(S/S) AJD]]</f>
        <v>0</v>
      </c>
      <c r="Q301" s="14"/>
      <c r="R301" s="9">
        <f>TABL123[[#This Row],[ (T/B) SAR]]-TABL123[[#This Row],[(T/B) AJD]]</f>
        <v>0</v>
      </c>
      <c r="S301" s="9">
        <f>TABL123[[#This Row],[T/B-CON.]]+TABL123[[#This Row],[S/S_CON.]]</f>
        <v>0</v>
      </c>
      <c r="T301" s="9">
        <f>TABL123[[#This Row],[(S/S) AJD]]+TABL123[[#This Row],[(T/B) AJD]]</f>
        <v>0</v>
      </c>
      <c r="U301" s="14"/>
      <c r="V301" s="14"/>
      <c r="W301" s="9">
        <f>TABL123[[#This Row],[(A/B) AJD]]+TABL123[[#This Row],[(A/S)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3">
        <f>TABL123[[#This Row],[( S/S+T/B) AJD]]-(TABL123[[#This Row],[(A/B + A/S) AJD]]+TABL123[[#This Row],[(STORGE DIFF.) AJD]]+(TABL123[[#This Row],[AJD_Evaporation]])/1000)</f>
        <v>0</v>
      </c>
      <c r="AE301" s="68"/>
      <c r="AF301" s="68"/>
      <c r="AG301" s="68"/>
      <c r="AH301" s="6"/>
      <c r="AI301" s="78"/>
      <c r="AJ301" s="78">
        <f>TABL123[[#This Row],[(A/B) AJD]]-TABL123[[#This Row],[BER_IN]]</f>
        <v>0</v>
      </c>
      <c r="AK301" s="78"/>
      <c r="AL301" s="68"/>
      <c r="AM301" s="87"/>
      <c r="AN301" s="87">
        <f>TABL123[[#This Row],[ (RESV. STORGE) SER]]/10</f>
        <v>0</v>
      </c>
      <c r="AO301" s="6"/>
      <c r="AP301" s="32">
        <f>TABL123[[#This Row],[(A/S) AJD]]-TABL123[[#This Row],[SER_IN]]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 (T/B) SAR]]+TABL123[[#This Row],[ (S/S) SAR]]</f>
        <v>0</v>
      </c>
      <c r="L302" s="28"/>
      <c r="M302" s="29"/>
      <c r="N302" s="30"/>
      <c r="O302" s="14"/>
      <c r="P302" s="9">
        <f>TABL123[[#This Row],[ (S/S) SAR]]-TABL123[[#This Row],[(S/S) AJD]]</f>
        <v>0</v>
      </c>
      <c r="Q302" s="14"/>
      <c r="R302" s="9">
        <f>TABL123[[#This Row],[ (T/B) SAR]]-TABL123[[#This Row],[(T/B) AJD]]</f>
        <v>0</v>
      </c>
      <c r="S302" s="9">
        <f>TABL123[[#This Row],[T/B-CON.]]+TABL123[[#This Row],[S/S_CON.]]</f>
        <v>0</v>
      </c>
      <c r="T302" s="9">
        <f>TABL123[[#This Row],[(S/S) AJD]]+TABL123[[#This Row],[(T/B) AJD]]</f>
        <v>0</v>
      </c>
      <c r="U302" s="14"/>
      <c r="V302" s="14"/>
      <c r="W302" s="9">
        <f>TABL123[[#This Row],[(A/B) AJD]]+TABL123[[#This Row],[(A/S)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3">
        <f>TABL123[[#This Row],[( S/S+T/B) AJD]]-(TABL123[[#This Row],[(A/B + A/S) AJD]]+TABL123[[#This Row],[(STORGE DIFF.) AJD]]+(TABL123[[#This Row],[AJD_Evaporation]])/1000)</f>
        <v>0</v>
      </c>
      <c r="AE302" s="68"/>
      <c r="AF302" s="68"/>
      <c r="AG302" s="68"/>
      <c r="AH302" s="6"/>
      <c r="AI302" s="78"/>
      <c r="AJ302" s="78">
        <f>TABL123[[#This Row],[(A/B) AJD]]-TABL123[[#This Row],[BER_IN]]</f>
        <v>0</v>
      </c>
      <c r="AK302" s="78"/>
      <c r="AL302" s="68"/>
      <c r="AM302" s="87"/>
      <c r="AN302" s="87">
        <f>TABL123[[#This Row],[ (RESV. STORGE) SER]]/10</f>
        <v>0</v>
      </c>
      <c r="AO302" s="6"/>
      <c r="AP302" s="32">
        <f>TABL123[[#This Row],[(A/S) AJD]]-TABL123[[#This Row],[SER_IN]]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 (T/B) SAR]]+TABL123[[#This Row],[ (S/S) SAR]]</f>
        <v>0</v>
      </c>
      <c r="L303" s="28"/>
      <c r="M303" s="29"/>
      <c r="N303" s="30"/>
      <c r="O303" s="14"/>
      <c r="P303" s="9">
        <f>TABL123[[#This Row],[ (S/S) SAR]]-TABL123[[#This Row],[(S/S) AJD]]</f>
        <v>0</v>
      </c>
      <c r="Q303" s="14"/>
      <c r="R303" s="9">
        <f>TABL123[[#This Row],[ (T/B) SAR]]-TABL123[[#This Row],[(T/B) AJD]]</f>
        <v>0</v>
      </c>
      <c r="S303" s="9">
        <f>TABL123[[#This Row],[T/B-CON.]]+TABL123[[#This Row],[S/S_CON.]]</f>
        <v>0</v>
      </c>
      <c r="T303" s="9">
        <f>TABL123[[#This Row],[(S/S) AJD]]+TABL123[[#This Row],[(T/B) AJD]]</f>
        <v>0</v>
      </c>
      <c r="U303" s="14"/>
      <c r="V303" s="14"/>
      <c r="W303" s="9">
        <f>TABL123[[#This Row],[(A/B) AJD]]+TABL123[[#This Row],[(A/S)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3">
        <f>TABL123[[#This Row],[( S/S+T/B) AJD]]-(TABL123[[#This Row],[(A/B + A/S) AJD]]+TABL123[[#This Row],[(STORGE DIFF.) AJD]]+(TABL123[[#This Row],[AJD_Evaporation]])/1000)</f>
        <v>0</v>
      </c>
      <c r="AE303" s="68"/>
      <c r="AF303" s="68"/>
      <c r="AG303" s="68"/>
      <c r="AH303" s="6"/>
      <c r="AI303" s="78"/>
      <c r="AJ303" s="78">
        <f>TABL123[[#This Row],[(A/B) AJD]]-TABL123[[#This Row],[BER_IN]]</f>
        <v>0</v>
      </c>
      <c r="AK303" s="78"/>
      <c r="AL303" s="68"/>
      <c r="AM303" s="87"/>
      <c r="AN303" s="87">
        <f>TABL123[[#This Row],[ (RESV. STORGE) SER]]/10</f>
        <v>0</v>
      </c>
      <c r="AO303" s="6"/>
      <c r="AP303" s="32">
        <f>TABL123[[#This Row],[(A/S) AJD]]-TABL123[[#This Row],[SER_IN]]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 (T/B) SAR]]+TABL123[[#This Row],[ (S/S) SAR]]</f>
        <v>0</v>
      </c>
      <c r="L304" s="28"/>
      <c r="M304" s="29"/>
      <c r="N304" s="30"/>
      <c r="O304" s="14"/>
      <c r="P304" s="9">
        <f>TABL123[[#This Row],[ (S/S) SAR]]-TABL123[[#This Row],[(S/S) AJD]]</f>
        <v>0</v>
      </c>
      <c r="Q304" s="14"/>
      <c r="R304" s="9">
        <f>TABL123[[#This Row],[ (T/B) SAR]]-TABL123[[#This Row],[(T/B) AJD]]</f>
        <v>0</v>
      </c>
      <c r="S304" s="9">
        <f>TABL123[[#This Row],[T/B-CON.]]+TABL123[[#This Row],[S/S_CON.]]</f>
        <v>0</v>
      </c>
      <c r="T304" s="9">
        <f>TABL123[[#This Row],[(S/S) AJD]]+TABL123[[#This Row],[(T/B) AJD]]</f>
        <v>0</v>
      </c>
      <c r="U304" s="14"/>
      <c r="V304" s="14"/>
      <c r="W304" s="9">
        <f>TABL123[[#This Row],[(A/B) AJD]]+TABL123[[#This Row],[(A/S)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3">
        <f>TABL123[[#This Row],[( S/S+T/B) AJD]]-(TABL123[[#This Row],[(A/B + A/S) AJD]]+TABL123[[#This Row],[(STORGE DIFF.) AJD]]+(TABL123[[#This Row],[AJD_Evaporation]])/1000)</f>
        <v>0</v>
      </c>
      <c r="AE304" s="68"/>
      <c r="AF304" s="68"/>
      <c r="AG304" s="68"/>
      <c r="AH304" s="6"/>
      <c r="AI304" s="78"/>
      <c r="AJ304" s="78">
        <f>TABL123[[#This Row],[(A/B) AJD]]-TABL123[[#This Row],[BER_IN]]</f>
        <v>0</v>
      </c>
      <c r="AK304" s="78"/>
      <c r="AL304" s="68"/>
      <c r="AM304" s="87"/>
      <c r="AN304" s="87">
        <f>TABL123[[#This Row],[ (RESV. STORGE) SER]]/10</f>
        <v>0</v>
      </c>
      <c r="AO304" s="6"/>
      <c r="AP304" s="32">
        <f>TABL123[[#This Row],[(A/S) AJD]]-TABL123[[#This Row],[SER_IN]]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 (T/B) SAR]]+TABL123[[#This Row],[ (S/S) SAR]]</f>
        <v>0</v>
      </c>
      <c r="L305" s="28"/>
      <c r="M305" s="29"/>
      <c r="N305" s="30"/>
      <c r="O305" s="14"/>
      <c r="P305" s="9">
        <f>TABL123[[#This Row],[ (S/S) SAR]]-TABL123[[#This Row],[(S/S) AJD]]</f>
        <v>0</v>
      </c>
      <c r="Q305" s="14"/>
      <c r="R305" s="9">
        <f>TABL123[[#This Row],[ (T/B) SAR]]-TABL123[[#This Row],[(T/B) AJD]]</f>
        <v>0</v>
      </c>
      <c r="S305" s="9">
        <f>TABL123[[#This Row],[T/B-CON.]]+TABL123[[#This Row],[S/S_CON.]]</f>
        <v>0</v>
      </c>
      <c r="T305" s="9">
        <f>TABL123[[#This Row],[(S/S) AJD]]+TABL123[[#This Row],[(T/B) AJD]]</f>
        <v>0</v>
      </c>
      <c r="U305" s="14"/>
      <c r="V305" s="14"/>
      <c r="W305" s="9">
        <f>TABL123[[#This Row],[(A/B) AJD]]+TABL123[[#This Row],[(A/S)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3">
        <f>TABL123[[#This Row],[( S/S+T/B) AJD]]-(TABL123[[#This Row],[(A/B + A/S) AJD]]+TABL123[[#This Row],[(STORGE DIFF.) AJD]]+(TABL123[[#This Row],[AJD_Evaporation]])/1000)</f>
        <v>0</v>
      </c>
      <c r="AE305" s="68"/>
      <c r="AF305" s="68"/>
      <c r="AG305" s="68"/>
      <c r="AH305" s="6"/>
      <c r="AI305" s="78"/>
      <c r="AJ305" s="78">
        <f>TABL123[[#This Row],[(A/B) AJD]]-TABL123[[#This Row],[BER_IN]]</f>
        <v>0</v>
      </c>
      <c r="AK305" s="78"/>
      <c r="AL305" s="68"/>
      <c r="AM305" s="87"/>
      <c r="AN305" s="87">
        <f>TABL123[[#This Row],[ (RESV. STORGE) SER]]/10</f>
        <v>0</v>
      </c>
      <c r="AO305" s="6"/>
      <c r="AP305" s="32">
        <f>TABL123[[#This Row],[(A/S) AJD]]-TABL123[[#This Row],[SER_IN]]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 (T/B) SAR]]+TABL123[[#This Row],[ (S/S) SAR]]</f>
        <v>0</v>
      </c>
      <c r="L306" s="28"/>
      <c r="M306" s="29"/>
      <c r="N306" s="30"/>
      <c r="O306" s="39"/>
      <c r="P306" s="9">
        <f>TABL123[[#This Row],[ (S/S) SAR]]-TABL123[[#This Row],[(S/S) AJD]]</f>
        <v>0</v>
      </c>
      <c r="Q306" s="9"/>
      <c r="R306" s="9">
        <f>TABL123[[#This Row],[ (T/B) SAR]]-TABL123[[#This Row],[(T/B) AJD]]</f>
        <v>0</v>
      </c>
      <c r="S306" s="9">
        <f>TABL123[[#This Row],[T/B-CON.]]+TABL123[[#This Row],[S/S_CON.]]</f>
        <v>0</v>
      </c>
      <c r="T306" s="9">
        <f>TABL123[[#This Row],[(S/S) AJD]]+TABL123[[#This Row],[(T/B) AJD]]</f>
        <v>0</v>
      </c>
      <c r="U306" s="9"/>
      <c r="V306" s="9"/>
      <c r="W306" s="9">
        <f>TABL123[[#This Row],[(A/B) AJD]]+TABL123[[#This Row],[(A/S)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3">
        <f>TABL123[[#This Row],[( S/S+T/B) AJD]]-(TABL123[[#This Row],[(A/B + A/S) AJD]]+TABL123[[#This Row],[(STORGE DIFF.) AJD]]+(TABL123[[#This Row],[AJD_Evaporation]])/1000)</f>
        <v>0</v>
      </c>
      <c r="AE306" s="68"/>
      <c r="AF306" s="68"/>
      <c r="AG306" s="68"/>
      <c r="AH306" s="6"/>
      <c r="AI306" s="78"/>
      <c r="AJ306" s="78">
        <f>TABL123[[#This Row],[(A/B) AJD]]-TABL123[[#This Row],[BER_IN]]</f>
        <v>0</v>
      </c>
      <c r="AK306" s="78"/>
      <c r="AL306" s="68"/>
      <c r="AM306" s="87"/>
      <c r="AN306" s="87">
        <f>TABL123[[#This Row],[ (RESV. STORGE) SER]]/10</f>
        <v>0</v>
      </c>
      <c r="AO306" s="6"/>
      <c r="AP306" s="32">
        <f>TABL123[[#This Row],[(A/S) AJD]]-TABL123[[#This Row],[SER_IN]]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 (T/B) SAR]]+TABL123[[#This Row],[ (S/S) SAR]]</f>
        <v>0</v>
      </c>
      <c r="L307" s="28"/>
      <c r="M307" s="29"/>
      <c r="N307" s="30"/>
      <c r="O307" s="40"/>
      <c r="P307" s="9">
        <f>TABL123[[#This Row],[ (S/S) SAR]]-TABL123[[#This Row],[(S/S) AJD]]</f>
        <v>0</v>
      </c>
      <c r="Q307" s="9"/>
      <c r="R307" s="9">
        <f>TABL123[[#This Row],[ (T/B) SAR]]-TABL123[[#This Row],[(T/B) AJD]]</f>
        <v>0</v>
      </c>
      <c r="S307" s="9">
        <f>TABL123[[#This Row],[T/B-CON.]]+TABL123[[#This Row],[S/S_CON.]]</f>
        <v>0</v>
      </c>
      <c r="T307" s="9">
        <f>TABL123[[#This Row],[(S/S) AJD]]+TABL123[[#This Row],[(T/B) AJD]]</f>
        <v>0</v>
      </c>
      <c r="U307" s="9"/>
      <c r="V307" s="9"/>
      <c r="W307" s="9">
        <f>TABL123[[#This Row],[(A/B) AJD]]+TABL123[[#This Row],[(A/S)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3">
        <f>TABL123[[#This Row],[( S/S+T/B) AJD]]-(TABL123[[#This Row],[(A/B + A/S) AJD]]+TABL123[[#This Row],[(STORGE DIFF.) AJD]]+(TABL123[[#This Row],[AJD_Evaporation]])/1000)</f>
        <v>0</v>
      </c>
      <c r="AE307" s="68"/>
      <c r="AF307" s="68"/>
      <c r="AG307" s="68"/>
      <c r="AH307" s="6"/>
      <c r="AI307" s="78"/>
      <c r="AJ307" s="78">
        <f>TABL123[[#This Row],[(A/B) AJD]]-TABL123[[#This Row],[BER_IN]]</f>
        <v>0</v>
      </c>
      <c r="AK307" s="78"/>
      <c r="AL307" s="68"/>
      <c r="AM307" s="87"/>
      <c r="AN307" s="87">
        <f>TABL123[[#This Row],[ (RESV. STORGE) SER]]/10</f>
        <v>0</v>
      </c>
      <c r="AO307" s="6"/>
      <c r="AP307" s="32">
        <f>TABL123[[#This Row],[(A/S) AJD]]-TABL123[[#This Row],[SER_IN]]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 (T/B) SAR]]+TABL123[[#This Row],[ (S/S) SAR]]</f>
        <v>0</v>
      </c>
      <c r="L308" s="28"/>
      <c r="M308" s="29"/>
      <c r="N308" s="30"/>
      <c r="O308" s="39"/>
      <c r="P308" s="9">
        <f>TABL123[[#This Row],[ (S/S) SAR]]-TABL123[[#This Row],[(S/S) AJD]]</f>
        <v>0</v>
      </c>
      <c r="Q308" s="9"/>
      <c r="R308" s="9">
        <f>TABL123[[#This Row],[ (T/B) SAR]]-TABL123[[#This Row],[(T/B) AJD]]</f>
        <v>0</v>
      </c>
      <c r="S308" s="9">
        <f>TABL123[[#This Row],[T/B-CON.]]+TABL123[[#This Row],[S/S_CON.]]</f>
        <v>0</v>
      </c>
      <c r="T308" s="9">
        <f>TABL123[[#This Row],[(S/S) AJD]]+TABL123[[#This Row],[(T/B) AJD]]</f>
        <v>0</v>
      </c>
      <c r="U308" s="9"/>
      <c r="V308" s="9"/>
      <c r="W308" s="9">
        <f>TABL123[[#This Row],[(A/B) AJD]]+TABL123[[#This Row],[(A/S)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3">
        <f>TABL123[[#This Row],[( S/S+T/B) AJD]]-(TABL123[[#This Row],[(A/B + A/S) AJD]]+TABL123[[#This Row],[(STORGE DIFF.) AJD]]+(TABL123[[#This Row],[AJD_Evaporation]])/1000)</f>
        <v>0</v>
      </c>
      <c r="AE308" s="68"/>
      <c r="AF308" s="68"/>
      <c r="AG308" s="68"/>
      <c r="AH308" s="6"/>
      <c r="AI308" s="78"/>
      <c r="AJ308" s="78">
        <f>TABL123[[#This Row],[(A/B) AJD]]-TABL123[[#This Row],[BER_IN]]</f>
        <v>0</v>
      </c>
      <c r="AK308" s="78"/>
      <c r="AL308" s="68"/>
      <c r="AM308" s="87"/>
      <c r="AN308" s="87">
        <f>TABL123[[#This Row],[ (RESV. STORGE) SER]]/10</f>
        <v>0</v>
      </c>
      <c r="AO308" s="6"/>
      <c r="AP308" s="32">
        <f>TABL123[[#This Row],[(A/S) AJD]]-TABL123[[#This Row],[SER_IN]]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 (T/B) SAR]]+TABL123[[#This Row],[ (S/S) SAR]]</f>
        <v>0</v>
      </c>
      <c r="L309" s="28"/>
      <c r="M309" s="29"/>
      <c r="N309" s="30"/>
      <c r="O309" s="40"/>
      <c r="P309" s="9">
        <f>TABL123[[#This Row],[ (S/S) SAR]]-TABL123[[#This Row],[(S/S) AJD]]</f>
        <v>0</v>
      </c>
      <c r="Q309" s="9"/>
      <c r="R309" s="9">
        <f>TABL123[[#This Row],[ (T/B) SAR]]-TABL123[[#This Row],[(T/B) AJD]]</f>
        <v>0</v>
      </c>
      <c r="S309" s="9">
        <f>TABL123[[#This Row],[T/B-CON.]]+TABL123[[#This Row],[S/S_CON.]]</f>
        <v>0</v>
      </c>
      <c r="T309" s="9">
        <f>TABL123[[#This Row],[(S/S) AJD]]+TABL123[[#This Row],[(T/B) AJD]]</f>
        <v>0</v>
      </c>
      <c r="U309" s="9"/>
      <c r="V309" s="9"/>
      <c r="W309" s="9">
        <f>TABL123[[#This Row],[(A/B) AJD]]+TABL123[[#This Row],[(A/S)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3">
        <f>TABL123[[#This Row],[( S/S+T/B) AJD]]-(TABL123[[#This Row],[(A/B + A/S) AJD]]+TABL123[[#This Row],[(STORGE DIFF.) AJD]]+(TABL123[[#This Row],[AJD_Evaporation]])/1000)</f>
        <v>0</v>
      </c>
      <c r="AE309" s="68"/>
      <c r="AF309" s="68"/>
      <c r="AG309" s="68"/>
      <c r="AH309" s="6"/>
      <c r="AI309" s="78"/>
      <c r="AJ309" s="78">
        <f>TABL123[[#This Row],[(A/B) AJD]]-TABL123[[#This Row],[BER_IN]]</f>
        <v>0</v>
      </c>
      <c r="AK309" s="78"/>
      <c r="AL309" s="68"/>
      <c r="AM309" s="87"/>
      <c r="AN309" s="87">
        <f>TABL123[[#This Row],[ (RESV. STORGE) SER]]/10</f>
        <v>0</v>
      </c>
      <c r="AO309" s="6"/>
      <c r="AP309" s="32">
        <f>TABL123[[#This Row],[(A/S) AJD]]-TABL123[[#This Row],[SER_IN]]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 (T/B) SAR]]+TABL123[[#This Row],[ (S/S) SAR]]</f>
        <v>0</v>
      </c>
      <c r="L310" s="28"/>
      <c r="M310" s="29"/>
      <c r="N310" s="30"/>
      <c r="O310" s="39"/>
      <c r="P310" s="9">
        <f>TABL123[[#This Row],[ (S/S) SAR]]-TABL123[[#This Row],[(S/S) AJD]]</f>
        <v>0</v>
      </c>
      <c r="Q310" s="9"/>
      <c r="R310" s="9">
        <f>TABL123[[#This Row],[ (T/B) SAR]]-TABL123[[#This Row],[(T/B) AJD]]</f>
        <v>0</v>
      </c>
      <c r="S310" s="9">
        <f>TABL123[[#This Row],[T/B-CON.]]+TABL123[[#This Row],[S/S_CON.]]</f>
        <v>0</v>
      </c>
      <c r="T310" s="9">
        <f>TABL123[[#This Row],[(S/S) AJD]]+TABL123[[#This Row],[(T/B) AJD]]</f>
        <v>0</v>
      </c>
      <c r="U310" s="9"/>
      <c r="V310" s="9"/>
      <c r="W310" s="9">
        <f>TABL123[[#This Row],[(A/B) AJD]]+TABL123[[#This Row],[(A/S)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3">
        <f>TABL123[[#This Row],[( S/S+T/B) AJD]]-(TABL123[[#This Row],[(A/B + A/S) AJD]]+TABL123[[#This Row],[(STORGE DIFF.) AJD]]+(TABL123[[#This Row],[AJD_Evaporation]])/1000)</f>
        <v>0</v>
      </c>
      <c r="AE310" s="68"/>
      <c r="AF310" s="68"/>
      <c r="AG310" s="68"/>
      <c r="AH310" s="6"/>
      <c r="AI310" s="78"/>
      <c r="AJ310" s="78">
        <f>TABL123[[#This Row],[(A/B) AJD]]-TABL123[[#This Row],[BER_IN]]</f>
        <v>0</v>
      </c>
      <c r="AK310" s="78"/>
      <c r="AL310" s="68"/>
      <c r="AM310" s="87"/>
      <c r="AN310" s="87">
        <f>TABL123[[#This Row],[ (RESV. STORGE) SER]]/10</f>
        <v>0</v>
      </c>
      <c r="AO310" s="6"/>
      <c r="AP310" s="32">
        <f>TABL123[[#This Row],[(A/S) AJD]]-TABL123[[#This Row],[SER_IN]]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 (T/B) SAR]]+TABL123[[#This Row],[ (S/S) SAR]]</f>
        <v>0</v>
      </c>
      <c r="L311" s="28"/>
      <c r="M311" s="29"/>
      <c r="N311" s="30"/>
      <c r="O311" s="40"/>
      <c r="P311" s="9">
        <f>TABL123[[#This Row],[ (S/S) SAR]]-TABL123[[#This Row],[(S/S) AJD]]</f>
        <v>0</v>
      </c>
      <c r="Q311" s="9"/>
      <c r="R311" s="9">
        <f>TABL123[[#This Row],[ (T/B) SAR]]-TABL123[[#This Row],[(T/B) AJD]]</f>
        <v>0</v>
      </c>
      <c r="S311" s="9">
        <f>TABL123[[#This Row],[T/B-CON.]]+TABL123[[#This Row],[S/S_CON.]]</f>
        <v>0</v>
      </c>
      <c r="T311" s="9">
        <f>TABL123[[#This Row],[(S/S) AJD]]+TABL123[[#This Row],[(T/B) AJD]]</f>
        <v>0</v>
      </c>
      <c r="U311" s="9"/>
      <c r="V311" s="9"/>
      <c r="W311" s="9">
        <f>TABL123[[#This Row],[(A/B) AJD]]+TABL123[[#This Row],[(A/S)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3">
        <f>TABL123[[#This Row],[( S/S+T/B) AJD]]-(TABL123[[#This Row],[(A/B + A/S) AJD]]+TABL123[[#This Row],[(STORGE DIFF.) AJD]]+(TABL123[[#This Row],[AJD_Evaporation]])/1000)</f>
        <v>0</v>
      </c>
      <c r="AE311" s="68"/>
      <c r="AF311" s="68"/>
      <c r="AG311" s="68"/>
      <c r="AH311" s="6"/>
      <c r="AI311" s="78"/>
      <c r="AJ311" s="78">
        <f>TABL123[[#This Row],[(A/B) AJD]]-TABL123[[#This Row],[BER_IN]]</f>
        <v>0</v>
      </c>
      <c r="AK311" s="78"/>
      <c r="AL311" s="68"/>
      <c r="AM311" s="87"/>
      <c r="AN311" s="87">
        <f>TABL123[[#This Row],[ (RESV. STORGE) SER]]/10</f>
        <v>0</v>
      </c>
      <c r="AO311" s="6"/>
      <c r="AP311" s="32">
        <f>TABL123[[#This Row],[(A/S) AJD]]-TABL123[[#This Row],[SER_IN]]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 (T/B) SAR]]+TABL123[[#This Row],[ (S/S) SAR]]</f>
        <v>0</v>
      </c>
      <c r="L312" s="28"/>
      <c r="M312" s="29"/>
      <c r="N312" s="30"/>
      <c r="O312" s="39"/>
      <c r="P312" s="9">
        <f>TABL123[[#This Row],[ (S/S) SAR]]-TABL123[[#This Row],[(S/S) AJD]]</f>
        <v>0</v>
      </c>
      <c r="Q312" s="9"/>
      <c r="R312" s="9">
        <f>TABL123[[#This Row],[ (T/B) SAR]]-TABL123[[#This Row],[(T/B) AJD]]</f>
        <v>0</v>
      </c>
      <c r="S312" s="9">
        <f>TABL123[[#This Row],[T/B-CON.]]+TABL123[[#This Row],[S/S_CON.]]</f>
        <v>0</v>
      </c>
      <c r="T312" s="9">
        <f>TABL123[[#This Row],[(S/S) AJD]]+TABL123[[#This Row],[(T/B) AJD]]</f>
        <v>0</v>
      </c>
      <c r="U312" s="9"/>
      <c r="V312" s="9"/>
      <c r="W312" s="9">
        <f>TABL123[[#This Row],[(A/B) AJD]]+TABL123[[#This Row],[(A/S)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3">
        <f>TABL123[[#This Row],[( S/S+T/B) AJD]]-(TABL123[[#This Row],[(A/B + A/S) AJD]]+TABL123[[#This Row],[(STORGE DIFF.) AJD]]+(TABL123[[#This Row],[AJD_Evaporation]])/1000)</f>
        <v>0</v>
      </c>
      <c r="AE312" s="68"/>
      <c r="AF312" s="68"/>
      <c r="AG312" s="68"/>
      <c r="AH312" s="6"/>
      <c r="AI312" s="78"/>
      <c r="AJ312" s="78">
        <f>TABL123[[#This Row],[(A/B) AJD]]-TABL123[[#This Row],[BER_IN]]</f>
        <v>0</v>
      </c>
      <c r="AK312" s="78"/>
      <c r="AL312" s="68"/>
      <c r="AM312" s="87"/>
      <c r="AN312" s="87">
        <f>TABL123[[#This Row],[ (RESV. STORGE) SER]]/10</f>
        <v>0</v>
      </c>
      <c r="AO312" s="6"/>
      <c r="AP312" s="32">
        <f>TABL123[[#This Row],[(A/S) AJD]]-TABL123[[#This Row],[SER_IN]]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 (T/B) SAR]]+TABL123[[#This Row],[ (S/S) SAR]]</f>
        <v>0</v>
      </c>
      <c r="L313" s="28"/>
      <c r="M313" s="29"/>
      <c r="N313" s="30"/>
      <c r="O313" s="40"/>
      <c r="P313" s="9">
        <f>TABL123[[#This Row],[ (S/S) SAR]]-TABL123[[#This Row],[(S/S) AJD]]</f>
        <v>0</v>
      </c>
      <c r="Q313" s="9"/>
      <c r="R313" s="9">
        <f>TABL123[[#This Row],[ (T/B) SAR]]-TABL123[[#This Row],[(T/B) AJD]]</f>
        <v>0</v>
      </c>
      <c r="S313" s="9">
        <f>TABL123[[#This Row],[T/B-CON.]]+TABL123[[#This Row],[S/S_CON.]]</f>
        <v>0</v>
      </c>
      <c r="T313" s="9">
        <f>TABL123[[#This Row],[(S/S) AJD]]+TABL123[[#This Row],[(T/B) AJD]]</f>
        <v>0</v>
      </c>
      <c r="U313" s="9"/>
      <c r="V313" s="9"/>
      <c r="W313" s="9">
        <f>TABL123[[#This Row],[(A/B) AJD]]+TABL123[[#This Row],[(A/S)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3">
        <f>TABL123[[#This Row],[( S/S+T/B) AJD]]-(TABL123[[#This Row],[(A/B + A/S) AJD]]+TABL123[[#This Row],[(STORGE DIFF.) AJD]]+(TABL123[[#This Row],[AJD_Evaporation]])/1000)</f>
        <v>0</v>
      </c>
      <c r="AE313" s="68"/>
      <c r="AF313" s="68"/>
      <c r="AG313" s="68"/>
      <c r="AH313" s="6"/>
      <c r="AI313" s="78"/>
      <c r="AJ313" s="78">
        <f>TABL123[[#This Row],[(A/B) AJD]]-TABL123[[#This Row],[BER_IN]]</f>
        <v>0</v>
      </c>
      <c r="AK313" s="78"/>
      <c r="AL313" s="68"/>
      <c r="AM313" s="87"/>
      <c r="AN313" s="87">
        <f>TABL123[[#This Row],[ (RESV. STORGE) SER]]/10</f>
        <v>0</v>
      </c>
      <c r="AO313" s="6"/>
      <c r="AP313" s="32">
        <f>TABL123[[#This Row],[(A/S) AJD]]-TABL123[[#This Row],[SER_IN]]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 (T/B) SAR]]+TABL123[[#This Row],[ (S/S) SAR]]</f>
        <v>0</v>
      </c>
      <c r="L314" s="28"/>
      <c r="M314" s="29"/>
      <c r="N314" s="30"/>
      <c r="O314" s="39"/>
      <c r="P314" s="9">
        <f>TABL123[[#This Row],[ (S/S) SAR]]-TABL123[[#This Row],[(S/S) AJD]]</f>
        <v>0</v>
      </c>
      <c r="Q314" s="9"/>
      <c r="R314" s="9">
        <f>TABL123[[#This Row],[ (T/B) SAR]]-TABL123[[#This Row],[(T/B) AJD]]</f>
        <v>0</v>
      </c>
      <c r="S314" s="9">
        <f>TABL123[[#This Row],[T/B-CON.]]+TABL123[[#This Row],[S/S_CON.]]</f>
        <v>0</v>
      </c>
      <c r="T314" s="9">
        <f>TABL123[[#This Row],[(S/S) AJD]]+TABL123[[#This Row],[(T/B) AJD]]</f>
        <v>0</v>
      </c>
      <c r="U314" s="9"/>
      <c r="V314" s="9"/>
      <c r="W314" s="9">
        <f>TABL123[[#This Row],[(A/B) AJD]]+TABL123[[#This Row],[(A/S)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3">
        <f>TABL123[[#This Row],[( S/S+T/B) AJD]]-(TABL123[[#This Row],[(A/B + A/S) AJD]]+TABL123[[#This Row],[(STORGE DIFF.) AJD]]+(TABL123[[#This Row],[AJD_Evaporation]])/1000)</f>
        <v>0</v>
      </c>
      <c r="AE314" s="68"/>
      <c r="AF314" s="68"/>
      <c r="AG314" s="68"/>
      <c r="AH314" s="6"/>
      <c r="AI314" s="78"/>
      <c r="AJ314" s="78">
        <f>TABL123[[#This Row],[(A/B) AJD]]-TABL123[[#This Row],[BER_IN]]</f>
        <v>0</v>
      </c>
      <c r="AK314" s="78"/>
      <c r="AL314" s="68"/>
      <c r="AM314" s="87"/>
      <c r="AN314" s="87">
        <f>TABL123[[#This Row],[ (RESV. STORGE) SER]]/10</f>
        <v>0</v>
      </c>
      <c r="AO314" s="6"/>
      <c r="AP314" s="32">
        <f>TABL123[[#This Row],[(A/S) AJD]]-TABL123[[#This Row],[SER_IN]]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 (T/B) SAR]]+TABL123[[#This Row],[ (S/S) SAR]]</f>
        <v>0</v>
      </c>
      <c r="L315" s="28"/>
      <c r="M315" s="29"/>
      <c r="N315" s="30"/>
      <c r="O315" s="40"/>
      <c r="P315" s="9">
        <f>TABL123[[#This Row],[ (S/S) SAR]]-TABL123[[#This Row],[(S/S) AJD]]</f>
        <v>0</v>
      </c>
      <c r="Q315" s="9"/>
      <c r="R315" s="9">
        <f>TABL123[[#This Row],[ (T/B) SAR]]-TABL123[[#This Row],[(T/B) AJD]]</f>
        <v>0</v>
      </c>
      <c r="S315" s="9">
        <f>TABL123[[#This Row],[T/B-CON.]]+TABL123[[#This Row],[S/S_CON.]]</f>
        <v>0</v>
      </c>
      <c r="T315" s="9">
        <f>TABL123[[#This Row],[(S/S) AJD]]+TABL123[[#This Row],[(T/B) AJD]]</f>
        <v>0</v>
      </c>
      <c r="U315" s="9"/>
      <c r="V315" s="9"/>
      <c r="W315" s="9">
        <f>TABL123[[#This Row],[(A/B) AJD]]+TABL123[[#This Row],[(A/S)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3">
        <f>TABL123[[#This Row],[( S/S+T/B) AJD]]-(TABL123[[#This Row],[(A/B + A/S) AJD]]+TABL123[[#This Row],[(STORGE DIFF.) AJD]]+(TABL123[[#This Row],[AJD_Evaporation]])/1000)</f>
        <v>0</v>
      </c>
      <c r="AE315" s="68"/>
      <c r="AF315" s="68"/>
      <c r="AG315" s="68"/>
      <c r="AH315" s="6"/>
      <c r="AI315" s="78"/>
      <c r="AJ315" s="78">
        <f>TABL123[[#This Row],[(A/B) AJD]]-TABL123[[#This Row],[BER_IN]]</f>
        <v>0</v>
      </c>
      <c r="AK315" s="78"/>
      <c r="AL315" s="68"/>
      <c r="AM315" s="87"/>
      <c r="AN315" s="87">
        <f>TABL123[[#This Row],[ (RESV. STORGE) SER]]/10</f>
        <v>0</v>
      </c>
      <c r="AO315" s="6"/>
      <c r="AP315" s="32">
        <f>TABL123[[#This Row],[(A/S) AJD]]-TABL123[[#This Row],[SER_IN]]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 (T/B) SAR]]+TABL123[[#This Row],[ (S/S) SAR]]</f>
        <v>0</v>
      </c>
      <c r="L316" s="28"/>
      <c r="M316" s="29"/>
      <c r="N316" s="30"/>
      <c r="O316" s="39"/>
      <c r="P316" s="9">
        <f>TABL123[[#This Row],[ (S/S) SAR]]-TABL123[[#This Row],[(S/S) AJD]]</f>
        <v>0</v>
      </c>
      <c r="Q316" s="9"/>
      <c r="R316" s="9">
        <f>TABL123[[#This Row],[ (T/B) SAR]]-TABL123[[#This Row],[(T/B) AJD]]</f>
        <v>0</v>
      </c>
      <c r="S316" s="9">
        <f>TABL123[[#This Row],[T/B-CON.]]+TABL123[[#This Row],[S/S_CON.]]</f>
        <v>0</v>
      </c>
      <c r="T316" s="9">
        <f>TABL123[[#This Row],[(S/S) AJD]]+TABL123[[#This Row],[(T/B) AJD]]</f>
        <v>0</v>
      </c>
      <c r="U316" s="9"/>
      <c r="V316" s="9"/>
      <c r="W316" s="9">
        <f>TABL123[[#This Row],[(A/B) AJD]]+TABL123[[#This Row],[(A/S)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3">
        <f>TABL123[[#This Row],[( S/S+T/B) AJD]]-(TABL123[[#This Row],[(A/B + A/S) AJD]]+TABL123[[#This Row],[(STORGE DIFF.) AJD]]+(TABL123[[#This Row],[AJD_Evaporation]])/1000)</f>
        <v>0</v>
      </c>
      <c r="AE316" s="68"/>
      <c r="AF316" s="68"/>
      <c r="AG316" s="68"/>
      <c r="AH316" s="6"/>
      <c r="AI316" s="78"/>
      <c r="AJ316" s="78">
        <f>TABL123[[#This Row],[(A/B) AJD]]-TABL123[[#This Row],[BER_IN]]</f>
        <v>0</v>
      </c>
      <c r="AK316" s="78"/>
      <c r="AL316" s="68"/>
      <c r="AM316" s="87"/>
      <c r="AN316" s="87">
        <f>TABL123[[#This Row],[ (RESV. STORGE) SER]]/10</f>
        <v>0</v>
      </c>
      <c r="AO316" s="6"/>
      <c r="AP316" s="32">
        <f>TABL123[[#This Row],[(A/S) AJD]]-TABL123[[#This Row],[SER_IN]]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 (T/B) SAR]]+TABL123[[#This Row],[ (S/S) SAR]]</f>
        <v>0</v>
      </c>
      <c r="L317" s="28"/>
      <c r="M317" s="29"/>
      <c r="N317" s="30"/>
      <c r="O317" s="40"/>
      <c r="P317" s="9">
        <f>TABL123[[#This Row],[ (S/S) SAR]]-TABL123[[#This Row],[(S/S) AJD]]</f>
        <v>0</v>
      </c>
      <c r="Q317" s="9"/>
      <c r="R317" s="9">
        <f>TABL123[[#This Row],[ (T/B) SAR]]-TABL123[[#This Row],[(T/B) AJD]]</f>
        <v>0</v>
      </c>
      <c r="S317" s="9">
        <f>TABL123[[#This Row],[T/B-CON.]]+TABL123[[#This Row],[S/S_CON.]]</f>
        <v>0</v>
      </c>
      <c r="T317" s="9">
        <f>TABL123[[#This Row],[(S/S) AJD]]+TABL123[[#This Row],[(T/B) AJD]]</f>
        <v>0</v>
      </c>
      <c r="U317" s="9"/>
      <c r="V317" s="9"/>
      <c r="W317" s="9">
        <f>TABL123[[#This Row],[(A/B) AJD]]+TABL123[[#This Row],[(A/S)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3">
        <f>TABL123[[#This Row],[( S/S+T/B) AJD]]-(TABL123[[#This Row],[(A/B + A/S) AJD]]+TABL123[[#This Row],[(STORGE DIFF.) AJD]]+(TABL123[[#This Row],[AJD_Evaporation]])/1000)</f>
        <v>0</v>
      </c>
      <c r="AE317" s="68"/>
      <c r="AF317" s="68"/>
      <c r="AG317" s="68"/>
      <c r="AH317" s="6"/>
      <c r="AI317" s="78"/>
      <c r="AJ317" s="78">
        <f>TABL123[[#This Row],[(A/B) AJD]]-TABL123[[#This Row],[BER_IN]]</f>
        <v>0</v>
      </c>
      <c r="AK317" s="78"/>
      <c r="AL317" s="68"/>
      <c r="AM317" s="87"/>
      <c r="AN317" s="87">
        <f>TABL123[[#This Row],[ (RESV. STORGE) SER]]/10</f>
        <v>0</v>
      </c>
      <c r="AO317" s="6"/>
      <c r="AP317" s="32">
        <f>TABL123[[#This Row],[(A/S) AJD]]-TABL123[[#This Row],[SER_IN]]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 (T/B) SAR]]+TABL123[[#This Row],[ (S/S) SAR]]</f>
        <v>0</v>
      </c>
      <c r="L318" s="28"/>
      <c r="M318" s="29"/>
      <c r="N318" s="30"/>
      <c r="O318" s="39"/>
      <c r="P318" s="9">
        <f>TABL123[[#This Row],[ (S/S) SAR]]-TABL123[[#This Row],[(S/S) AJD]]</f>
        <v>0</v>
      </c>
      <c r="Q318" s="9"/>
      <c r="R318" s="9">
        <f>TABL123[[#This Row],[ (T/B) SAR]]-TABL123[[#This Row],[(T/B) AJD]]</f>
        <v>0</v>
      </c>
      <c r="S318" s="9">
        <f>TABL123[[#This Row],[T/B-CON.]]+TABL123[[#This Row],[S/S_CON.]]</f>
        <v>0</v>
      </c>
      <c r="T318" s="9">
        <f>TABL123[[#This Row],[(S/S) AJD]]+TABL123[[#This Row],[(T/B) AJD]]</f>
        <v>0</v>
      </c>
      <c r="U318" s="9"/>
      <c r="V318" s="9"/>
      <c r="W318" s="9">
        <f>TABL123[[#This Row],[(A/B) AJD]]+TABL123[[#This Row],[(A/S)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3">
        <f>TABL123[[#This Row],[( S/S+T/B) AJD]]-(TABL123[[#This Row],[(A/B + A/S) AJD]]+TABL123[[#This Row],[(STORGE DIFF.) AJD]]+(TABL123[[#This Row],[AJD_Evaporation]])/1000)</f>
        <v>0</v>
      </c>
      <c r="AE318" s="68"/>
      <c r="AF318" s="68"/>
      <c r="AG318" s="68"/>
      <c r="AH318" s="6"/>
      <c r="AI318" s="78"/>
      <c r="AJ318" s="78">
        <f>TABL123[[#This Row],[(A/B) AJD]]-TABL123[[#This Row],[BER_IN]]</f>
        <v>0</v>
      </c>
      <c r="AK318" s="78"/>
      <c r="AL318" s="68"/>
      <c r="AM318" s="87"/>
      <c r="AN318" s="87">
        <f>TABL123[[#This Row],[ (RESV. STORGE) SER]]/10</f>
        <v>0</v>
      </c>
      <c r="AO318" s="6"/>
      <c r="AP318" s="32">
        <f>TABL123[[#This Row],[(A/S) AJD]]-TABL123[[#This Row],[SER_IN]]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 (T/B) SAR]]+TABL123[[#This Row],[ (S/S) SAR]]</f>
        <v>0</v>
      </c>
      <c r="L319" s="28"/>
      <c r="M319" s="29"/>
      <c r="N319" s="30"/>
      <c r="O319" s="40"/>
      <c r="P319" s="9">
        <f>TABL123[[#This Row],[ (S/S) SAR]]-TABL123[[#This Row],[(S/S) AJD]]</f>
        <v>0</v>
      </c>
      <c r="Q319" s="9"/>
      <c r="R319" s="9">
        <f>TABL123[[#This Row],[ (T/B) SAR]]-TABL123[[#This Row],[(T/B) AJD]]</f>
        <v>0</v>
      </c>
      <c r="S319" s="9">
        <f>TABL123[[#This Row],[T/B-CON.]]+TABL123[[#This Row],[S/S_CON.]]</f>
        <v>0</v>
      </c>
      <c r="T319" s="9">
        <f>TABL123[[#This Row],[(S/S) AJD]]+TABL123[[#This Row],[(T/B) AJD]]</f>
        <v>0</v>
      </c>
      <c r="U319" s="9"/>
      <c r="V319" s="9"/>
      <c r="W319" s="9">
        <f>TABL123[[#This Row],[(A/B) AJD]]+TABL123[[#This Row],[(A/S)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3">
        <f>TABL123[[#This Row],[( S/S+T/B) AJD]]-(TABL123[[#This Row],[(A/B + A/S) AJD]]+TABL123[[#This Row],[(STORGE DIFF.) AJD]]+(TABL123[[#This Row],[AJD_Evaporation]])/1000)</f>
        <v>0</v>
      </c>
      <c r="AE319" s="68"/>
      <c r="AF319" s="68"/>
      <c r="AG319" s="68"/>
      <c r="AH319" s="6"/>
      <c r="AI319" s="78"/>
      <c r="AJ319" s="78">
        <f>TABL123[[#This Row],[(A/B) AJD]]-TABL123[[#This Row],[BER_IN]]</f>
        <v>0</v>
      </c>
      <c r="AK319" s="78"/>
      <c r="AL319" s="68"/>
      <c r="AM319" s="87"/>
      <c r="AN319" s="87">
        <f>TABL123[[#This Row],[ (RESV. STORGE) SER]]/10</f>
        <v>0</v>
      </c>
      <c r="AO319" s="6"/>
      <c r="AP319" s="32">
        <f>TABL123[[#This Row],[(A/S) AJD]]-TABL123[[#This Row],[SER_IN]]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 (T/B) SAR]]+TABL123[[#This Row],[ (S/S) SAR]]</f>
        <v>0</v>
      </c>
      <c r="L320" s="28"/>
      <c r="M320" s="29"/>
      <c r="N320" s="30"/>
      <c r="O320" s="39"/>
      <c r="P320" s="9">
        <f>TABL123[[#This Row],[ (S/S) SAR]]-TABL123[[#This Row],[(S/S) AJD]]</f>
        <v>0</v>
      </c>
      <c r="Q320" s="9"/>
      <c r="R320" s="9">
        <f>TABL123[[#This Row],[ (T/B) SAR]]-TABL123[[#This Row],[(T/B) AJD]]</f>
        <v>0</v>
      </c>
      <c r="S320" s="9">
        <f>TABL123[[#This Row],[T/B-CON.]]+TABL123[[#This Row],[S/S_CON.]]</f>
        <v>0</v>
      </c>
      <c r="T320" s="9">
        <f>TABL123[[#This Row],[(S/S) AJD]]+TABL123[[#This Row],[(T/B) AJD]]</f>
        <v>0</v>
      </c>
      <c r="U320" s="9"/>
      <c r="V320" s="9"/>
      <c r="W320" s="9">
        <f>TABL123[[#This Row],[(A/B) AJD]]+TABL123[[#This Row],[(A/S)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3">
        <f>TABL123[[#This Row],[( S/S+T/B) AJD]]-(TABL123[[#This Row],[(A/B + A/S) AJD]]+TABL123[[#This Row],[(STORGE DIFF.) AJD]]+(TABL123[[#This Row],[AJD_Evaporation]])/1000)</f>
        <v>0</v>
      </c>
      <c r="AE320" s="68"/>
      <c r="AF320" s="68"/>
      <c r="AG320" s="68"/>
      <c r="AH320" s="6"/>
      <c r="AI320" s="78"/>
      <c r="AJ320" s="78">
        <f>TABL123[[#This Row],[(A/B) AJD]]-TABL123[[#This Row],[BER_IN]]</f>
        <v>0</v>
      </c>
      <c r="AK320" s="78"/>
      <c r="AL320" s="68"/>
      <c r="AM320" s="87"/>
      <c r="AN320" s="87">
        <f>TABL123[[#This Row],[ (RESV. STORGE) SER]]/10</f>
        <v>0</v>
      </c>
      <c r="AO320" s="6"/>
      <c r="AP320" s="32">
        <f>TABL123[[#This Row],[(A/S) AJD]]-TABL123[[#This Row],[SER_IN]]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 (T/B) SAR]]+TABL123[[#This Row],[ (S/S) SAR]]</f>
        <v>0</v>
      </c>
      <c r="L321" s="28"/>
      <c r="M321" s="29"/>
      <c r="N321" s="30"/>
      <c r="O321" s="40"/>
      <c r="P321" s="9">
        <f>TABL123[[#This Row],[ (S/S) SAR]]-TABL123[[#This Row],[(S/S) AJD]]</f>
        <v>0</v>
      </c>
      <c r="Q321" s="9"/>
      <c r="R321" s="9">
        <f>TABL123[[#This Row],[ (T/B) SAR]]-TABL123[[#This Row],[(T/B) AJD]]</f>
        <v>0</v>
      </c>
      <c r="S321" s="9">
        <f>TABL123[[#This Row],[T/B-CON.]]+TABL123[[#This Row],[S/S_CON.]]</f>
        <v>0</v>
      </c>
      <c r="T321" s="9">
        <f>TABL123[[#This Row],[(S/S) AJD]]+TABL123[[#This Row],[(T/B) AJD]]</f>
        <v>0</v>
      </c>
      <c r="U321" s="9"/>
      <c r="V321" s="9"/>
      <c r="W321" s="9">
        <f>TABL123[[#This Row],[(A/B) AJD]]+TABL123[[#This Row],[(A/S)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3">
        <f>TABL123[[#This Row],[( S/S+T/B) AJD]]-(TABL123[[#This Row],[(A/B + A/S) AJD]]+TABL123[[#This Row],[(STORGE DIFF.) AJD]]+(TABL123[[#This Row],[AJD_Evaporation]])/1000)</f>
        <v>0</v>
      </c>
      <c r="AE321" s="68"/>
      <c r="AF321" s="68"/>
      <c r="AG321" s="68"/>
      <c r="AH321" s="6"/>
      <c r="AI321" s="78"/>
      <c r="AJ321" s="78">
        <f>TABL123[[#This Row],[(A/B) AJD]]-TABL123[[#This Row],[BER_IN]]</f>
        <v>0</v>
      </c>
      <c r="AK321" s="78"/>
      <c r="AL321" s="68"/>
      <c r="AM321" s="87"/>
      <c r="AN321" s="87">
        <f>TABL123[[#This Row],[ (RESV. STORGE) SER]]/10</f>
        <v>0</v>
      </c>
      <c r="AO321" s="6"/>
      <c r="AP321" s="32">
        <f>TABL123[[#This Row],[(A/S) AJD]]-TABL123[[#This Row],[SER_IN]]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 (T/B) SAR]]+TABL123[[#This Row],[ (S/S) SAR]]</f>
        <v>0</v>
      </c>
      <c r="L322" s="28"/>
      <c r="M322" s="29"/>
      <c r="N322" s="30"/>
      <c r="O322" s="39"/>
      <c r="P322" s="9">
        <f>TABL123[[#This Row],[ (S/S) SAR]]-TABL123[[#This Row],[(S/S) AJD]]</f>
        <v>0</v>
      </c>
      <c r="Q322" s="9"/>
      <c r="R322" s="9">
        <f>TABL123[[#This Row],[ (T/B) SAR]]-TABL123[[#This Row],[(T/B) AJD]]</f>
        <v>0</v>
      </c>
      <c r="S322" s="9">
        <f>TABL123[[#This Row],[T/B-CON.]]+TABL123[[#This Row],[S/S_CON.]]</f>
        <v>0</v>
      </c>
      <c r="T322" s="9">
        <f>TABL123[[#This Row],[(S/S) AJD]]+TABL123[[#This Row],[(T/B) AJD]]</f>
        <v>0</v>
      </c>
      <c r="U322" s="9"/>
      <c r="V322" s="9"/>
      <c r="W322" s="9">
        <f>TABL123[[#This Row],[(A/B) AJD]]+TABL123[[#This Row],[(A/S)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3">
        <f>TABL123[[#This Row],[( S/S+T/B) AJD]]-(TABL123[[#This Row],[(A/B + A/S) AJD]]+TABL123[[#This Row],[(STORGE DIFF.) AJD]]+(TABL123[[#This Row],[AJD_Evaporation]])/1000)</f>
        <v>0</v>
      </c>
      <c r="AE322" s="68"/>
      <c r="AF322" s="68"/>
      <c r="AG322" s="68"/>
      <c r="AH322" s="6"/>
      <c r="AI322" s="78"/>
      <c r="AJ322" s="78">
        <f>TABL123[[#This Row],[(A/B) AJD]]-TABL123[[#This Row],[BER_IN]]</f>
        <v>0</v>
      </c>
      <c r="AK322" s="78"/>
      <c r="AL322" s="68"/>
      <c r="AM322" s="87"/>
      <c r="AN322" s="87">
        <f>TABL123[[#This Row],[ (RESV. STORGE) SER]]/10</f>
        <v>0</v>
      </c>
      <c r="AO322" s="6"/>
      <c r="AP322" s="32">
        <f>TABL123[[#This Row],[(A/S) AJD]]-TABL123[[#This Row],[SER_IN]]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 (T/B) SAR]]+TABL123[[#This Row],[ (S/S) SAR]]</f>
        <v>0</v>
      </c>
      <c r="L323" s="28"/>
      <c r="M323" s="29"/>
      <c r="N323" s="30"/>
      <c r="O323" s="40"/>
      <c r="P323" s="9">
        <f>TABL123[[#This Row],[ (S/S) SAR]]-TABL123[[#This Row],[(S/S) AJD]]</f>
        <v>0</v>
      </c>
      <c r="Q323" s="9"/>
      <c r="R323" s="9">
        <f>TABL123[[#This Row],[ (T/B) SAR]]-TABL123[[#This Row],[(T/B) AJD]]</f>
        <v>0</v>
      </c>
      <c r="S323" s="9">
        <f>TABL123[[#This Row],[T/B-CON.]]+TABL123[[#This Row],[S/S_CON.]]</f>
        <v>0</v>
      </c>
      <c r="T323" s="9">
        <f>TABL123[[#This Row],[(S/S) AJD]]+TABL123[[#This Row],[(T/B) AJD]]</f>
        <v>0</v>
      </c>
      <c r="U323" s="9"/>
      <c r="V323" s="9"/>
      <c r="W323" s="9">
        <f>TABL123[[#This Row],[(A/B) AJD]]+TABL123[[#This Row],[(A/S)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83">
        <f>TABL123[[#This Row],[( S/S+T/B) AJD]]-(TABL123[[#This Row],[(A/B + A/S) AJD]]+TABL123[[#This Row],[(STORGE DIFF.) AJD]]+(TABL123[[#This Row],[AJD_Evaporation]])/1000)</f>
        <v>0</v>
      </c>
      <c r="AE323" s="68"/>
      <c r="AF323" s="68"/>
      <c r="AG323" s="68"/>
      <c r="AH323" s="6"/>
      <c r="AI323" s="78"/>
      <c r="AJ323" s="78">
        <f>TABL123[[#This Row],[(A/B) AJD]]-TABL123[[#This Row],[BER_IN]]</f>
        <v>0</v>
      </c>
      <c r="AK323" s="78"/>
      <c r="AL323" s="68"/>
      <c r="AM323" s="87"/>
      <c r="AN323" s="87">
        <f>TABL123[[#This Row],[ (RESV. STORGE) SER]]/10</f>
        <v>0</v>
      </c>
      <c r="AO323" s="6"/>
      <c r="AP323" s="32">
        <f>TABL123[[#This Row],[(A/S) AJD]]-TABL123[[#This Row],[SER_IN]]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 (T/B) SAR]]+TABL123[[#This Row],[ (S/S) SAR]]</f>
        <v>0</v>
      </c>
      <c r="L324" s="28"/>
      <c r="M324" s="29"/>
      <c r="N324" s="30"/>
      <c r="O324" s="39"/>
      <c r="P324" s="9">
        <f>TABL123[[#This Row],[ (S/S) SAR]]-TABL123[[#This Row],[(S/S) AJD]]</f>
        <v>0</v>
      </c>
      <c r="Q324" s="9"/>
      <c r="R324" s="9">
        <f>TABL123[[#This Row],[ (T/B) SAR]]-TABL123[[#This Row],[(T/B) AJD]]</f>
        <v>0</v>
      </c>
      <c r="S324" s="9">
        <f>TABL123[[#This Row],[T/B-CON.]]+TABL123[[#This Row],[S/S_CON.]]</f>
        <v>0</v>
      </c>
      <c r="T324" s="9">
        <f>TABL123[[#This Row],[(S/S) AJD]]+TABL123[[#This Row],[(T/B) AJD]]</f>
        <v>0</v>
      </c>
      <c r="U324" s="9"/>
      <c r="V324" s="9"/>
      <c r="W324" s="9">
        <f>TABL123[[#This Row],[(A/B) AJD]]+TABL123[[#This Row],[(A/S)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IF(TRIM(Z324)="",,(Z324-Z323)/1000)</f>
        <v>0</v>
      </c>
      <c r="AC324" s="5"/>
      <c r="AD324" s="83">
        <f>TABL123[[#This Row],[( S/S+T/B) AJD]]-(TABL123[[#This Row],[(A/B + A/S) AJD]]+TABL123[[#This Row],[(STORGE DIFF.) AJD]]+(TABL123[[#This Row],[AJD_Evaporation]])/1000)</f>
        <v>0</v>
      </c>
      <c r="AE324" s="68"/>
      <c r="AF324" s="68"/>
      <c r="AG324" s="68"/>
      <c r="AH324" s="6"/>
      <c r="AI324" s="78"/>
      <c r="AJ324" s="78">
        <f>TABL123[[#This Row],[(A/B) AJD]]-TABL123[[#This Row],[BER_IN]]</f>
        <v>0</v>
      </c>
      <c r="AK324" s="78"/>
      <c r="AL324" s="68"/>
      <c r="AM324" s="87"/>
      <c r="AN324" s="87">
        <f>TABL123[[#This Row],[ (RESV. STORGE) SER]]/10</f>
        <v>0</v>
      </c>
      <c r="AO324" s="6"/>
      <c r="AP324" s="32">
        <f>TABL123[[#This Row],[(A/S) AJD]]-TABL123[[#This Row],[SER_IN]]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 (T/B) SAR]]+TABL123[[#This Row],[ (S/S) SAR]]</f>
        <v>0</v>
      </c>
      <c r="L325" s="28"/>
      <c r="M325" s="29"/>
      <c r="N325" s="30"/>
      <c r="O325" s="40"/>
      <c r="P325" s="9">
        <f>TABL123[[#This Row],[ (S/S) SAR]]-TABL123[[#This Row],[(S/S) AJD]]</f>
        <v>0</v>
      </c>
      <c r="Q325" s="9"/>
      <c r="R325" s="9">
        <f>TABL123[[#This Row],[ (T/B) SAR]]-TABL123[[#This Row],[(T/B) AJD]]</f>
        <v>0</v>
      </c>
      <c r="S325" s="9">
        <f>TABL123[[#This Row],[T/B-CON.]]+TABL123[[#This Row],[S/S_CON.]]</f>
        <v>0</v>
      </c>
      <c r="T325" s="9">
        <f>TABL123[[#This Row],[(S/S) AJD]]+TABL123[[#This Row],[(T/B) AJD]]</f>
        <v>0</v>
      </c>
      <c r="U325" s="9"/>
      <c r="V325" s="9"/>
      <c r="W325" s="9">
        <f>TABL123[[#This Row],[(A/B) AJD]]+TABL123[[#This Row],[(A/S)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3">
        <f>TABL123[[#This Row],[( S/S+T/B) AJD]]-(TABL123[[#This Row],[(A/B + A/S) AJD]]+TABL123[[#This Row],[(STORGE DIFF.) AJD]]+(TABL123[[#This Row],[AJD_Evaporation]])/1000)</f>
        <v>0</v>
      </c>
      <c r="AE325" s="68"/>
      <c r="AF325" s="68"/>
      <c r="AG325" s="68"/>
      <c r="AH325" s="6"/>
      <c r="AI325" s="78"/>
      <c r="AJ325" s="78">
        <f>TABL123[[#This Row],[(A/B) AJD]]-TABL123[[#This Row],[BER_IN]]</f>
        <v>0</v>
      </c>
      <c r="AK325" s="78"/>
      <c r="AL325" s="68"/>
      <c r="AM325" s="87"/>
      <c r="AN325" s="87">
        <f>TABL123[[#This Row],[ (RESV. STORGE) SER]]/10</f>
        <v>0</v>
      </c>
      <c r="AO325" s="6"/>
      <c r="AP325" s="32">
        <f>TABL123[[#This Row],[(A/S) AJD]]-TABL123[[#This Row],[SER_IN]]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 (T/B) SAR]]+TABL123[[#This Row],[ (S/S) SAR]]</f>
        <v>0</v>
      </c>
      <c r="L326" s="28"/>
      <c r="M326" s="29"/>
      <c r="N326" s="30"/>
      <c r="O326" s="39"/>
      <c r="P326" s="9">
        <f>TABL123[[#This Row],[ (S/S) SAR]]-TABL123[[#This Row],[(S/S) AJD]]</f>
        <v>0</v>
      </c>
      <c r="Q326" s="9"/>
      <c r="R326" s="9">
        <f>TABL123[[#This Row],[ (T/B) SAR]]-TABL123[[#This Row],[(T/B) AJD]]</f>
        <v>0</v>
      </c>
      <c r="S326" s="9">
        <f>TABL123[[#This Row],[T/B-CON.]]+TABL123[[#This Row],[S/S_CON.]]</f>
        <v>0</v>
      </c>
      <c r="T326" s="9">
        <f>TABL123[[#This Row],[(S/S) AJD]]+TABL123[[#This Row],[(T/B) AJD]]</f>
        <v>0</v>
      </c>
      <c r="U326" s="9"/>
      <c r="V326" s="9"/>
      <c r="W326" s="9">
        <f>TABL123[[#This Row],[(A/B) AJD]]+TABL123[[#This Row],[(A/S)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3">
        <f>TABL123[[#This Row],[( S/S+T/B) AJD]]-(TABL123[[#This Row],[(A/B + A/S) AJD]]+TABL123[[#This Row],[(STORGE DIFF.) AJD]]+(TABL123[[#This Row],[AJD_Evaporation]])/1000)</f>
        <v>0</v>
      </c>
      <c r="AE326" s="68"/>
      <c r="AF326" s="68"/>
      <c r="AG326" s="68"/>
      <c r="AH326" s="6"/>
      <c r="AI326" s="78"/>
      <c r="AJ326" s="78">
        <f>TABL123[[#This Row],[(A/B) AJD]]-TABL123[[#This Row],[BER_IN]]</f>
        <v>0</v>
      </c>
      <c r="AK326" s="78"/>
      <c r="AL326" s="68"/>
      <c r="AM326" s="87"/>
      <c r="AN326" s="87">
        <f>TABL123[[#This Row],[ (RESV. STORGE) SER]]/10</f>
        <v>0</v>
      </c>
      <c r="AO326" s="6"/>
      <c r="AP326" s="32">
        <f>TABL123[[#This Row],[(A/S) AJD]]-TABL123[[#This Row],[SER_IN]]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 (T/B) SAR]]+TABL123[[#This Row],[ (S/S) SAR]]</f>
        <v>0</v>
      </c>
      <c r="L327" s="28"/>
      <c r="M327" s="29"/>
      <c r="N327" s="30"/>
      <c r="O327" s="40"/>
      <c r="P327" s="9">
        <f>TABL123[[#This Row],[ (S/S) SAR]]-TABL123[[#This Row],[(S/S) AJD]]</f>
        <v>0</v>
      </c>
      <c r="Q327" s="9"/>
      <c r="R327" s="9">
        <f>TABL123[[#This Row],[ (T/B) SAR]]-TABL123[[#This Row],[(T/B) AJD]]</f>
        <v>0</v>
      </c>
      <c r="S327" s="9">
        <f>TABL123[[#This Row],[T/B-CON.]]+TABL123[[#This Row],[S/S_CON.]]</f>
        <v>0</v>
      </c>
      <c r="T327" s="9">
        <f>TABL123[[#This Row],[(S/S) AJD]]+TABL123[[#This Row],[(T/B) AJD]]</f>
        <v>0</v>
      </c>
      <c r="U327" s="9"/>
      <c r="V327" s="9"/>
      <c r="W327" s="9">
        <f>TABL123[[#This Row],[(A/B) AJD]]+TABL123[[#This Row],[(A/S)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3">
        <f>TABL123[[#This Row],[( S/S+T/B) AJD]]-(TABL123[[#This Row],[(A/B + A/S) AJD]]+TABL123[[#This Row],[(STORGE DIFF.) AJD]]+(TABL123[[#This Row],[AJD_Evaporation]])/1000)</f>
        <v>0</v>
      </c>
      <c r="AE327" s="68"/>
      <c r="AF327" s="68"/>
      <c r="AG327" s="68"/>
      <c r="AH327" s="6"/>
      <c r="AI327" s="78"/>
      <c r="AJ327" s="78">
        <f>TABL123[[#This Row],[(A/B) AJD]]-TABL123[[#This Row],[BER_IN]]</f>
        <v>0</v>
      </c>
      <c r="AK327" s="78"/>
      <c r="AL327" s="68"/>
      <c r="AM327" s="87"/>
      <c r="AN327" s="87">
        <f>TABL123[[#This Row],[ (RESV. STORGE) SER]]/10</f>
        <v>0</v>
      </c>
      <c r="AO327" s="6"/>
      <c r="AP327" s="32">
        <f>TABL123[[#This Row],[(A/S) AJD]]-TABL123[[#This Row],[SER_IN]]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 (T/B) SAR]]+TABL123[[#This Row],[ (S/S) SAR]]</f>
        <v>0</v>
      </c>
      <c r="L328" s="28"/>
      <c r="M328" s="29"/>
      <c r="N328" s="30"/>
      <c r="O328" s="39"/>
      <c r="P328" s="9">
        <f>TABL123[[#This Row],[ (S/S) SAR]]-TABL123[[#This Row],[(S/S) AJD]]</f>
        <v>0</v>
      </c>
      <c r="Q328" s="9"/>
      <c r="R328" s="9">
        <f>TABL123[[#This Row],[ (T/B) SAR]]-TABL123[[#This Row],[(T/B) AJD]]</f>
        <v>0</v>
      </c>
      <c r="S328" s="9">
        <f>TABL123[[#This Row],[T/B-CON.]]+TABL123[[#This Row],[S/S_CON.]]</f>
        <v>0</v>
      </c>
      <c r="T328" s="9">
        <f>TABL123[[#This Row],[(S/S) AJD]]+TABL123[[#This Row],[(T/B) AJD]]</f>
        <v>0</v>
      </c>
      <c r="U328" s="9"/>
      <c r="V328" s="9"/>
      <c r="W328" s="9">
        <f>TABL123[[#This Row],[(A/B) AJD]]+TABL123[[#This Row],[(A/S)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3">
        <f>TABL123[[#This Row],[( S/S+T/B) AJD]]-(TABL123[[#This Row],[(A/B + A/S) AJD]]+TABL123[[#This Row],[(STORGE DIFF.) AJD]]+(TABL123[[#This Row],[AJD_Evaporation]])/1000)</f>
        <v>0</v>
      </c>
      <c r="AE328" s="68"/>
      <c r="AF328" s="68"/>
      <c r="AG328" s="68"/>
      <c r="AH328" s="6"/>
      <c r="AI328" s="78"/>
      <c r="AJ328" s="78">
        <f>TABL123[[#This Row],[(A/B) AJD]]-TABL123[[#This Row],[BER_IN]]</f>
        <v>0</v>
      </c>
      <c r="AK328" s="78"/>
      <c r="AL328" s="68"/>
      <c r="AM328" s="87"/>
      <c r="AN328" s="87">
        <f>TABL123[[#This Row],[ (RESV. STORGE) SER]]/10</f>
        <v>0</v>
      </c>
      <c r="AO328" s="6"/>
      <c r="AP328" s="32">
        <f>TABL123[[#This Row],[(A/S) AJD]]-TABL123[[#This Row],[SER_IN]]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 (T/B) SAR]]+TABL123[[#This Row],[ (S/S) SAR]]</f>
        <v>0</v>
      </c>
      <c r="L329" s="28"/>
      <c r="M329" s="29"/>
      <c r="N329" s="30"/>
      <c r="O329" s="40"/>
      <c r="P329" s="9">
        <f>TABL123[[#This Row],[ (S/S) SAR]]-TABL123[[#This Row],[(S/S) AJD]]</f>
        <v>0</v>
      </c>
      <c r="Q329" s="9"/>
      <c r="R329" s="9">
        <f>TABL123[[#This Row],[ (T/B) SAR]]-TABL123[[#This Row],[(T/B) AJD]]</f>
        <v>0</v>
      </c>
      <c r="S329" s="9">
        <f>TABL123[[#This Row],[T/B-CON.]]+TABL123[[#This Row],[S/S_CON.]]</f>
        <v>0</v>
      </c>
      <c r="T329" s="9">
        <f>TABL123[[#This Row],[(S/S) AJD]]+TABL123[[#This Row],[(T/B) AJD]]</f>
        <v>0</v>
      </c>
      <c r="U329" s="9"/>
      <c r="V329" s="9"/>
      <c r="W329" s="9">
        <f>TABL123[[#This Row],[(A/B) AJD]]+TABL123[[#This Row],[(A/S)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3">
        <f>TABL123[[#This Row],[( S/S+T/B) AJD]]-(TABL123[[#This Row],[(A/B + A/S) AJD]]+TABL123[[#This Row],[(STORGE DIFF.) AJD]]+(TABL123[[#This Row],[AJD_Evaporation]])/1000)</f>
        <v>0</v>
      </c>
      <c r="AE329" s="68"/>
      <c r="AF329" s="68"/>
      <c r="AG329" s="68"/>
      <c r="AH329" s="6"/>
      <c r="AI329" s="78"/>
      <c r="AJ329" s="78">
        <f>TABL123[[#This Row],[(A/B) AJD]]-TABL123[[#This Row],[BER_IN]]</f>
        <v>0</v>
      </c>
      <c r="AK329" s="78"/>
      <c r="AL329" s="68"/>
      <c r="AM329" s="87"/>
      <c r="AN329" s="87">
        <f>TABL123[[#This Row],[ (RESV. STORGE) SER]]/10</f>
        <v>0</v>
      </c>
      <c r="AO329" s="6"/>
      <c r="AP329" s="32">
        <f>TABL123[[#This Row],[(A/S) AJD]]-TABL123[[#This Row],[SER_IN]]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 (T/B) SAR]]+TABL123[[#This Row],[ (S/S) SAR]]</f>
        <v>0</v>
      </c>
      <c r="L330" s="28"/>
      <c r="M330" s="29"/>
      <c r="N330" s="30"/>
      <c r="O330" s="39"/>
      <c r="P330" s="9">
        <f>TABL123[[#This Row],[ (S/S) SAR]]-TABL123[[#This Row],[(S/S) AJD]]</f>
        <v>0</v>
      </c>
      <c r="Q330" s="9"/>
      <c r="R330" s="9">
        <f>TABL123[[#This Row],[ (T/B) SAR]]-TABL123[[#This Row],[(T/B) AJD]]</f>
        <v>0</v>
      </c>
      <c r="S330" s="9">
        <f>TABL123[[#This Row],[T/B-CON.]]+TABL123[[#This Row],[S/S_CON.]]</f>
        <v>0</v>
      </c>
      <c r="T330" s="9">
        <f>TABL123[[#This Row],[(S/S) AJD]]+TABL123[[#This Row],[(T/B) AJD]]</f>
        <v>0</v>
      </c>
      <c r="U330" s="9"/>
      <c r="V330" s="9"/>
      <c r="W330" s="9">
        <f>TABL123[[#This Row],[(A/B) AJD]]+TABL123[[#This Row],[(A/S)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3">
        <f>TABL123[[#This Row],[( S/S+T/B) AJD]]-(TABL123[[#This Row],[(A/B + A/S) AJD]]+TABL123[[#This Row],[(STORGE DIFF.) AJD]]+(TABL123[[#This Row],[AJD_Evaporation]])/1000)</f>
        <v>0</v>
      </c>
      <c r="AE330" s="68"/>
      <c r="AF330" s="68"/>
      <c r="AG330" s="68"/>
      <c r="AH330" s="6"/>
      <c r="AI330" s="78"/>
      <c r="AJ330" s="78">
        <f>TABL123[[#This Row],[(A/B) AJD]]-TABL123[[#This Row],[BER_IN]]</f>
        <v>0</v>
      </c>
      <c r="AK330" s="78"/>
      <c r="AL330" s="68"/>
      <c r="AM330" s="87"/>
      <c r="AN330" s="87">
        <f>TABL123[[#This Row],[ (RESV. STORGE) SER]]/10</f>
        <v>0</v>
      </c>
      <c r="AO330" s="6"/>
      <c r="AP330" s="32">
        <f>TABL123[[#This Row],[(A/S) AJD]]-TABL123[[#This Row],[SER_IN]]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 (T/B) SAR]]+TABL123[[#This Row],[ (S/S) SAR]]</f>
        <v>0</v>
      </c>
      <c r="L331" s="28"/>
      <c r="M331" s="29"/>
      <c r="N331" s="30"/>
      <c r="O331" s="40"/>
      <c r="P331" s="9">
        <f>TABL123[[#This Row],[ (S/S) SAR]]-TABL123[[#This Row],[(S/S) AJD]]</f>
        <v>0</v>
      </c>
      <c r="Q331" s="9"/>
      <c r="R331" s="9">
        <f>TABL123[[#This Row],[ (T/B) SAR]]-TABL123[[#This Row],[(T/B) AJD]]</f>
        <v>0</v>
      </c>
      <c r="S331" s="9">
        <f>TABL123[[#This Row],[T/B-CON.]]+TABL123[[#This Row],[S/S_CON.]]</f>
        <v>0</v>
      </c>
      <c r="T331" s="9">
        <f>TABL123[[#This Row],[(S/S) AJD]]+TABL123[[#This Row],[(T/B) AJD]]</f>
        <v>0</v>
      </c>
      <c r="U331" s="9"/>
      <c r="V331" s="9"/>
      <c r="W331" s="9">
        <f>TABL123[[#This Row],[(A/B) AJD]]+TABL123[[#This Row],[(A/S)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3">
        <f>TABL123[[#This Row],[( S/S+T/B) AJD]]-(TABL123[[#This Row],[(A/B + A/S) AJD]]+TABL123[[#This Row],[(STORGE DIFF.) AJD]]+(TABL123[[#This Row],[AJD_Evaporation]])/1000)</f>
        <v>0</v>
      </c>
      <c r="AE331" s="68"/>
      <c r="AF331" s="68"/>
      <c r="AG331" s="68"/>
      <c r="AH331" s="6"/>
      <c r="AI331" s="78"/>
      <c r="AJ331" s="78">
        <f>TABL123[[#This Row],[(A/B) AJD]]-TABL123[[#This Row],[BER_IN]]</f>
        <v>0</v>
      </c>
      <c r="AK331" s="78"/>
      <c r="AL331" s="68"/>
      <c r="AM331" s="87"/>
      <c r="AN331" s="87">
        <f>TABL123[[#This Row],[ (RESV. STORGE) SER]]/10</f>
        <v>0</v>
      </c>
      <c r="AO331" s="6"/>
      <c r="AP331" s="32">
        <f>TABL123[[#This Row],[(A/S) AJD]]-TABL123[[#This Row],[SER_IN]]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 (T/B) SAR]]+TABL123[[#This Row],[ (S/S) SAR]]</f>
        <v>0</v>
      </c>
      <c r="L332" s="28"/>
      <c r="M332" s="29"/>
      <c r="N332" s="30"/>
      <c r="O332" s="39"/>
      <c r="P332" s="9">
        <f>TABL123[[#This Row],[ (S/S) SAR]]-TABL123[[#This Row],[(S/S) AJD]]</f>
        <v>0</v>
      </c>
      <c r="Q332" s="9"/>
      <c r="R332" s="9">
        <f>TABL123[[#This Row],[ (T/B) SAR]]-TABL123[[#This Row],[(T/B) AJD]]</f>
        <v>0</v>
      </c>
      <c r="S332" s="9">
        <f>TABL123[[#This Row],[T/B-CON.]]+TABL123[[#This Row],[S/S_CON.]]</f>
        <v>0</v>
      </c>
      <c r="T332" s="9">
        <f>TABL123[[#This Row],[(S/S) AJD]]+TABL123[[#This Row],[(T/B) AJD]]</f>
        <v>0</v>
      </c>
      <c r="U332" s="9"/>
      <c r="V332" s="9"/>
      <c r="W332" s="9">
        <f>TABL123[[#This Row],[(A/B) AJD]]+TABL123[[#This Row],[(A/S)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3">
        <f>TABL123[[#This Row],[( S/S+T/B) AJD]]-(TABL123[[#This Row],[(A/B + A/S) AJD]]+TABL123[[#This Row],[(STORGE DIFF.) AJD]]+(TABL123[[#This Row],[AJD_Evaporation]])/1000)</f>
        <v>0</v>
      </c>
      <c r="AE332" s="68"/>
      <c r="AF332" s="68"/>
      <c r="AG332" s="68"/>
      <c r="AH332" s="6"/>
      <c r="AI332" s="78"/>
      <c r="AJ332" s="78">
        <f>TABL123[[#This Row],[(A/B) AJD]]-TABL123[[#This Row],[BER_IN]]</f>
        <v>0</v>
      </c>
      <c r="AK332" s="78"/>
      <c r="AL332" s="68"/>
      <c r="AM332" s="87"/>
      <c r="AN332" s="87">
        <f>TABL123[[#This Row],[ (RESV. STORGE) SER]]/10</f>
        <v>0</v>
      </c>
      <c r="AO332" s="6"/>
      <c r="AP332" s="32">
        <f>TABL123[[#This Row],[(A/S) AJD]]-TABL123[[#This Row],[SER_IN]]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 (T/B) SAR]]+TABL123[[#This Row],[ (S/S) SAR]]</f>
        <v>0</v>
      </c>
      <c r="L333" s="28"/>
      <c r="M333" s="29"/>
      <c r="N333" s="30"/>
      <c r="O333" s="40"/>
      <c r="P333" s="9">
        <f>TABL123[[#This Row],[ (S/S) SAR]]-TABL123[[#This Row],[(S/S) AJD]]</f>
        <v>0</v>
      </c>
      <c r="Q333" s="9"/>
      <c r="R333" s="9">
        <f>TABL123[[#This Row],[ (T/B) SAR]]-TABL123[[#This Row],[(T/B) AJD]]</f>
        <v>0</v>
      </c>
      <c r="S333" s="9">
        <f>TABL123[[#This Row],[T/B-CON.]]+TABL123[[#This Row],[S/S_CON.]]</f>
        <v>0</v>
      </c>
      <c r="T333" s="9">
        <f>TABL123[[#This Row],[(S/S) AJD]]+TABL123[[#This Row],[(T/B) AJD]]</f>
        <v>0</v>
      </c>
      <c r="U333" s="9"/>
      <c r="V333" s="9"/>
      <c r="W333" s="9">
        <f>TABL123[[#This Row],[(A/B) AJD]]+TABL123[[#This Row],[(A/S)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3">
        <f>TABL123[[#This Row],[( S/S+T/B) AJD]]-(TABL123[[#This Row],[(A/B + A/S) AJD]]+TABL123[[#This Row],[(STORGE DIFF.) AJD]]+(TABL123[[#This Row],[AJD_Evaporation]])/1000)</f>
        <v>0</v>
      </c>
      <c r="AE333" s="68"/>
      <c r="AF333" s="68"/>
      <c r="AG333" s="68"/>
      <c r="AH333" s="6"/>
      <c r="AI333" s="78"/>
      <c r="AJ333" s="78">
        <f>TABL123[[#This Row],[(A/B) AJD]]-TABL123[[#This Row],[BER_IN]]</f>
        <v>0</v>
      </c>
      <c r="AK333" s="78"/>
      <c r="AL333" s="68"/>
      <c r="AM333" s="87"/>
      <c r="AN333" s="87">
        <f>TABL123[[#This Row],[ (RESV. STORGE) SER]]/10</f>
        <v>0</v>
      </c>
      <c r="AO333" s="6"/>
      <c r="AP333" s="32">
        <f>TABL123[[#This Row],[(A/S) AJD]]-TABL123[[#This Row],[SER_IN]]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 (T/B) SAR]]+TABL123[[#This Row],[ (S/S) SAR]]</f>
        <v>0</v>
      </c>
      <c r="L334" s="28"/>
      <c r="M334" s="29"/>
      <c r="N334" s="30"/>
      <c r="O334" s="39"/>
      <c r="P334" s="9">
        <f>TABL123[[#This Row],[ (S/S) SAR]]-TABL123[[#This Row],[(S/S) AJD]]</f>
        <v>0</v>
      </c>
      <c r="Q334" s="9"/>
      <c r="R334" s="9">
        <f>TABL123[[#This Row],[ (T/B) SAR]]-TABL123[[#This Row],[(T/B) AJD]]</f>
        <v>0</v>
      </c>
      <c r="S334" s="9">
        <f>TABL123[[#This Row],[T/B-CON.]]+TABL123[[#This Row],[S/S_CON.]]</f>
        <v>0</v>
      </c>
      <c r="T334" s="9">
        <f>TABL123[[#This Row],[(S/S) AJD]]+TABL123[[#This Row],[(T/B) AJD]]</f>
        <v>0</v>
      </c>
      <c r="U334" s="9"/>
      <c r="V334" s="9"/>
      <c r="W334" s="9">
        <f>TABL123[[#This Row],[(A/B) AJD]]+TABL123[[#This Row],[(A/S)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3">
        <f>TABL123[[#This Row],[( S/S+T/B) AJD]]-(TABL123[[#This Row],[(A/B + A/S) AJD]]+TABL123[[#This Row],[(STORGE DIFF.) AJD]]+(TABL123[[#This Row],[AJD_Evaporation]])/1000)</f>
        <v>0</v>
      </c>
      <c r="AE334" s="68"/>
      <c r="AF334" s="68"/>
      <c r="AG334" s="68"/>
      <c r="AH334" s="6"/>
      <c r="AI334" s="78"/>
      <c r="AJ334" s="78">
        <f>TABL123[[#This Row],[(A/B) AJD]]-TABL123[[#This Row],[BER_IN]]</f>
        <v>0</v>
      </c>
      <c r="AK334" s="78"/>
      <c r="AL334" s="68"/>
      <c r="AM334" s="87"/>
      <c r="AN334" s="87">
        <f>TABL123[[#This Row],[ (RESV. STORGE) SER]]/10</f>
        <v>0</v>
      </c>
      <c r="AO334" s="6"/>
      <c r="AP334" s="32">
        <f>TABL123[[#This Row],[(A/S) AJD]]-TABL123[[#This Row],[SER_IN]]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 (T/B) SAR]]+TABL123[[#This Row],[ (S/S) SAR]]</f>
        <v>0</v>
      </c>
      <c r="L335" s="28"/>
      <c r="M335" s="29"/>
      <c r="N335" s="30"/>
      <c r="O335" s="40"/>
      <c r="P335" s="9">
        <f>TABL123[[#This Row],[ (S/S) SAR]]-TABL123[[#This Row],[(S/S) AJD]]</f>
        <v>0</v>
      </c>
      <c r="Q335" s="9"/>
      <c r="R335" s="9">
        <f>TABL123[[#This Row],[ (T/B) SAR]]-TABL123[[#This Row],[(T/B) AJD]]</f>
        <v>0</v>
      </c>
      <c r="S335" s="9">
        <f>TABL123[[#This Row],[T/B-CON.]]+TABL123[[#This Row],[S/S_CON.]]</f>
        <v>0</v>
      </c>
      <c r="T335" s="9">
        <f>TABL123[[#This Row],[(S/S) AJD]]+TABL123[[#This Row],[(T/B) AJD]]</f>
        <v>0</v>
      </c>
      <c r="U335" s="9"/>
      <c r="V335" s="9"/>
      <c r="W335" s="9">
        <f>TABL123[[#This Row],[(A/B) AJD]]+TABL123[[#This Row],[(A/S)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3">
        <f>TABL123[[#This Row],[( S/S+T/B) AJD]]-(TABL123[[#This Row],[(A/B + A/S) AJD]]+TABL123[[#This Row],[(STORGE DIFF.) AJD]]+(TABL123[[#This Row],[AJD_Evaporation]])/1000)</f>
        <v>0</v>
      </c>
      <c r="AE335" s="68"/>
      <c r="AF335" s="68"/>
      <c r="AG335" s="68"/>
      <c r="AH335" s="6"/>
      <c r="AI335" s="78"/>
      <c r="AJ335" s="78">
        <f>TABL123[[#This Row],[(A/B) AJD]]-TABL123[[#This Row],[BER_IN]]</f>
        <v>0</v>
      </c>
      <c r="AK335" s="78"/>
      <c r="AL335" s="68"/>
      <c r="AM335" s="87"/>
      <c r="AN335" s="87">
        <f>TABL123[[#This Row],[ (RESV. STORGE) SER]]/10</f>
        <v>0</v>
      </c>
      <c r="AO335" s="6"/>
      <c r="AP335" s="32">
        <f>TABL123[[#This Row],[(A/S) AJD]]-TABL123[[#This Row],[SER_IN]]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 (T/B) SAR]]+TABL123[[#This Row],[ (S/S) SAR]]</f>
        <v>0</v>
      </c>
      <c r="L336" s="41"/>
      <c r="M336" s="42"/>
      <c r="N336" s="42"/>
      <c r="O336" s="39"/>
      <c r="P336" s="9">
        <f>TABL123[[#This Row],[ (S/S) SAR]]-TABL123[[#This Row],[(S/S) AJD]]</f>
        <v>0</v>
      </c>
      <c r="Q336" s="39"/>
      <c r="R336" s="9">
        <f>TABL123[[#This Row],[ (T/B) SAR]]-TABL123[[#This Row],[(T/B) AJD]]</f>
        <v>0</v>
      </c>
      <c r="S336" s="9">
        <f>TABL123[[#This Row],[T/B-CON.]]+TABL123[[#This Row],[S/S_CON.]]</f>
        <v>0</v>
      </c>
      <c r="T336" s="9">
        <f>TABL123[[#This Row],[(S/S) AJD]]+TABL123[[#This Row],[(T/B) AJD]]</f>
        <v>0</v>
      </c>
      <c r="U336" s="41"/>
      <c r="V336" s="41"/>
      <c r="W336" s="9">
        <f>TABL123[[#This Row],[(A/B) AJD]]+TABL123[[#This Row],[(A/S)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3">
        <f>TABL123[[#This Row],[( S/S+T/B) AJD]]-(TABL123[[#This Row],[(A/B + A/S) AJD]]+TABL123[[#This Row],[(STORGE DIFF.) AJD]]+(TABL123[[#This Row],[AJD_Evaporation]])/1000)</f>
        <v>0</v>
      </c>
      <c r="AE336" s="68"/>
      <c r="AF336" s="68"/>
      <c r="AG336" s="68"/>
      <c r="AH336" s="43"/>
      <c r="AI336" s="78"/>
      <c r="AJ336" s="78">
        <f>TABL123[[#This Row],[(A/B) AJD]]-TABL123[[#This Row],[BER_IN]]</f>
        <v>0</v>
      </c>
      <c r="AK336" s="78"/>
      <c r="AL336" s="68"/>
      <c r="AM336" s="87"/>
      <c r="AN336" s="87">
        <f>TABL123[[#This Row],[ (RESV. STORGE) SER]]/10</f>
        <v>0</v>
      </c>
      <c r="AO336" s="43"/>
      <c r="AP336" s="32">
        <f>TABL123[[#This Row],[(A/S) AJD]]-TABL123[[#This Row],[SER_IN]]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 (T/B) SAR]]+TABL123[[#This Row],[ (S/S) SAR]]</f>
        <v>0</v>
      </c>
      <c r="L337" s="45"/>
      <c r="M337" s="46"/>
      <c r="N337" s="46"/>
      <c r="O337" s="40"/>
      <c r="P337" s="9">
        <f>TABL123[[#This Row],[ (S/S) SAR]]-TABL123[[#This Row],[(S/S) AJD]]</f>
        <v>0</v>
      </c>
      <c r="Q337" s="40"/>
      <c r="R337" s="9">
        <f>TABL123[[#This Row],[ (T/B) SAR]]-TABL123[[#This Row],[(T/B) AJD]]</f>
        <v>0</v>
      </c>
      <c r="S337" s="9">
        <f>TABL123[[#This Row],[T/B-CON.]]+TABL123[[#This Row],[S/S_CON.]]</f>
        <v>0</v>
      </c>
      <c r="T337" s="9">
        <f>TABL123[[#This Row],[(S/S) AJD]]+TABL123[[#This Row],[(T/B) AJD]]</f>
        <v>0</v>
      </c>
      <c r="U337" s="44"/>
      <c r="V337" s="44"/>
      <c r="W337" s="9">
        <f>TABL123[[#This Row],[(A/B) AJD]]+TABL123[[#This Row],[(A/S)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3">
        <f>TABL123[[#This Row],[( S/S+T/B) AJD]]-(TABL123[[#This Row],[(A/B + A/S) AJD]]+TABL123[[#This Row],[(STORGE DIFF.) AJD]]+(TABL123[[#This Row],[AJD_Evaporation]])/1000)</f>
        <v>0</v>
      </c>
      <c r="AE337" s="68"/>
      <c r="AF337" s="68"/>
      <c r="AG337" s="68"/>
      <c r="AH337" s="45"/>
      <c r="AI337" s="78"/>
      <c r="AJ337" s="78">
        <f>TABL123[[#This Row],[(A/B) AJD]]-TABL123[[#This Row],[BER_IN]]</f>
        <v>0</v>
      </c>
      <c r="AK337" s="78"/>
      <c r="AL337" s="68"/>
      <c r="AM337" s="87"/>
      <c r="AN337" s="87">
        <f>TABL123[[#This Row],[ (RESV. STORGE) SER]]/10</f>
        <v>0</v>
      </c>
      <c r="AO337" s="45"/>
      <c r="AP337" s="32">
        <f>TABL123[[#This Row],[(A/S) AJD]]-TABL123[[#This Row],[SER_IN]]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 (T/B) SAR]]+TABL123[[#This Row],[ (S/S) SAR]]</f>
        <v>0</v>
      </c>
      <c r="L338" s="41"/>
      <c r="M338" s="42"/>
      <c r="N338" s="42"/>
      <c r="O338" s="39"/>
      <c r="P338" s="9">
        <f>TABL123[[#This Row],[ (S/S) SAR]]-TABL123[[#This Row],[(S/S) AJD]]</f>
        <v>0</v>
      </c>
      <c r="Q338" s="39"/>
      <c r="R338" s="9">
        <f>TABL123[[#This Row],[ (T/B) SAR]]-TABL123[[#This Row],[(T/B) AJD]]</f>
        <v>0</v>
      </c>
      <c r="S338" s="9">
        <f>TABL123[[#This Row],[T/B-CON.]]+TABL123[[#This Row],[S/S_CON.]]</f>
        <v>0</v>
      </c>
      <c r="T338" s="9">
        <f>TABL123[[#This Row],[(S/S) AJD]]+TABL123[[#This Row],[(T/B) AJD]]</f>
        <v>0</v>
      </c>
      <c r="U338" s="41"/>
      <c r="V338" s="41"/>
      <c r="W338" s="9">
        <f>TABL123[[#This Row],[(A/B) AJD]]+TABL123[[#This Row],[(A/S)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3">
        <f>TABL123[[#This Row],[( S/S+T/B) AJD]]-(TABL123[[#This Row],[(A/B + A/S) AJD]]+TABL123[[#This Row],[(STORGE DIFF.) AJD]]+(TABL123[[#This Row],[AJD_Evaporation]])/1000)</f>
        <v>0</v>
      </c>
      <c r="AE338" s="68"/>
      <c r="AF338" s="68"/>
      <c r="AG338" s="68"/>
      <c r="AH338" s="43"/>
      <c r="AI338" s="78"/>
      <c r="AJ338" s="78">
        <f>TABL123[[#This Row],[(A/B) AJD]]-TABL123[[#This Row],[BER_IN]]</f>
        <v>0</v>
      </c>
      <c r="AK338" s="78"/>
      <c r="AL338" s="68"/>
      <c r="AM338" s="87"/>
      <c r="AN338" s="87">
        <f>TABL123[[#This Row],[ (RESV. STORGE) SER]]/10</f>
        <v>0</v>
      </c>
      <c r="AO338" s="43"/>
      <c r="AP338" s="32">
        <f>TABL123[[#This Row],[(A/S) AJD]]-TABL123[[#This Row],[SER_IN]]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 (T/B) SAR]]+TABL123[[#This Row],[ (S/S) SAR]]</f>
        <v>0</v>
      </c>
      <c r="L339" s="45"/>
      <c r="M339" s="46"/>
      <c r="N339" s="46"/>
      <c r="O339" s="40"/>
      <c r="P339" s="9">
        <f>TABL123[[#This Row],[ (S/S) SAR]]-TABL123[[#This Row],[(S/S) AJD]]</f>
        <v>0</v>
      </c>
      <c r="Q339" s="40"/>
      <c r="R339" s="9">
        <f>TABL123[[#This Row],[ (T/B) SAR]]-TABL123[[#This Row],[(T/B) AJD]]</f>
        <v>0</v>
      </c>
      <c r="S339" s="9">
        <f>TABL123[[#This Row],[T/B-CON.]]+TABL123[[#This Row],[S/S_CON.]]</f>
        <v>0</v>
      </c>
      <c r="T339" s="9">
        <f>TABL123[[#This Row],[(S/S) AJD]]+TABL123[[#This Row],[(T/B) AJD]]</f>
        <v>0</v>
      </c>
      <c r="U339" s="44"/>
      <c r="V339" s="47"/>
      <c r="W339" s="9">
        <f>TABL123[[#This Row],[(A/B) AJD]]+TABL123[[#This Row],[(A/S)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3">
        <f>TABL123[[#This Row],[( S/S+T/B) AJD]]-(TABL123[[#This Row],[(A/B + A/S) AJD]]+TABL123[[#This Row],[(STORGE DIFF.) AJD]]+(TABL123[[#This Row],[AJD_Evaporation]])/1000)</f>
        <v>0</v>
      </c>
      <c r="AE339" s="68"/>
      <c r="AF339" s="68"/>
      <c r="AG339" s="68"/>
      <c r="AH339" s="45"/>
      <c r="AI339" s="78"/>
      <c r="AJ339" s="78">
        <f>TABL123[[#This Row],[(A/B) AJD]]-TABL123[[#This Row],[BER_IN]]</f>
        <v>0</v>
      </c>
      <c r="AK339" s="78"/>
      <c r="AL339" s="68"/>
      <c r="AM339" s="87"/>
      <c r="AN339" s="87">
        <f>TABL123[[#This Row],[ (RESV. STORGE) SER]]/10</f>
        <v>0</v>
      </c>
      <c r="AO339" s="45"/>
      <c r="AP339" s="32">
        <f>TABL123[[#This Row],[(A/S) AJD]]-TABL123[[#This Row],[SER_IN]]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 (T/B) SAR]]+TABL123[[#This Row],[ (S/S) SAR]]</f>
        <v>0</v>
      </c>
      <c r="L340" s="41"/>
      <c r="M340" s="42"/>
      <c r="N340" s="42"/>
      <c r="O340" s="39"/>
      <c r="P340" s="9">
        <f>TABL123[[#This Row],[ (S/S) SAR]]-TABL123[[#This Row],[(S/S) AJD]]</f>
        <v>0</v>
      </c>
      <c r="Q340" s="39"/>
      <c r="R340" s="9">
        <f>TABL123[[#This Row],[ (T/B) SAR]]-TABL123[[#This Row],[(T/B) AJD]]</f>
        <v>0</v>
      </c>
      <c r="S340" s="9">
        <f>TABL123[[#This Row],[T/B-CON.]]+TABL123[[#This Row],[S/S_CON.]]</f>
        <v>0</v>
      </c>
      <c r="T340" s="9">
        <f>TABL123[[#This Row],[(S/S) AJD]]+TABL123[[#This Row],[(T/B) AJD]]</f>
        <v>0</v>
      </c>
      <c r="U340" s="41"/>
      <c r="V340" s="41"/>
      <c r="W340" s="9">
        <f>TABL123[[#This Row],[(A/B) AJD]]+TABL123[[#This Row],[(A/S)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3">
        <f>TABL123[[#This Row],[( S/S+T/B) AJD]]-(TABL123[[#This Row],[(A/B + A/S) AJD]]+TABL123[[#This Row],[(STORGE DIFF.) AJD]]+(TABL123[[#This Row],[AJD_Evaporation]])/1000)</f>
        <v>0</v>
      </c>
      <c r="AE340" s="68"/>
      <c r="AF340" s="68"/>
      <c r="AG340" s="68"/>
      <c r="AH340" s="43"/>
      <c r="AI340" s="78"/>
      <c r="AJ340" s="78">
        <f>TABL123[[#This Row],[(A/B) AJD]]-TABL123[[#This Row],[BER_IN]]</f>
        <v>0</v>
      </c>
      <c r="AK340" s="78"/>
      <c r="AL340" s="68"/>
      <c r="AM340" s="87"/>
      <c r="AN340" s="87">
        <f>TABL123[[#This Row],[ (RESV. STORGE) SER]]/10</f>
        <v>0</v>
      </c>
      <c r="AO340" s="43"/>
      <c r="AP340" s="32">
        <f>TABL123[[#This Row],[(A/S) AJD]]-TABL123[[#This Row],[SER_IN]]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 (T/B) SAR]]+TABL123[[#This Row],[ (S/S) SAR]]</f>
        <v>0</v>
      </c>
      <c r="L341" s="45"/>
      <c r="M341" s="46"/>
      <c r="N341" s="46"/>
      <c r="O341" s="40"/>
      <c r="P341" s="9">
        <f>TABL123[[#This Row],[ (S/S) SAR]]-TABL123[[#This Row],[(S/S) AJD]]</f>
        <v>0</v>
      </c>
      <c r="Q341" s="40"/>
      <c r="R341" s="9">
        <f>TABL123[[#This Row],[ (T/B) SAR]]-TABL123[[#This Row],[(T/B) AJD]]</f>
        <v>0</v>
      </c>
      <c r="S341" s="9">
        <f>TABL123[[#This Row],[T/B-CON.]]+TABL123[[#This Row],[S/S_CON.]]</f>
        <v>0</v>
      </c>
      <c r="T341" s="9">
        <f>TABL123[[#This Row],[(S/S) AJD]]+TABL123[[#This Row],[(T/B) AJD]]</f>
        <v>0</v>
      </c>
      <c r="U341" s="44"/>
      <c r="V341" s="44"/>
      <c r="W341" s="9">
        <f>TABL123[[#This Row],[(A/B) AJD]]+TABL123[[#This Row],[(A/S)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3">
        <f>TABL123[[#This Row],[( S/S+T/B) AJD]]-(TABL123[[#This Row],[(A/B + A/S) AJD]]+TABL123[[#This Row],[(STORGE DIFF.) AJD]]+(TABL123[[#This Row],[AJD_Evaporation]])/1000)</f>
        <v>0</v>
      </c>
      <c r="AE341" s="68"/>
      <c r="AF341" s="68"/>
      <c r="AG341" s="68"/>
      <c r="AH341" s="45"/>
      <c r="AI341" s="78"/>
      <c r="AJ341" s="78">
        <f>TABL123[[#This Row],[(A/B) AJD]]-TABL123[[#This Row],[BER_IN]]</f>
        <v>0</v>
      </c>
      <c r="AK341" s="78"/>
      <c r="AL341" s="68"/>
      <c r="AM341" s="87"/>
      <c r="AN341" s="87">
        <f>TABL123[[#This Row],[ (RESV. STORGE) SER]]/10</f>
        <v>0</v>
      </c>
      <c r="AO341" s="45"/>
      <c r="AP341" s="32">
        <f>TABL123[[#This Row],[(A/S) AJD]]-TABL123[[#This Row],[SER_IN]]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 (T/B) SAR]]+TABL123[[#This Row],[ (S/S) SAR]]</f>
        <v>0</v>
      </c>
      <c r="L342" s="41"/>
      <c r="M342" s="42"/>
      <c r="N342" s="42"/>
      <c r="O342" s="39"/>
      <c r="P342" s="9">
        <f>TABL123[[#This Row],[ (S/S) SAR]]-TABL123[[#This Row],[(S/S) AJD]]</f>
        <v>0</v>
      </c>
      <c r="Q342" s="39"/>
      <c r="R342" s="9">
        <f>TABL123[[#This Row],[ (T/B) SAR]]-TABL123[[#This Row],[(T/B) AJD]]</f>
        <v>0</v>
      </c>
      <c r="S342" s="9">
        <f>TABL123[[#This Row],[T/B-CON.]]+TABL123[[#This Row],[S/S_CON.]]</f>
        <v>0</v>
      </c>
      <c r="T342" s="9">
        <f>TABL123[[#This Row],[(S/S) AJD]]+TABL123[[#This Row],[(T/B) AJD]]</f>
        <v>0</v>
      </c>
      <c r="U342" s="41"/>
      <c r="V342" s="41"/>
      <c r="W342" s="9">
        <f>TABL123[[#This Row],[(A/B) AJD]]+TABL123[[#This Row],[(A/S)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3">
        <f>TABL123[[#This Row],[( S/S+T/B) AJD]]-(TABL123[[#This Row],[(A/B + A/S) AJD]]+TABL123[[#This Row],[(STORGE DIFF.) AJD]]+(TABL123[[#This Row],[AJD_Evaporation]])/1000)</f>
        <v>0</v>
      </c>
      <c r="AE342" s="68"/>
      <c r="AF342" s="68"/>
      <c r="AG342" s="68"/>
      <c r="AH342" s="43"/>
      <c r="AI342" s="78"/>
      <c r="AJ342" s="78">
        <f>TABL123[[#This Row],[(A/B) AJD]]-TABL123[[#This Row],[BER_IN]]</f>
        <v>0</v>
      </c>
      <c r="AK342" s="78"/>
      <c r="AL342" s="68"/>
      <c r="AM342" s="87"/>
      <c r="AN342" s="87">
        <f>TABL123[[#This Row],[ (RESV. STORGE) SER]]/10</f>
        <v>0</v>
      </c>
      <c r="AO342" s="43"/>
      <c r="AP342" s="32">
        <f>TABL123[[#This Row],[(A/S) AJD]]-TABL123[[#This Row],[SER_IN]]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 (T/B) SAR]]+TABL123[[#This Row],[ (S/S) SAR]]</f>
        <v>0</v>
      </c>
      <c r="L343" s="45"/>
      <c r="M343" s="46"/>
      <c r="N343" s="46"/>
      <c r="O343" s="40"/>
      <c r="P343" s="9">
        <f>TABL123[[#This Row],[ (S/S) SAR]]-TABL123[[#This Row],[(S/S) AJD]]</f>
        <v>0</v>
      </c>
      <c r="Q343" s="40"/>
      <c r="R343" s="9">
        <f>TABL123[[#This Row],[ (T/B) SAR]]-TABL123[[#This Row],[(T/B) AJD]]</f>
        <v>0</v>
      </c>
      <c r="S343" s="9">
        <f>TABL123[[#This Row],[T/B-CON.]]+TABL123[[#This Row],[S/S_CON.]]</f>
        <v>0</v>
      </c>
      <c r="T343" s="9">
        <f>TABL123[[#This Row],[(S/S) AJD]]+TABL123[[#This Row],[(T/B) AJD]]</f>
        <v>0</v>
      </c>
      <c r="U343" s="44"/>
      <c r="V343" s="44"/>
      <c r="W343" s="9">
        <f>TABL123[[#This Row],[(A/B) AJD]]+TABL123[[#This Row],[(A/S)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3">
        <f>TABL123[[#This Row],[( S/S+T/B) AJD]]-(TABL123[[#This Row],[(A/B + A/S) AJD]]+TABL123[[#This Row],[(STORGE DIFF.) AJD]]+(TABL123[[#This Row],[AJD_Evaporation]])/1000)</f>
        <v>0</v>
      </c>
      <c r="AE343" s="68"/>
      <c r="AF343" s="68"/>
      <c r="AG343" s="68"/>
      <c r="AH343" s="45"/>
      <c r="AI343" s="78"/>
      <c r="AJ343" s="78">
        <f>TABL123[[#This Row],[(A/B) AJD]]-TABL123[[#This Row],[BER_IN]]</f>
        <v>0</v>
      </c>
      <c r="AK343" s="78"/>
      <c r="AL343" s="68"/>
      <c r="AM343" s="87"/>
      <c r="AN343" s="87">
        <f>TABL123[[#This Row],[ (RESV. STORGE) SER]]/10</f>
        <v>0</v>
      </c>
      <c r="AO343" s="45"/>
      <c r="AP343" s="32">
        <f>TABL123[[#This Row],[(A/S) AJD]]-TABL123[[#This Row],[SER_IN]]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 (T/B) SAR]]+TABL123[[#This Row],[ (S/S) SAR]]</f>
        <v>0</v>
      </c>
      <c r="L344" s="41"/>
      <c r="M344" s="42"/>
      <c r="N344" s="42"/>
      <c r="O344" s="39"/>
      <c r="P344" s="9">
        <f>TABL123[[#This Row],[ (S/S) SAR]]-TABL123[[#This Row],[(S/S) AJD]]</f>
        <v>0</v>
      </c>
      <c r="Q344" s="39"/>
      <c r="R344" s="9">
        <f>TABL123[[#This Row],[ (T/B) SAR]]-TABL123[[#This Row],[(T/B) AJD]]</f>
        <v>0</v>
      </c>
      <c r="S344" s="9">
        <f>TABL123[[#This Row],[T/B-CON.]]+TABL123[[#This Row],[S/S_CON.]]</f>
        <v>0</v>
      </c>
      <c r="T344" s="9">
        <f>TABL123[[#This Row],[(S/S) AJD]]+TABL123[[#This Row],[(T/B) AJD]]</f>
        <v>0</v>
      </c>
      <c r="U344" s="41"/>
      <c r="V344" s="41"/>
      <c r="W344" s="9">
        <f>TABL123[[#This Row],[(A/B) AJD]]+TABL123[[#This Row],[(A/S)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3">
        <f>TABL123[[#This Row],[( S/S+T/B) AJD]]-(TABL123[[#This Row],[(A/B + A/S) AJD]]+TABL123[[#This Row],[(STORGE DIFF.) AJD]]+(TABL123[[#This Row],[AJD_Evaporation]])/1000)</f>
        <v>0</v>
      </c>
      <c r="AE344" s="68"/>
      <c r="AF344" s="68"/>
      <c r="AG344" s="68"/>
      <c r="AH344" s="43"/>
      <c r="AI344" s="78"/>
      <c r="AJ344" s="78">
        <f>TABL123[[#This Row],[(A/B) AJD]]-TABL123[[#This Row],[BER_IN]]</f>
        <v>0</v>
      </c>
      <c r="AK344" s="78"/>
      <c r="AL344" s="68"/>
      <c r="AM344" s="87"/>
      <c r="AN344" s="87">
        <f>TABL123[[#This Row],[ (RESV. STORGE) SER]]/10</f>
        <v>0</v>
      </c>
      <c r="AO344" s="43"/>
      <c r="AP344" s="32">
        <f>TABL123[[#This Row],[(A/S) AJD]]-TABL123[[#This Row],[SER_IN]]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 (T/B) SAR]]+TABL123[[#This Row],[ (S/S) SAR]]</f>
        <v>0</v>
      </c>
      <c r="L345" s="45"/>
      <c r="M345" s="46"/>
      <c r="N345" s="46"/>
      <c r="O345" s="40"/>
      <c r="P345" s="9">
        <f>TABL123[[#This Row],[ (S/S) SAR]]-TABL123[[#This Row],[(S/S) AJD]]</f>
        <v>0</v>
      </c>
      <c r="Q345" s="40"/>
      <c r="R345" s="9">
        <f>TABL123[[#This Row],[ (T/B) SAR]]-TABL123[[#This Row],[(T/B) AJD]]</f>
        <v>0</v>
      </c>
      <c r="S345" s="9">
        <f>TABL123[[#This Row],[T/B-CON.]]+TABL123[[#This Row],[S/S_CON.]]</f>
        <v>0</v>
      </c>
      <c r="T345" s="9">
        <f>TABL123[[#This Row],[(S/S) AJD]]+TABL123[[#This Row],[(T/B) AJD]]</f>
        <v>0</v>
      </c>
      <c r="U345" s="44"/>
      <c r="V345" s="44"/>
      <c r="W345" s="9">
        <f>TABL123[[#This Row],[(A/B) AJD]]+TABL123[[#This Row],[(A/S)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3">
        <f>TABL123[[#This Row],[( S/S+T/B) AJD]]-(TABL123[[#This Row],[(A/B + A/S) AJD]]+TABL123[[#This Row],[(STORGE DIFF.) AJD]]+(TABL123[[#This Row],[AJD_Evaporation]])/1000)</f>
        <v>0</v>
      </c>
      <c r="AE345" s="68"/>
      <c r="AF345" s="68"/>
      <c r="AG345" s="68"/>
      <c r="AH345" s="45"/>
      <c r="AI345" s="78"/>
      <c r="AJ345" s="78">
        <f>TABL123[[#This Row],[(A/B) AJD]]-TABL123[[#This Row],[BER_IN]]</f>
        <v>0</v>
      </c>
      <c r="AK345" s="78"/>
      <c r="AL345" s="68"/>
      <c r="AM345" s="87"/>
      <c r="AN345" s="87">
        <f>TABL123[[#This Row],[ (RESV. STORGE) SER]]/10</f>
        <v>0</v>
      </c>
      <c r="AO345" s="45"/>
      <c r="AP345" s="32">
        <f>TABL123[[#This Row],[(A/S) AJD]]-TABL123[[#This Row],[SER_IN]]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 (T/B) SAR]]+TABL123[[#This Row],[ (S/S) SAR]]</f>
        <v>0</v>
      </c>
      <c r="L346" s="41"/>
      <c r="M346" s="42"/>
      <c r="N346" s="42"/>
      <c r="O346" s="39"/>
      <c r="P346" s="9">
        <f>TABL123[[#This Row],[ (S/S) SAR]]-TABL123[[#This Row],[(S/S) AJD]]</f>
        <v>0</v>
      </c>
      <c r="Q346" s="39"/>
      <c r="R346" s="9">
        <f>TABL123[[#This Row],[ (T/B) SAR]]-TABL123[[#This Row],[(T/B) AJD]]</f>
        <v>0</v>
      </c>
      <c r="S346" s="9">
        <f>TABL123[[#This Row],[T/B-CON.]]+TABL123[[#This Row],[S/S_CON.]]</f>
        <v>0</v>
      </c>
      <c r="T346" s="9">
        <f>TABL123[[#This Row],[(S/S) AJD]]+TABL123[[#This Row],[(T/B) AJD]]</f>
        <v>0</v>
      </c>
      <c r="U346" s="41"/>
      <c r="V346" s="41"/>
      <c r="W346" s="9">
        <f>TABL123[[#This Row],[(A/B) AJD]]+TABL123[[#This Row],[(A/S)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3">
        <f>TABL123[[#This Row],[( S/S+T/B) AJD]]-(TABL123[[#This Row],[(A/B + A/S) AJD]]+TABL123[[#This Row],[(STORGE DIFF.) AJD]]+(TABL123[[#This Row],[AJD_Evaporation]])/1000)</f>
        <v>0</v>
      </c>
      <c r="AE346" s="68"/>
      <c r="AF346" s="68"/>
      <c r="AG346" s="68"/>
      <c r="AH346" s="48"/>
      <c r="AI346" s="78"/>
      <c r="AJ346" s="78">
        <f>TABL123[[#This Row],[(A/B) AJD]]-TABL123[[#This Row],[BER_IN]]</f>
        <v>0</v>
      </c>
      <c r="AK346" s="78"/>
      <c r="AL346" s="68"/>
      <c r="AM346" s="87"/>
      <c r="AN346" s="87">
        <f>TABL123[[#This Row],[ (RESV. STORGE) SER]]/10</f>
        <v>0</v>
      </c>
      <c r="AO346" s="43"/>
      <c r="AP346" s="32">
        <f>TABL123[[#This Row],[(A/S) AJD]]-TABL123[[#This Row],[SER_IN]]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 (T/B) SAR]]+TABL123[[#This Row],[ (S/S) SAR]]</f>
        <v>0</v>
      </c>
      <c r="L347" s="45"/>
      <c r="M347" s="46"/>
      <c r="N347" s="46"/>
      <c r="O347" s="40"/>
      <c r="P347" s="9">
        <f>TABL123[[#This Row],[ (S/S) SAR]]-TABL123[[#This Row],[(S/S) AJD]]</f>
        <v>0</v>
      </c>
      <c r="Q347" s="40"/>
      <c r="R347" s="9">
        <f>TABL123[[#This Row],[ (T/B) SAR]]-TABL123[[#This Row],[(T/B) AJD]]</f>
        <v>0</v>
      </c>
      <c r="S347" s="9">
        <f>TABL123[[#This Row],[T/B-CON.]]+TABL123[[#This Row],[S/S_CON.]]</f>
        <v>0</v>
      </c>
      <c r="T347" s="9">
        <f>TABL123[[#This Row],[(S/S) AJD]]+TABL123[[#This Row],[(T/B) AJD]]</f>
        <v>0</v>
      </c>
      <c r="U347" s="44"/>
      <c r="V347" s="44"/>
      <c r="W347" s="9">
        <f>TABL123[[#This Row],[(A/B) AJD]]+TABL123[[#This Row],[(A/S)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3">
        <f>TABL123[[#This Row],[( S/S+T/B) AJD]]-(TABL123[[#This Row],[(A/B + A/S) AJD]]+TABL123[[#This Row],[(STORGE DIFF.) AJD]]+(TABL123[[#This Row],[AJD_Evaporation]])/1000)</f>
        <v>0</v>
      </c>
      <c r="AE347" s="68"/>
      <c r="AF347" s="68"/>
      <c r="AG347" s="68"/>
      <c r="AH347" s="45"/>
      <c r="AI347" s="78"/>
      <c r="AJ347" s="78">
        <f>TABL123[[#This Row],[(A/B) AJD]]-TABL123[[#This Row],[BER_IN]]</f>
        <v>0</v>
      </c>
      <c r="AK347" s="78"/>
      <c r="AL347" s="68"/>
      <c r="AM347" s="87"/>
      <c r="AN347" s="87">
        <f>TABL123[[#This Row],[ (RESV. STORGE) SER]]/10</f>
        <v>0</v>
      </c>
      <c r="AO347" s="45"/>
      <c r="AP347" s="32">
        <f>TABL123[[#This Row],[(A/S) AJD]]-TABL123[[#This Row],[SER_IN]]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 (T/B) SAR]]+TABL123[[#This Row],[ (S/S) SAR]]</f>
        <v>0</v>
      </c>
      <c r="L348" s="41"/>
      <c r="M348" s="42"/>
      <c r="N348" s="42"/>
      <c r="O348" s="39"/>
      <c r="P348" s="9">
        <f>TABL123[[#This Row],[ (S/S) SAR]]-TABL123[[#This Row],[(S/S) AJD]]</f>
        <v>0</v>
      </c>
      <c r="Q348" s="39"/>
      <c r="R348" s="9">
        <f>TABL123[[#This Row],[ (T/B) SAR]]-TABL123[[#This Row],[(T/B) AJD]]</f>
        <v>0</v>
      </c>
      <c r="S348" s="9">
        <f>TABL123[[#This Row],[T/B-CON.]]+TABL123[[#This Row],[S/S_CON.]]</f>
        <v>0</v>
      </c>
      <c r="T348" s="9">
        <f>TABL123[[#This Row],[(S/S) AJD]]+TABL123[[#This Row],[(T/B) AJD]]</f>
        <v>0</v>
      </c>
      <c r="U348" s="41"/>
      <c r="V348" s="41"/>
      <c r="W348" s="9">
        <f>TABL123[[#This Row],[(A/B) AJD]]+TABL123[[#This Row],[(A/S)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3">
        <f>TABL123[[#This Row],[( S/S+T/B) AJD]]-(TABL123[[#This Row],[(A/B + A/S) AJD]]+TABL123[[#This Row],[(STORGE DIFF.) AJD]]+(TABL123[[#This Row],[AJD_Evaporation]])/1000)</f>
        <v>0</v>
      </c>
      <c r="AE348" s="68"/>
      <c r="AF348" s="68"/>
      <c r="AG348" s="68"/>
      <c r="AH348" s="43"/>
      <c r="AI348" s="78"/>
      <c r="AJ348" s="78">
        <f>TABL123[[#This Row],[(A/B) AJD]]-TABL123[[#This Row],[BER_IN]]</f>
        <v>0</v>
      </c>
      <c r="AK348" s="78"/>
      <c r="AL348" s="68"/>
      <c r="AM348" s="87"/>
      <c r="AN348" s="87">
        <f>TABL123[[#This Row],[ (RESV. STORGE) SER]]/10</f>
        <v>0</v>
      </c>
      <c r="AO348" s="43"/>
      <c r="AP348" s="32">
        <f>TABL123[[#This Row],[(A/S) AJD]]-TABL123[[#This Row],[SER_IN]]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 (T/B) SAR]]+TABL123[[#This Row],[ (S/S) SAR]]</f>
        <v>0</v>
      </c>
      <c r="L349" s="45"/>
      <c r="M349" s="46"/>
      <c r="N349" s="46"/>
      <c r="O349" s="40"/>
      <c r="P349" s="9">
        <f>TABL123[[#This Row],[ (S/S) SAR]]-TABL123[[#This Row],[(S/S) AJD]]</f>
        <v>0</v>
      </c>
      <c r="Q349" s="40"/>
      <c r="R349" s="9">
        <f>TABL123[[#This Row],[ (T/B) SAR]]-TABL123[[#This Row],[(T/B) AJD]]</f>
        <v>0</v>
      </c>
      <c r="S349" s="9">
        <f>TABL123[[#This Row],[T/B-CON.]]+TABL123[[#This Row],[S/S_CON.]]</f>
        <v>0</v>
      </c>
      <c r="T349" s="9">
        <f>TABL123[[#This Row],[(S/S) AJD]]+TABL123[[#This Row],[(T/B) AJD]]</f>
        <v>0</v>
      </c>
      <c r="U349" s="44"/>
      <c r="V349" s="44"/>
      <c r="W349" s="9">
        <f>TABL123[[#This Row],[(A/B) AJD]]+TABL123[[#This Row],[(A/S)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3">
        <f>TABL123[[#This Row],[( S/S+T/B) AJD]]-(TABL123[[#This Row],[(A/B + A/S) AJD]]+TABL123[[#This Row],[(STORGE DIFF.) AJD]]+(TABL123[[#This Row],[AJD_Evaporation]])/1000)</f>
        <v>0</v>
      </c>
      <c r="AE349" s="68"/>
      <c r="AF349" s="68"/>
      <c r="AG349" s="68"/>
      <c r="AH349" s="45"/>
      <c r="AI349" s="78"/>
      <c r="AJ349" s="78">
        <f>TABL123[[#This Row],[(A/B) AJD]]-TABL123[[#This Row],[BER_IN]]</f>
        <v>0</v>
      </c>
      <c r="AK349" s="78"/>
      <c r="AL349" s="68"/>
      <c r="AM349" s="87"/>
      <c r="AN349" s="87">
        <f>TABL123[[#This Row],[ (RESV. STORGE) SER]]/10</f>
        <v>0</v>
      </c>
      <c r="AO349" s="45"/>
      <c r="AP349" s="32">
        <f>TABL123[[#This Row],[(A/S) AJD]]-TABL123[[#This Row],[SER_IN]]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 (T/B) SAR]]+TABL123[[#This Row],[ (S/S) SAR]]</f>
        <v>0</v>
      </c>
      <c r="L350" s="41"/>
      <c r="M350" s="42"/>
      <c r="N350" s="42"/>
      <c r="O350" s="39"/>
      <c r="P350" s="9">
        <f>TABL123[[#This Row],[ (S/S) SAR]]-TABL123[[#This Row],[(S/S) AJD]]</f>
        <v>0</v>
      </c>
      <c r="Q350" s="39"/>
      <c r="R350" s="9">
        <f>TABL123[[#This Row],[ (T/B) SAR]]-TABL123[[#This Row],[(T/B) AJD]]</f>
        <v>0</v>
      </c>
      <c r="S350" s="9">
        <f>TABL123[[#This Row],[T/B-CON.]]+TABL123[[#This Row],[S/S_CON.]]</f>
        <v>0</v>
      </c>
      <c r="T350" s="9">
        <f>TABL123[[#This Row],[(S/S) AJD]]+TABL123[[#This Row],[(T/B) AJD]]</f>
        <v>0</v>
      </c>
      <c r="U350" s="41"/>
      <c r="V350" s="41"/>
      <c r="W350" s="9">
        <f>TABL123[[#This Row],[(A/B) AJD]]+TABL123[[#This Row],[(A/S)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3">
        <f>TABL123[[#This Row],[( S/S+T/B) AJD]]-(TABL123[[#This Row],[(A/B + A/S) AJD]]+TABL123[[#This Row],[(STORGE DIFF.) AJD]]+(TABL123[[#This Row],[AJD_Evaporation]])/1000)</f>
        <v>0</v>
      </c>
      <c r="AE350" s="68"/>
      <c r="AF350" s="68"/>
      <c r="AG350" s="68"/>
      <c r="AH350" s="43"/>
      <c r="AI350" s="78"/>
      <c r="AJ350" s="78">
        <f>TABL123[[#This Row],[(A/B) AJD]]-TABL123[[#This Row],[BER_IN]]</f>
        <v>0</v>
      </c>
      <c r="AK350" s="78"/>
      <c r="AL350" s="68"/>
      <c r="AM350" s="87"/>
      <c r="AN350" s="87">
        <f>TABL123[[#This Row],[ (RESV. STORGE) SER]]/10</f>
        <v>0</v>
      </c>
      <c r="AO350" s="43"/>
      <c r="AP350" s="32">
        <f>TABL123[[#This Row],[(A/S) AJD]]-TABL123[[#This Row],[SER_IN]]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 (T/B) SAR]]+TABL123[[#This Row],[ (S/S) SAR]]</f>
        <v>0</v>
      </c>
      <c r="L351" s="45"/>
      <c r="M351" s="46"/>
      <c r="N351" s="46"/>
      <c r="O351" s="40"/>
      <c r="P351" s="9">
        <f>TABL123[[#This Row],[ (S/S) SAR]]-TABL123[[#This Row],[(S/S) AJD]]</f>
        <v>0</v>
      </c>
      <c r="Q351" s="40"/>
      <c r="R351" s="9">
        <f>TABL123[[#This Row],[ (T/B) SAR]]-TABL123[[#This Row],[(T/B) AJD]]</f>
        <v>0</v>
      </c>
      <c r="S351" s="9">
        <f>TABL123[[#This Row],[T/B-CON.]]+TABL123[[#This Row],[S/S_CON.]]</f>
        <v>0</v>
      </c>
      <c r="T351" s="9">
        <f>TABL123[[#This Row],[(S/S) AJD]]+TABL123[[#This Row],[(T/B) AJD]]</f>
        <v>0</v>
      </c>
      <c r="U351" s="44"/>
      <c r="V351" s="44"/>
      <c r="W351" s="9">
        <f>TABL123[[#This Row],[(A/B) AJD]]+TABL123[[#This Row],[(A/S)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3">
        <f>TABL123[[#This Row],[( S/S+T/B) AJD]]-(TABL123[[#This Row],[(A/B + A/S) AJD]]+TABL123[[#This Row],[(STORGE DIFF.) AJD]]+(TABL123[[#This Row],[AJD_Evaporation]])/1000)</f>
        <v>0</v>
      </c>
      <c r="AE351" s="68"/>
      <c r="AF351" s="68"/>
      <c r="AG351" s="68"/>
      <c r="AH351" s="45"/>
      <c r="AI351" s="78"/>
      <c r="AJ351" s="78">
        <f>TABL123[[#This Row],[(A/B) AJD]]-TABL123[[#This Row],[BER_IN]]</f>
        <v>0</v>
      </c>
      <c r="AK351" s="78"/>
      <c r="AL351" s="68"/>
      <c r="AM351" s="87"/>
      <c r="AN351" s="87">
        <f>TABL123[[#This Row],[ (RESV. STORGE) SER]]/10</f>
        <v>0</v>
      </c>
      <c r="AO351" s="45"/>
      <c r="AP351" s="32">
        <f>TABL123[[#This Row],[(A/S) AJD]]-TABL123[[#This Row],[SER_IN]]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 (T/B) SAR]]+TABL123[[#This Row],[ (S/S) SAR]]</f>
        <v>0</v>
      </c>
      <c r="L352" s="41"/>
      <c r="M352" s="42"/>
      <c r="N352" s="42"/>
      <c r="O352" s="39"/>
      <c r="P352" s="9">
        <f>TABL123[[#This Row],[ (S/S) SAR]]-TABL123[[#This Row],[(S/S) AJD]]</f>
        <v>0</v>
      </c>
      <c r="Q352" s="39"/>
      <c r="R352" s="9">
        <f>TABL123[[#This Row],[ (T/B) SAR]]-TABL123[[#This Row],[(T/B) AJD]]</f>
        <v>0</v>
      </c>
      <c r="S352" s="9">
        <f>TABL123[[#This Row],[T/B-CON.]]+TABL123[[#This Row],[S/S_CON.]]</f>
        <v>0</v>
      </c>
      <c r="T352" s="9">
        <f>TABL123[[#This Row],[(S/S) AJD]]+TABL123[[#This Row],[(T/B) AJD]]</f>
        <v>0</v>
      </c>
      <c r="U352" s="41"/>
      <c r="V352" s="41"/>
      <c r="W352" s="9">
        <f>TABL123[[#This Row],[(A/B) AJD]]+TABL123[[#This Row],[(A/S)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3">
        <f>TABL123[[#This Row],[( S/S+T/B) AJD]]-(TABL123[[#This Row],[(A/B + A/S) AJD]]+TABL123[[#This Row],[(STORGE DIFF.) AJD]]+(TABL123[[#This Row],[AJD_Evaporation]])/1000)</f>
        <v>0</v>
      </c>
      <c r="AE352" s="68"/>
      <c r="AF352" s="68"/>
      <c r="AG352" s="68"/>
      <c r="AH352" s="43"/>
      <c r="AI352" s="78"/>
      <c r="AJ352" s="78">
        <f>TABL123[[#This Row],[(A/B) AJD]]-TABL123[[#This Row],[BER_IN]]</f>
        <v>0</v>
      </c>
      <c r="AK352" s="78"/>
      <c r="AL352" s="68"/>
      <c r="AM352" s="87"/>
      <c r="AN352" s="87">
        <f>TABL123[[#This Row],[ (RESV. STORGE) SER]]/10</f>
        <v>0</v>
      </c>
      <c r="AO352" s="43"/>
      <c r="AP352" s="32">
        <f>TABL123[[#This Row],[(A/S) AJD]]-TABL123[[#This Row],[SER_IN]]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 (T/B) SAR]]+TABL123[[#This Row],[ (S/S) SAR]]</f>
        <v>0</v>
      </c>
      <c r="L353" s="45"/>
      <c r="M353" s="46"/>
      <c r="N353" s="46"/>
      <c r="O353" s="40"/>
      <c r="P353" s="9">
        <f>TABL123[[#This Row],[ (S/S) SAR]]-TABL123[[#This Row],[(S/S) AJD]]</f>
        <v>0</v>
      </c>
      <c r="Q353" s="40"/>
      <c r="R353" s="9">
        <f>TABL123[[#This Row],[ (T/B) SAR]]-TABL123[[#This Row],[(T/B) AJD]]</f>
        <v>0</v>
      </c>
      <c r="S353" s="9">
        <f>TABL123[[#This Row],[T/B-CON.]]+TABL123[[#This Row],[S/S_CON.]]</f>
        <v>0</v>
      </c>
      <c r="T353" s="9">
        <f>TABL123[[#This Row],[(S/S) AJD]]+TABL123[[#This Row],[(T/B) AJD]]</f>
        <v>0</v>
      </c>
      <c r="U353" s="44"/>
      <c r="V353" s="44"/>
      <c r="W353" s="9">
        <f>TABL123[[#This Row],[(A/B) AJD]]+TABL123[[#This Row],[(A/S)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3">
        <f>TABL123[[#This Row],[( S/S+T/B) AJD]]-(TABL123[[#This Row],[(A/B + A/S) AJD]]+TABL123[[#This Row],[(STORGE DIFF.) AJD]]+(TABL123[[#This Row],[AJD_Evaporation]])/1000)</f>
        <v>0</v>
      </c>
      <c r="AE353" s="68"/>
      <c r="AF353" s="68"/>
      <c r="AG353" s="68"/>
      <c r="AH353" s="45"/>
      <c r="AI353" s="78"/>
      <c r="AJ353" s="78">
        <f>TABL123[[#This Row],[(A/B) AJD]]-TABL123[[#This Row],[BER_IN]]</f>
        <v>0</v>
      </c>
      <c r="AK353" s="78"/>
      <c r="AL353" s="68"/>
      <c r="AM353" s="87"/>
      <c r="AN353" s="87">
        <f>TABL123[[#This Row],[ (RESV. STORGE) SER]]/10</f>
        <v>0</v>
      </c>
      <c r="AO353" s="45"/>
      <c r="AP353" s="32">
        <f>TABL123[[#This Row],[(A/S) AJD]]-TABL123[[#This Row],[SER_IN]]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 (T/B) SAR]]+TABL123[[#This Row],[ (S/S) SAR]]</f>
        <v>0</v>
      </c>
      <c r="L354" s="41"/>
      <c r="M354" s="42"/>
      <c r="N354" s="42"/>
      <c r="O354" s="39"/>
      <c r="P354" s="9">
        <f>TABL123[[#This Row],[ (S/S) SAR]]-TABL123[[#This Row],[(S/S) AJD]]</f>
        <v>0</v>
      </c>
      <c r="Q354" s="39"/>
      <c r="R354" s="9">
        <f>TABL123[[#This Row],[ (T/B) SAR]]-TABL123[[#This Row],[(T/B) AJD]]</f>
        <v>0</v>
      </c>
      <c r="S354" s="9">
        <f>TABL123[[#This Row],[T/B-CON.]]+TABL123[[#This Row],[S/S_CON.]]</f>
        <v>0</v>
      </c>
      <c r="T354" s="9">
        <f>TABL123[[#This Row],[(S/S) AJD]]+TABL123[[#This Row],[(T/B) AJD]]</f>
        <v>0</v>
      </c>
      <c r="U354" s="41"/>
      <c r="V354" s="41"/>
      <c r="W354" s="9">
        <f>TABL123[[#This Row],[(A/B) AJD]]+TABL123[[#This Row],[(A/S)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3">
        <f>TABL123[[#This Row],[( S/S+T/B) AJD]]-(TABL123[[#This Row],[(A/B + A/S) AJD]]+TABL123[[#This Row],[(STORGE DIFF.) AJD]]+(TABL123[[#This Row],[AJD_Evaporation]])/1000)</f>
        <v>0</v>
      </c>
      <c r="AE354" s="68"/>
      <c r="AF354" s="68"/>
      <c r="AG354" s="68"/>
      <c r="AH354" s="43"/>
      <c r="AI354" s="78"/>
      <c r="AJ354" s="78">
        <f>TABL123[[#This Row],[(A/B) AJD]]-TABL123[[#This Row],[BER_IN]]</f>
        <v>0</v>
      </c>
      <c r="AK354" s="78"/>
      <c r="AL354" s="68"/>
      <c r="AM354" s="87"/>
      <c r="AN354" s="87">
        <f>TABL123[[#This Row],[ (RESV. STORGE) SER]]/10</f>
        <v>0</v>
      </c>
      <c r="AO354" s="43"/>
      <c r="AP354" s="32">
        <f>TABL123[[#This Row],[(A/S) AJD]]-TABL123[[#This Row],[SER_IN]]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 (T/B) SAR]]+TABL123[[#This Row],[ (S/S) SAR]]</f>
        <v>0</v>
      </c>
      <c r="L355" s="45"/>
      <c r="M355" s="46"/>
      <c r="N355" s="46"/>
      <c r="O355" s="40"/>
      <c r="P355" s="9">
        <f>TABL123[[#This Row],[ (S/S) SAR]]-TABL123[[#This Row],[(S/S) AJD]]</f>
        <v>0</v>
      </c>
      <c r="Q355" s="40"/>
      <c r="R355" s="9">
        <f>TABL123[[#This Row],[ (T/B) SAR]]-TABL123[[#This Row],[(T/B) AJD]]</f>
        <v>0</v>
      </c>
      <c r="S355" s="9">
        <f>TABL123[[#This Row],[T/B-CON.]]+TABL123[[#This Row],[S/S_CON.]]</f>
        <v>0</v>
      </c>
      <c r="T355" s="9">
        <f>TABL123[[#This Row],[(S/S) AJD]]+TABL123[[#This Row],[(T/B) AJD]]</f>
        <v>0</v>
      </c>
      <c r="U355" s="44"/>
      <c r="V355" s="44"/>
      <c r="W355" s="9">
        <f>TABL123[[#This Row],[(A/B) AJD]]+TABL123[[#This Row],[(A/S)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3">
        <f>TABL123[[#This Row],[( S/S+T/B) AJD]]-(TABL123[[#This Row],[(A/B + A/S) AJD]]+TABL123[[#This Row],[(STORGE DIFF.) AJD]]+(TABL123[[#This Row],[AJD_Evaporation]])/1000)</f>
        <v>0</v>
      </c>
      <c r="AE355" s="68"/>
      <c r="AF355" s="68"/>
      <c r="AG355" s="68"/>
      <c r="AH355" s="45"/>
      <c r="AI355" s="78"/>
      <c r="AJ355" s="78">
        <f>TABL123[[#This Row],[(A/B) AJD]]-TABL123[[#This Row],[BER_IN]]</f>
        <v>0</v>
      </c>
      <c r="AK355" s="78"/>
      <c r="AL355" s="68"/>
      <c r="AM355" s="87"/>
      <c r="AN355" s="87">
        <f>TABL123[[#This Row],[ (RESV. STORGE) SER]]/10</f>
        <v>0</v>
      </c>
      <c r="AO355" s="45"/>
      <c r="AP355" s="32">
        <f>TABL123[[#This Row],[(A/S) AJD]]-TABL123[[#This Row],[SER_IN]]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 (T/B) SAR]]+TABL123[[#This Row],[ (S/S) SAR]]</f>
        <v>0</v>
      </c>
      <c r="L356" s="41"/>
      <c r="M356" s="42"/>
      <c r="N356" s="42"/>
      <c r="O356" s="39"/>
      <c r="P356" s="9">
        <f>TABL123[[#This Row],[ (S/S) SAR]]-TABL123[[#This Row],[(S/S) AJD]]</f>
        <v>0</v>
      </c>
      <c r="Q356" s="39"/>
      <c r="R356" s="9">
        <f>TABL123[[#This Row],[ (T/B) SAR]]-TABL123[[#This Row],[(T/B) AJD]]</f>
        <v>0</v>
      </c>
      <c r="S356" s="9">
        <f>TABL123[[#This Row],[T/B-CON.]]+TABL123[[#This Row],[S/S_CON.]]</f>
        <v>0</v>
      </c>
      <c r="T356" s="9">
        <f>TABL123[[#This Row],[(S/S) AJD]]+TABL123[[#This Row],[(T/B) AJD]]</f>
        <v>0</v>
      </c>
      <c r="U356" s="41"/>
      <c r="V356" s="41"/>
      <c r="W356" s="9">
        <f>TABL123[[#This Row],[(A/B) AJD]]+TABL123[[#This Row],[(A/S)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3">
        <f>TABL123[[#This Row],[( S/S+T/B) AJD]]-(TABL123[[#This Row],[(A/B + A/S) AJD]]+TABL123[[#This Row],[(STORGE DIFF.) AJD]]+(TABL123[[#This Row],[AJD_Evaporation]])/1000)</f>
        <v>0</v>
      </c>
      <c r="AE356" s="68"/>
      <c r="AF356" s="68"/>
      <c r="AG356" s="68"/>
      <c r="AH356" s="43"/>
      <c r="AI356" s="78"/>
      <c r="AJ356" s="78">
        <f>TABL123[[#This Row],[(A/B) AJD]]-TABL123[[#This Row],[BER_IN]]</f>
        <v>0</v>
      </c>
      <c r="AK356" s="78"/>
      <c r="AL356" s="68"/>
      <c r="AM356" s="87"/>
      <c r="AN356" s="87">
        <f>TABL123[[#This Row],[ (RESV. STORGE) SER]]/10</f>
        <v>0</v>
      </c>
      <c r="AO356" s="43"/>
      <c r="AP356" s="32">
        <f>TABL123[[#This Row],[(A/S) AJD]]-TABL123[[#This Row],[SER_IN]]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 (T/B) SAR]]+TABL123[[#This Row],[ (S/S) SAR]]</f>
        <v>0</v>
      </c>
      <c r="L357" s="45"/>
      <c r="M357" s="46"/>
      <c r="N357" s="46"/>
      <c r="O357" s="40"/>
      <c r="P357" s="9">
        <f>TABL123[[#This Row],[ (S/S) SAR]]-TABL123[[#This Row],[(S/S) AJD]]</f>
        <v>0</v>
      </c>
      <c r="Q357" s="40"/>
      <c r="R357" s="9">
        <f>TABL123[[#This Row],[ (T/B) SAR]]-TABL123[[#This Row],[(T/B) AJD]]</f>
        <v>0</v>
      </c>
      <c r="S357" s="9">
        <f>TABL123[[#This Row],[T/B-CON.]]+TABL123[[#This Row],[S/S_CON.]]</f>
        <v>0</v>
      </c>
      <c r="T357" s="9">
        <f>TABL123[[#This Row],[(S/S) AJD]]+TABL123[[#This Row],[(T/B) AJD]]</f>
        <v>0</v>
      </c>
      <c r="U357" s="44"/>
      <c r="V357" s="44"/>
      <c r="W357" s="9">
        <f>TABL123[[#This Row],[(A/B) AJD]]+TABL123[[#This Row],[(A/S)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3">
        <f>TABL123[[#This Row],[( S/S+T/B) AJD]]-(TABL123[[#This Row],[(A/B + A/S) AJD]]+TABL123[[#This Row],[(STORGE DIFF.) AJD]]+(TABL123[[#This Row],[AJD_Evaporation]])/1000)</f>
        <v>0</v>
      </c>
      <c r="AE357" s="68"/>
      <c r="AF357" s="68"/>
      <c r="AG357" s="68"/>
      <c r="AH357" s="45"/>
      <c r="AI357" s="78"/>
      <c r="AJ357" s="78">
        <f>TABL123[[#This Row],[(A/B) AJD]]-TABL123[[#This Row],[BER_IN]]</f>
        <v>0</v>
      </c>
      <c r="AK357" s="78"/>
      <c r="AL357" s="68"/>
      <c r="AM357" s="87"/>
      <c r="AN357" s="87">
        <f>TABL123[[#This Row],[ (RESV. STORGE) SER]]/10</f>
        <v>0</v>
      </c>
      <c r="AO357" s="45"/>
      <c r="AP357" s="32">
        <f>TABL123[[#This Row],[(A/S) AJD]]-TABL123[[#This Row],[SER_IN]]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 (T/B) SAR]]+TABL123[[#This Row],[ (S/S) SAR]]</f>
        <v>0</v>
      </c>
      <c r="L358" s="41"/>
      <c r="M358" s="42"/>
      <c r="N358" s="42"/>
      <c r="O358" s="39"/>
      <c r="P358" s="9">
        <f>TABL123[[#This Row],[ (S/S) SAR]]-TABL123[[#This Row],[(S/S) AJD]]</f>
        <v>0</v>
      </c>
      <c r="Q358" s="39"/>
      <c r="R358" s="9">
        <f>TABL123[[#This Row],[ (T/B) SAR]]-TABL123[[#This Row],[(T/B) AJD]]</f>
        <v>0</v>
      </c>
      <c r="S358" s="9">
        <f>TABL123[[#This Row],[T/B-CON.]]+TABL123[[#This Row],[S/S_CON.]]</f>
        <v>0</v>
      </c>
      <c r="T358" s="9">
        <f>TABL123[[#This Row],[(S/S) AJD]]+TABL123[[#This Row],[(T/B) AJD]]</f>
        <v>0</v>
      </c>
      <c r="U358" s="41"/>
      <c r="V358" s="41"/>
      <c r="W358" s="9">
        <f>TABL123[[#This Row],[(A/B) AJD]]+TABL123[[#This Row],[(A/S)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3">
        <f>TABL123[[#This Row],[( S/S+T/B) AJD]]-(TABL123[[#This Row],[(A/B + A/S) AJD]]+TABL123[[#This Row],[(STORGE DIFF.) AJD]]+(TABL123[[#This Row],[AJD_Evaporation]])/1000)</f>
        <v>0</v>
      </c>
      <c r="AE358" s="68"/>
      <c r="AF358" s="68"/>
      <c r="AG358" s="68"/>
      <c r="AH358" s="43"/>
      <c r="AI358" s="78"/>
      <c r="AJ358" s="78">
        <f>TABL123[[#This Row],[(A/B) AJD]]-TABL123[[#This Row],[BER_IN]]</f>
        <v>0</v>
      </c>
      <c r="AK358" s="78"/>
      <c r="AL358" s="68"/>
      <c r="AM358" s="87"/>
      <c r="AN358" s="87">
        <f>TABL123[[#This Row],[ (RESV. STORGE) SER]]/10</f>
        <v>0</v>
      </c>
      <c r="AO358" s="43"/>
      <c r="AP358" s="32">
        <f>TABL123[[#This Row],[(A/S) AJD]]-TABL123[[#This Row],[SER_IN]]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 (T/B) SAR]]+TABL123[[#This Row],[ (S/S) SAR]]</f>
        <v>0</v>
      </c>
      <c r="L359" s="45"/>
      <c r="M359" s="46"/>
      <c r="N359" s="46"/>
      <c r="O359" s="40"/>
      <c r="P359" s="9">
        <f>TABL123[[#This Row],[ (S/S) SAR]]-TABL123[[#This Row],[(S/S) AJD]]</f>
        <v>0</v>
      </c>
      <c r="Q359" s="40"/>
      <c r="R359" s="9">
        <f>TABL123[[#This Row],[ (T/B) SAR]]-TABL123[[#This Row],[(T/B) AJD]]</f>
        <v>0</v>
      </c>
      <c r="S359" s="9">
        <f>TABL123[[#This Row],[T/B-CON.]]+TABL123[[#This Row],[S/S_CON.]]</f>
        <v>0</v>
      </c>
      <c r="T359" s="9">
        <f>TABL123[[#This Row],[(S/S) AJD]]+TABL123[[#This Row],[(T/B) AJD]]</f>
        <v>0</v>
      </c>
      <c r="U359" s="44"/>
      <c r="V359" s="44"/>
      <c r="W359" s="9">
        <f>TABL123[[#This Row],[(A/B) AJD]]+TABL123[[#This Row],[(A/S)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3">
        <f>TABL123[[#This Row],[( S/S+T/B) AJD]]-(TABL123[[#This Row],[(A/B + A/S) AJD]]+TABL123[[#This Row],[(STORGE DIFF.) AJD]]+(TABL123[[#This Row],[AJD_Evaporation]])/1000)</f>
        <v>0</v>
      </c>
      <c r="AE359" s="68"/>
      <c r="AF359" s="68"/>
      <c r="AG359" s="68"/>
      <c r="AH359" s="45"/>
      <c r="AI359" s="78"/>
      <c r="AJ359" s="78">
        <f>TABL123[[#This Row],[(A/B) AJD]]-TABL123[[#This Row],[BER_IN]]</f>
        <v>0</v>
      </c>
      <c r="AK359" s="78"/>
      <c r="AL359" s="68"/>
      <c r="AM359" s="87"/>
      <c r="AN359" s="87">
        <f>TABL123[[#This Row],[ (RESV. STORGE) SER]]/10</f>
        <v>0</v>
      </c>
      <c r="AO359" s="45"/>
      <c r="AP359" s="32">
        <f>TABL123[[#This Row],[(A/S) AJD]]-TABL123[[#This Row],[SER_IN]]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 (T/B) SAR]]+TABL123[[#This Row],[ (S/S) SAR]]</f>
        <v>0</v>
      </c>
      <c r="L360" s="41"/>
      <c r="M360" s="42"/>
      <c r="N360" s="42"/>
      <c r="O360" s="39"/>
      <c r="P360" s="9">
        <f>TABL123[[#This Row],[ (S/S) SAR]]-TABL123[[#This Row],[(S/S) AJD]]</f>
        <v>0</v>
      </c>
      <c r="Q360" s="39"/>
      <c r="R360" s="9">
        <f>TABL123[[#This Row],[ (T/B) SAR]]-TABL123[[#This Row],[(T/B) AJD]]</f>
        <v>0</v>
      </c>
      <c r="S360" s="9">
        <f>TABL123[[#This Row],[T/B-CON.]]+TABL123[[#This Row],[S/S_CON.]]</f>
        <v>0</v>
      </c>
      <c r="T360" s="9">
        <f>TABL123[[#This Row],[(S/S) AJD]]+TABL123[[#This Row],[(T/B) AJD]]</f>
        <v>0</v>
      </c>
      <c r="U360" s="41"/>
      <c r="V360" s="41"/>
      <c r="W360" s="9">
        <f>TABL123[[#This Row],[(A/B) AJD]]+TABL123[[#This Row],[(A/S)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3">
        <f>TABL123[[#This Row],[( S/S+T/B) AJD]]-(TABL123[[#This Row],[(A/B + A/S) AJD]]+TABL123[[#This Row],[(STORGE DIFF.) AJD]]+(TABL123[[#This Row],[AJD_Evaporation]])/1000)</f>
        <v>0</v>
      </c>
      <c r="AE360" s="68"/>
      <c r="AF360" s="68"/>
      <c r="AG360" s="68"/>
      <c r="AH360" s="43"/>
      <c r="AI360" s="78"/>
      <c r="AJ360" s="78">
        <f>TABL123[[#This Row],[(A/B) AJD]]-TABL123[[#This Row],[BER_IN]]</f>
        <v>0</v>
      </c>
      <c r="AK360" s="78"/>
      <c r="AL360" s="68"/>
      <c r="AM360" s="87"/>
      <c r="AN360" s="87">
        <f>TABL123[[#This Row],[ (RESV. STORGE) SER]]/10</f>
        <v>0</v>
      </c>
      <c r="AO360" s="43"/>
      <c r="AP360" s="32">
        <f>TABL123[[#This Row],[(A/S) AJD]]-TABL123[[#This Row],[SER_IN]]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 (T/B) SAR]]+TABL123[[#This Row],[ (S/S) SAR]]</f>
        <v>0</v>
      </c>
      <c r="L361" s="45"/>
      <c r="M361" s="46"/>
      <c r="N361" s="46"/>
      <c r="O361" s="40"/>
      <c r="P361" s="9">
        <f>TABL123[[#This Row],[ (S/S) SAR]]-TABL123[[#This Row],[(S/S) AJD]]</f>
        <v>0</v>
      </c>
      <c r="Q361" s="40"/>
      <c r="R361" s="9">
        <f>TABL123[[#This Row],[ (T/B) SAR]]-TABL123[[#This Row],[(T/B) AJD]]</f>
        <v>0</v>
      </c>
      <c r="S361" s="9">
        <f>TABL123[[#This Row],[T/B-CON.]]+TABL123[[#This Row],[S/S_CON.]]</f>
        <v>0</v>
      </c>
      <c r="T361" s="9">
        <f>TABL123[[#This Row],[(S/S) AJD]]+TABL123[[#This Row],[(T/B) AJD]]</f>
        <v>0</v>
      </c>
      <c r="U361" s="44"/>
      <c r="V361" s="44"/>
      <c r="W361" s="9">
        <f>TABL123[[#This Row],[(A/B) AJD]]+TABL123[[#This Row],[(A/S)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3">
        <f>TABL123[[#This Row],[( S/S+T/B) AJD]]-(TABL123[[#This Row],[(A/B + A/S) AJD]]+TABL123[[#This Row],[(STORGE DIFF.) AJD]]+(TABL123[[#This Row],[AJD_Evaporation]])/1000)</f>
        <v>0</v>
      </c>
      <c r="AE361" s="68"/>
      <c r="AF361" s="68"/>
      <c r="AG361" s="68"/>
      <c r="AH361" s="45"/>
      <c r="AI361" s="78"/>
      <c r="AJ361" s="78">
        <f>TABL123[[#This Row],[(A/B) AJD]]-TABL123[[#This Row],[BER_IN]]</f>
        <v>0</v>
      </c>
      <c r="AK361" s="78"/>
      <c r="AL361" s="68"/>
      <c r="AM361" s="87"/>
      <c r="AN361" s="87">
        <f>TABL123[[#This Row],[ (RESV. STORGE) SER]]/10</f>
        <v>0</v>
      </c>
      <c r="AO361" s="45"/>
      <c r="AP361" s="32">
        <f>TABL123[[#This Row],[(A/S) AJD]]-TABL123[[#This Row],[SER_IN]]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 (T/B) SAR]]+TABL123[[#This Row],[ (S/S) SAR]]</f>
        <v>0</v>
      </c>
      <c r="L362" s="41"/>
      <c r="M362" s="42"/>
      <c r="N362" s="42"/>
      <c r="O362" s="39"/>
      <c r="P362" s="9">
        <f>TABL123[[#This Row],[ (S/S) SAR]]-TABL123[[#This Row],[(S/S) AJD]]</f>
        <v>0</v>
      </c>
      <c r="Q362" s="39"/>
      <c r="R362" s="9">
        <f>TABL123[[#This Row],[ (T/B) SAR]]-TABL123[[#This Row],[(T/B) AJD]]</f>
        <v>0</v>
      </c>
      <c r="S362" s="9">
        <f>TABL123[[#This Row],[T/B-CON.]]+TABL123[[#This Row],[S/S_CON.]]</f>
        <v>0</v>
      </c>
      <c r="T362" s="9">
        <f>TABL123[[#This Row],[(S/S) AJD]]+TABL123[[#This Row],[(T/B) AJD]]</f>
        <v>0</v>
      </c>
      <c r="U362" s="41"/>
      <c r="V362" s="41"/>
      <c r="W362" s="9">
        <f>TABL123[[#This Row],[(A/B) AJD]]+TABL123[[#This Row],[(A/S)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3">
        <f>TABL123[[#This Row],[( S/S+T/B) AJD]]-(TABL123[[#This Row],[(A/B + A/S) AJD]]+TABL123[[#This Row],[(STORGE DIFF.) AJD]]+(TABL123[[#This Row],[AJD_Evaporation]])/1000)</f>
        <v>0</v>
      </c>
      <c r="AE362" s="68"/>
      <c r="AF362" s="68"/>
      <c r="AG362" s="68"/>
      <c r="AH362" s="43"/>
      <c r="AI362" s="78"/>
      <c r="AJ362" s="78">
        <f>TABL123[[#This Row],[(A/B) AJD]]-TABL123[[#This Row],[BER_IN]]</f>
        <v>0</v>
      </c>
      <c r="AK362" s="78"/>
      <c r="AL362" s="68"/>
      <c r="AM362" s="87"/>
      <c r="AN362" s="87">
        <f>TABL123[[#This Row],[ (RESV. STORGE) SER]]/10</f>
        <v>0</v>
      </c>
      <c r="AO362" s="43"/>
      <c r="AP362" s="32">
        <f>TABL123[[#This Row],[(A/S) AJD]]-TABL123[[#This Row],[SER_IN]]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 (T/B) SAR]]+TABL123[[#This Row],[ (S/S) SAR]]</f>
        <v>0</v>
      </c>
      <c r="L363" s="45"/>
      <c r="M363" s="46"/>
      <c r="N363" s="46"/>
      <c r="O363" s="40"/>
      <c r="P363" s="9">
        <f>TABL123[[#This Row],[ (S/S) SAR]]-TABL123[[#This Row],[(S/S) AJD]]</f>
        <v>0</v>
      </c>
      <c r="Q363" s="40"/>
      <c r="R363" s="9">
        <f>TABL123[[#This Row],[ (T/B) SAR]]-TABL123[[#This Row],[(T/B) AJD]]</f>
        <v>0</v>
      </c>
      <c r="S363" s="9">
        <f>TABL123[[#This Row],[T/B-CON.]]+TABL123[[#This Row],[S/S_CON.]]</f>
        <v>0</v>
      </c>
      <c r="T363" s="9">
        <f>TABL123[[#This Row],[(S/S) AJD]]+TABL123[[#This Row],[(T/B) AJD]]</f>
        <v>0</v>
      </c>
      <c r="U363" s="44"/>
      <c r="V363" s="44"/>
      <c r="W363" s="9">
        <f>TABL123[[#This Row],[(A/B) AJD]]+TABL123[[#This Row],[(A/S)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3">
        <f>TABL123[[#This Row],[( S/S+T/B) AJD]]-(TABL123[[#This Row],[(A/B + A/S) AJD]]+TABL123[[#This Row],[(STORGE DIFF.) AJD]]+(TABL123[[#This Row],[AJD_Evaporation]])/1000)</f>
        <v>0</v>
      </c>
      <c r="AE363" s="68"/>
      <c r="AF363" s="68"/>
      <c r="AG363" s="68"/>
      <c r="AH363" s="45"/>
      <c r="AI363" s="78"/>
      <c r="AJ363" s="78">
        <f>TABL123[[#This Row],[(A/B) AJD]]-TABL123[[#This Row],[BER_IN]]</f>
        <v>0</v>
      </c>
      <c r="AK363" s="78"/>
      <c r="AL363" s="68"/>
      <c r="AM363" s="87"/>
      <c r="AN363" s="87">
        <f>TABL123[[#This Row],[ (RESV. STORGE) SER]]/10</f>
        <v>0</v>
      </c>
      <c r="AO363" s="45"/>
      <c r="AP363" s="32">
        <f>TABL123[[#This Row],[(A/S) AJD]]-TABL123[[#This Row],[SER_IN]]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 (T/B) SAR]]+TABL123[[#This Row],[ (S/S) SAR]]</f>
        <v>0</v>
      </c>
      <c r="L364" s="41"/>
      <c r="M364" s="42"/>
      <c r="N364" s="42"/>
      <c r="O364" s="39"/>
      <c r="P364" s="9">
        <f>TABL123[[#This Row],[ (S/S) SAR]]-TABL123[[#This Row],[(S/S) AJD]]</f>
        <v>0</v>
      </c>
      <c r="Q364" s="39"/>
      <c r="R364" s="9">
        <f>TABL123[[#This Row],[ (T/B) SAR]]-TABL123[[#This Row],[(T/B) AJD]]</f>
        <v>0</v>
      </c>
      <c r="S364" s="9">
        <f>TABL123[[#This Row],[T/B-CON.]]+TABL123[[#This Row],[S/S_CON.]]</f>
        <v>0</v>
      </c>
      <c r="T364" s="9">
        <f>TABL123[[#This Row],[(S/S) AJD]]+TABL123[[#This Row],[(T/B) AJD]]</f>
        <v>0</v>
      </c>
      <c r="U364" s="41"/>
      <c r="V364" s="41"/>
      <c r="W364" s="9">
        <f>TABL123[[#This Row],[(A/B) AJD]]+TABL123[[#This Row],[(A/S)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3">
        <f>TABL123[[#This Row],[( S/S+T/B) AJD]]-(TABL123[[#This Row],[(A/B + A/S) AJD]]+TABL123[[#This Row],[(STORGE DIFF.) AJD]]+(TABL123[[#This Row],[AJD_Evaporation]])/1000)</f>
        <v>0</v>
      </c>
      <c r="AE364" s="68"/>
      <c r="AF364" s="68"/>
      <c r="AG364" s="68"/>
      <c r="AH364" s="43"/>
      <c r="AI364" s="78"/>
      <c r="AJ364" s="78">
        <f>TABL123[[#This Row],[(A/B) AJD]]-TABL123[[#This Row],[BER_IN]]</f>
        <v>0</v>
      </c>
      <c r="AK364" s="78"/>
      <c r="AL364" s="68"/>
      <c r="AM364" s="87"/>
      <c r="AN364" s="87">
        <f>TABL123[[#This Row],[ (RESV. STORGE) SER]]/10</f>
        <v>0</v>
      </c>
      <c r="AO364" s="43"/>
      <c r="AP364" s="32">
        <f>TABL123[[#This Row],[(A/S) AJD]]-TABL123[[#This Row],[SER_IN]]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 (T/B) SAR]]+TABL123[[#This Row],[ (S/S) SAR]]</f>
        <v>0</v>
      </c>
      <c r="L365" s="45"/>
      <c r="M365" s="46"/>
      <c r="N365" s="46"/>
      <c r="O365" s="40"/>
      <c r="P365" s="9">
        <f>TABL123[[#This Row],[ (S/S) SAR]]-TABL123[[#This Row],[(S/S) AJD]]</f>
        <v>0</v>
      </c>
      <c r="Q365" s="40"/>
      <c r="R365" s="9">
        <f>TABL123[[#This Row],[ (T/B) SAR]]-TABL123[[#This Row],[(T/B) AJD]]</f>
        <v>0</v>
      </c>
      <c r="S365" s="9">
        <f>TABL123[[#This Row],[T/B-CON.]]+TABL123[[#This Row],[S/S_CON.]]</f>
        <v>0</v>
      </c>
      <c r="T365" s="9">
        <f>TABL123[[#This Row],[(S/S) AJD]]+TABL123[[#This Row],[(T/B) AJD]]</f>
        <v>0</v>
      </c>
      <c r="U365" s="44"/>
      <c r="V365" s="44"/>
      <c r="W365" s="9">
        <f>TABL123[[#This Row],[(A/B) AJD]]+TABL123[[#This Row],[(A/S)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3">
        <f>TABL123[[#This Row],[( S/S+T/B) AJD]]-(TABL123[[#This Row],[(A/B + A/S) AJD]]+TABL123[[#This Row],[(STORGE DIFF.) AJD]]+(TABL123[[#This Row],[AJD_Evaporation]])/1000)</f>
        <v>0</v>
      </c>
      <c r="AE365" s="68"/>
      <c r="AF365" s="68"/>
      <c r="AG365" s="68"/>
      <c r="AH365" s="45"/>
      <c r="AI365" s="78"/>
      <c r="AJ365" s="78">
        <f>TABL123[[#This Row],[(A/B) AJD]]-TABL123[[#This Row],[BER_IN]]</f>
        <v>0</v>
      </c>
      <c r="AK365" s="78"/>
      <c r="AL365" s="68"/>
      <c r="AM365" s="87"/>
      <c r="AN365" s="87">
        <f>TABL123[[#This Row],[ (RESV. STORGE) SER]]/10</f>
        <v>0</v>
      </c>
      <c r="AO365" s="45"/>
      <c r="AP365" s="32">
        <f>TABL123[[#This Row],[(A/S) AJD]]-TABL123[[#This Row],[SER_IN]]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 (T/B) SAR]]+TABL123[[#This Row],[ (S/S) SAR]]</f>
        <v>0</v>
      </c>
      <c r="L366" s="41"/>
      <c r="M366" s="42"/>
      <c r="N366" s="42"/>
      <c r="O366" s="39"/>
      <c r="P366" s="19">
        <f>TABL123[[#This Row],[ (S/S) SAR]]-TABL123[[#This Row],[(S/S) AJD]]</f>
        <v>0</v>
      </c>
      <c r="Q366" s="39"/>
      <c r="R366" s="19">
        <f>TABL123[[#This Row],[ (T/B) SAR]]-TABL123[[#This Row],[(T/B) AJD]]</f>
        <v>0</v>
      </c>
      <c r="S366" s="19">
        <f>TABL123[[#This Row],[T/B-CON.]]+TABL123[[#This Row],[S/S_CON.]]</f>
        <v>0</v>
      </c>
      <c r="T366" s="19">
        <f>TABL123[[#This Row],[(S/S) AJD]]+TABL123[[#This Row],[(T/B) AJD]]</f>
        <v>0</v>
      </c>
      <c r="U366" s="41"/>
      <c r="V366" s="41"/>
      <c r="W366" s="19">
        <f>TABL123[[#This Row],[(A/B) AJD]]+TABL123[[#This Row],[(A/S)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AJD]]+TABL123[[#This Row],[(STORGE DIFF.) AJD]]+(TABL123[[#This Row],[AJD_Evaporation]])/1000)</f>
        <v>0</v>
      </c>
      <c r="AE366" s="82"/>
      <c r="AF366" s="82"/>
      <c r="AG366" s="82"/>
      <c r="AH366" s="43"/>
      <c r="AI366" s="80"/>
      <c r="AJ366" s="80">
        <f>TABL123[[#This Row],[(A/B) AJD]]-TABL123[[#This Row],[BER_IN]]</f>
        <v>0</v>
      </c>
      <c r="AK366" s="80"/>
      <c r="AL366" s="82"/>
      <c r="AM366" s="89"/>
      <c r="AN366" s="89">
        <f>TABL123[[#This Row],[ (RESV. STORGE) SER]]/10</f>
        <v>0</v>
      </c>
      <c r="AO366" s="43"/>
      <c r="AP366" s="32">
        <f>TABL123[[#This Row],[(A/S) AJD]]-TABL123[[#This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9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 (T/B) SAR]]+TABL1234[[#This Row],[ (S/S) SAR]]</f>
        <v>0</v>
      </c>
      <c r="L2" s="41"/>
      <c r="M2" s="42"/>
      <c r="N2" s="42"/>
      <c r="O2" s="39"/>
      <c r="P2" s="3">
        <f>TABL1234[[#This Row],[ (S/S) SAR]]-TABL1234[[#This Row],[(S/S) AJD]]</f>
        <v>0</v>
      </c>
      <c r="Q2" s="39"/>
      <c r="R2" s="3">
        <f>TABL1234[[#This Row],[ (T/B) SAR]]-TABL1234[[#This Row],[(T/B) AJD]]</f>
        <v>0</v>
      </c>
      <c r="S2" s="3">
        <f>TABL1234[[#This Row],[T/B-CON.]]+TABL1234[[#This Row],[S/S_CON.]]</f>
        <v>0</v>
      </c>
      <c r="T2" s="3">
        <f>TABL1234[[#This Row],[(S/S) AJD]]+TABL1234[[#This Row],[(T/B) AJD]]</f>
        <v>0</v>
      </c>
      <c r="U2" s="41"/>
      <c r="V2" s="41"/>
      <c r="W2" s="3">
        <f>TABL1234[[#This Row],[(A/B) AJD]]+TABL1234[[#This Row],[(A/S)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(Z2-'my_job2 - 2026'!Z366)/1000</f>
        <v>0</v>
      </c>
      <c r="AC2" s="43"/>
      <c r="AD2" s="84">
        <v>0</v>
      </c>
      <c r="AE2" s="81"/>
      <c r="AF2" s="81"/>
      <c r="AG2" s="81"/>
      <c r="AH2" s="43"/>
      <c r="AI2" s="43"/>
      <c r="AJ2" s="79">
        <f>TABL1234[[#This Row],[(A/B) AJD]]-TABL1234[[#This Row],[BER_IN]]</f>
        <v>0</v>
      </c>
      <c r="AK2" s="81"/>
      <c r="AL2" s="88"/>
      <c r="AM2" s="88"/>
      <c r="AN2" s="88">
        <f>TABL1234[[#This Row],[ (RESV. STORGE) SER]]/10</f>
        <v>0</v>
      </c>
      <c r="AO2" s="43"/>
      <c r="AP2" s="32">
        <f>TABL1234[[#This Row],[(A/S) AJD]]-TABL1234[[#This Row],[SER_IN]]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 (T/B) SAR]]+TABL1234[[#This Row],[ (S/S) SAR]]</f>
        <v>0</v>
      </c>
      <c r="L3" s="28"/>
      <c r="M3" s="29"/>
      <c r="N3" s="30"/>
      <c r="O3" s="3"/>
      <c r="P3" s="3">
        <f>TABL1234[[#This Row],[ (S/S) SAR]]-TABL1234[[#This Row],[(S/S) AJD]]</f>
        <v>0</v>
      </c>
      <c r="Q3" s="3"/>
      <c r="R3" s="3">
        <f>TABL1234[[#This Row],[ (T/B) SAR]]-TABL1234[[#This Row],[(T/B) AJD]]</f>
        <v>0</v>
      </c>
      <c r="S3" s="3">
        <f>TABL1234[[#This Row],[T/B-CON.]]+TABL1234[[#This Row],[S/S_CON.]]</f>
        <v>0</v>
      </c>
      <c r="T3" s="3">
        <f>TABL1234[[#This Row],[(S/S) AJD]]+TABL1234[[#This Row],[(T/B) AJD]]</f>
        <v>0</v>
      </c>
      <c r="U3" s="3"/>
      <c r="V3" s="3"/>
      <c r="W3" s="3">
        <f>TABL1234[[#This Row],[(A/B) AJD]]+TABL1234[[#This Row],[(A/S)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IF(TRIM(Z3)="",,(Z3-Z2)/1000)</f>
        <v>0</v>
      </c>
      <c r="AC3" s="6"/>
      <c r="AD3" s="5">
        <f>TABL1234[[#This Row],[( S/S+T/B) AJD]]-(TABL1234[[#This Row],[(A/B + A/S) AJD]]+(TABL1234[[#This Row],[(STORGE DIFF.) AJD]]*1000)+TABL1234[[#This Row],[AJD_Evaporation]])</f>
        <v>0</v>
      </c>
      <c r="AE3" s="6"/>
      <c r="AF3" s="33"/>
      <c r="AG3" s="6"/>
      <c r="AH3" s="6"/>
      <c r="AI3" s="6"/>
      <c r="AJ3" s="6">
        <f>TABL1234[[#This Row],[(A/B) AJD]]-TABL1234[[#This Row],[BER_IN]]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Row],[(A/S) AJD]]-TABL1234[[#This Row],[SER_IN]]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 (T/B) SAR]]+TABL1234[[#This Row],[ (S/S) SAR]]</f>
        <v>0</v>
      </c>
      <c r="L4" s="28"/>
      <c r="M4" s="29"/>
      <c r="N4" s="30"/>
      <c r="O4" s="3"/>
      <c r="P4" s="3">
        <f>TABL1234[[#This Row],[ (S/S) SAR]]-TABL1234[[#This Row],[(S/S) AJD]]</f>
        <v>0</v>
      </c>
      <c r="Q4" s="3"/>
      <c r="R4" s="3">
        <f>TABL1234[[#This Row],[ (T/B) SAR]]-TABL1234[[#This Row],[(T/B) AJD]]</f>
        <v>0</v>
      </c>
      <c r="S4" s="3">
        <f>TABL1234[[#This Row],[T/B-CON.]]+TABL1234[[#This Row],[S/S_CON.]]</f>
        <v>0</v>
      </c>
      <c r="T4" s="3">
        <f>TABL1234[[#This Row],[(S/S) AJD]]+TABL1234[[#This Row],[(T/B) AJD]]</f>
        <v>0</v>
      </c>
      <c r="U4" s="3"/>
      <c r="V4" s="3"/>
      <c r="W4" s="3">
        <f>TABL1234[[#This Row],[(A/B) AJD]]+TABL1234[[#This Row],[(A/S)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IF(TRIM(Z4)="",,(Z4-Z3)/1000)</f>
        <v>0</v>
      </c>
      <c r="AC4" s="6"/>
      <c r="AD4" s="5">
        <f>TABL1234[[#This Row],[( S/S+T/B) AJD]]-(TABL1234[[#This Row],[(A/B + A/S) AJD]]+(TABL1234[[#This Row],[(STORGE DIFF.) AJD]]*1000)+TABL1234[[#This Row],[AJD_Evaporation]])</f>
        <v>0</v>
      </c>
      <c r="AE4" s="6"/>
      <c r="AF4" s="33"/>
      <c r="AG4" s="6"/>
      <c r="AH4" s="6"/>
      <c r="AI4" s="6"/>
      <c r="AJ4" s="6">
        <f>TABL1234[[#This Row],[(A/B) AJD]]-TABL1234[[#This Row],[BER_IN]]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Row],[(A/S) AJD]]-TABL1234[[#This Row],[SER_IN]]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 (T/B) SAR]]+TABL1234[[#This Row],[ (S/S) SAR]]</f>
        <v>0</v>
      </c>
      <c r="L5" s="28"/>
      <c r="M5" s="29"/>
      <c r="N5" s="30"/>
      <c r="O5" s="3"/>
      <c r="P5" s="3">
        <f>TABL1234[[#This Row],[ (S/S) SAR]]-TABL1234[[#This Row],[(S/S) AJD]]</f>
        <v>0</v>
      </c>
      <c r="Q5" s="3"/>
      <c r="R5" s="3">
        <f>TABL1234[[#This Row],[ (T/B) SAR]]-TABL1234[[#This Row],[(T/B) AJD]]</f>
        <v>0</v>
      </c>
      <c r="S5" s="3">
        <f>TABL1234[[#This Row],[T/B-CON.]]+TABL1234[[#This Row],[S/S_CON.]]</f>
        <v>0</v>
      </c>
      <c r="T5" s="3">
        <f>TABL1234[[#This Row],[(S/S) AJD]]+TABL1234[[#This Row],[(T/B) AJD]]</f>
        <v>0</v>
      </c>
      <c r="U5" s="3"/>
      <c r="V5" s="3"/>
      <c r="W5" s="3">
        <f>TABL1234[[#This Row],[(A/B) AJD]]+TABL1234[[#This Row],[(A/S)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Row],[AJD_Evaporation]])</f>
        <v>0</v>
      </c>
      <c r="AE5" s="6"/>
      <c r="AF5" s="33"/>
      <c r="AG5" s="6"/>
      <c r="AH5" s="6"/>
      <c r="AI5" s="6"/>
      <c r="AJ5" s="6">
        <f>TABL1234[[#This Row],[(A/B) AJD]]-TABL1234[[#This Row],[BER_IN]]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Row],[(A/S) AJD]]-TABL1234[[#This Row],[SER_IN]]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 (T/B) SAR]]+TABL1234[[#This Row],[ (S/S) SAR]]</f>
        <v>0</v>
      </c>
      <c r="L6" s="28"/>
      <c r="M6" s="29"/>
      <c r="N6" s="30"/>
      <c r="O6" s="3"/>
      <c r="P6" s="3">
        <f>TABL1234[[#This Row],[ (S/S) SAR]]-TABL1234[[#This Row],[(S/S) AJD]]</f>
        <v>0</v>
      </c>
      <c r="Q6" s="3"/>
      <c r="R6" s="3">
        <f>TABL1234[[#This Row],[ (T/B) SAR]]-TABL1234[[#This Row],[(T/B) AJD]]</f>
        <v>0</v>
      </c>
      <c r="S6" s="3">
        <f>TABL1234[[#This Row],[T/B-CON.]]+TABL1234[[#This Row],[S/S_CON.]]</f>
        <v>0</v>
      </c>
      <c r="T6" s="3">
        <f>TABL1234[[#This Row],[(S/S) AJD]]+TABL1234[[#This Row],[(T/B) AJD]]</f>
        <v>0</v>
      </c>
      <c r="U6" s="3"/>
      <c r="V6" s="3"/>
      <c r="W6" s="3">
        <f>TABL1234[[#This Row],[(A/B) AJD]]+TABL1234[[#This Row],[(A/S)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Row],[AJD_Evaporation]])</f>
        <v>0</v>
      </c>
      <c r="AE6" s="6"/>
      <c r="AF6" s="33"/>
      <c r="AG6" s="6"/>
      <c r="AH6" s="6"/>
      <c r="AI6" s="6"/>
      <c r="AJ6" s="6">
        <f>TABL1234[[#This Row],[(A/B) AJD]]-TABL1234[[#This Row],[BER_IN]]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Row],[(A/S) AJD]]-TABL1234[[#This Row],[SER_IN]]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 (T/B) SAR]]+TABL1234[[#This Row],[ (S/S) SAR]]</f>
        <v>0</v>
      </c>
      <c r="L7" s="28"/>
      <c r="M7" s="29"/>
      <c r="N7" s="30"/>
      <c r="O7" s="3"/>
      <c r="P7" s="3">
        <f>TABL1234[[#This Row],[ (S/S) SAR]]-TABL1234[[#This Row],[(S/S) AJD]]</f>
        <v>0</v>
      </c>
      <c r="Q7" s="3"/>
      <c r="R7" s="3">
        <f>TABL1234[[#This Row],[ (T/B) SAR]]-TABL1234[[#This Row],[(T/B) AJD]]</f>
        <v>0</v>
      </c>
      <c r="S7" s="3">
        <f>TABL1234[[#This Row],[T/B-CON.]]+TABL1234[[#This Row],[S/S_CON.]]</f>
        <v>0</v>
      </c>
      <c r="T7" s="3">
        <f>TABL1234[[#This Row],[(S/S) AJD]]+TABL1234[[#This Row],[(T/B) AJD]]</f>
        <v>0</v>
      </c>
      <c r="U7" s="3"/>
      <c r="V7" s="3"/>
      <c r="W7" s="3">
        <f>TABL1234[[#This Row],[(A/B) AJD]]+TABL1234[[#This Row],[(A/S)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Row],[AJD_Evaporation]])</f>
        <v>0</v>
      </c>
      <c r="AE7" s="6"/>
      <c r="AF7" s="33"/>
      <c r="AG7" s="6"/>
      <c r="AH7" s="6"/>
      <c r="AI7" s="6"/>
      <c r="AJ7" s="6">
        <f>TABL1234[[#This Row],[(A/B) AJD]]-TABL1234[[#This Row],[BER_IN]]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Row],[(A/S) AJD]]-TABL1234[[#This Row],[SER_IN]]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 (T/B) SAR]]+TABL1234[[#This Row],[ (S/S) SAR]]</f>
        <v>0</v>
      </c>
      <c r="L8" s="28"/>
      <c r="M8" s="29"/>
      <c r="N8" s="30"/>
      <c r="O8" s="3"/>
      <c r="P8" s="3">
        <f>TABL1234[[#This Row],[ (S/S) SAR]]-TABL1234[[#This Row],[(S/S) AJD]]</f>
        <v>0</v>
      </c>
      <c r="Q8" s="3"/>
      <c r="R8" s="3">
        <f>TABL1234[[#This Row],[ (T/B) SAR]]-TABL1234[[#This Row],[(T/B) AJD]]</f>
        <v>0</v>
      </c>
      <c r="S8" s="3">
        <f>TABL1234[[#This Row],[T/B-CON.]]+TABL1234[[#This Row],[S/S_CON.]]</f>
        <v>0</v>
      </c>
      <c r="T8" s="3">
        <f>TABL1234[[#This Row],[(S/S) AJD]]+TABL1234[[#This Row],[(T/B) AJD]]</f>
        <v>0</v>
      </c>
      <c r="U8" s="3"/>
      <c r="V8" s="3"/>
      <c r="W8" s="3">
        <f>TABL1234[[#This Row],[(A/B) AJD]]+TABL1234[[#This Row],[(A/S)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Row],[AJD_Evaporation]])</f>
        <v>0</v>
      </c>
      <c r="AE8" s="6"/>
      <c r="AF8" s="33"/>
      <c r="AG8" s="6"/>
      <c r="AH8" s="6"/>
      <c r="AI8" s="6"/>
      <c r="AJ8" s="6">
        <f>TABL1234[[#This Row],[(A/B) AJD]]-TABL1234[[#This Row],[BER_IN]]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Row],[(A/S) AJD]]-TABL1234[[#This Row],[SER_IN]]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 (T/B) SAR]]+TABL1234[[#This Row],[ (S/S) SAR]]</f>
        <v>0</v>
      </c>
      <c r="L9" s="28"/>
      <c r="M9" s="29"/>
      <c r="N9" s="30"/>
      <c r="O9" s="3"/>
      <c r="P9" s="3">
        <f>TABL1234[[#This Row],[ (S/S) SAR]]-TABL1234[[#This Row],[(S/S) AJD]]</f>
        <v>0</v>
      </c>
      <c r="Q9" s="3"/>
      <c r="R9" s="3">
        <f>TABL1234[[#This Row],[ (T/B) SAR]]-TABL1234[[#This Row],[(T/B) AJD]]</f>
        <v>0</v>
      </c>
      <c r="S9" s="3">
        <f>TABL1234[[#This Row],[T/B-CON.]]+TABL1234[[#This Row],[S/S_CON.]]</f>
        <v>0</v>
      </c>
      <c r="T9" s="3">
        <f>TABL1234[[#This Row],[(S/S) AJD]]+TABL1234[[#This Row],[(T/B) AJD]]</f>
        <v>0</v>
      </c>
      <c r="U9" s="3"/>
      <c r="V9" s="3"/>
      <c r="W9" s="3">
        <f>TABL1234[[#This Row],[(A/B) AJD]]+TABL1234[[#This Row],[(A/S)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Row],[AJD_Evaporation]])</f>
        <v>0</v>
      </c>
      <c r="AE9" s="6"/>
      <c r="AF9" s="33"/>
      <c r="AG9" s="6"/>
      <c r="AH9" s="6"/>
      <c r="AI9" s="6"/>
      <c r="AJ9" s="6">
        <f>TABL1234[[#This Row],[(A/B) AJD]]-TABL1234[[#This Row],[BER_IN]]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Row],[(A/S) AJD]]-TABL1234[[#This Row],[SER_IN]]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 (T/B) SAR]]+TABL1234[[#This Row],[ (S/S) SAR]]</f>
        <v>0</v>
      </c>
      <c r="L10" s="28"/>
      <c r="M10" s="29"/>
      <c r="N10" s="30"/>
      <c r="O10" s="3"/>
      <c r="P10" s="3">
        <f>TABL1234[[#This Row],[ (S/S) SAR]]-TABL1234[[#This Row],[(S/S) AJD]]</f>
        <v>0</v>
      </c>
      <c r="Q10" s="3"/>
      <c r="R10" s="3">
        <f>TABL1234[[#This Row],[ (T/B) SAR]]-TABL1234[[#This Row],[(T/B) AJD]]</f>
        <v>0</v>
      </c>
      <c r="S10" s="3">
        <f>TABL1234[[#This Row],[T/B-CON.]]+TABL1234[[#This Row],[S/S_CON.]]</f>
        <v>0</v>
      </c>
      <c r="T10" s="3">
        <f>TABL1234[[#This Row],[(S/S) AJD]]+TABL1234[[#This Row],[(T/B) AJD]]</f>
        <v>0</v>
      </c>
      <c r="U10" s="3"/>
      <c r="V10" s="3"/>
      <c r="W10" s="3">
        <f>TABL1234[[#This Row],[(A/B) AJD]]+TABL1234[[#This Row],[(A/S)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Row],[AJD_Evaporation]])</f>
        <v>0</v>
      </c>
      <c r="AE10" s="6"/>
      <c r="AF10" s="33"/>
      <c r="AG10" s="6"/>
      <c r="AH10" s="6"/>
      <c r="AI10" s="6"/>
      <c r="AJ10" s="6">
        <f>TABL1234[[#This Row],[(A/B) AJD]]-TABL1234[[#This Row],[BER_IN]]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Row],[(A/S) AJD]]-TABL1234[[#This Row],[SER_IN]]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 (T/B) SAR]]+TABL1234[[#This Row],[ (S/S) SAR]]</f>
        <v>0</v>
      </c>
      <c r="L11" s="28"/>
      <c r="M11" s="29"/>
      <c r="N11" s="30"/>
      <c r="O11" s="3"/>
      <c r="P11" s="3">
        <f>TABL1234[[#This Row],[ (S/S) SAR]]-TABL1234[[#This Row],[(S/S) AJD]]</f>
        <v>0</v>
      </c>
      <c r="Q11" s="3"/>
      <c r="R11" s="3">
        <f>TABL1234[[#This Row],[ (T/B) SAR]]-TABL1234[[#This Row],[(T/B) AJD]]</f>
        <v>0</v>
      </c>
      <c r="S11" s="3">
        <f>TABL1234[[#This Row],[T/B-CON.]]+TABL1234[[#This Row],[S/S_CON.]]</f>
        <v>0</v>
      </c>
      <c r="T11" s="3">
        <f>TABL1234[[#This Row],[(S/S) AJD]]+TABL1234[[#This Row],[(T/B) AJD]]</f>
        <v>0</v>
      </c>
      <c r="U11" s="3"/>
      <c r="V11" s="3"/>
      <c r="W11" s="3">
        <f>TABL1234[[#This Row],[(A/B) AJD]]+TABL1234[[#This Row],[(A/S)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Row],[AJD_Evaporation]])</f>
        <v>0</v>
      </c>
      <c r="AE11" s="6"/>
      <c r="AF11" s="33"/>
      <c r="AG11" s="6"/>
      <c r="AH11" s="6"/>
      <c r="AI11" s="6"/>
      <c r="AJ11" s="6">
        <f>TABL1234[[#This Row],[(A/B) AJD]]-TABL1234[[#This Row],[BER_IN]]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Row],[(A/S) AJD]]-TABL1234[[#This Row],[SER_IN]]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 (T/B) SAR]]+TABL1234[[#This Row],[ (S/S) SAR]]</f>
        <v>0</v>
      </c>
      <c r="L12" s="28"/>
      <c r="M12" s="29"/>
      <c r="N12" s="30"/>
      <c r="O12" s="3"/>
      <c r="P12" s="3">
        <f>TABL1234[[#This Row],[ (S/S) SAR]]-TABL1234[[#This Row],[(S/S) AJD]]</f>
        <v>0</v>
      </c>
      <c r="Q12" s="3"/>
      <c r="R12" s="3">
        <f>TABL1234[[#This Row],[ (T/B) SAR]]-TABL1234[[#This Row],[(T/B) AJD]]</f>
        <v>0</v>
      </c>
      <c r="S12" s="3">
        <f>TABL1234[[#This Row],[T/B-CON.]]+TABL1234[[#This Row],[S/S_CON.]]</f>
        <v>0</v>
      </c>
      <c r="T12" s="3">
        <f>TABL1234[[#This Row],[(S/S) AJD]]+TABL1234[[#This Row],[(T/B) AJD]]</f>
        <v>0</v>
      </c>
      <c r="U12" s="3"/>
      <c r="V12" s="3"/>
      <c r="W12" s="3">
        <f>TABL1234[[#This Row],[(A/B) AJD]]+TABL1234[[#This Row],[(A/S)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Row],[AJD_Evaporation]])</f>
        <v>0</v>
      </c>
      <c r="AE12" s="6"/>
      <c r="AF12" s="33"/>
      <c r="AG12" s="6"/>
      <c r="AH12" s="6"/>
      <c r="AI12" s="6"/>
      <c r="AJ12" s="6">
        <f>TABL1234[[#This Row],[(A/B) AJD]]-TABL1234[[#This Row],[BER_IN]]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Row],[(A/S) AJD]]-TABL1234[[#This Row],[SER_IN]]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 (T/B) SAR]]+TABL1234[[#This Row],[ (S/S) SAR]]</f>
        <v>0</v>
      </c>
      <c r="L13" s="28"/>
      <c r="M13" s="29"/>
      <c r="N13" s="30"/>
      <c r="O13" s="3"/>
      <c r="P13" s="3">
        <f>TABL1234[[#This Row],[ (S/S) SAR]]-TABL1234[[#This Row],[(S/S) AJD]]</f>
        <v>0</v>
      </c>
      <c r="Q13" s="3"/>
      <c r="R13" s="3">
        <f>TABL1234[[#This Row],[ (T/B) SAR]]-TABL1234[[#This Row],[(T/B) AJD]]</f>
        <v>0</v>
      </c>
      <c r="S13" s="3">
        <f>TABL1234[[#This Row],[T/B-CON.]]+TABL1234[[#This Row],[S/S_CON.]]</f>
        <v>0</v>
      </c>
      <c r="T13" s="3">
        <f>TABL1234[[#This Row],[(S/S) AJD]]+TABL1234[[#This Row],[(T/B) AJD]]</f>
        <v>0</v>
      </c>
      <c r="U13" s="3"/>
      <c r="V13" s="3"/>
      <c r="W13" s="3">
        <f>TABL1234[[#This Row],[(A/B) AJD]]+TABL1234[[#This Row],[(A/S)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Row],[AJD_Evaporation]])</f>
        <v>0</v>
      </c>
      <c r="AE13" s="6"/>
      <c r="AF13" s="33"/>
      <c r="AG13" s="6"/>
      <c r="AH13" s="6"/>
      <c r="AI13" s="6"/>
      <c r="AJ13" s="6">
        <f>TABL1234[[#This Row],[(A/B) AJD]]-TABL1234[[#This Row],[BER_IN]]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Row],[(A/S) AJD]]-TABL1234[[#This Row],[SER_IN]]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 (T/B) SAR]]+TABL1234[[#This Row],[ (S/S) SAR]]</f>
        <v>0</v>
      </c>
      <c r="L14" s="28"/>
      <c r="M14" s="29"/>
      <c r="N14" s="30"/>
      <c r="O14" s="3"/>
      <c r="P14" s="3">
        <f>TABL1234[[#This Row],[ (S/S) SAR]]-TABL1234[[#This Row],[(S/S) AJD]]</f>
        <v>0</v>
      </c>
      <c r="Q14" s="3"/>
      <c r="R14" s="3">
        <f>TABL1234[[#This Row],[ (T/B) SAR]]-TABL1234[[#This Row],[(T/B) AJD]]</f>
        <v>0</v>
      </c>
      <c r="S14" s="3">
        <f>TABL1234[[#This Row],[T/B-CON.]]+TABL1234[[#This Row],[S/S_CON.]]</f>
        <v>0</v>
      </c>
      <c r="T14" s="3">
        <f>TABL1234[[#This Row],[(S/S) AJD]]+TABL1234[[#This Row],[(T/B) AJD]]</f>
        <v>0</v>
      </c>
      <c r="U14" s="3"/>
      <c r="V14" s="3"/>
      <c r="W14" s="3">
        <f>TABL1234[[#This Row],[(A/B) AJD]]+TABL1234[[#This Row],[(A/S)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Row],[AJD_Evaporation]])</f>
        <v>0</v>
      </c>
      <c r="AE14" s="6"/>
      <c r="AF14" s="33"/>
      <c r="AG14" s="6"/>
      <c r="AH14" s="6"/>
      <c r="AI14" s="6"/>
      <c r="AJ14" s="6">
        <f>TABL1234[[#This Row],[(A/B) AJD]]-TABL1234[[#This Row],[BER_IN]]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Row],[(A/S) AJD]]-TABL1234[[#This Row],[SER_IN]]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 (T/B) SAR]]+TABL1234[[#This Row],[ (S/S) SAR]]</f>
        <v>0</v>
      </c>
      <c r="L15" s="28"/>
      <c r="M15" s="29"/>
      <c r="N15" s="30"/>
      <c r="O15" s="3"/>
      <c r="P15" s="3">
        <f>TABL1234[[#This Row],[ (S/S) SAR]]-TABL1234[[#This Row],[(S/S) AJD]]</f>
        <v>0</v>
      </c>
      <c r="Q15" s="3"/>
      <c r="R15" s="3">
        <f>TABL1234[[#This Row],[ (T/B) SAR]]-TABL1234[[#This Row],[(T/B) AJD]]</f>
        <v>0</v>
      </c>
      <c r="S15" s="3">
        <f>TABL1234[[#This Row],[T/B-CON.]]+TABL1234[[#This Row],[S/S_CON.]]</f>
        <v>0</v>
      </c>
      <c r="T15" s="3">
        <f>TABL1234[[#This Row],[(S/S) AJD]]+TABL1234[[#This Row],[(T/B) AJD]]</f>
        <v>0</v>
      </c>
      <c r="U15" s="3"/>
      <c r="V15" s="3"/>
      <c r="W15" s="3">
        <f>TABL1234[[#This Row],[(A/B) AJD]]+TABL1234[[#This Row],[(A/S)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Row],[AJD_Evaporation]])</f>
        <v>0</v>
      </c>
      <c r="AE15" s="6"/>
      <c r="AF15" s="33"/>
      <c r="AG15" s="6"/>
      <c r="AH15" s="6"/>
      <c r="AI15" s="6"/>
      <c r="AJ15" s="6">
        <f>TABL1234[[#This Row],[(A/B) AJD]]-TABL1234[[#This Row],[BER_IN]]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Row],[(A/S) AJD]]-TABL1234[[#This Row],[SER_IN]]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 (T/B) SAR]]+TABL1234[[#This Row],[ (S/S) SAR]]</f>
        <v>0</v>
      </c>
      <c r="L16" s="28"/>
      <c r="M16" s="29"/>
      <c r="N16" s="30"/>
      <c r="O16" s="3"/>
      <c r="P16" s="3">
        <f>TABL1234[[#This Row],[ (S/S) SAR]]-TABL1234[[#This Row],[(S/S) AJD]]</f>
        <v>0</v>
      </c>
      <c r="Q16" s="3"/>
      <c r="R16" s="3">
        <f>TABL1234[[#This Row],[ (T/B) SAR]]-TABL1234[[#This Row],[(T/B) AJD]]</f>
        <v>0</v>
      </c>
      <c r="S16" s="3">
        <f>TABL1234[[#This Row],[T/B-CON.]]+TABL1234[[#This Row],[S/S_CON.]]</f>
        <v>0</v>
      </c>
      <c r="T16" s="3">
        <f>TABL1234[[#This Row],[(S/S) AJD]]+TABL1234[[#This Row],[(T/B) AJD]]</f>
        <v>0</v>
      </c>
      <c r="U16" s="3"/>
      <c r="V16" s="3"/>
      <c r="W16" s="3">
        <f>TABL1234[[#This Row],[(A/B) AJD]]+TABL1234[[#This Row],[(A/S)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Row],[AJD_Evaporation]])</f>
        <v>0</v>
      </c>
      <c r="AE16" s="6"/>
      <c r="AF16" s="33"/>
      <c r="AG16" s="6"/>
      <c r="AH16" s="6"/>
      <c r="AI16" s="6"/>
      <c r="AJ16" s="6">
        <f>TABL1234[[#This Row],[(A/B) AJD]]-TABL1234[[#This Row],[BER_IN]]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Row],[(A/S) AJD]]-TABL1234[[#This Row],[SER_IN]]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 (T/B) SAR]]+TABL1234[[#This Row],[ (S/S) SAR]]</f>
        <v>0</v>
      </c>
      <c r="L17" s="28"/>
      <c r="M17" s="29"/>
      <c r="N17" s="30"/>
      <c r="O17" s="3"/>
      <c r="P17" s="3">
        <f>TABL1234[[#This Row],[ (S/S) SAR]]-TABL1234[[#This Row],[(S/S) AJD]]</f>
        <v>0</v>
      </c>
      <c r="Q17" s="3"/>
      <c r="R17" s="3">
        <f>TABL1234[[#This Row],[ (T/B) SAR]]-TABL1234[[#This Row],[(T/B) AJD]]</f>
        <v>0</v>
      </c>
      <c r="S17" s="3">
        <f>TABL1234[[#This Row],[T/B-CON.]]+TABL1234[[#This Row],[S/S_CON.]]</f>
        <v>0</v>
      </c>
      <c r="T17" s="3">
        <f>TABL1234[[#This Row],[(S/S) AJD]]+TABL1234[[#This Row],[(T/B) AJD]]</f>
        <v>0</v>
      </c>
      <c r="U17" s="3"/>
      <c r="V17" s="3"/>
      <c r="W17" s="3">
        <f>TABL1234[[#This Row],[(A/B) AJD]]+TABL1234[[#This Row],[(A/S)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Row],[AJD_Evaporation]])</f>
        <v>0</v>
      </c>
      <c r="AE17" s="6"/>
      <c r="AF17" s="33"/>
      <c r="AG17" s="6"/>
      <c r="AH17" s="6"/>
      <c r="AI17" s="6"/>
      <c r="AJ17" s="6">
        <f>TABL1234[[#This Row],[(A/B) AJD]]-TABL1234[[#This Row],[BER_IN]]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Row],[(A/S) AJD]]-TABL1234[[#This Row],[SER_IN]]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 (T/B) SAR]]+TABL1234[[#This Row],[ (S/S) SAR]]</f>
        <v>0</v>
      </c>
      <c r="L18" s="28"/>
      <c r="M18" s="29"/>
      <c r="N18" s="30"/>
      <c r="O18" s="3"/>
      <c r="P18" s="3">
        <f>TABL1234[[#This Row],[ (S/S) SAR]]-TABL1234[[#This Row],[(S/S) AJD]]</f>
        <v>0</v>
      </c>
      <c r="Q18" s="3"/>
      <c r="R18" s="3">
        <f>TABL1234[[#This Row],[ (T/B) SAR]]-TABL1234[[#This Row],[(T/B) AJD]]</f>
        <v>0</v>
      </c>
      <c r="S18" s="3">
        <f>TABL1234[[#This Row],[T/B-CON.]]+TABL1234[[#This Row],[S/S_CON.]]</f>
        <v>0</v>
      </c>
      <c r="T18" s="3">
        <f>TABL1234[[#This Row],[(S/S) AJD]]+TABL1234[[#This Row],[(T/B) AJD]]</f>
        <v>0</v>
      </c>
      <c r="U18" s="3"/>
      <c r="V18" s="3"/>
      <c r="W18" s="3">
        <f>TABL1234[[#This Row],[(A/B) AJD]]+TABL1234[[#This Row],[(A/S)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Row],[AJD_Evaporation]])</f>
        <v>0</v>
      </c>
      <c r="AE18" s="6"/>
      <c r="AF18" s="33"/>
      <c r="AG18" s="6"/>
      <c r="AH18" s="6"/>
      <c r="AI18" s="6"/>
      <c r="AJ18" s="6">
        <f>TABL1234[[#This Row],[(A/B) AJD]]-TABL1234[[#This Row],[BER_IN]]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Row],[(A/S) AJD]]-TABL1234[[#This Row],[SER_IN]]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 (T/B) SAR]]+TABL1234[[#This Row],[ (S/S) SAR]]</f>
        <v>0</v>
      </c>
      <c r="L19" s="28"/>
      <c r="M19" s="29"/>
      <c r="N19" s="30"/>
      <c r="O19" s="3"/>
      <c r="P19" s="3">
        <f>TABL1234[[#This Row],[ (S/S) SAR]]-TABL1234[[#This Row],[(S/S) AJD]]</f>
        <v>0</v>
      </c>
      <c r="Q19" s="3"/>
      <c r="R19" s="3">
        <f>TABL1234[[#This Row],[ (T/B) SAR]]-TABL1234[[#This Row],[(T/B) AJD]]</f>
        <v>0</v>
      </c>
      <c r="S19" s="3">
        <f>TABL1234[[#This Row],[T/B-CON.]]+TABL1234[[#This Row],[S/S_CON.]]</f>
        <v>0</v>
      </c>
      <c r="T19" s="3">
        <f>TABL1234[[#This Row],[(S/S) AJD]]+TABL1234[[#This Row],[(T/B) AJD]]</f>
        <v>0</v>
      </c>
      <c r="U19" s="3"/>
      <c r="V19" s="3"/>
      <c r="W19" s="3">
        <f>TABL1234[[#This Row],[(A/B) AJD]]+TABL1234[[#This Row],[(A/S)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Row],[AJD_Evaporation]])</f>
        <v>0</v>
      </c>
      <c r="AE19" s="6"/>
      <c r="AF19" s="33"/>
      <c r="AG19" s="6"/>
      <c r="AH19" s="6"/>
      <c r="AI19" s="6"/>
      <c r="AJ19" s="6">
        <f>TABL1234[[#This Row],[(A/B) AJD]]-TABL1234[[#This Row],[BER_IN]]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Row],[(A/S) AJD]]-TABL1234[[#This Row],[SER_IN]]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 (T/B) SAR]]+TABL1234[[#This Row],[ (S/S) SAR]]</f>
        <v>0</v>
      </c>
      <c r="L20" s="28"/>
      <c r="M20" s="29"/>
      <c r="N20" s="30"/>
      <c r="O20" s="3"/>
      <c r="P20" s="3">
        <f>TABL1234[[#This Row],[ (S/S) SAR]]-TABL1234[[#This Row],[(S/S) AJD]]</f>
        <v>0</v>
      </c>
      <c r="Q20" s="3"/>
      <c r="R20" s="3">
        <f>TABL1234[[#This Row],[ (T/B) SAR]]-TABL1234[[#This Row],[(T/B) AJD]]</f>
        <v>0</v>
      </c>
      <c r="S20" s="3">
        <f>TABL1234[[#This Row],[T/B-CON.]]+TABL1234[[#This Row],[S/S_CON.]]</f>
        <v>0</v>
      </c>
      <c r="T20" s="3">
        <f>TABL1234[[#This Row],[(S/S) AJD]]+TABL1234[[#This Row],[(T/B) AJD]]</f>
        <v>0</v>
      </c>
      <c r="U20" s="3"/>
      <c r="V20" s="3"/>
      <c r="W20" s="3">
        <f>TABL1234[[#This Row],[(A/B) AJD]]+TABL1234[[#This Row],[(A/S)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Row],[AJD_Evaporation]])</f>
        <v>0</v>
      </c>
      <c r="AE20" s="6"/>
      <c r="AF20" s="33"/>
      <c r="AG20" s="6"/>
      <c r="AH20" s="6"/>
      <c r="AI20" s="6"/>
      <c r="AJ20" s="6">
        <f>TABL1234[[#This Row],[(A/B) AJD]]-TABL1234[[#This Row],[BER_IN]]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Row],[(A/S) AJD]]-TABL1234[[#This Row],[SER_IN]]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 (T/B) SAR]]+TABL1234[[#This Row],[ (S/S) SAR]]</f>
        <v>0</v>
      </c>
      <c r="L21" s="28"/>
      <c r="M21" s="29"/>
      <c r="N21" s="30"/>
      <c r="O21" s="3"/>
      <c r="P21" s="3">
        <f>TABL1234[[#This Row],[ (S/S) SAR]]-TABL1234[[#This Row],[(S/S) AJD]]</f>
        <v>0</v>
      </c>
      <c r="Q21" s="3"/>
      <c r="R21" s="3">
        <f>TABL1234[[#This Row],[ (T/B) SAR]]-TABL1234[[#This Row],[(T/B) AJD]]</f>
        <v>0</v>
      </c>
      <c r="S21" s="3">
        <f>TABL1234[[#This Row],[T/B-CON.]]+TABL1234[[#This Row],[S/S_CON.]]</f>
        <v>0</v>
      </c>
      <c r="T21" s="3">
        <f>TABL1234[[#This Row],[(S/S) AJD]]+TABL1234[[#This Row],[(T/B) AJD]]</f>
        <v>0</v>
      </c>
      <c r="U21" s="3"/>
      <c r="V21" s="3"/>
      <c r="W21" s="3">
        <f>TABL1234[[#This Row],[(A/B) AJD]]+TABL1234[[#This Row],[(A/S)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Row],[AJD_Evaporation]])</f>
        <v>0</v>
      </c>
      <c r="AE21" s="6"/>
      <c r="AF21" s="33"/>
      <c r="AG21" s="6"/>
      <c r="AH21" s="6"/>
      <c r="AI21" s="6"/>
      <c r="AJ21" s="6">
        <f>TABL1234[[#This Row],[(A/B) AJD]]-TABL1234[[#This Row],[BER_IN]]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Row],[(A/S) AJD]]-TABL1234[[#This Row],[SER_IN]]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 (T/B) SAR]]+TABL1234[[#This Row],[ (S/S) SAR]]</f>
        <v>0</v>
      </c>
      <c r="L22" s="28"/>
      <c r="M22" s="29"/>
      <c r="N22" s="30"/>
      <c r="O22" s="3"/>
      <c r="P22" s="3">
        <f>TABL1234[[#This Row],[ (S/S) SAR]]-TABL1234[[#This Row],[(S/S) AJD]]</f>
        <v>0</v>
      </c>
      <c r="Q22" s="3"/>
      <c r="R22" s="3">
        <f>TABL1234[[#This Row],[ (T/B) SAR]]-TABL1234[[#This Row],[(T/B) AJD]]</f>
        <v>0</v>
      </c>
      <c r="S22" s="3">
        <f>TABL1234[[#This Row],[T/B-CON.]]+TABL1234[[#This Row],[S/S_CON.]]</f>
        <v>0</v>
      </c>
      <c r="T22" s="3">
        <f>TABL1234[[#This Row],[(S/S) AJD]]+TABL1234[[#This Row],[(T/B) AJD]]</f>
        <v>0</v>
      </c>
      <c r="U22" s="3"/>
      <c r="V22" s="3"/>
      <c r="W22" s="3">
        <f>TABL1234[[#This Row],[(A/B) AJD]]+TABL1234[[#This Row],[(A/S)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Row],[AJD_Evaporation]])</f>
        <v>0</v>
      </c>
      <c r="AE22" s="6"/>
      <c r="AF22" s="33"/>
      <c r="AG22" s="6"/>
      <c r="AH22" s="6"/>
      <c r="AI22" s="6"/>
      <c r="AJ22" s="6">
        <f>TABL1234[[#This Row],[(A/B) AJD]]-TABL1234[[#This Row],[BER_IN]]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Row],[(A/S) AJD]]-TABL1234[[#This Row],[SER_IN]]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 (T/B) SAR]]+TABL1234[[#This Row],[ (S/S) SAR]]</f>
        <v>0</v>
      </c>
      <c r="L23" s="28"/>
      <c r="M23" s="29"/>
      <c r="N23" s="30"/>
      <c r="O23" s="3"/>
      <c r="P23" s="3">
        <f>TABL1234[[#This Row],[ (S/S) SAR]]-TABL1234[[#This Row],[(S/S) AJD]]</f>
        <v>0</v>
      </c>
      <c r="Q23" s="3"/>
      <c r="R23" s="3">
        <f>TABL1234[[#This Row],[ (T/B) SAR]]-TABL1234[[#This Row],[(T/B) AJD]]</f>
        <v>0</v>
      </c>
      <c r="S23" s="3">
        <f>TABL1234[[#This Row],[T/B-CON.]]+TABL1234[[#This Row],[S/S_CON.]]</f>
        <v>0</v>
      </c>
      <c r="T23" s="3">
        <f>TABL1234[[#This Row],[(S/S) AJD]]+TABL1234[[#This Row],[(T/B) AJD]]</f>
        <v>0</v>
      </c>
      <c r="U23" s="3"/>
      <c r="V23" s="3"/>
      <c r="W23" s="3">
        <f>TABL1234[[#This Row],[(A/B) AJD]]+TABL1234[[#This Row],[(A/S)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Row],[AJD_Evaporation]])</f>
        <v>0</v>
      </c>
      <c r="AE23" s="6"/>
      <c r="AF23" s="33"/>
      <c r="AG23" s="6"/>
      <c r="AH23" s="6"/>
      <c r="AI23" s="6"/>
      <c r="AJ23" s="6">
        <f>TABL1234[[#This Row],[(A/B) AJD]]-TABL1234[[#This Row],[BER_IN]]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Row],[(A/S) AJD]]-TABL1234[[#This Row],[SER_IN]]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 (T/B) SAR]]+TABL1234[[#This Row],[ (S/S) SAR]]</f>
        <v>0</v>
      </c>
      <c r="L24" s="28"/>
      <c r="M24" s="29"/>
      <c r="N24" s="30"/>
      <c r="O24" s="3"/>
      <c r="P24" s="3">
        <f>TABL1234[[#This Row],[ (S/S) SAR]]-TABL1234[[#This Row],[(S/S) AJD]]</f>
        <v>0</v>
      </c>
      <c r="Q24" s="3"/>
      <c r="R24" s="3">
        <f>TABL1234[[#This Row],[ (T/B) SAR]]-TABL1234[[#This Row],[(T/B) AJD]]</f>
        <v>0</v>
      </c>
      <c r="S24" s="3">
        <f>TABL1234[[#This Row],[T/B-CON.]]+TABL1234[[#This Row],[S/S_CON.]]</f>
        <v>0</v>
      </c>
      <c r="T24" s="3">
        <f>TABL1234[[#This Row],[(S/S) AJD]]+TABL1234[[#This Row],[(T/B) AJD]]</f>
        <v>0</v>
      </c>
      <c r="U24" s="3"/>
      <c r="V24" s="3"/>
      <c r="W24" s="3">
        <f>TABL1234[[#This Row],[(A/B) AJD]]+TABL1234[[#This Row],[(A/S)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Row],[AJD_Evaporation]])</f>
        <v>0</v>
      </c>
      <c r="AE24" s="6"/>
      <c r="AF24" s="33"/>
      <c r="AG24" s="6"/>
      <c r="AH24" s="6"/>
      <c r="AI24" s="6"/>
      <c r="AJ24" s="6">
        <f>TABL1234[[#This Row],[(A/B) AJD]]-TABL1234[[#This Row],[BER_IN]]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Row],[(A/S) AJD]]-TABL1234[[#This Row],[SER_IN]]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 (T/B) SAR]]+TABL1234[[#This Row],[ (S/S) SAR]]</f>
        <v>0</v>
      </c>
      <c r="L25" s="28"/>
      <c r="M25" s="29"/>
      <c r="N25" s="30"/>
      <c r="O25" s="3"/>
      <c r="P25" s="3">
        <f>TABL1234[[#This Row],[ (S/S) SAR]]-TABL1234[[#This Row],[(S/S) AJD]]</f>
        <v>0</v>
      </c>
      <c r="Q25" s="3"/>
      <c r="R25" s="3">
        <f>TABL1234[[#This Row],[ (T/B) SAR]]-TABL1234[[#This Row],[(T/B) AJD]]</f>
        <v>0</v>
      </c>
      <c r="S25" s="3">
        <f>TABL1234[[#This Row],[T/B-CON.]]+TABL1234[[#This Row],[S/S_CON.]]</f>
        <v>0</v>
      </c>
      <c r="T25" s="3">
        <f>TABL1234[[#This Row],[(S/S) AJD]]+TABL1234[[#This Row],[(T/B) AJD]]</f>
        <v>0</v>
      </c>
      <c r="U25" s="3"/>
      <c r="V25" s="3"/>
      <c r="W25" s="3">
        <f>TABL1234[[#This Row],[(A/B) AJD]]+TABL1234[[#This Row],[(A/S)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Row],[AJD_Evaporation]])</f>
        <v>0</v>
      </c>
      <c r="AE25" s="6"/>
      <c r="AF25" s="33"/>
      <c r="AG25" s="6"/>
      <c r="AH25" s="6"/>
      <c r="AI25" s="6"/>
      <c r="AJ25" s="6">
        <f>TABL1234[[#This Row],[(A/B) AJD]]-TABL1234[[#This Row],[BER_IN]]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Row],[(A/S) AJD]]-TABL1234[[#This Row],[SER_IN]]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 (T/B) SAR]]+TABL1234[[#This Row],[ (S/S) SAR]]</f>
        <v>0</v>
      </c>
      <c r="L26" s="28"/>
      <c r="M26" s="29"/>
      <c r="N26" s="30"/>
      <c r="O26" s="3"/>
      <c r="P26" s="3">
        <f>TABL1234[[#This Row],[ (S/S) SAR]]-TABL1234[[#This Row],[(S/S) AJD]]</f>
        <v>0</v>
      </c>
      <c r="Q26" s="3"/>
      <c r="R26" s="3">
        <f>TABL1234[[#This Row],[ (T/B) SAR]]-TABL1234[[#This Row],[(T/B) AJD]]</f>
        <v>0</v>
      </c>
      <c r="S26" s="3">
        <f>TABL1234[[#This Row],[T/B-CON.]]+TABL1234[[#This Row],[S/S_CON.]]</f>
        <v>0</v>
      </c>
      <c r="T26" s="3">
        <f>TABL1234[[#This Row],[(S/S) AJD]]+TABL1234[[#This Row],[(T/B) AJD]]</f>
        <v>0</v>
      </c>
      <c r="U26" s="3"/>
      <c r="V26" s="3"/>
      <c r="W26" s="3">
        <f>TABL1234[[#This Row],[(A/B) AJD]]+TABL1234[[#This Row],[(A/S)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Row],[AJD_Evaporation]])</f>
        <v>0</v>
      </c>
      <c r="AE26" s="6"/>
      <c r="AF26" s="33"/>
      <c r="AG26" s="6"/>
      <c r="AH26" s="6"/>
      <c r="AI26" s="6"/>
      <c r="AJ26" s="6">
        <f>TABL1234[[#This Row],[(A/B) AJD]]-TABL1234[[#This Row],[BER_IN]]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Row],[(A/S) AJD]]-TABL1234[[#This Row],[SER_IN]]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 (T/B) SAR]]+TABL1234[[#This Row],[ (S/S) SAR]]</f>
        <v>0</v>
      </c>
      <c r="L27" s="28"/>
      <c r="M27" s="29"/>
      <c r="N27" s="30"/>
      <c r="O27" s="3"/>
      <c r="P27" s="3">
        <f>TABL1234[[#This Row],[ (S/S) SAR]]-TABL1234[[#This Row],[(S/S) AJD]]</f>
        <v>0</v>
      </c>
      <c r="Q27" s="3"/>
      <c r="R27" s="3">
        <f>TABL1234[[#This Row],[ (T/B) SAR]]-TABL1234[[#This Row],[(T/B) AJD]]</f>
        <v>0</v>
      </c>
      <c r="S27" s="3">
        <f>TABL1234[[#This Row],[T/B-CON.]]+TABL1234[[#This Row],[S/S_CON.]]</f>
        <v>0</v>
      </c>
      <c r="T27" s="3">
        <f>TABL1234[[#This Row],[(S/S) AJD]]+TABL1234[[#This Row],[(T/B) AJD]]</f>
        <v>0</v>
      </c>
      <c r="U27" s="3"/>
      <c r="V27" s="3"/>
      <c r="W27" s="3">
        <f>TABL1234[[#This Row],[(A/B) AJD]]+TABL1234[[#This Row],[(A/S)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Row],[AJD_Evaporation]])</f>
        <v>0</v>
      </c>
      <c r="AE27" s="6"/>
      <c r="AF27" s="33"/>
      <c r="AG27" s="6"/>
      <c r="AH27" s="6"/>
      <c r="AI27" s="6"/>
      <c r="AJ27" s="6">
        <f>TABL1234[[#This Row],[(A/B) AJD]]-TABL1234[[#This Row],[BER_IN]]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Row],[(A/S) AJD]]-TABL1234[[#This Row],[SER_IN]]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 (T/B) SAR]]+TABL1234[[#This Row],[ (S/S) SAR]]</f>
        <v>0</v>
      </c>
      <c r="L28" s="28"/>
      <c r="M28" s="29"/>
      <c r="N28" s="30"/>
      <c r="O28" s="3"/>
      <c r="P28" s="3">
        <f>TABL1234[[#This Row],[ (S/S) SAR]]-TABL1234[[#This Row],[(S/S) AJD]]</f>
        <v>0</v>
      </c>
      <c r="Q28" s="3"/>
      <c r="R28" s="3">
        <f>TABL1234[[#This Row],[ (T/B) SAR]]-TABL1234[[#This Row],[(T/B) AJD]]</f>
        <v>0</v>
      </c>
      <c r="S28" s="3">
        <f>TABL1234[[#This Row],[T/B-CON.]]+TABL1234[[#This Row],[S/S_CON.]]</f>
        <v>0</v>
      </c>
      <c r="T28" s="3">
        <f>TABL1234[[#This Row],[(S/S) AJD]]+TABL1234[[#This Row],[(T/B) AJD]]</f>
        <v>0</v>
      </c>
      <c r="U28" s="3"/>
      <c r="V28" s="3"/>
      <c r="W28" s="3">
        <f>TABL1234[[#This Row],[(A/B) AJD]]+TABL1234[[#This Row],[(A/S)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Row],[AJD_Evaporation]])</f>
        <v>0</v>
      </c>
      <c r="AE28" s="6"/>
      <c r="AF28" s="33"/>
      <c r="AG28" s="6"/>
      <c r="AH28" s="6"/>
      <c r="AI28" s="6"/>
      <c r="AJ28" s="6">
        <f>TABL1234[[#This Row],[(A/B) AJD]]-TABL1234[[#This Row],[BER_IN]]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Row],[(A/S) AJD]]-TABL1234[[#This Row],[SER_IN]]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 (T/B) SAR]]+TABL1234[[#This Row],[ (S/S) SAR]]</f>
        <v>0</v>
      </c>
      <c r="L29" s="28"/>
      <c r="M29" s="29"/>
      <c r="N29" s="30"/>
      <c r="O29" s="3"/>
      <c r="P29" s="3">
        <f>TABL1234[[#This Row],[ (S/S) SAR]]-TABL1234[[#This Row],[(S/S) AJD]]</f>
        <v>0</v>
      </c>
      <c r="Q29" s="3"/>
      <c r="R29" s="3">
        <f>TABL1234[[#This Row],[ (T/B) SAR]]-TABL1234[[#This Row],[(T/B) AJD]]</f>
        <v>0</v>
      </c>
      <c r="S29" s="3">
        <f>TABL1234[[#This Row],[T/B-CON.]]+TABL1234[[#This Row],[S/S_CON.]]</f>
        <v>0</v>
      </c>
      <c r="T29" s="3">
        <f>TABL1234[[#This Row],[(S/S) AJD]]+TABL1234[[#This Row],[(T/B) AJD]]</f>
        <v>0</v>
      </c>
      <c r="U29" s="3"/>
      <c r="V29" s="3"/>
      <c r="W29" s="3">
        <f>TABL1234[[#This Row],[(A/B) AJD]]+TABL1234[[#This Row],[(A/S)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Row],[AJD_Evaporation]])</f>
        <v>0</v>
      </c>
      <c r="AE29" s="6"/>
      <c r="AF29" s="33"/>
      <c r="AG29" s="6"/>
      <c r="AH29" s="6"/>
      <c r="AI29" s="6"/>
      <c r="AJ29" s="6">
        <f>TABL1234[[#This Row],[(A/B) AJD]]-TABL1234[[#This Row],[BER_IN]]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Row],[(A/S) AJD]]-TABL1234[[#This Row],[SER_IN]]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 (T/B) SAR]]+TABL1234[[#This Row],[ (S/S) SAR]]</f>
        <v>0</v>
      </c>
      <c r="L30" s="28"/>
      <c r="M30" s="29"/>
      <c r="N30" s="30"/>
      <c r="O30" s="3"/>
      <c r="P30" s="3">
        <f>TABL1234[[#This Row],[ (S/S) SAR]]-TABL1234[[#This Row],[(S/S) AJD]]</f>
        <v>0</v>
      </c>
      <c r="Q30" s="3"/>
      <c r="R30" s="3">
        <f>TABL1234[[#This Row],[ (T/B) SAR]]-TABL1234[[#This Row],[(T/B) AJD]]</f>
        <v>0</v>
      </c>
      <c r="S30" s="3">
        <f>TABL1234[[#This Row],[T/B-CON.]]+TABL1234[[#This Row],[S/S_CON.]]</f>
        <v>0</v>
      </c>
      <c r="T30" s="3">
        <f>TABL1234[[#This Row],[(S/S) AJD]]+TABL1234[[#This Row],[(T/B) AJD]]</f>
        <v>0</v>
      </c>
      <c r="U30" s="3"/>
      <c r="V30" s="3"/>
      <c r="W30" s="3">
        <f>TABL1234[[#This Row],[(A/B) AJD]]+TABL1234[[#This Row],[(A/S)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Row],[AJD_Evaporation]])</f>
        <v>0</v>
      </c>
      <c r="AE30" s="6"/>
      <c r="AF30" s="33"/>
      <c r="AG30" s="6"/>
      <c r="AH30" s="6"/>
      <c r="AI30" s="6"/>
      <c r="AJ30" s="6">
        <f>TABL1234[[#This Row],[(A/B) AJD]]-TABL1234[[#This Row],[BER_IN]]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Row],[(A/S) AJD]]-TABL1234[[#This Row],[SER_IN]]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 (T/B) SAR]]+TABL1234[[#This Row],[ (S/S) SAR]]</f>
        <v>0</v>
      </c>
      <c r="L31" s="28"/>
      <c r="M31" s="29"/>
      <c r="N31" s="30"/>
      <c r="O31" s="3"/>
      <c r="P31" s="3">
        <f>TABL1234[[#This Row],[ (S/S) SAR]]-TABL1234[[#This Row],[(S/S) AJD]]</f>
        <v>0</v>
      </c>
      <c r="Q31" s="3"/>
      <c r="R31" s="3">
        <f>TABL1234[[#This Row],[ (T/B) SAR]]-TABL1234[[#This Row],[(T/B) AJD]]</f>
        <v>0</v>
      </c>
      <c r="S31" s="3">
        <f>TABL1234[[#This Row],[T/B-CON.]]+TABL1234[[#This Row],[S/S_CON.]]</f>
        <v>0</v>
      </c>
      <c r="T31" s="3">
        <f>TABL1234[[#This Row],[(S/S) AJD]]+TABL1234[[#This Row],[(T/B) AJD]]</f>
        <v>0</v>
      </c>
      <c r="U31" s="3"/>
      <c r="V31" s="3"/>
      <c r="W31" s="3">
        <f>TABL1234[[#This Row],[(A/B) AJD]]+TABL1234[[#This Row],[(A/S)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Row],[AJD_Evaporation]])</f>
        <v>0</v>
      </c>
      <c r="AE31" s="6"/>
      <c r="AF31" s="33"/>
      <c r="AG31" s="6"/>
      <c r="AH31" s="6"/>
      <c r="AI31" s="6"/>
      <c r="AJ31" s="6">
        <f>TABL1234[[#This Row],[(A/B) AJD]]-TABL1234[[#This Row],[BER_IN]]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Row],[(A/S) AJD]]-TABL1234[[#This Row],[SER_IN]]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 (T/B) SAR]]+TABL1234[[#This Row],[ (S/S) SAR]]</f>
        <v>0</v>
      </c>
      <c r="L32" s="28"/>
      <c r="M32" s="29"/>
      <c r="N32" s="30"/>
      <c r="O32" s="3"/>
      <c r="P32" s="3">
        <f>TABL1234[[#This Row],[ (S/S) SAR]]-TABL1234[[#This Row],[(S/S) AJD]]</f>
        <v>0</v>
      </c>
      <c r="Q32" s="3"/>
      <c r="R32" s="3">
        <f>TABL1234[[#This Row],[ (T/B) SAR]]-TABL1234[[#This Row],[(T/B) AJD]]</f>
        <v>0</v>
      </c>
      <c r="S32" s="3">
        <f>TABL1234[[#This Row],[T/B-CON.]]+TABL1234[[#This Row],[S/S_CON.]]</f>
        <v>0</v>
      </c>
      <c r="T32" s="3">
        <f>TABL1234[[#This Row],[(S/S) AJD]]+TABL1234[[#This Row],[(T/B) AJD]]</f>
        <v>0</v>
      </c>
      <c r="U32" s="3"/>
      <c r="V32" s="3"/>
      <c r="W32" s="3">
        <f>TABL1234[[#This Row],[(A/B) AJD]]+TABL1234[[#This Row],[(A/S)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Row],[AJD_Evaporation]])</f>
        <v>0</v>
      </c>
      <c r="AE32" s="6"/>
      <c r="AF32" s="33"/>
      <c r="AG32" s="6"/>
      <c r="AH32" s="6"/>
      <c r="AI32" s="6"/>
      <c r="AJ32" s="6">
        <f>TABL1234[[#This Row],[(A/B) AJD]]-TABL1234[[#This Row],[BER_IN]]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Row],[(A/S) AJD]]-TABL1234[[#This Row],[SER_IN]]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 (T/B) SAR]]+TABL1234[[#This Row],[ (S/S) SAR]]</f>
        <v>0</v>
      </c>
      <c r="L33" s="41"/>
      <c r="M33" s="42"/>
      <c r="N33" s="42"/>
      <c r="O33" s="39"/>
      <c r="P33" s="3">
        <f>TABL1234[[#This Row],[ (S/S) SAR]]-TABL1234[[#This Row],[(S/S) AJD]]</f>
        <v>0</v>
      </c>
      <c r="Q33" s="39"/>
      <c r="R33" s="3">
        <f>TABL1234[[#This Row],[ (T/B) SAR]]-TABL1234[[#This Row],[(T/B) AJD]]</f>
        <v>0</v>
      </c>
      <c r="S33" s="3">
        <f>TABL1234[[#This Row],[T/B-CON.]]+TABL1234[[#This Row],[S/S_CON.]]</f>
        <v>0</v>
      </c>
      <c r="T33" s="3">
        <f>TABL1234[[#This Row],[(S/S) AJD]]+TABL1234[[#This Row],[(T/B) AJD]]</f>
        <v>0</v>
      </c>
      <c r="U33" s="41"/>
      <c r="V33" s="41"/>
      <c r="W33" s="3">
        <f>TABL1234[[#This Row],[(A/B) AJD]]+TABL1234[[#This Row],[(A/S)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Row],[AJD_Evaporation]])</f>
        <v>0</v>
      </c>
      <c r="AE33" s="41"/>
      <c r="AF33" s="43"/>
      <c r="AG33" s="43"/>
      <c r="AH33" s="6"/>
      <c r="AI33" s="43"/>
      <c r="AJ33" s="43">
        <f>TABL1234[[#This Row],[(A/B) AJD]]-TABL1234[[#This Row],[BER_IN]]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Row],[(A/S) AJD]]-TABL1234[[#This Row],[SER_IN]]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 (T/B) SAR]]+TABL1234[[#This Row],[ (S/S) SAR]]</f>
        <v>0</v>
      </c>
      <c r="L34" s="45"/>
      <c r="M34" s="46"/>
      <c r="N34" s="46"/>
      <c r="O34" s="40"/>
      <c r="P34" s="3">
        <f>TABL1234[[#This Row],[ (S/S) SAR]]-TABL1234[[#This Row],[(S/S) AJD]]</f>
        <v>0</v>
      </c>
      <c r="Q34" s="40"/>
      <c r="R34" s="3">
        <f>TABL1234[[#This Row],[ (T/B) SAR]]-TABL1234[[#This Row],[(T/B) AJD]]</f>
        <v>0</v>
      </c>
      <c r="S34" s="3">
        <f>TABL1234[[#This Row],[T/B-CON.]]+TABL1234[[#This Row],[S/S_CON.]]</f>
        <v>0</v>
      </c>
      <c r="T34" s="3">
        <f>TABL1234[[#This Row],[(S/S) AJD]]+TABL1234[[#This Row],[(T/B) AJD]]</f>
        <v>0</v>
      </c>
      <c r="U34" s="44"/>
      <c r="V34" s="44"/>
      <c r="W34" s="3">
        <f>TABL1234[[#This Row],[(A/B) AJD]]+TABL1234[[#This Row],[(A/S)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Row],[AJD_Evaporation]])</f>
        <v>0</v>
      </c>
      <c r="AE34" s="44"/>
      <c r="AF34" s="45"/>
      <c r="AG34" s="45"/>
      <c r="AH34" s="6"/>
      <c r="AI34" s="45"/>
      <c r="AJ34" s="45">
        <f>TABL1234[[#This Row],[(A/B) AJD]]-TABL1234[[#This Row],[BER_IN]]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Row],[(A/S) AJD]]-TABL1234[[#This Row],[SER_IN]]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 (T/B) SAR]]+TABL1234[[#This Row],[ (S/S) SAR]]</f>
        <v>0</v>
      </c>
      <c r="L35" s="41"/>
      <c r="M35" s="42"/>
      <c r="N35" s="42"/>
      <c r="O35" s="39"/>
      <c r="P35" s="3">
        <f>TABL1234[[#This Row],[ (S/S) SAR]]-TABL1234[[#This Row],[(S/S) AJD]]</f>
        <v>0</v>
      </c>
      <c r="Q35" s="39"/>
      <c r="R35" s="3">
        <f>TABL1234[[#This Row],[ (T/B) SAR]]-TABL1234[[#This Row],[(T/B) AJD]]</f>
        <v>0</v>
      </c>
      <c r="S35" s="3">
        <f>TABL1234[[#This Row],[T/B-CON.]]+TABL1234[[#This Row],[S/S_CON.]]</f>
        <v>0</v>
      </c>
      <c r="T35" s="3">
        <f>TABL1234[[#This Row],[(S/S) AJD]]+TABL1234[[#This Row],[(T/B) AJD]]</f>
        <v>0</v>
      </c>
      <c r="U35" s="41"/>
      <c r="V35" s="41"/>
      <c r="W35" s="3">
        <f>TABL1234[[#This Row],[(A/B) AJD]]+TABL1234[[#This Row],[(A/S)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Row],[AJD_Evaporation]])</f>
        <v>0</v>
      </c>
      <c r="AE35" s="41"/>
      <c r="AF35" s="43"/>
      <c r="AG35" s="43"/>
      <c r="AH35" s="6"/>
      <c r="AI35" s="43"/>
      <c r="AJ35" s="43">
        <f>TABL1234[[#This Row],[(A/B) AJD]]-TABL1234[[#This Row],[BER_IN]]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Row],[(A/S) AJD]]-TABL1234[[#This Row],[SER_IN]]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 (T/B) SAR]]+TABL1234[[#This Row],[ (S/S) SAR]]</f>
        <v>0</v>
      </c>
      <c r="L36" s="45"/>
      <c r="M36" s="46"/>
      <c r="N36" s="46"/>
      <c r="O36" s="40"/>
      <c r="P36" s="3">
        <f>TABL1234[[#This Row],[ (S/S) SAR]]-TABL1234[[#This Row],[(S/S) AJD]]</f>
        <v>0</v>
      </c>
      <c r="Q36" s="40"/>
      <c r="R36" s="3">
        <f>TABL1234[[#This Row],[ (T/B) SAR]]-TABL1234[[#This Row],[(T/B) AJD]]</f>
        <v>0</v>
      </c>
      <c r="S36" s="3">
        <f>TABL1234[[#This Row],[T/B-CON.]]+TABL1234[[#This Row],[S/S_CON.]]</f>
        <v>0</v>
      </c>
      <c r="T36" s="3">
        <f>TABL1234[[#This Row],[(S/S) AJD]]+TABL1234[[#This Row],[(T/B) AJD]]</f>
        <v>0</v>
      </c>
      <c r="U36" s="44"/>
      <c r="V36" s="44"/>
      <c r="W36" s="3">
        <f>TABL1234[[#This Row],[(A/B) AJD]]+TABL1234[[#This Row],[(A/S)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Row],[AJD_Evaporation]])</f>
        <v>0</v>
      </c>
      <c r="AE36" s="44"/>
      <c r="AF36" s="45"/>
      <c r="AG36" s="45"/>
      <c r="AH36" s="6"/>
      <c r="AI36" s="45"/>
      <c r="AJ36" s="45">
        <f>TABL1234[[#This Row],[(A/B) AJD]]-TABL1234[[#This Row],[BER_IN]]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Row],[(A/S) AJD]]-TABL1234[[#This Row],[SER_IN]]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 (T/B) SAR]]+TABL1234[[#This Row],[ (S/S) SAR]]</f>
        <v>0</v>
      </c>
      <c r="L37" s="41"/>
      <c r="M37" s="42"/>
      <c r="N37" s="42"/>
      <c r="O37" s="39"/>
      <c r="P37" s="3">
        <f>TABL1234[[#This Row],[ (S/S) SAR]]-TABL1234[[#This Row],[(S/S) AJD]]</f>
        <v>0</v>
      </c>
      <c r="Q37" s="39"/>
      <c r="R37" s="3">
        <f>TABL1234[[#This Row],[ (T/B) SAR]]-TABL1234[[#This Row],[(T/B) AJD]]</f>
        <v>0</v>
      </c>
      <c r="S37" s="3">
        <f>TABL1234[[#This Row],[T/B-CON.]]+TABL1234[[#This Row],[S/S_CON.]]</f>
        <v>0</v>
      </c>
      <c r="T37" s="3">
        <f>TABL1234[[#This Row],[(S/S) AJD]]+TABL1234[[#This Row],[(T/B) AJD]]</f>
        <v>0</v>
      </c>
      <c r="U37" s="41"/>
      <c r="V37" s="41"/>
      <c r="W37" s="3">
        <f>TABL1234[[#This Row],[(A/B) AJD]]+TABL1234[[#This Row],[(A/S)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Row],[AJD_Evaporation]])</f>
        <v>0</v>
      </c>
      <c r="AE37" s="41"/>
      <c r="AF37" s="43"/>
      <c r="AG37" s="43"/>
      <c r="AH37" s="6"/>
      <c r="AI37" s="43"/>
      <c r="AJ37" s="43">
        <f>TABL1234[[#This Row],[(A/B) AJD]]-TABL1234[[#This Row],[BER_IN]]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Row],[(A/S) AJD]]-TABL1234[[#This Row],[SER_IN]]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 (T/B) SAR]]+TABL1234[[#This Row],[ (S/S) SAR]]</f>
        <v>0</v>
      </c>
      <c r="L38" s="45"/>
      <c r="M38" s="46"/>
      <c r="N38" s="46"/>
      <c r="O38" s="40"/>
      <c r="P38" s="3">
        <f>TABL1234[[#This Row],[ (S/S) SAR]]-TABL1234[[#This Row],[(S/S) AJD]]</f>
        <v>0</v>
      </c>
      <c r="Q38" s="40"/>
      <c r="R38" s="3">
        <f>TABL1234[[#This Row],[ (T/B) SAR]]-TABL1234[[#This Row],[(T/B) AJD]]</f>
        <v>0</v>
      </c>
      <c r="S38" s="3">
        <f>TABL1234[[#This Row],[T/B-CON.]]+TABL1234[[#This Row],[S/S_CON.]]</f>
        <v>0</v>
      </c>
      <c r="T38" s="3">
        <f>TABL1234[[#This Row],[(S/S) AJD]]+TABL1234[[#This Row],[(T/B) AJD]]</f>
        <v>0</v>
      </c>
      <c r="U38" s="44"/>
      <c r="V38" s="44"/>
      <c r="W38" s="3">
        <f>TABL1234[[#This Row],[(A/B) AJD]]+TABL1234[[#This Row],[(A/S)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Row],[AJD_Evaporation]])</f>
        <v>0</v>
      </c>
      <c r="AE38" s="44"/>
      <c r="AF38" s="45"/>
      <c r="AG38" s="45"/>
      <c r="AH38" s="6"/>
      <c r="AI38" s="45"/>
      <c r="AJ38" s="45">
        <f>TABL1234[[#This Row],[(A/B) AJD]]-TABL1234[[#This Row],[BER_IN]]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Row],[(A/S) AJD]]-TABL1234[[#This Row],[SER_IN]]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 (T/B) SAR]]+TABL1234[[#This Row],[ (S/S) SAR]]</f>
        <v>0</v>
      </c>
      <c r="L39" s="41"/>
      <c r="M39" s="42"/>
      <c r="N39" s="42"/>
      <c r="O39" s="39"/>
      <c r="P39" s="3">
        <f>TABL1234[[#This Row],[ (S/S) SAR]]-TABL1234[[#This Row],[(S/S) AJD]]</f>
        <v>0</v>
      </c>
      <c r="Q39" s="39"/>
      <c r="R39" s="3">
        <f>TABL1234[[#This Row],[ (T/B) SAR]]-TABL1234[[#This Row],[(T/B) AJD]]</f>
        <v>0</v>
      </c>
      <c r="S39" s="3">
        <f>TABL1234[[#This Row],[T/B-CON.]]+TABL1234[[#This Row],[S/S_CON.]]</f>
        <v>0</v>
      </c>
      <c r="T39" s="3">
        <f>TABL1234[[#This Row],[(S/S) AJD]]+TABL1234[[#This Row],[(T/B) AJD]]</f>
        <v>0</v>
      </c>
      <c r="U39" s="41"/>
      <c r="V39" s="41"/>
      <c r="W39" s="3">
        <f>TABL1234[[#This Row],[(A/B) AJD]]+TABL1234[[#This Row],[(A/S)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Row],[AJD_Evaporation]])</f>
        <v>0</v>
      </c>
      <c r="AE39" s="41"/>
      <c r="AF39" s="43"/>
      <c r="AG39" s="43"/>
      <c r="AH39" s="6"/>
      <c r="AI39" s="43"/>
      <c r="AJ39" s="43">
        <f>TABL1234[[#This Row],[(A/B) AJD]]-TABL1234[[#This Row],[BER_IN]]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Row],[(A/S) AJD]]-TABL1234[[#This Row],[SER_IN]]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 (T/B) SAR]]+TABL1234[[#This Row],[ (S/S) SAR]]</f>
        <v>0</v>
      </c>
      <c r="L40" s="45"/>
      <c r="M40" s="46"/>
      <c r="N40" s="46"/>
      <c r="O40" s="40"/>
      <c r="P40" s="3">
        <f>TABL1234[[#This Row],[ (S/S) SAR]]-TABL1234[[#This Row],[(S/S) AJD]]</f>
        <v>0</v>
      </c>
      <c r="Q40" s="40"/>
      <c r="R40" s="3">
        <f>TABL1234[[#This Row],[ (T/B) SAR]]-TABL1234[[#This Row],[(T/B) AJD]]</f>
        <v>0</v>
      </c>
      <c r="S40" s="3">
        <f>TABL1234[[#This Row],[T/B-CON.]]+TABL1234[[#This Row],[S/S_CON.]]</f>
        <v>0</v>
      </c>
      <c r="T40" s="3">
        <f>TABL1234[[#This Row],[(S/S) AJD]]+TABL1234[[#This Row],[(T/B) AJD]]</f>
        <v>0</v>
      </c>
      <c r="U40" s="44"/>
      <c r="V40" s="44"/>
      <c r="W40" s="3">
        <f>TABL1234[[#This Row],[(A/B) AJD]]+TABL1234[[#This Row],[(A/S)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Row],[AJD_Evaporation]])</f>
        <v>0</v>
      </c>
      <c r="AE40" s="44"/>
      <c r="AF40" s="45"/>
      <c r="AG40" s="45"/>
      <c r="AH40" s="6"/>
      <c r="AI40" s="45"/>
      <c r="AJ40" s="45">
        <f>TABL1234[[#This Row],[(A/B) AJD]]-TABL1234[[#This Row],[BER_IN]]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Row],[(A/S) AJD]]-TABL1234[[#This Row],[SER_IN]]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 (T/B) SAR]]+TABL1234[[#This Row],[ (S/S) SAR]]</f>
        <v>0</v>
      </c>
      <c r="L41" s="41"/>
      <c r="M41" s="42"/>
      <c r="N41" s="42"/>
      <c r="O41" s="39"/>
      <c r="P41" s="3">
        <f>TABL1234[[#This Row],[ (S/S) SAR]]-TABL1234[[#This Row],[(S/S) AJD]]</f>
        <v>0</v>
      </c>
      <c r="Q41" s="39"/>
      <c r="R41" s="3">
        <f>TABL1234[[#This Row],[ (T/B) SAR]]-TABL1234[[#This Row],[(T/B) AJD]]</f>
        <v>0</v>
      </c>
      <c r="S41" s="3">
        <f>TABL1234[[#This Row],[T/B-CON.]]+TABL1234[[#This Row],[S/S_CON.]]</f>
        <v>0</v>
      </c>
      <c r="T41" s="3">
        <f>TABL1234[[#This Row],[(S/S) AJD]]+TABL1234[[#This Row],[(T/B) AJD]]</f>
        <v>0</v>
      </c>
      <c r="U41" s="41"/>
      <c r="V41" s="41"/>
      <c r="W41" s="3">
        <f>TABL1234[[#This Row],[(A/B) AJD]]+TABL1234[[#This Row],[(A/S)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Row],[AJD_Evaporation]])</f>
        <v>0</v>
      </c>
      <c r="AE41" s="41"/>
      <c r="AF41" s="43"/>
      <c r="AG41" s="43"/>
      <c r="AH41" s="6"/>
      <c r="AI41" s="43"/>
      <c r="AJ41" s="43">
        <f>TABL1234[[#This Row],[(A/B) AJD]]-TABL1234[[#This Row],[BER_IN]]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Row],[(A/S) AJD]]-TABL1234[[#This Row],[SER_IN]]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 (T/B) SAR]]+TABL1234[[#This Row],[ (S/S) SAR]]</f>
        <v>0</v>
      </c>
      <c r="L42" s="45"/>
      <c r="M42" s="46"/>
      <c r="N42" s="46"/>
      <c r="O42" s="40"/>
      <c r="P42" s="3">
        <f>TABL1234[[#This Row],[ (S/S) SAR]]-TABL1234[[#This Row],[(S/S) AJD]]</f>
        <v>0</v>
      </c>
      <c r="Q42" s="40"/>
      <c r="R42" s="3">
        <f>TABL1234[[#This Row],[ (T/B) SAR]]-TABL1234[[#This Row],[(T/B) AJD]]</f>
        <v>0</v>
      </c>
      <c r="S42" s="3">
        <f>TABL1234[[#This Row],[T/B-CON.]]+TABL1234[[#This Row],[S/S_CON.]]</f>
        <v>0</v>
      </c>
      <c r="T42" s="3">
        <f>TABL1234[[#This Row],[(S/S) AJD]]+TABL1234[[#This Row],[(T/B) AJD]]</f>
        <v>0</v>
      </c>
      <c r="U42" s="44"/>
      <c r="V42" s="44"/>
      <c r="W42" s="3">
        <f>TABL1234[[#This Row],[(A/B) AJD]]+TABL1234[[#This Row],[(A/S)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Row],[AJD_Evaporation]])</f>
        <v>0</v>
      </c>
      <c r="AE42" s="44"/>
      <c r="AF42" s="45"/>
      <c r="AG42" s="45"/>
      <c r="AH42" s="6"/>
      <c r="AI42" s="45"/>
      <c r="AJ42" s="45">
        <f>TABL1234[[#This Row],[(A/B) AJD]]-TABL1234[[#This Row],[BER_IN]]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Row],[(A/S) AJD]]-TABL1234[[#This Row],[SER_IN]]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 (T/B) SAR]]+TABL1234[[#This Row],[ (S/S) SAR]]</f>
        <v>0</v>
      </c>
      <c r="L43" s="41"/>
      <c r="M43" s="42"/>
      <c r="N43" s="42"/>
      <c r="O43" s="39"/>
      <c r="P43" s="3">
        <f>TABL1234[[#This Row],[ (S/S) SAR]]-TABL1234[[#This Row],[(S/S) AJD]]</f>
        <v>0</v>
      </c>
      <c r="Q43" s="39"/>
      <c r="R43" s="3">
        <f>TABL1234[[#This Row],[ (T/B) SAR]]-TABL1234[[#This Row],[(T/B) AJD]]</f>
        <v>0</v>
      </c>
      <c r="S43" s="3">
        <f>TABL1234[[#This Row],[T/B-CON.]]+TABL1234[[#This Row],[S/S_CON.]]</f>
        <v>0</v>
      </c>
      <c r="T43" s="3">
        <f>TABL1234[[#This Row],[(S/S) AJD]]+TABL1234[[#This Row],[(T/B) AJD]]</f>
        <v>0</v>
      </c>
      <c r="U43" s="41"/>
      <c r="V43" s="41"/>
      <c r="W43" s="3">
        <f>TABL1234[[#This Row],[(A/B) AJD]]+TABL1234[[#This Row],[(A/S)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Row],[AJD_Evaporation]])</f>
        <v>0</v>
      </c>
      <c r="AE43" s="41"/>
      <c r="AF43" s="43"/>
      <c r="AG43" s="43"/>
      <c r="AH43" s="6"/>
      <c r="AI43" s="43"/>
      <c r="AJ43" s="43">
        <f>TABL1234[[#This Row],[(A/B) AJD]]-TABL1234[[#This Row],[BER_IN]]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Row],[(A/S) AJD]]-TABL1234[[#This Row],[SER_IN]]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 (T/B) SAR]]+TABL1234[[#This Row],[ (S/S) SAR]]</f>
        <v>0</v>
      </c>
      <c r="L44" s="45"/>
      <c r="M44" s="46"/>
      <c r="N44" s="46"/>
      <c r="O44" s="40"/>
      <c r="P44" s="3">
        <f>TABL1234[[#This Row],[ (S/S) SAR]]-TABL1234[[#This Row],[(S/S) AJD]]</f>
        <v>0</v>
      </c>
      <c r="Q44" s="40"/>
      <c r="R44" s="3">
        <f>TABL1234[[#This Row],[ (T/B) SAR]]-TABL1234[[#This Row],[(T/B) AJD]]</f>
        <v>0</v>
      </c>
      <c r="S44" s="3">
        <f>TABL1234[[#This Row],[T/B-CON.]]+TABL1234[[#This Row],[S/S_CON.]]</f>
        <v>0</v>
      </c>
      <c r="T44" s="3">
        <f>TABL1234[[#This Row],[(S/S) AJD]]+TABL1234[[#This Row],[(T/B) AJD]]</f>
        <v>0</v>
      </c>
      <c r="U44" s="44"/>
      <c r="V44" s="44"/>
      <c r="W44" s="3">
        <f>TABL1234[[#This Row],[(A/B) AJD]]+TABL1234[[#This Row],[(A/S)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Row],[AJD_Evaporation]])</f>
        <v>0</v>
      </c>
      <c r="AE44" s="44"/>
      <c r="AF44" s="45"/>
      <c r="AG44" s="45"/>
      <c r="AH44" s="6"/>
      <c r="AI44" s="45"/>
      <c r="AJ44" s="45">
        <f>TABL1234[[#This Row],[(A/B) AJD]]-TABL1234[[#This Row],[BER_IN]]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Row],[(A/S) AJD]]-TABL1234[[#This Row],[SER_IN]]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 (T/B) SAR]]+TABL1234[[#This Row],[ (S/S) SAR]]</f>
        <v>0</v>
      </c>
      <c r="L45" s="41"/>
      <c r="M45" s="42"/>
      <c r="N45" s="42"/>
      <c r="O45" s="39"/>
      <c r="P45" s="3">
        <f>TABL1234[[#This Row],[ (S/S) SAR]]-TABL1234[[#This Row],[(S/S) AJD]]</f>
        <v>0</v>
      </c>
      <c r="Q45" s="39"/>
      <c r="R45" s="3">
        <f>TABL1234[[#This Row],[ (T/B) SAR]]-TABL1234[[#This Row],[(T/B) AJD]]</f>
        <v>0</v>
      </c>
      <c r="S45" s="3">
        <f>TABL1234[[#This Row],[T/B-CON.]]+TABL1234[[#This Row],[S/S_CON.]]</f>
        <v>0</v>
      </c>
      <c r="T45" s="3">
        <f>TABL1234[[#This Row],[(S/S) AJD]]+TABL1234[[#This Row],[(T/B) AJD]]</f>
        <v>0</v>
      </c>
      <c r="U45" s="41"/>
      <c r="V45" s="41"/>
      <c r="W45" s="3">
        <f>TABL1234[[#This Row],[(A/B) AJD]]+TABL1234[[#This Row],[(A/S)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Row],[AJD_Evaporation]])</f>
        <v>0</v>
      </c>
      <c r="AE45" s="41"/>
      <c r="AF45" s="43"/>
      <c r="AG45" s="43"/>
      <c r="AH45" s="6"/>
      <c r="AI45" s="43"/>
      <c r="AJ45" s="43">
        <f>TABL1234[[#This Row],[(A/B) AJD]]-TABL1234[[#This Row],[BER_IN]]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Row],[(A/S) AJD]]-TABL1234[[#This Row],[SER_IN]]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 (T/B) SAR]]+TABL1234[[#This Row],[ (S/S) SAR]]</f>
        <v>0</v>
      </c>
      <c r="L46" s="45"/>
      <c r="M46" s="46"/>
      <c r="N46" s="46"/>
      <c r="O46" s="40"/>
      <c r="P46" s="3">
        <f>TABL1234[[#This Row],[ (S/S) SAR]]-TABL1234[[#This Row],[(S/S) AJD]]</f>
        <v>0</v>
      </c>
      <c r="Q46" s="40"/>
      <c r="R46" s="3">
        <f>TABL1234[[#This Row],[ (T/B) SAR]]-TABL1234[[#This Row],[(T/B) AJD]]</f>
        <v>0</v>
      </c>
      <c r="S46" s="3">
        <f>TABL1234[[#This Row],[T/B-CON.]]+TABL1234[[#This Row],[S/S_CON.]]</f>
        <v>0</v>
      </c>
      <c r="T46" s="3">
        <f>TABL1234[[#This Row],[(S/S) AJD]]+TABL1234[[#This Row],[(T/B) AJD]]</f>
        <v>0</v>
      </c>
      <c r="U46" s="44"/>
      <c r="V46" s="44"/>
      <c r="W46" s="3">
        <f>TABL1234[[#This Row],[(A/B) AJD]]+TABL1234[[#This Row],[(A/S)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Row],[AJD_Evaporation]])</f>
        <v>0</v>
      </c>
      <c r="AE46" s="44"/>
      <c r="AF46" s="45"/>
      <c r="AG46" s="45"/>
      <c r="AH46" s="6"/>
      <c r="AI46" s="45"/>
      <c r="AJ46" s="45">
        <f>TABL1234[[#This Row],[(A/B) AJD]]-TABL1234[[#This Row],[BER_IN]]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Row],[(A/S) AJD]]-TABL1234[[#This Row],[SER_IN]]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 (T/B) SAR]]+TABL1234[[#This Row],[ (S/S) SAR]]</f>
        <v>0</v>
      </c>
      <c r="L47" s="41"/>
      <c r="M47" s="42"/>
      <c r="N47" s="42"/>
      <c r="O47" s="39"/>
      <c r="P47" s="3">
        <f>TABL1234[[#This Row],[ (S/S) SAR]]-TABL1234[[#This Row],[(S/S) AJD]]</f>
        <v>0</v>
      </c>
      <c r="Q47" s="39"/>
      <c r="R47" s="3">
        <f>TABL1234[[#This Row],[ (T/B) SAR]]-TABL1234[[#This Row],[(T/B) AJD]]</f>
        <v>0</v>
      </c>
      <c r="S47" s="3">
        <f>TABL1234[[#This Row],[T/B-CON.]]+TABL1234[[#This Row],[S/S_CON.]]</f>
        <v>0</v>
      </c>
      <c r="T47" s="3">
        <f>TABL1234[[#This Row],[(S/S) AJD]]+TABL1234[[#This Row],[(T/B) AJD]]</f>
        <v>0</v>
      </c>
      <c r="U47" s="41"/>
      <c r="V47" s="41"/>
      <c r="W47" s="3">
        <f>TABL1234[[#This Row],[(A/B) AJD]]+TABL1234[[#This Row],[(A/S)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Row],[AJD_Evaporation]])</f>
        <v>0</v>
      </c>
      <c r="AE47" s="41"/>
      <c r="AF47" s="43"/>
      <c r="AG47" s="43"/>
      <c r="AH47" s="6"/>
      <c r="AI47" s="43"/>
      <c r="AJ47" s="43">
        <f>TABL1234[[#This Row],[(A/B) AJD]]-TABL1234[[#This Row],[BER_IN]]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Row],[(A/S) AJD]]-TABL1234[[#This Row],[SER_IN]]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 (T/B) SAR]]+TABL1234[[#This Row],[ (S/S) SAR]]</f>
        <v>0</v>
      </c>
      <c r="L48" s="45"/>
      <c r="M48" s="46"/>
      <c r="N48" s="46"/>
      <c r="O48" s="40"/>
      <c r="P48" s="3">
        <f>TABL1234[[#This Row],[ (S/S) SAR]]-TABL1234[[#This Row],[(S/S) AJD]]</f>
        <v>0</v>
      </c>
      <c r="Q48" s="40"/>
      <c r="R48" s="3">
        <f>TABL1234[[#This Row],[ (T/B) SAR]]-TABL1234[[#This Row],[(T/B) AJD]]</f>
        <v>0</v>
      </c>
      <c r="S48" s="3">
        <f>TABL1234[[#This Row],[T/B-CON.]]+TABL1234[[#This Row],[S/S_CON.]]</f>
        <v>0</v>
      </c>
      <c r="T48" s="3">
        <f>TABL1234[[#This Row],[(S/S) AJD]]+TABL1234[[#This Row],[(T/B) AJD]]</f>
        <v>0</v>
      </c>
      <c r="U48" s="44"/>
      <c r="V48" s="44"/>
      <c r="W48" s="3">
        <f>TABL1234[[#This Row],[(A/B) AJD]]+TABL1234[[#This Row],[(A/S)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Row],[AJD_Evaporation]])</f>
        <v>0</v>
      </c>
      <c r="AE48" s="44"/>
      <c r="AF48" s="45"/>
      <c r="AG48" s="45"/>
      <c r="AH48" s="6"/>
      <c r="AI48" s="45"/>
      <c r="AJ48" s="45">
        <f>TABL1234[[#This Row],[(A/B) AJD]]-TABL1234[[#This Row],[BER_IN]]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Row],[(A/S) AJD]]-TABL1234[[#This Row],[SER_IN]]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 (T/B) SAR]]+TABL1234[[#This Row],[ (S/S) SAR]]</f>
        <v>0</v>
      </c>
      <c r="L49" s="41"/>
      <c r="M49" s="42"/>
      <c r="N49" s="42"/>
      <c r="O49" s="39"/>
      <c r="P49" s="3">
        <f>TABL1234[[#This Row],[ (S/S) SAR]]-TABL1234[[#This Row],[(S/S) AJD]]</f>
        <v>0</v>
      </c>
      <c r="Q49" s="39"/>
      <c r="R49" s="3">
        <f>TABL1234[[#This Row],[ (T/B) SAR]]-TABL1234[[#This Row],[(T/B) AJD]]</f>
        <v>0</v>
      </c>
      <c r="S49" s="3">
        <f>TABL1234[[#This Row],[T/B-CON.]]+TABL1234[[#This Row],[S/S_CON.]]</f>
        <v>0</v>
      </c>
      <c r="T49" s="3">
        <f>TABL1234[[#This Row],[(S/S) AJD]]+TABL1234[[#This Row],[(T/B) AJD]]</f>
        <v>0</v>
      </c>
      <c r="U49" s="41"/>
      <c r="V49" s="41"/>
      <c r="W49" s="3">
        <f>TABL1234[[#This Row],[(A/B) AJD]]+TABL1234[[#This Row],[(A/S)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Row],[AJD_Evaporation]])</f>
        <v>0</v>
      </c>
      <c r="AE49" s="41"/>
      <c r="AF49" s="43"/>
      <c r="AG49" s="43"/>
      <c r="AH49" s="6"/>
      <c r="AI49" s="43"/>
      <c r="AJ49" s="43">
        <f>TABL1234[[#This Row],[(A/B) AJD]]-TABL1234[[#This Row],[BER_IN]]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Row],[(A/S) AJD]]-TABL1234[[#This Row],[SER_IN]]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 (T/B) SAR]]+TABL1234[[#This Row],[ (S/S) SAR]]</f>
        <v>0</v>
      </c>
      <c r="L50" s="45"/>
      <c r="M50" s="46"/>
      <c r="N50" s="46"/>
      <c r="O50" s="40"/>
      <c r="P50" s="3">
        <f>TABL1234[[#This Row],[ (S/S) SAR]]-TABL1234[[#This Row],[(S/S) AJD]]</f>
        <v>0</v>
      </c>
      <c r="Q50" s="40"/>
      <c r="R50" s="3">
        <f>TABL1234[[#This Row],[ (T/B) SAR]]-TABL1234[[#This Row],[(T/B) AJD]]</f>
        <v>0</v>
      </c>
      <c r="S50" s="3">
        <f>TABL1234[[#This Row],[T/B-CON.]]+TABL1234[[#This Row],[S/S_CON.]]</f>
        <v>0</v>
      </c>
      <c r="T50" s="3">
        <f>TABL1234[[#This Row],[(S/S) AJD]]+TABL1234[[#This Row],[(T/B) AJD]]</f>
        <v>0</v>
      </c>
      <c r="U50" s="44"/>
      <c r="V50" s="44"/>
      <c r="W50" s="3">
        <f>TABL1234[[#This Row],[(A/B) AJD]]+TABL1234[[#This Row],[(A/S)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Row],[AJD_Evaporation]])</f>
        <v>0</v>
      </c>
      <c r="AE50" s="44"/>
      <c r="AF50" s="45"/>
      <c r="AG50" s="45"/>
      <c r="AH50" s="6"/>
      <c r="AI50" s="45"/>
      <c r="AJ50" s="45">
        <f>TABL1234[[#This Row],[(A/B) AJD]]-TABL1234[[#This Row],[BER_IN]]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Row],[(A/S) AJD]]-TABL1234[[#This Row],[SER_IN]]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 (T/B) SAR]]+TABL1234[[#This Row],[ (S/S) SAR]]</f>
        <v>0</v>
      </c>
      <c r="L51" s="41"/>
      <c r="M51" s="42"/>
      <c r="N51" s="42"/>
      <c r="O51" s="39"/>
      <c r="P51" s="3">
        <f>TABL1234[[#This Row],[ (S/S) SAR]]-TABL1234[[#This Row],[(S/S) AJD]]</f>
        <v>0</v>
      </c>
      <c r="Q51" s="39"/>
      <c r="R51" s="3">
        <f>TABL1234[[#This Row],[ (T/B) SAR]]-TABL1234[[#This Row],[(T/B) AJD]]</f>
        <v>0</v>
      </c>
      <c r="S51" s="3">
        <f>TABL1234[[#This Row],[T/B-CON.]]+TABL1234[[#This Row],[S/S_CON.]]</f>
        <v>0</v>
      </c>
      <c r="T51" s="3">
        <f>TABL1234[[#This Row],[(S/S) AJD]]+TABL1234[[#This Row],[(T/B) AJD]]</f>
        <v>0</v>
      </c>
      <c r="U51" s="41"/>
      <c r="V51" s="41"/>
      <c r="W51" s="3">
        <f>TABL1234[[#This Row],[(A/B) AJD]]+TABL1234[[#This Row],[(A/S)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Row],[AJD_Evaporation]])</f>
        <v>0</v>
      </c>
      <c r="AE51" s="41"/>
      <c r="AF51" s="43"/>
      <c r="AG51" s="43"/>
      <c r="AH51" s="6"/>
      <c r="AI51" s="43"/>
      <c r="AJ51" s="43">
        <f>TABL1234[[#This Row],[(A/B) AJD]]-TABL1234[[#This Row],[BER_IN]]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Row],[(A/S) AJD]]-TABL1234[[#This Row],[SER_IN]]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 (T/B) SAR]]+TABL1234[[#This Row],[ (S/S) SAR]]</f>
        <v>0</v>
      </c>
      <c r="L52" s="45"/>
      <c r="M52" s="46"/>
      <c r="N52" s="46"/>
      <c r="O52" s="40"/>
      <c r="P52" s="3">
        <f>TABL1234[[#This Row],[ (S/S) SAR]]-TABL1234[[#This Row],[(S/S) AJD]]</f>
        <v>0</v>
      </c>
      <c r="Q52" s="40"/>
      <c r="R52" s="3">
        <f>TABL1234[[#This Row],[ (T/B) SAR]]-TABL1234[[#This Row],[(T/B) AJD]]</f>
        <v>0</v>
      </c>
      <c r="S52" s="3">
        <f>TABL1234[[#This Row],[T/B-CON.]]+TABL1234[[#This Row],[S/S_CON.]]</f>
        <v>0</v>
      </c>
      <c r="T52" s="3">
        <f>TABL1234[[#This Row],[(S/S) AJD]]+TABL1234[[#This Row],[(T/B) AJD]]</f>
        <v>0</v>
      </c>
      <c r="U52" s="44"/>
      <c r="V52" s="44"/>
      <c r="W52" s="3">
        <f>TABL1234[[#This Row],[(A/B) AJD]]+TABL1234[[#This Row],[(A/S)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Row],[AJD_Evaporation]])</f>
        <v>0</v>
      </c>
      <c r="AE52" s="44"/>
      <c r="AF52" s="45"/>
      <c r="AG52" s="45"/>
      <c r="AH52" s="6"/>
      <c r="AI52" s="45"/>
      <c r="AJ52" s="45">
        <f>TABL1234[[#This Row],[(A/B) AJD]]-TABL1234[[#This Row],[BER_IN]]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Row],[(A/S) AJD]]-TABL1234[[#This Row],[SER_IN]]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 (T/B) SAR]]+TABL1234[[#This Row],[ (S/S) SAR]]</f>
        <v>0</v>
      </c>
      <c r="L53" s="41"/>
      <c r="M53" s="42"/>
      <c r="N53" s="42"/>
      <c r="O53" s="39"/>
      <c r="P53" s="3">
        <f>TABL1234[[#This Row],[ (S/S) SAR]]-TABL1234[[#This Row],[(S/S) AJD]]</f>
        <v>0</v>
      </c>
      <c r="Q53" s="39"/>
      <c r="R53" s="3">
        <f>TABL1234[[#This Row],[ (T/B) SAR]]-TABL1234[[#This Row],[(T/B) AJD]]</f>
        <v>0</v>
      </c>
      <c r="S53" s="3">
        <f>TABL1234[[#This Row],[T/B-CON.]]+TABL1234[[#This Row],[S/S_CON.]]</f>
        <v>0</v>
      </c>
      <c r="T53" s="3">
        <f>TABL1234[[#This Row],[(S/S) AJD]]+TABL1234[[#This Row],[(T/B) AJD]]</f>
        <v>0</v>
      </c>
      <c r="U53" s="41"/>
      <c r="V53" s="41"/>
      <c r="W53" s="3">
        <f>TABL1234[[#This Row],[(A/B) AJD]]+TABL1234[[#This Row],[(A/S)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Row],[AJD_Evaporation]])</f>
        <v>0</v>
      </c>
      <c r="AE53" s="41"/>
      <c r="AF53" s="43"/>
      <c r="AG53" s="43"/>
      <c r="AH53" s="6"/>
      <c r="AI53" s="43"/>
      <c r="AJ53" s="43">
        <f>TABL1234[[#This Row],[(A/B) AJD]]-TABL1234[[#This Row],[BER_IN]]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Row],[(A/S) AJD]]-TABL1234[[#This Row],[SER_IN]]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 (T/B) SAR]]+TABL1234[[#This Row],[ (S/S) SAR]]</f>
        <v>0</v>
      </c>
      <c r="L54" s="45"/>
      <c r="M54" s="46"/>
      <c r="N54" s="46"/>
      <c r="O54" s="40"/>
      <c r="P54" s="3">
        <f>TABL1234[[#This Row],[ (S/S) SAR]]-TABL1234[[#This Row],[(S/S) AJD]]</f>
        <v>0</v>
      </c>
      <c r="Q54" s="40"/>
      <c r="R54" s="3">
        <f>TABL1234[[#This Row],[ (T/B) SAR]]-TABL1234[[#This Row],[(T/B) AJD]]</f>
        <v>0</v>
      </c>
      <c r="S54" s="3">
        <f>TABL1234[[#This Row],[T/B-CON.]]+TABL1234[[#This Row],[S/S_CON.]]</f>
        <v>0</v>
      </c>
      <c r="T54" s="3">
        <f>TABL1234[[#This Row],[(S/S) AJD]]+TABL1234[[#This Row],[(T/B) AJD]]</f>
        <v>0</v>
      </c>
      <c r="U54" s="44"/>
      <c r="V54" s="44"/>
      <c r="W54" s="3">
        <f>TABL1234[[#This Row],[(A/B) AJD]]+TABL1234[[#This Row],[(A/S)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Row],[AJD_Evaporation]])</f>
        <v>0</v>
      </c>
      <c r="AE54" s="44"/>
      <c r="AF54" s="45"/>
      <c r="AG54" s="45"/>
      <c r="AH54" s="6"/>
      <c r="AI54" s="45"/>
      <c r="AJ54" s="45">
        <f>TABL1234[[#This Row],[(A/B) AJD]]-TABL1234[[#This Row],[BER_IN]]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Row],[(A/S) AJD]]-TABL1234[[#This Row],[SER_IN]]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 (T/B) SAR]]+TABL1234[[#This Row],[ (S/S) SAR]]</f>
        <v>0</v>
      </c>
      <c r="L55" s="41"/>
      <c r="M55" s="42"/>
      <c r="N55" s="42"/>
      <c r="O55" s="39"/>
      <c r="P55" s="3">
        <f>TABL1234[[#This Row],[ (S/S) SAR]]-TABL1234[[#This Row],[(S/S) AJD]]</f>
        <v>0</v>
      </c>
      <c r="Q55" s="39"/>
      <c r="R55" s="3">
        <f>TABL1234[[#This Row],[ (T/B) SAR]]-TABL1234[[#This Row],[(T/B) AJD]]</f>
        <v>0</v>
      </c>
      <c r="S55" s="3">
        <f>TABL1234[[#This Row],[T/B-CON.]]+TABL1234[[#This Row],[S/S_CON.]]</f>
        <v>0</v>
      </c>
      <c r="T55" s="3">
        <f>TABL1234[[#This Row],[(S/S) AJD]]+TABL1234[[#This Row],[(T/B) AJD]]</f>
        <v>0</v>
      </c>
      <c r="U55" s="41"/>
      <c r="V55" s="41"/>
      <c r="W55" s="3">
        <f>TABL1234[[#This Row],[(A/B) AJD]]+TABL1234[[#This Row],[(A/S)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Row],[AJD_Evaporation]])</f>
        <v>0</v>
      </c>
      <c r="AE55" s="41"/>
      <c r="AF55" s="43"/>
      <c r="AG55" s="43"/>
      <c r="AH55" s="6"/>
      <c r="AI55" s="43"/>
      <c r="AJ55" s="43">
        <f>TABL1234[[#This Row],[(A/B) AJD]]-TABL1234[[#This Row],[BER_IN]]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Row],[(A/S) AJD]]-TABL1234[[#This Row],[SER_IN]]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 (T/B) SAR]]+TABL1234[[#This Row],[ (S/S) SAR]]</f>
        <v>0</v>
      </c>
      <c r="L56" s="45"/>
      <c r="M56" s="46"/>
      <c r="N56" s="46"/>
      <c r="O56" s="40"/>
      <c r="P56" s="3">
        <f>TABL1234[[#This Row],[ (S/S) SAR]]-TABL1234[[#This Row],[(S/S) AJD]]</f>
        <v>0</v>
      </c>
      <c r="Q56" s="40"/>
      <c r="R56" s="3">
        <f>TABL1234[[#This Row],[ (T/B) SAR]]-TABL1234[[#This Row],[(T/B) AJD]]</f>
        <v>0</v>
      </c>
      <c r="S56" s="3">
        <f>TABL1234[[#This Row],[T/B-CON.]]+TABL1234[[#This Row],[S/S_CON.]]</f>
        <v>0</v>
      </c>
      <c r="T56" s="3">
        <f>TABL1234[[#This Row],[(S/S) AJD]]+TABL1234[[#This Row],[(T/B) AJD]]</f>
        <v>0</v>
      </c>
      <c r="U56" s="44"/>
      <c r="V56" s="44"/>
      <c r="W56" s="3">
        <f>TABL1234[[#This Row],[(A/B) AJD]]+TABL1234[[#This Row],[(A/S)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Row],[AJD_Evaporation]])</f>
        <v>0</v>
      </c>
      <c r="AE56" s="44"/>
      <c r="AF56" s="45"/>
      <c r="AG56" s="45"/>
      <c r="AH56" s="6"/>
      <c r="AI56" s="45"/>
      <c r="AJ56" s="45">
        <f>TABL1234[[#This Row],[(A/B) AJD]]-TABL1234[[#This Row],[BER_IN]]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Row],[(A/S) AJD]]-TABL1234[[#This Row],[SER_IN]]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 (T/B) SAR]]+TABL1234[[#This Row],[ (S/S) SAR]]</f>
        <v>0</v>
      </c>
      <c r="L57" s="41"/>
      <c r="M57" s="42"/>
      <c r="N57" s="42"/>
      <c r="O57" s="39"/>
      <c r="P57" s="3">
        <f>TABL1234[[#This Row],[ (S/S) SAR]]-TABL1234[[#This Row],[(S/S) AJD]]</f>
        <v>0</v>
      </c>
      <c r="Q57" s="39"/>
      <c r="R57" s="3">
        <f>TABL1234[[#This Row],[ (T/B) SAR]]-TABL1234[[#This Row],[(T/B) AJD]]</f>
        <v>0</v>
      </c>
      <c r="S57" s="3">
        <f>TABL1234[[#This Row],[T/B-CON.]]+TABL1234[[#This Row],[S/S_CON.]]</f>
        <v>0</v>
      </c>
      <c r="T57" s="3">
        <f>TABL1234[[#This Row],[(S/S) AJD]]+TABL1234[[#This Row],[(T/B) AJD]]</f>
        <v>0</v>
      </c>
      <c r="U57" s="41"/>
      <c r="V57" s="41"/>
      <c r="W57" s="3">
        <f>TABL1234[[#This Row],[(A/B) AJD]]+TABL1234[[#This Row],[(A/S)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Row],[AJD_Evaporation]])</f>
        <v>0</v>
      </c>
      <c r="AE57" s="41"/>
      <c r="AF57" s="43"/>
      <c r="AG57" s="43"/>
      <c r="AH57" s="6"/>
      <c r="AI57" s="43"/>
      <c r="AJ57" s="43">
        <f>TABL1234[[#This Row],[(A/B) AJD]]-TABL1234[[#This Row],[BER_IN]]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Row],[(A/S) AJD]]-TABL1234[[#This Row],[SER_IN]]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 (T/B) SAR]]+TABL1234[[#This Row],[ (S/S) SAR]]</f>
        <v>0</v>
      </c>
      <c r="L58" s="45"/>
      <c r="M58" s="46"/>
      <c r="N58" s="46"/>
      <c r="O58" s="40"/>
      <c r="P58" s="3">
        <f>TABL1234[[#This Row],[ (S/S) SAR]]-TABL1234[[#This Row],[(S/S) AJD]]</f>
        <v>0</v>
      </c>
      <c r="Q58" s="40"/>
      <c r="R58" s="3">
        <f>TABL1234[[#This Row],[ (T/B) SAR]]-TABL1234[[#This Row],[(T/B) AJD]]</f>
        <v>0</v>
      </c>
      <c r="S58" s="3">
        <f>TABL1234[[#This Row],[T/B-CON.]]+TABL1234[[#This Row],[S/S_CON.]]</f>
        <v>0</v>
      </c>
      <c r="T58" s="3">
        <f>TABL1234[[#This Row],[(S/S) AJD]]+TABL1234[[#This Row],[(T/B) AJD]]</f>
        <v>0</v>
      </c>
      <c r="U58" s="44"/>
      <c r="V58" s="44"/>
      <c r="W58" s="3">
        <f>TABL1234[[#This Row],[(A/B) AJD]]+TABL1234[[#This Row],[(A/S)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Row],[AJD_Evaporation]])</f>
        <v>0</v>
      </c>
      <c r="AE58" s="44"/>
      <c r="AF58" s="45"/>
      <c r="AG58" s="45"/>
      <c r="AH58" s="6"/>
      <c r="AI58" s="45"/>
      <c r="AJ58" s="45">
        <f>TABL1234[[#This Row],[(A/B) AJD]]-TABL1234[[#This Row],[BER_IN]]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Row],[(A/S) AJD]]-TABL1234[[#This Row],[SER_IN]]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 (T/B) SAR]]+TABL1234[[#This Row],[ (S/S) SAR]]</f>
        <v>0</v>
      </c>
      <c r="L59" s="41"/>
      <c r="M59" s="42"/>
      <c r="N59" s="42"/>
      <c r="O59" s="39"/>
      <c r="P59" s="3">
        <f>TABL1234[[#This Row],[ (S/S) SAR]]-TABL1234[[#This Row],[(S/S) AJD]]</f>
        <v>0</v>
      </c>
      <c r="Q59" s="39"/>
      <c r="R59" s="3">
        <f>TABL1234[[#This Row],[ (T/B) SAR]]-TABL1234[[#This Row],[(T/B) AJD]]</f>
        <v>0</v>
      </c>
      <c r="S59" s="3">
        <f>TABL1234[[#This Row],[T/B-CON.]]+TABL1234[[#This Row],[S/S_CON.]]</f>
        <v>0</v>
      </c>
      <c r="T59" s="3">
        <f>TABL1234[[#This Row],[(S/S) AJD]]+TABL1234[[#This Row],[(T/B) AJD]]</f>
        <v>0</v>
      </c>
      <c r="U59" s="41"/>
      <c r="V59" s="41"/>
      <c r="W59" s="3">
        <f>TABL1234[[#This Row],[(A/B) AJD]]+TABL1234[[#This Row],[(A/S)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Row],[AJD_Evaporation]])</f>
        <v>0</v>
      </c>
      <c r="AE59" s="41"/>
      <c r="AF59" s="43"/>
      <c r="AG59" s="43"/>
      <c r="AH59" s="6"/>
      <c r="AI59" s="43"/>
      <c r="AJ59" s="43">
        <f>TABL1234[[#This Row],[(A/B) AJD]]-TABL1234[[#This Row],[BER_IN]]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Row],[(A/S) AJD]]-TABL1234[[#This Row],[SER_IN]]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 (T/B) SAR]]+TABL1234[[#This Row],[ (S/S) SAR]]</f>
        <v>0</v>
      </c>
      <c r="L60" s="45"/>
      <c r="M60" s="46"/>
      <c r="N60" s="46"/>
      <c r="O60" s="40"/>
      <c r="P60" s="3">
        <f>TABL1234[[#This Row],[ (S/S) SAR]]-TABL1234[[#This Row],[(S/S) AJD]]</f>
        <v>0</v>
      </c>
      <c r="Q60" s="40"/>
      <c r="R60" s="3">
        <f>TABL1234[[#This Row],[ (T/B) SAR]]-TABL1234[[#This Row],[(T/B) AJD]]</f>
        <v>0</v>
      </c>
      <c r="S60" s="3">
        <f>TABL1234[[#This Row],[T/B-CON.]]+TABL1234[[#This Row],[S/S_CON.]]</f>
        <v>0</v>
      </c>
      <c r="T60" s="3">
        <f>TABL1234[[#This Row],[(S/S) AJD]]+TABL1234[[#This Row],[(T/B) AJD]]</f>
        <v>0</v>
      </c>
      <c r="U60" s="44"/>
      <c r="V60" s="44"/>
      <c r="W60" s="3">
        <f>TABL1234[[#This Row],[(A/B) AJD]]+TABL1234[[#This Row],[(A/S)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Row],[AJD_Evaporation]])</f>
        <v>0</v>
      </c>
      <c r="AE60" s="44"/>
      <c r="AF60" s="45"/>
      <c r="AG60" s="45"/>
      <c r="AH60" s="6"/>
      <c r="AI60" s="45"/>
      <c r="AJ60" s="45">
        <f>TABL1234[[#This Row],[(A/B) AJD]]-TABL1234[[#This Row],[BER_IN]]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Row],[(A/S) AJD]]-TABL1234[[#This Row],[SER_IN]]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 (T/B) SAR]]+TABL1234[[#This Row],[ (S/S) SAR]]</f>
        <v>0</v>
      </c>
      <c r="L61" s="41"/>
      <c r="M61" s="42"/>
      <c r="N61" s="42"/>
      <c r="O61" s="39"/>
      <c r="P61" s="3">
        <f>TABL1234[[#This Row],[ (S/S) SAR]]-TABL1234[[#This Row],[(S/S) AJD]]</f>
        <v>0</v>
      </c>
      <c r="Q61" s="39"/>
      <c r="R61" s="3">
        <f>TABL1234[[#This Row],[ (T/B) SAR]]-TABL1234[[#This Row],[(T/B) AJD]]</f>
        <v>0</v>
      </c>
      <c r="S61" s="3">
        <f>TABL1234[[#This Row],[T/B-CON.]]+TABL1234[[#This Row],[S/S_CON.]]</f>
        <v>0</v>
      </c>
      <c r="T61" s="3">
        <f>TABL1234[[#This Row],[(S/S) AJD]]+TABL1234[[#This Row],[(T/B) AJD]]</f>
        <v>0</v>
      </c>
      <c r="U61" s="41"/>
      <c r="V61" s="41"/>
      <c r="W61" s="3">
        <f>TABL1234[[#This Row],[(A/B) AJD]]+TABL1234[[#This Row],[(A/S)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Row],[AJD_Evaporation]])</f>
        <v>0</v>
      </c>
      <c r="AE61" s="41"/>
      <c r="AF61" s="43"/>
      <c r="AG61" s="43"/>
      <c r="AH61" s="6"/>
      <c r="AI61" s="43"/>
      <c r="AJ61" s="43">
        <f>TABL1234[[#This Row],[(A/B) AJD]]-TABL1234[[#This Row],[BER_IN]]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Row],[(A/S) AJD]]-TABL1234[[#This Row],[SER_IN]]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 (T/B) SAR]]+TABL1234[[#This Row],[ (S/S) SAR]]</f>
        <v>0</v>
      </c>
      <c r="L62" s="45"/>
      <c r="M62" s="46"/>
      <c r="N62" s="46"/>
      <c r="O62" s="40"/>
      <c r="P62" s="3">
        <f>TABL1234[[#This Row],[ (S/S) SAR]]-TABL1234[[#This Row],[(S/S) AJD]]</f>
        <v>0</v>
      </c>
      <c r="Q62" s="40"/>
      <c r="R62" s="3">
        <f>TABL1234[[#This Row],[ (T/B) SAR]]-TABL1234[[#This Row],[(T/B) AJD]]</f>
        <v>0</v>
      </c>
      <c r="S62" s="3">
        <f>TABL1234[[#This Row],[T/B-CON.]]+TABL1234[[#This Row],[S/S_CON.]]</f>
        <v>0</v>
      </c>
      <c r="T62" s="3">
        <f>TABL1234[[#This Row],[(S/S) AJD]]+TABL1234[[#This Row],[(T/B) AJD]]</f>
        <v>0</v>
      </c>
      <c r="U62" s="44"/>
      <c r="V62" s="44"/>
      <c r="W62" s="3">
        <f>TABL1234[[#This Row],[(A/B) AJD]]+TABL1234[[#This Row],[(A/S)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Row],[AJD_Evaporation]])</f>
        <v>0</v>
      </c>
      <c r="AE62" s="44"/>
      <c r="AF62" s="45"/>
      <c r="AG62" s="45"/>
      <c r="AH62" s="6"/>
      <c r="AI62" s="45"/>
      <c r="AJ62" s="45">
        <f>TABL1234[[#This Row],[(A/B) AJD]]-TABL1234[[#This Row],[BER_IN]]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Row],[(A/S) AJD]]-TABL1234[[#This Row],[SER_IN]]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 (T/B) SAR]]+TABL1234[[#This Row],[ (S/S) SAR]]</f>
        <v>0</v>
      </c>
      <c r="L63" s="41"/>
      <c r="M63" s="42"/>
      <c r="N63" s="42"/>
      <c r="O63" s="39"/>
      <c r="P63" s="3">
        <f>TABL1234[[#This Row],[ (S/S) SAR]]-TABL1234[[#This Row],[(S/S) AJD]]</f>
        <v>0</v>
      </c>
      <c r="Q63" s="39"/>
      <c r="R63" s="3">
        <f>TABL1234[[#This Row],[ (T/B) SAR]]-TABL1234[[#This Row],[(T/B) AJD]]</f>
        <v>0</v>
      </c>
      <c r="S63" s="3">
        <f>TABL1234[[#This Row],[T/B-CON.]]+TABL1234[[#This Row],[S/S_CON.]]</f>
        <v>0</v>
      </c>
      <c r="T63" s="3">
        <f>TABL1234[[#This Row],[(S/S) AJD]]+TABL1234[[#This Row],[(T/B) AJD]]</f>
        <v>0</v>
      </c>
      <c r="U63" s="41"/>
      <c r="V63" s="41"/>
      <c r="W63" s="3">
        <f>TABL1234[[#This Row],[(A/B) AJD]]+TABL1234[[#This Row],[(A/S)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Row],[AJD_Evaporation]])</f>
        <v>0</v>
      </c>
      <c r="AE63" s="41"/>
      <c r="AF63" s="43"/>
      <c r="AG63" s="43"/>
      <c r="AH63" s="6"/>
      <c r="AI63" s="43"/>
      <c r="AJ63" s="43">
        <f>TABL1234[[#This Row],[(A/B) AJD]]-TABL1234[[#This Row],[BER_IN]]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Row],[(A/S) AJD]]-TABL1234[[#This Row],[SER_IN]]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 (T/B) SAR]]+TABL1234[[#This Row],[ (S/S) SAR]]</f>
        <v>0</v>
      </c>
      <c r="L64" s="45"/>
      <c r="M64" s="46"/>
      <c r="N64" s="46"/>
      <c r="O64" s="40"/>
      <c r="P64" s="3">
        <f>TABL1234[[#This Row],[ (S/S) SAR]]-TABL1234[[#This Row],[(S/S) AJD]]</f>
        <v>0</v>
      </c>
      <c r="Q64" s="40"/>
      <c r="R64" s="3">
        <f>TABL1234[[#This Row],[ (T/B) SAR]]-TABL1234[[#This Row],[(T/B) AJD]]</f>
        <v>0</v>
      </c>
      <c r="S64" s="3">
        <f>TABL1234[[#This Row],[T/B-CON.]]+TABL1234[[#This Row],[S/S_CON.]]</f>
        <v>0</v>
      </c>
      <c r="T64" s="3">
        <f>TABL1234[[#This Row],[(S/S) AJD]]+TABL1234[[#This Row],[(T/B) AJD]]</f>
        <v>0</v>
      </c>
      <c r="U64" s="44"/>
      <c r="V64" s="44"/>
      <c r="W64" s="3">
        <f>TABL1234[[#This Row],[(A/B) AJD]]+TABL1234[[#This Row],[(A/S)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Row],[AJD_Evaporation]])</f>
        <v>0</v>
      </c>
      <c r="AE64" s="44"/>
      <c r="AF64" s="45"/>
      <c r="AG64" s="45"/>
      <c r="AH64" s="6"/>
      <c r="AI64" s="45"/>
      <c r="AJ64" s="45">
        <f>TABL1234[[#This Row],[(A/B) AJD]]-TABL1234[[#This Row],[BER_IN]]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Row],[(A/S) AJD]]-TABL1234[[#This Row],[SER_IN]]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 (T/B) SAR]]+TABL1234[[#This Row],[ (S/S) SAR]]</f>
        <v>0</v>
      </c>
      <c r="L65" s="41"/>
      <c r="M65" s="42"/>
      <c r="N65" s="42"/>
      <c r="O65" s="39"/>
      <c r="P65" s="3">
        <f>TABL1234[[#This Row],[ (S/S) SAR]]-TABL1234[[#This Row],[(S/S) AJD]]</f>
        <v>0</v>
      </c>
      <c r="Q65" s="39"/>
      <c r="R65" s="3">
        <f>TABL1234[[#This Row],[ (T/B) SAR]]-TABL1234[[#This Row],[(T/B) AJD]]</f>
        <v>0</v>
      </c>
      <c r="S65" s="3">
        <f>TABL1234[[#This Row],[T/B-CON.]]+TABL1234[[#This Row],[S/S_CON.]]</f>
        <v>0</v>
      </c>
      <c r="T65" s="3">
        <f>TABL1234[[#This Row],[(S/S) AJD]]+TABL1234[[#This Row],[(T/B) AJD]]</f>
        <v>0</v>
      </c>
      <c r="U65" s="41"/>
      <c r="V65" s="41"/>
      <c r="W65" s="3">
        <f>TABL1234[[#This Row],[(A/B) AJD]]+TABL1234[[#This Row],[(A/S)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Row],[AJD_Evaporation]])</f>
        <v>0</v>
      </c>
      <c r="AE65" s="41"/>
      <c r="AF65" s="43"/>
      <c r="AG65" s="43"/>
      <c r="AH65" s="6"/>
      <c r="AI65" s="43"/>
      <c r="AJ65" s="43">
        <f>TABL1234[[#This Row],[(A/B) AJD]]-TABL1234[[#This Row],[BER_IN]]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Row],[(A/S) AJD]]-TABL1234[[#This Row],[SER_IN]]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 (T/B) SAR]]+TABL1234[[#This Row],[ (S/S) SAR]]</f>
        <v>0</v>
      </c>
      <c r="L66" s="45"/>
      <c r="M66" s="46"/>
      <c r="N66" s="46"/>
      <c r="O66" s="40"/>
      <c r="P66" s="3">
        <f>TABL1234[[#This Row],[ (S/S) SAR]]-TABL1234[[#This Row],[(S/S) AJD]]</f>
        <v>0</v>
      </c>
      <c r="Q66" s="40"/>
      <c r="R66" s="3">
        <f>TABL1234[[#This Row],[ (T/B) SAR]]-TABL1234[[#This Row],[(T/B) AJD]]</f>
        <v>0</v>
      </c>
      <c r="S66" s="3">
        <f>TABL1234[[#This Row],[T/B-CON.]]+TABL1234[[#This Row],[S/S_CON.]]</f>
        <v>0</v>
      </c>
      <c r="T66" s="3">
        <f>TABL1234[[#This Row],[(S/S) AJD]]+TABL1234[[#This Row],[(T/B) AJD]]</f>
        <v>0</v>
      </c>
      <c r="U66" s="44"/>
      <c r="V66" s="44"/>
      <c r="W66" s="3">
        <f>TABL1234[[#This Row],[(A/B) AJD]]+TABL1234[[#This Row],[(A/S)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Row],[AJD_Evaporation]])</f>
        <v>0</v>
      </c>
      <c r="AE66" s="44"/>
      <c r="AF66" s="45"/>
      <c r="AG66" s="45"/>
      <c r="AH66" s="6"/>
      <c r="AI66" s="45"/>
      <c r="AJ66" s="45">
        <f>TABL1234[[#This Row],[(A/B) AJD]]-TABL1234[[#This Row],[BER_IN]]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Row],[(A/S) AJD]]-TABL1234[[#This Row],[SER_IN]]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 (T/B) SAR]]+TABL1234[[#This Row],[ (S/S) SAR]]</f>
        <v>0</v>
      </c>
      <c r="L67" s="41"/>
      <c r="M67" s="42"/>
      <c r="N67" s="42"/>
      <c r="O67" s="39"/>
      <c r="P67" s="3">
        <f>TABL1234[[#This Row],[ (S/S) SAR]]-TABL1234[[#This Row],[(S/S) AJD]]</f>
        <v>0</v>
      </c>
      <c r="Q67" s="39"/>
      <c r="R67" s="3">
        <f>TABL1234[[#This Row],[ (T/B) SAR]]-TABL1234[[#This Row],[(T/B) AJD]]</f>
        <v>0</v>
      </c>
      <c r="S67" s="3">
        <f>TABL1234[[#This Row],[T/B-CON.]]+TABL1234[[#This Row],[S/S_CON.]]</f>
        <v>0</v>
      </c>
      <c r="T67" s="3">
        <f>TABL1234[[#This Row],[(S/S) AJD]]+TABL1234[[#This Row],[(T/B) AJD]]</f>
        <v>0</v>
      </c>
      <c r="U67" s="41"/>
      <c r="V67" s="41"/>
      <c r="W67" s="3">
        <f>TABL1234[[#This Row],[(A/B) AJD]]+TABL1234[[#This Row],[(A/S)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Row],[AJD_Evaporation]])</f>
        <v>0</v>
      </c>
      <c r="AE67" s="41"/>
      <c r="AF67" s="43"/>
      <c r="AG67" s="43"/>
      <c r="AH67" s="6"/>
      <c r="AI67" s="43"/>
      <c r="AJ67" s="43">
        <f>TABL1234[[#This Row],[(A/B) AJD]]-TABL1234[[#This Row],[BER_IN]]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Row],[(A/S) AJD]]-TABL1234[[#This Row],[SER_IN]]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 (T/B) SAR]]+TABL1234[[#This Row],[ (S/S) SAR]]</f>
        <v>0</v>
      </c>
      <c r="L68" s="45"/>
      <c r="M68" s="46"/>
      <c r="N68" s="46"/>
      <c r="O68" s="40"/>
      <c r="P68" s="3">
        <f>TABL1234[[#This Row],[ (S/S) SAR]]-TABL1234[[#This Row],[(S/S) AJD]]</f>
        <v>0</v>
      </c>
      <c r="Q68" s="40"/>
      <c r="R68" s="3">
        <f>TABL1234[[#This Row],[ (T/B) SAR]]-TABL1234[[#This Row],[(T/B) AJD]]</f>
        <v>0</v>
      </c>
      <c r="S68" s="3">
        <f>TABL1234[[#This Row],[T/B-CON.]]+TABL1234[[#This Row],[S/S_CON.]]</f>
        <v>0</v>
      </c>
      <c r="T68" s="3">
        <f>TABL1234[[#This Row],[(S/S) AJD]]+TABL1234[[#This Row],[(T/B) AJD]]</f>
        <v>0</v>
      </c>
      <c r="U68" s="44"/>
      <c r="V68" s="44"/>
      <c r="W68" s="3">
        <f>TABL1234[[#This Row],[(A/B) AJD]]+TABL1234[[#This Row],[(A/S)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IF(TRIM(Z68)="",,(Z68-Z67)/1000)</f>
        <v>0</v>
      </c>
      <c r="AC68" s="5"/>
      <c r="AD68" s="40">
        <f>TABL1234[[#This Row],[( S/S+T/B) AJD]]-(TABL1234[[#This Row],[(A/B + A/S) AJD]]+(TABL1234[[#This Row],[(STORGE DIFF.) AJD]]*1000)+TABL1234[[#This Row],[AJD_Evaporation]])</f>
        <v>0</v>
      </c>
      <c r="AE68" s="44"/>
      <c r="AF68" s="45"/>
      <c r="AG68" s="45"/>
      <c r="AH68" s="6"/>
      <c r="AI68" s="45"/>
      <c r="AJ68" s="45">
        <f>TABL1234[[#This Row],[(A/B) AJD]]-TABL1234[[#This Row],[BER_IN]]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Row],[(A/S) AJD]]-TABL1234[[#This Row],[SER_IN]]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 (T/B) SAR]]+TABL1234[[#This Row],[ (S/S) SAR]]</f>
        <v>0</v>
      </c>
      <c r="L69" s="41"/>
      <c r="M69" s="42"/>
      <c r="N69" s="42"/>
      <c r="O69" s="39"/>
      <c r="P69" s="3">
        <f>TABL1234[[#This Row],[ (S/S) SAR]]-TABL1234[[#This Row],[(S/S) AJD]]</f>
        <v>0</v>
      </c>
      <c r="Q69" s="39"/>
      <c r="R69" s="3">
        <f>TABL1234[[#This Row],[ (T/B) SAR]]-TABL1234[[#This Row],[(T/B) AJD]]</f>
        <v>0</v>
      </c>
      <c r="S69" s="3">
        <f>TABL1234[[#This Row],[T/B-CON.]]+TABL1234[[#This Row],[S/S_CON.]]</f>
        <v>0</v>
      </c>
      <c r="T69" s="3">
        <f>TABL1234[[#This Row],[(S/S) AJD]]+TABL1234[[#This Row],[(T/B) AJD]]</f>
        <v>0</v>
      </c>
      <c r="U69" s="41"/>
      <c r="V69" s="41"/>
      <c r="W69" s="3">
        <f>TABL1234[[#This Row],[(A/B) AJD]]+TABL1234[[#This Row],[(A/S)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Row],[AJD_Evaporation]])</f>
        <v>0</v>
      </c>
      <c r="AE69" s="41"/>
      <c r="AF69" s="43"/>
      <c r="AG69" s="43"/>
      <c r="AH69" s="6"/>
      <c r="AI69" s="43"/>
      <c r="AJ69" s="43">
        <f>TABL1234[[#This Row],[(A/B) AJD]]-TABL1234[[#This Row],[BER_IN]]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Row],[(A/S) AJD]]-TABL1234[[#This Row],[SER_IN]]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 (T/B) SAR]]+TABL1234[[#This Row],[ (S/S) SAR]]</f>
        <v>0</v>
      </c>
      <c r="L70" s="45"/>
      <c r="M70" s="46"/>
      <c r="N70" s="46"/>
      <c r="O70" s="40"/>
      <c r="P70" s="3">
        <f>TABL1234[[#This Row],[ (S/S) SAR]]-TABL1234[[#This Row],[(S/S) AJD]]</f>
        <v>0</v>
      </c>
      <c r="Q70" s="40"/>
      <c r="R70" s="3">
        <f>TABL1234[[#This Row],[ (T/B) SAR]]-TABL1234[[#This Row],[(T/B) AJD]]</f>
        <v>0</v>
      </c>
      <c r="S70" s="3">
        <f>TABL1234[[#This Row],[T/B-CON.]]+TABL1234[[#This Row],[S/S_CON.]]</f>
        <v>0</v>
      </c>
      <c r="T70" s="3">
        <f>TABL1234[[#This Row],[(S/S) AJD]]+TABL1234[[#This Row],[(T/B) AJD]]</f>
        <v>0</v>
      </c>
      <c r="U70" s="44"/>
      <c r="V70" s="44"/>
      <c r="W70" s="3">
        <f>TABL1234[[#This Row],[(A/B) AJD]]+TABL1234[[#This Row],[(A/S)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Row],[AJD_Evaporation]])</f>
        <v>0</v>
      </c>
      <c r="AE70" s="44"/>
      <c r="AF70" s="45"/>
      <c r="AG70" s="45"/>
      <c r="AH70" s="6"/>
      <c r="AI70" s="45"/>
      <c r="AJ70" s="45">
        <f>TABL1234[[#This Row],[(A/B) AJD]]-TABL1234[[#This Row],[BER_IN]]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Row],[(A/S) AJD]]-TABL1234[[#This Row],[SER_IN]]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 (T/B) SAR]]+TABL1234[[#This Row],[ (S/S) SAR]]</f>
        <v>0</v>
      </c>
      <c r="L71" s="41"/>
      <c r="M71" s="42"/>
      <c r="N71" s="42"/>
      <c r="O71" s="39"/>
      <c r="P71" s="3">
        <f>TABL1234[[#This Row],[ (S/S) SAR]]-TABL1234[[#This Row],[(S/S) AJD]]</f>
        <v>0</v>
      </c>
      <c r="Q71" s="39"/>
      <c r="R71" s="3">
        <f>TABL1234[[#This Row],[ (T/B) SAR]]-TABL1234[[#This Row],[(T/B) AJD]]</f>
        <v>0</v>
      </c>
      <c r="S71" s="3">
        <f>TABL1234[[#This Row],[T/B-CON.]]+TABL1234[[#This Row],[S/S_CON.]]</f>
        <v>0</v>
      </c>
      <c r="T71" s="3">
        <f>TABL1234[[#This Row],[(S/S) AJD]]+TABL1234[[#This Row],[(T/B) AJD]]</f>
        <v>0</v>
      </c>
      <c r="U71" s="41"/>
      <c r="V71" s="41"/>
      <c r="W71" s="3">
        <f>TABL1234[[#This Row],[(A/B) AJD]]+TABL1234[[#This Row],[(A/S)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Row],[AJD_Evaporation]])</f>
        <v>0</v>
      </c>
      <c r="AE71" s="41"/>
      <c r="AF71" s="43"/>
      <c r="AG71" s="68"/>
      <c r="AH71" s="6"/>
      <c r="AI71" s="43"/>
      <c r="AJ71" s="68">
        <f>TABL1234[[#This Row],[(A/B) AJD]]-TABL1234[[#This Row],[BER_IN]]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Row],[(A/S) AJD]]-TABL1234[[#This Row],[SER_IN]]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 (T/B) SAR]]+TABL1234[[#This Row],[ (S/S) SAR]]</f>
        <v>0</v>
      </c>
      <c r="L72" s="45"/>
      <c r="M72" s="46"/>
      <c r="N72" s="46"/>
      <c r="O72" s="40"/>
      <c r="P72" s="3">
        <f>TABL1234[[#This Row],[ (S/S) SAR]]-TABL1234[[#This Row],[(S/S) AJD]]</f>
        <v>0</v>
      </c>
      <c r="Q72" s="40"/>
      <c r="R72" s="3">
        <f>TABL1234[[#This Row],[ (T/B) SAR]]-TABL1234[[#This Row],[(T/B) AJD]]</f>
        <v>0</v>
      </c>
      <c r="S72" s="3">
        <f>TABL1234[[#This Row],[T/B-CON.]]+TABL1234[[#This Row],[S/S_CON.]]</f>
        <v>0</v>
      </c>
      <c r="T72" s="3">
        <f>TABL1234[[#This Row],[(S/S) AJD]]+TABL1234[[#This Row],[(T/B) AJD]]</f>
        <v>0</v>
      </c>
      <c r="U72" s="44"/>
      <c r="V72" s="44"/>
      <c r="W72" s="3">
        <f>TABL1234[[#This Row],[(A/B) AJD]]+TABL1234[[#This Row],[(A/S)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Row],[AJD_Evaporation]])</f>
        <v>0</v>
      </c>
      <c r="AE72" s="44"/>
      <c r="AF72" s="45"/>
      <c r="AG72" s="45"/>
      <c r="AH72" s="6"/>
      <c r="AI72" s="45"/>
      <c r="AJ72" s="45">
        <f>TABL1234[[#This Row],[(A/B) AJD]]-TABL1234[[#This Row],[BER_IN]]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Row],[(A/S) AJD]]-TABL1234[[#This Row],[SER_IN]]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 (T/B) SAR]]+TABL1234[[#This Row],[ (S/S) SAR]]</f>
        <v>0</v>
      </c>
      <c r="L73" s="41"/>
      <c r="M73" s="42"/>
      <c r="N73" s="42"/>
      <c r="O73" s="39"/>
      <c r="P73" s="3">
        <f>TABL1234[[#This Row],[ (S/S) SAR]]-TABL1234[[#This Row],[(S/S) AJD]]</f>
        <v>0</v>
      </c>
      <c r="Q73" s="39"/>
      <c r="R73" s="3">
        <f>TABL1234[[#This Row],[ (T/B) SAR]]-TABL1234[[#This Row],[(T/B) AJD]]</f>
        <v>0</v>
      </c>
      <c r="S73" s="3">
        <f>TABL1234[[#This Row],[T/B-CON.]]+TABL1234[[#This Row],[S/S_CON.]]</f>
        <v>0</v>
      </c>
      <c r="T73" s="3">
        <f>TABL1234[[#This Row],[(S/S) AJD]]+TABL1234[[#This Row],[(T/B) AJD]]</f>
        <v>0</v>
      </c>
      <c r="U73" s="41"/>
      <c r="V73" s="41"/>
      <c r="W73" s="3">
        <f>TABL1234[[#This Row],[(A/B) AJD]]+TABL1234[[#This Row],[(A/S)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Row],[AJD_Evaporation]])</f>
        <v>0</v>
      </c>
      <c r="AE73" s="41"/>
      <c r="AF73" s="43"/>
      <c r="AG73" s="43"/>
      <c r="AH73" s="6"/>
      <c r="AI73" s="43"/>
      <c r="AJ73" s="43">
        <f>TABL1234[[#This Row],[(A/B) AJD]]-TABL1234[[#This Row],[BER_IN]]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Row],[(A/S) AJD]]-TABL1234[[#This Row],[SER_IN]]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 (T/B) SAR]]+TABL1234[[#This Row],[ (S/S) SAR]]</f>
        <v>0</v>
      </c>
      <c r="L74" s="45"/>
      <c r="M74" s="46"/>
      <c r="N74" s="46"/>
      <c r="O74" s="40"/>
      <c r="P74" s="3">
        <f>TABL1234[[#This Row],[ (S/S) SAR]]-TABL1234[[#This Row],[(S/S) AJD]]</f>
        <v>0</v>
      </c>
      <c r="Q74" s="40"/>
      <c r="R74" s="3">
        <f>TABL1234[[#This Row],[ (T/B) SAR]]-TABL1234[[#This Row],[(T/B) AJD]]</f>
        <v>0</v>
      </c>
      <c r="S74" s="3">
        <f>TABL1234[[#This Row],[T/B-CON.]]+TABL1234[[#This Row],[S/S_CON.]]</f>
        <v>0</v>
      </c>
      <c r="T74" s="3">
        <f>TABL1234[[#This Row],[(S/S) AJD]]+TABL1234[[#This Row],[(T/B) AJD]]</f>
        <v>0</v>
      </c>
      <c r="U74" s="44"/>
      <c r="V74" s="44"/>
      <c r="W74" s="3">
        <f>TABL1234[[#This Row],[(A/B) AJD]]+TABL1234[[#This Row],[(A/S)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Row],[AJD_Evaporation]])</f>
        <v>0</v>
      </c>
      <c r="AE74" s="44"/>
      <c r="AF74" s="45"/>
      <c r="AG74" s="45"/>
      <c r="AH74" s="6"/>
      <c r="AI74" s="45"/>
      <c r="AJ74" s="45">
        <f>TABL1234[[#This Row],[(A/B) AJD]]-TABL1234[[#This Row],[BER_IN]]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Row],[(A/S) AJD]]-TABL1234[[#This Row],[SER_IN]]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 (T/B) SAR]]+TABL1234[[#This Row],[ (S/S) SAR]]</f>
        <v>0</v>
      </c>
      <c r="L75" s="41"/>
      <c r="M75" s="42"/>
      <c r="N75" s="42"/>
      <c r="O75" s="39"/>
      <c r="P75" s="3">
        <f>TABL1234[[#This Row],[ (S/S) SAR]]-TABL1234[[#This Row],[(S/S) AJD]]</f>
        <v>0</v>
      </c>
      <c r="Q75" s="39"/>
      <c r="R75" s="3">
        <f>TABL1234[[#This Row],[ (T/B) SAR]]-TABL1234[[#This Row],[(T/B) AJD]]</f>
        <v>0</v>
      </c>
      <c r="S75" s="3">
        <f>TABL1234[[#This Row],[T/B-CON.]]+TABL1234[[#This Row],[S/S_CON.]]</f>
        <v>0</v>
      </c>
      <c r="T75" s="3">
        <f>TABL1234[[#This Row],[(S/S) AJD]]+TABL1234[[#This Row],[(T/B) AJD]]</f>
        <v>0</v>
      </c>
      <c r="U75" s="41"/>
      <c r="V75" s="41"/>
      <c r="W75" s="3">
        <f>TABL1234[[#This Row],[(A/B) AJD]]+TABL1234[[#This Row],[(A/S)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Row],[AJD_Evaporation]])</f>
        <v>0</v>
      </c>
      <c r="AE75" s="41"/>
      <c r="AF75" s="43"/>
      <c r="AG75" s="43"/>
      <c r="AH75" s="6"/>
      <c r="AI75" s="43"/>
      <c r="AJ75" s="43">
        <f>TABL1234[[#This Row],[(A/B) AJD]]-TABL1234[[#This Row],[BER_IN]]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Row],[(A/S) AJD]]-TABL1234[[#This Row],[SER_IN]]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 (T/B) SAR]]+TABL1234[[#This Row],[ (S/S) SAR]]</f>
        <v>0</v>
      </c>
      <c r="L76" s="45"/>
      <c r="M76" s="46"/>
      <c r="N76" s="46"/>
      <c r="O76" s="40"/>
      <c r="P76" s="3">
        <f>TABL1234[[#This Row],[ (S/S) SAR]]-TABL1234[[#This Row],[(S/S) AJD]]</f>
        <v>0</v>
      </c>
      <c r="Q76" s="40"/>
      <c r="R76" s="3">
        <f>TABL1234[[#This Row],[ (T/B) SAR]]-TABL1234[[#This Row],[(T/B) AJD]]</f>
        <v>0</v>
      </c>
      <c r="S76" s="3">
        <f>TABL1234[[#This Row],[T/B-CON.]]+TABL1234[[#This Row],[S/S_CON.]]</f>
        <v>0</v>
      </c>
      <c r="T76" s="3">
        <f>TABL1234[[#This Row],[(S/S) AJD]]+TABL1234[[#This Row],[(T/B) AJD]]</f>
        <v>0</v>
      </c>
      <c r="U76" s="44"/>
      <c r="V76" s="44"/>
      <c r="W76" s="3">
        <f>TABL1234[[#This Row],[(A/B) AJD]]+TABL1234[[#This Row],[(A/S)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Row],[AJD_Evaporation]])</f>
        <v>0</v>
      </c>
      <c r="AE76" s="44"/>
      <c r="AF76" s="45"/>
      <c r="AG76" s="45"/>
      <c r="AH76" s="6"/>
      <c r="AI76" s="45"/>
      <c r="AJ76" s="45">
        <f>TABL1234[[#This Row],[(A/B) AJD]]-TABL1234[[#This Row],[BER_IN]]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Row],[(A/S) AJD]]-TABL1234[[#This Row],[SER_IN]]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 (T/B) SAR]]+TABL1234[[#This Row],[ (S/S) SAR]]</f>
        <v>0</v>
      </c>
      <c r="L77" s="41"/>
      <c r="M77" s="42"/>
      <c r="N77" s="42"/>
      <c r="O77" s="39"/>
      <c r="P77" s="3">
        <f>TABL1234[[#This Row],[ (S/S) SAR]]-TABL1234[[#This Row],[(S/S) AJD]]</f>
        <v>0</v>
      </c>
      <c r="Q77" s="39"/>
      <c r="R77" s="3">
        <f>TABL1234[[#This Row],[ (T/B) SAR]]-TABL1234[[#This Row],[(T/B) AJD]]</f>
        <v>0</v>
      </c>
      <c r="S77" s="3">
        <f>TABL1234[[#This Row],[T/B-CON.]]+TABL1234[[#This Row],[S/S_CON.]]</f>
        <v>0</v>
      </c>
      <c r="T77" s="3">
        <f>TABL1234[[#This Row],[(S/S) AJD]]+TABL1234[[#This Row],[(T/B) AJD]]</f>
        <v>0</v>
      </c>
      <c r="U77" s="41"/>
      <c r="V77" s="41"/>
      <c r="W77" s="3">
        <f>TABL1234[[#This Row],[(A/B) AJD]]+TABL1234[[#This Row],[(A/S)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Row],[AJD_Evaporation]])</f>
        <v>0</v>
      </c>
      <c r="AE77" s="41"/>
      <c r="AF77" s="43"/>
      <c r="AG77" s="43"/>
      <c r="AH77" s="6"/>
      <c r="AI77" s="43"/>
      <c r="AJ77" s="43">
        <f>TABL1234[[#This Row],[(A/B) AJD]]-TABL1234[[#This Row],[BER_IN]]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Row],[(A/S) AJD]]-TABL1234[[#This Row],[SER_IN]]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 (T/B) SAR]]+TABL1234[[#This Row],[ (S/S) SAR]]</f>
        <v>0</v>
      </c>
      <c r="L78" s="45"/>
      <c r="M78" s="46"/>
      <c r="N78" s="46"/>
      <c r="O78" s="40"/>
      <c r="P78" s="3">
        <f>TABL1234[[#This Row],[ (S/S) SAR]]-TABL1234[[#This Row],[(S/S) AJD]]</f>
        <v>0</v>
      </c>
      <c r="Q78" s="40"/>
      <c r="R78" s="3">
        <f>TABL1234[[#This Row],[ (T/B) SAR]]-TABL1234[[#This Row],[(T/B) AJD]]</f>
        <v>0</v>
      </c>
      <c r="S78" s="3">
        <f>TABL1234[[#This Row],[T/B-CON.]]+TABL1234[[#This Row],[S/S_CON.]]</f>
        <v>0</v>
      </c>
      <c r="T78" s="3">
        <f>TABL1234[[#This Row],[(S/S) AJD]]+TABL1234[[#This Row],[(T/B) AJD]]</f>
        <v>0</v>
      </c>
      <c r="U78" s="44"/>
      <c r="V78" s="44"/>
      <c r="W78" s="3">
        <f>TABL1234[[#This Row],[(A/B) AJD]]+TABL1234[[#This Row],[(A/S)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Row],[AJD_Evaporation]])</f>
        <v>0</v>
      </c>
      <c r="AE78" s="44"/>
      <c r="AF78" s="45"/>
      <c r="AG78" s="45"/>
      <c r="AH78" s="6"/>
      <c r="AI78" s="45"/>
      <c r="AJ78" s="45">
        <f>TABL1234[[#This Row],[(A/B) AJD]]-TABL1234[[#This Row],[BER_IN]]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Row],[(A/S) AJD]]-TABL1234[[#This Row],[SER_IN]]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 (T/B) SAR]]+TABL1234[[#This Row],[ (S/S) SAR]]</f>
        <v>0</v>
      </c>
      <c r="L79" s="41"/>
      <c r="M79" s="42"/>
      <c r="N79" s="42"/>
      <c r="O79" s="39"/>
      <c r="P79" s="3">
        <f>TABL1234[[#This Row],[ (S/S) SAR]]-TABL1234[[#This Row],[(S/S) AJD]]</f>
        <v>0</v>
      </c>
      <c r="Q79" s="39"/>
      <c r="R79" s="3">
        <f>TABL1234[[#This Row],[ (T/B) SAR]]-TABL1234[[#This Row],[(T/B) AJD]]</f>
        <v>0</v>
      </c>
      <c r="S79" s="3">
        <f>TABL1234[[#This Row],[T/B-CON.]]+TABL1234[[#This Row],[S/S_CON.]]</f>
        <v>0</v>
      </c>
      <c r="T79" s="3">
        <f>TABL1234[[#This Row],[(S/S) AJD]]+TABL1234[[#This Row],[(T/B) AJD]]</f>
        <v>0</v>
      </c>
      <c r="U79" s="41"/>
      <c r="V79" s="41"/>
      <c r="W79" s="3">
        <f>TABL1234[[#This Row],[(A/B) AJD]]+TABL1234[[#This Row],[(A/S)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Row],[AJD_Evaporation]])</f>
        <v>0</v>
      </c>
      <c r="AE79" s="41"/>
      <c r="AF79" s="43"/>
      <c r="AG79" s="43"/>
      <c r="AH79" s="6"/>
      <c r="AI79" s="43"/>
      <c r="AJ79" s="43">
        <f>TABL1234[[#This Row],[(A/B) AJD]]-TABL1234[[#This Row],[BER_IN]]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Row],[(A/S) AJD]]-TABL1234[[#This Row],[SER_IN]]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 (T/B) SAR]]+TABL1234[[#This Row],[ (S/S) SAR]]</f>
        <v>0</v>
      </c>
      <c r="L80" s="45"/>
      <c r="M80" s="46"/>
      <c r="N80" s="46"/>
      <c r="O80" s="40"/>
      <c r="P80" s="3">
        <f>TABL1234[[#This Row],[ (S/S) SAR]]-TABL1234[[#This Row],[(S/S) AJD]]</f>
        <v>0</v>
      </c>
      <c r="Q80" s="40"/>
      <c r="R80" s="3">
        <f>TABL1234[[#This Row],[ (T/B) SAR]]-TABL1234[[#This Row],[(T/B) AJD]]</f>
        <v>0</v>
      </c>
      <c r="S80" s="3">
        <f>TABL1234[[#This Row],[T/B-CON.]]+TABL1234[[#This Row],[S/S_CON.]]</f>
        <v>0</v>
      </c>
      <c r="T80" s="3">
        <f>TABL1234[[#This Row],[(S/S) AJD]]+TABL1234[[#This Row],[(T/B) AJD]]</f>
        <v>0</v>
      </c>
      <c r="U80" s="44"/>
      <c r="V80" s="44"/>
      <c r="W80" s="3">
        <f>TABL1234[[#This Row],[(A/B) AJD]]+TABL1234[[#This Row],[(A/S)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Row],[AJD_Evaporation]])</f>
        <v>0</v>
      </c>
      <c r="AE80" s="44"/>
      <c r="AF80" s="45"/>
      <c r="AG80" s="45"/>
      <c r="AH80" s="6"/>
      <c r="AI80" s="45"/>
      <c r="AJ80" s="45">
        <f>TABL1234[[#This Row],[(A/B) AJD]]-TABL1234[[#This Row],[BER_IN]]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Row],[(A/S) AJD]]-TABL1234[[#This Row],[SER_IN]]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 (T/B) SAR]]+TABL1234[[#This Row],[ (S/S) SAR]]</f>
        <v>0</v>
      </c>
      <c r="L81" s="41"/>
      <c r="M81" s="42"/>
      <c r="N81" s="42"/>
      <c r="O81" s="39"/>
      <c r="P81" s="3">
        <f>TABL1234[[#This Row],[ (S/S) SAR]]-TABL1234[[#This Row],[(S/S) AJD]]</f>
        <v>0</v>
      </c>
      <c r="Q81" s="39"/>
      <c r="R81" s="3">
        <f>TABL1234[[#This Row],[ (T/B) SAR]]-TABL1234[[#This Row],[(T/B) AJD]]</f>
        <v>0</v>
      </c>
      <c r="S81" s="3">
        <f>TABL1234[[#This Row],[T/B-CON.]]+TABL1234[[#This Row],[S/S_CON.]]</f>
        <v>0</v>
      </c>
      <c r="T81" s="3">
        <f>TABL1234[[#This Row],[(S/S) AJD]]+TABL1234[[#This Row],[(T/B) AJD]]</f>
        <v>0</v>
      </c>
      <c r="U81" s="41"/>
      <c r="V81" s="41"/>
      <c r="W81" s="3">
        <f>TABL1234[[#This Row],[(A/B) AJD]]+TABL1234[[#This Row],[(A/S)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Row],[AJD_Evaporation]])</f>
        <v>0</v>
      </c>
      <c r="AE81" s="41"/>
      <c r="AF81" s="43"/>
      <c r="AG81" s="43"/>
      <c r="AH81" s="6"/>
      <c r="AI81" s="43"/>
      <c r="AJ81" s="43">
        <f>TABL1234[[#This Row],[(A/B) AJD]]-TABL1234[[#This Row],[BER_IN]]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Row],[(A/S) AJD]]-TABL1234[[#This Row],[SER_IN]]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 (T/B) SAR]]+TABL1234[[#This Row],[ (S/S) SAR]]</f>
        <v>0</v>
      </c>
      <c r="L82" s="45"/>
      <c r="M82" s="46"/>
      <c r="N82" s="46"/>
      <c r="O82" s="40"/>
      <c r="P82" s="3">
        <f>TABL1234[[#This Row],[ (S/S) SAR]]-TABL1234[[#This Row],[(S/S) AJD]]</f>
        <v>0</v>
      </c>
      <c r="Q82" s="40"/>
      <c r="R82" s="3">
        <f>TABL1234[[#This Row],[ (T/B) SAR]]-TABL1234[[#This Row],[(T/B) AJD]]</f>
        <v>0</v>
      </c>
      <c r="S82" s="3">
        <f>TABL1234[[#This Row],[T/B-CON.]]+TABL1234[[#This Row],[S/S_CON.]]</f>
        <v>0</v>
      </c>
      <c r="T82" s="3">
        <f>TABL1234[[#This Row],[(S/S) AJD]]+TABL1234[[#This Row],[(T/B) AJD]]</f>
        <v>0</v>
      </c>
      <c r="U82" s="44"/>
      <c r="V82" s="44"/>
      <c r="W82" s="3">
        <f>TABL1234[[#This Row],[(A/B) AJD]]+TABL1234[[#This Row],[(A/S)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Row],[AJD_Evaporation]])</f>
        <v>0</v>
      </c>
      <c r="AE82" s="44"/>
      <c r="AF82" s="45"/>
      <c r="AG82" s="45"/>
      <c r="AH82" s="6"/>
      <c r="AI82" s="45"/>
      <c r="AJ82" s="45">
        <f>TABL1234[[#This Row],[(A/B) AJD]]-TABL1234[[#This Row],[BER_IN]]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Row],[(A/S) AJD]]-TABL1234[[#This Row],[SER_IN]]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 (T/B) SAR]]+TABL1234[[#This Row],[ (S/S) SAR]]</f>
        <v>0</v>
      </c>
      <c r="L83" s="41"/>
      <c r="M83" s="42"/>
      <c r="N83" s="42"/>
      <c r="O83" s="39"/>
      <c r="P83" s="3">
        <f>TABL1234[[#This Row],[ (S/S) SAR]]-TABL1234[[#This Row],[(S/S) AJD]]</f>
        <v>0</v>
      </c>
      <c r="Q83" s="39"/>
      <c r="R83" s="3">
        <f>TABL1234[[#This Row],[ (T/B) SAR]]-TABL1234[[#This Row],[(T/B) AJD]]</f>
        <v>0</v>
      </c>
      <c r="S83" s="3">
        <f>TABL1234[[#This Row],[T/B-CON.]]+TABL1234[[#This Row],[S/S_CON.]]</f>
        <v>0</v>
      </c>
      <c r="T83" s="3">
        <f>TABL1234[[#This Row],[(S/S) AJD]]+TABL1234[[#This Row],[(T/B) AJD]]</f>
        <v>0</v>
      </c>
      <c r="U83" s="41"/>
      <c r="V83" s="41"/>
      <c r="W83" s="3">
        <f>TABL1234[[#This Row],[(A/B) AJD]]+TABL1234[[#This Row],[(A/S)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Row],[AJD_Evaporation]])</f>
        <v>0</v>
      </c>
      <c r="AE83" s="41"/>
      <c r="AF83" s="43"/>
      <c r="AG83" s="43"/>
      <c r="AH83" s="6"/>
      <c r="AI83" s="43"/>
      <c r="AJ83" s="43">
        <f>TABL1234[[#This Row],[(A/B) AJD]]-TABL1234[[#This Row],[BER_IN]]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Row],[(A/S) AJD]]-TABL1234[[#This Row],[SER_IN]]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 (T/B) SAR]]+TABL1234[[#This Row],[ (S/S) SAR]]</f>
        <v>0</v>
      </c>
      <c r="L84" s="45"/>
      <c r="M84" s="46"/>
      <c r="N84" s="46"/>
      <c r="O84" s="40"/>
      <c r="P84" s="3">
        <f>TABL1234[[#This Row],[ (S/S) SAR]]-TABL1234[[#This Row],[(S/S) AJD]]</f>
        <v>0</v>
      </c>
      <c r="Q84" s="40"/>
      <c r="R84" s="3">
        <f>TABL1234[[#This Row],[ (T/B) SAR]]-TABL1234[[#This Row],[(T/B) AJD]]</f>
        <v>0</v>
      </c>
      <c r="S84" s="3">
        <f>TABL1234[[#This Row],[T/B-CON.]]+TABL1234[[#This Row],[S/S_CON.]]</f>
        <v>0</v>
      </c>
      <c r="T84" s="3">
        <f>TABL1234[[#This Row],[(S/S) AJD]]+TABL1234[[#This Row],[(T/B) AJD]]</f>
        <v>0</v>
      </c>
      <c r="U84" s="44"/>
      <c r="V84" s="44"/>
      <c r="W84" s="3">
        <f>TABL1234[[#This Row],[(A/B) AJD]]+TABL1234[[#This Row],[(A/S)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Row],[AJD_Evaporation]])</f>
        <v>0</v>
      </c>
      <c r="AE84" s="44"/>
      <c r="AF84" s="45"/>
      <c r="AG84" s="45"/>
      <c r="AH84" s="6"/>
      <c r="AI84" s="45"/>
      <c r="AJ84" s="45">
        <f>TABL1234[[#This Row],[(A/B) AJD]]-TABL1234[[#This Row],[BER_IN]]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Row],[(A/S) AJD]]-TABL1234[[#This Row],[SER_IN]]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 (T/B) SAR]]+TABL1234[[#This Row],[ (S/S) SAR]]</f>
        <v>0</v>
      </c>
      <c r="L85" s="41"/>
      <c r="M85" s="42"/>
      <c r="N85" s="42"/>
      <c r="O85" s="39"/>
      <c r="P85" s="3">
        <f>TABL1234[[#This Row],[ (S/S) SAR]]-TABL1234[[#This Row],[(S/S) AJD]]</f>
        <v>0</v>
      </c>
      <c r="Q85" s="39"/>
      <c r="R85" s="3">
        <f>TABL1234[[#This Row],[ (T/B) SAR]]-TABL1234[[#This Row],[(T/B) AJD]]</f>
        <v>0</v>
      </c>
      <c r="S85" s="3">
        <f>TABL1234[[#This Row],[T/B-CON.]]+TABL1234[[#This Row],[S/S_CON.]]</f>
        <v>0</v>
      </c>
      <c r="T85" s="3">
        <f>TABL1234[[#This Row],[(S/S) AJD]]+TABL1234[[#This Row],[(T/B) AJD]]</f>
        <v>0</v>
      </c>
      <c r="U85" s="41"/>
      <c r="V85" s="41"/>
      <c r="W85" s="3">
        <f>TABL1234[[#This Row],[(A/B) AJD]]+TABL1234[[#This Row],[(A/S)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Row],[AJD_Evaporation]])</f>
        <v>0</v>
      </c>
      <c r="AE85" s="41"/>
      <c r="AF85" s="43"/>
      <c r="AG85" s="43"/>
      <c r="AH85" s="6"/>
      <c r="AI85" s="43"/>
      <c r="AJ85" s="43">
        <f>TABL1234[[#This Row],[(A/B) AJD]]-TABL1234[[#This Row],[BER_IN]]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Row],[(A/S) AJD]]-TABL1234[[#This Row],[SER_IN]]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 (T/B) SAR]]+TABL1234[[#This Row],[ (S/S) SAR]]</f>
        <v>0</v>
      </c>
      <c r="L86" s="45"/>
      <c r="M86" s="46"/>
      <c r="N86" s="46"/>
      <c r="O86" s="40"/>
      <c r="P86" s="3">
        <f>TABL1234[[#This Row],[ (S/S) SAR]]-TABL1234[[#This Row],[(S/S) AJD]]</f>
        <v>0</v>
      </c>
      <c r="Q86" s="40"/>
      <c r="R86" s="3">
        <f>TABL1234[[#This Row],[ (T/B) SAR]]-TABL1234[[#This Row],[(T/B) AJD]]</f>
        <v>0</v>
      </c>
      <c r="S86" s="3">
        <f>TABL1234[[#This Row],[T/B-CON.]]+TABL1234[[#This Row],[S/S_CON.]]</f>
        <v>0</v>
      </c>
      <c r="T86" s="3">
        <f>TABL1234[[#This Row],[(S/S) AJD]]+TABL1234[[#This Row],[(T/B) AJD]]</f>
        <v>0</v>
      </c>
      <c r="U86" s="44"/>
      <c r="V86" s="44"/>
      <c r="W86" s="3">
        <f>TABL1234[[#This Row],[(A/B) AJD]]+TABL1234[[#This Row],[(A/S)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Row],[AJD_Evaporation]])</f>
        <v>0</v>
      </c>
      <c r="AE86" s="44"/>
      <c r="AF86" s="45"/>
      <c r="AG86" s="45"/>
      <c r="AH86" s="6"/>
      <c r="AI86" s="45"/>
      <c r="AJ86" s="45">
        <f>TABL1234[[#This Row],[(A/B) AJD]]-TABL1234[[#This Row],[BER_IN]]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Row],[(A/S) AJD]]-TABL1234[[#This Row],[SER_IN]]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 (T/B) SAR]]+TABL1234[[#This Row],[ (S/S) SAR]]</f>
        <v>0</v>
      </c>
      <c r="L87" s="41"/>
      <c r="M87" s="42"/>
      <c r="N87" s="42"/>
      <c r="O87" s="39"/>
      <c r="P87" s="3">
        <f>TABL1234[[#This Row],[ (S/S) SAR]]-TABL1234[[#This Row],[(S/S) AJD]]</f>
        <v>0</v>
      </c>
      <c r="Q87" s="39"/>
      <c r="R87" s="3">
        <f>TABL1234[[#This Row],[ (T/B) SAR]]-TABL1234[[#This Row],[(T/B) AJD]]</f>
        <v>0</v>
      </c>
      <c r="S87" s="3">
        <f>TABL1234[[#This Row],[T/B-CON.]]+TABL1234[[#This Row],[S/S_CON.]]</f>
        <v>0</v>
      </c>
      <c r="T87" s="3">
        <f>TABL1234[[#This Row],[(S/S) AJD]]+TABL1234[[#This Row],[(T/B) AJD]]</f>
        <v>0</v>
      </c>
      <c r="U87" s="41"/>
      <c r="V87" s="41"/>
      <c r="W87" s="3">
        <f>TABL1234[[#This Row],[(A/B) AJD]]+TABL1234[[#This Row],[(A/S)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Row],[AJD_Evaporation]])</f>
        <v>0</v>
      </c>
      <c r="AE87" s="41"/>
      <c r="AF87" s="43"/>
      <c r="AG87" s="43"/>
      <c r="AH87" s="6"/>
      <c r="AI87" s="43"/>
      <c r="AJ87" s="43">
        <f>TABL1234[[#This Row],[(A/B) AJD]]-TABL1234[[#This Row],[BER_IN]]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Row],[(A/S) AJD]]-TABL1234[[#This Row],[SER_IN]]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 (T/B) SAR]]+TABL1234[[#This Row],[ (S/S) SAR]]</f>
        <v>0</v>
      </c>
      <c r="L88" s="45"/>
      <c r="M88" s="46"/>
      <c r="N88" s="46"/>
      <c r="O88" s="40"/>
      <c r="P88" s="3">
        <f>TABL1234[[#This Row],[ (S/S) SAR]]-TABL1234[[#This Row],[(S/S) AJD]]</f>
        <v>0</v>
      </c>
      <c r="Q88" s="40"/>
      <c r="R88" s="3">
        <f>TABL1234[[#This Row],[ (T/B) SAR]]-TABL1234[[#This Row],[(T/B) AJD]]</f>
        <v>0</v>
      </c>
      <c r="S88" s="3">
        <f>TABL1234[[#This Row],[T/B-CON.]]+TABL1234[[#This Row],[S/S_CON.]]</f>
        <v>0</v>
      </c>
      <c r="T88" s="3">
        <f>TABL1234[[#This Row],[(S/S) AJD]]+TABL1234[[#This Row],[(T/B) AJD]]</f>
        <v>0</v>
      </c>
      <c r="U88" s="44"/>
      <c r="V88" s="44"/>
      <c r="W88" s="3">
        <f>TABL1234[[#This Row],[(A/B) AJD]]+TABL1234[[#This Row],[(A/S)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Row],[AJD_Evaporation]])</f>
        <v>0</v>
      </c>
      <c r="AE88" s="44"/>
      <c r="AF88" s="45"/>
      <c r="AG88" s="45"/>
      <c r="AH88" s="6"/>
      <c r="AI88" s="45"/>
      <c r="AJ88" s="45">
        <f>TABL1234[[#This Row],[(A/B) AJD]]-TABL1234[[#This Row],[BER_IN]]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Row],[(A/S) AJD]]-TABL1234[[#This Row],[SER_IN]]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 (T/B) SAR]]+TABL1234[[#This Row],[ (S/S) SAR]]</f>
        <v>0</v>
      </c>
      <c r="L89" s="41"/>
      <c r="M89" s="42"/>
      <c r="N89" s="42"/>
      <c r="O89" s="39"/>
      <c r="P89" s="3">
        <f>TABL1234[[#This Row],[ (S/S) SAR]]-TABL1234[[#This Row],[(S/S) AJD]]</f>
        <v>0</v>
      </c>
      <c r="Q89" s="39"/>
      <c r="R89" s="3">
        <f>TABL1234[[#This Row],[ (T/B) SAR]]-TABL1234[[#This Row],[(T/B) AJD]]</f>
        <v>0</v>
      </c>
      <c r="S89" s="3">
        <f>TABL1234[[#This Row],[T/B-CON.]]+TABL1234[[#This Row],[S/S_CON.]]</f>
        <v>0</v>
      </c>
      <c r="T89" s="3">
        <f>TABL1234[[#This Row],[(S/S) AJD]]+TABL1234[[#This Row],[(T/B) AJD]]</f>
        <v>0</v>
      </c>
      <c r="U89" s="41"/>
      <c r="V89" s="41"/>
      <c r="W89" s="3">
        <f>TABL1234[[#This Row],[(A/B) AJD]]+TABL1234[[#This Row],[(A/S)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Row],[AJD_Evaporation]])</f>
        <v>0</v>
      </c>
      <c r="AE89" s="41"/>
      <c r="AF89" s="43"/>
      <c r="AG89" s="43"/>
      <c r="AH89" s="6"/>
      <c r="AI89" s="43"/>
      <c r="AJ89" s="43">
        <f>TABL1234[[#This Row],[(A/B) AJD]]-TABL1234[[#This Row],[BER_IN]]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Row],[(A/S) AJD]]-TABL1234[[#This Row],[SER_IN]]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 (T/B) SAR]]+TABL1234[[#This Row],[ (S/S) SAR]]</f>
        <v>0</v>
      </c>
      <c r="L90" s="45"/>
      <c r="M90" s="46"/>
      <c r="N90" s="46"/>
      <c r="O90" s="40"/>
      <c r="P90" s="3">
        <f>TABL1234[[#This Row],[ (S/S) SAR]]-TABL1234[[#This Row],[(S/S) AJD]]</f>
        <v>0</v>
      </c>
      <c r="Q90" s="40"/>
      <c r="R90" s="3">
        <f>TABL1234[[#This Row],[ (T/B) SAR]]-TABL1234[[#This Row],[(T/B) AJD]]</f>
        <v>0</v>
      </c>
      <c r="S90" s="3">
        <f>TABL1234[[#This Row],[T/B-CON.]]+TABL1234[[#This Row],[S/S_CON.]]</f>
        <v>0</v>
      </c>
      <c r="T90" s="3">
        <f>TABL1234[[#This Row],[(S/S) AJD]]+TABL1234[[#This Row],[(T/B) AJD]]</f>
        <v>0</v>
      </c>
      <c r="U90" s="44"/>
      <c r="V90" s="44"/>
      <c r="W90" s="3">
        <f>TABL1234[[#This Row],[(A/B) AJD]]+TABL1234[[#This Row],[(A/S)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Row],[AJD_Evaporation]])</f>
        <v>0</v>
      </c>
      <c r="AE90" s="44"/>
      <c r="AF90" s="45"/>
      <c r="AG90" s="45"/>
      <c r="AH90" s="6"/>
      <c r="AI90" s="45"/>
      <c r="AJ90" s="90">
        <f>TABL1234[[#This Row],[(A/B) AJD]]-TABL1234[[#This Row],[BER_IN]]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Row],[(A/S) AJD]]-TABL1234[[#This Row],[SER_IN]]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 (T/B) SAR]]+TABL1234[[#This Row],[ (S/S) SAR]]</f>
        <v>0</v>
      </c>
      <c r="L91" s="41"/>
      <c r="M91" s="42"/>
      <c r="N91" s="42"/>
      <c r="O91" s="39"/>
      <c r="P91" s="3">
        <f>TABL1234[[#This Row],[ (S/S) SAR]]-TABL1234[[#This Row],[(S/S) AJD]]</f>
        <v>0</v>
      </c>
      <c r="Q91" s="39"/>
      <c r="R91" s="3">
        <f>TABL1234[[#This Row],[ (T/B) SAR]]-TABL1234[[#This Row],[(T/B) AJD]]</f>
        <v>0</v>
      </c>
      <c r="S91" s="3">
        <f>TABL1234[[#This Row],[T/B-CON.]]+TABL1234[[#This Row],[S/S_CON.]]</f>
        <v>0</v>
      </c>
      <c r="T91" s="3">
        <f>TABL1234[[#This Row],[(S/S) AJD]]+TABL1234[[#This Row],[(T/B) AJD]]</f>
        <v>0</v>
      </c>
      <c r="U91" s="41"/>
      <c r="V91" s="41"/>
      <c r="W91" s="3">
        <f>TABL1234[[#This Row],[(A/B) AJD]]+TABL1234[[#This Row],[(A/S)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Row],[AJD_Evaporation]])</f>
        <v>0</v>
      </c>
      <c r="AE91" s="41"/>
      <c r="AF91" s="43"/>
      <c r="AG91" s="43"/>
      <c r="AH91" s="6"/>
      <c r="AI91" s="43"/>
      <c r="AJ91" s="43">
        <f>TABL1234[[#This Row],[(A/B) AJD]]-TABL1234[[#This Row],[BER_IN]]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Row],[(A/S) AJD]]-TABL1234[[#This Row],[SER_IN]]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 (T/B) SAR]]+TABL1234[[#This Row],[ (S/S) SAR]]</f>
        <v>0</v>
      </c>
      <c r="L92" s="41"/>
      <c r="M92" s="42"/>
      <c r="N92" s="42"/>
      <c r="O92" s="39"/>
      <c r="P92" s="3">
        <f>TABL1234[[#This Row],[ (S/S) SAR]]-TABL1234[[#This Row],[(S/S) AJD]]</f>
        <v>0</v>
      </c>
      <c r="Q92" s="39"/>
      <c r="R92" s="3">
        <f>TABL1234[[#This Row],[ (T/B) SAR]]-TABL1234[[#This Row],[(T/B) AJD]]</f>
        <v>0</v>
      </c>
      <c r="S92" s="3">
        <f>TABL1234[[#This Row],[T/B-CON.]]+TABL1234[[#This Row],[S/S_CON.]]</f>
        <v>0</v>
      </c>
      <c r="T92" s="3">
        <f>TABL1234[[#This Row],[(S/S) AJD]]+TABL1234[[#This Row],[(T/B) AJD]]</f>
        <v>0</v>
      </c>
      <c r="U92" s="41"/>
      <c r="V92" s="41"/>
      <c r="W92" s="3">
        <f>TABL1234[[#This Row],[(A/B) AJD]]+TABL1234[[#This Row],[(A/S)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Row],[AJD_Evaporation]])</f>
        <v>0</v>
      </c>
      <c r="AE92" s="41"/>
      <c r="AF92" s="43"/>
      <c r="AG92" s="43"/>
      <c r="AH92" s="6"/>
      <c r="AI92" s="43"/>
      <c r="AJ92" s="43">
        <f>TABL1234[[#This Row],[(A/B) AJD]]-TABL1234[[#This Row],[BER_IN]]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Row],[(A/S) AJD]]-TABL1234[[#This Row],[SER_IN]]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 (T/B) SAR]]+TABL1234[[#This Row],[ (S/S) SAR]]</f>
        <v>0</v>
      </c>
      <c r="L93" s="45"/>
      <c r="M93" s="46"/>
      <c r="N93" s="46"/>
      <c r="O93" s="40"/>
      <c r="P93" s="3">
        <f>TABL1234[[#This Row],[ (S/S) SAR]]-TABL1234[[#This Row],[(S/S) AJD]]</f>
        <v>0</v>
      </c>
      <c r="Q93" s="40"/>
      <c r="R93" s="3">
        <f>TABL1234[[#This Row],[ (T/B) SAR]]-TABL1234[[#This Row],[(T/B) AJD]]</f>
        <v>0</v>
      </c>
      <c r="S93" s="3">
        <f>TABL1234[[#This Row],[T/B-CON.]]+TABL1234[[#This Row],[S/S_CON.]]</f>
        <v>0</v>
      </c>
      <c r="T93" s="3">
        <f>TABL1234[[#This Row],[(S/S) AJD]]+TABL1234[[#This Row],[(T/B) AJD]]</f>
        <v>0</v>
      </c>
      <c r="U93" s="44"/>
      <c r="V93" s="44"/>
      <c r="W93" s="3">
        <f>TABL1234[[#This Row],[(A/B) AJD]]+TABL1234[[#This Row],[(A/S)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Row],[AJD_Evaporation]])</f>
        <v>0</v>
      </c>
      <c r="AE93" s="44"/>
      <c r="AF93" s="45"/>
      <c r="AG93" s="45"/>
      <c r="AH93" s="6"/>
      <c r="AI93" s="45"/>
      <c r="AJ93" s="45">
        <f>TABL1234[[#This Row],[(A/B) AJD]]-TABL1234[[#This Row],[BER_IN]]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Row],[(A/S) AJD]]-TABL1234[[#This Row],[SER_IN]]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 (T/B) SAR]]+TABL1234[[#This Row],[ (S/S) SAR]]</f>
        <v>0</v>
      </c>
      <c r="L94" s="41"/>
      <c r="M94" s="42"/>
      <c r="N94" s="42"/>
      <c r="O94" s="39"/>
      <c r="P94" s="3">
        <f>TABL1234[[#This Row],[ (S/S) SAR]]-TABL1234[[#This Row],[(S/S) AJD]]</f>
        <v>0</v>
      </c>
      <c r="Q94" s="39"/>
      <c r="R94" s="3">
        <f>TABL1234[[#This Row],[ (T/B) SAR]]-TABL1234[[#This Row],[(T/B) AJD]]</f>
        <v>0</v>
      </c>
      <c r="S94" s="3">
        <f>TABL1234[[#This Row],[T/B-CON.]]+TABL1234[[#This Row],[S/S_CON.]]</f>
        <v>0</v>
      </c>
      <c r="T94" s="3">
        <f>TABL1234[[#This Row],[(S/S) AJD]]+TABL1234[[#This Row],[(T/B) AJD]]</f>
        <v>0</v>
      </c>
      <c r="U94" s="41"/>
      <c r="V94" s="41"/>
      <c r="W94" s="3">
        <f>TABL1234[[#This Row],[(A/B) AJD]]+TABL1234[[#This Row],[(A/S)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Row],[AJD_Evaporation]])</f>
        <v>0</v>
      </c>
      <c r="AE94" s="41"/>
      <c r="AF94" s="43"/>
      <c r="AG94" s="43"/>
      <c r="AH94" s="6"/>
      <c r="AI94" s="43"/>
      <c r="AJ94" s="43">
        <f>TABL1234[[#This Row],[(A/B) AJD]]-TABL1234[[#This Row],[BER_IN]]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Row],[(A/S) AJD]]-TABL1234[[#This Row],[SER_IN]]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 (T/B) SAR]]+TABL1234[[#This Row],[ (S/S) SAR]]</f>
        <v>0</v>
      </c>
      <c r="L95" s="45"/>
      <c r="M95" s="46"/>
      <c r="N95" s="46"/>
      <c r="O95" s="40"/>
      <c r="P95" s="3">
        <f>TABL1234[[#This Row],[ (S/S) SAR]]-TABL1234[[#This Row],[(S/S) AJD]]</f>
        <v>0</v>
      </c>
      <c r="Q95" s="40"/>
      <c r="R95" s="3">
        <f>TABL1234[[#This Row],[ (T/B) SAR]]-TABL1234[[#This Row],[(T/B) AJD]]</f>
        <v>0</v>
      </c>
      <c r="S95" s="3">
        <f>TABL1234[[#This Row],[T/B-CON.]]+TABL1234[[#This Row],[S/S_CON.]]</f>
        <v>0</v>
      </c>
      <c r="T95" s="3">
        <f>TABL1234[[#This Row],[(S/S) AJD]]+TABL1234[[#This Row],[(T/B) AJD]]</f>
        <v>0</v>
      </c>
      <c r="U95" s="44"/>
      <c r="V95" s="44"/>
      <c r="W95" s="3">
        <f>TABL1234[[#This Row],[(A/B) AJD]]+TABL1234[[#This Row],[(A/S)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Row],[AJD_Evaporation]])</f>
        <v>0</v>
      </c>
      <c r="AE95" s="44"/>
      <c r="AF95" s="45"/>
      <c r="AG95" s="45"/>
      <c r="AH95" s="6"/>
      <c r="AI95" s="45"/>
      <c r="AJ95" s="45">
        <f>TABL1234[[#This Row],[(A/B) AJD]]-TABL1234[[#This Row],[BER_IN]]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Row],[(A/S) AJD]]-TABL1234[[#This Row],[SER_IN]]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 (T/B) SAR]]+TABL1234[[#This Row],[ (S/S) SAR]]</f>
        <v>0</v>
      </c>
      <c r="L96" s="41"/>
      <c r="M96" s="42"/>
      <c r="N96" s="42"/>
      <c r="O96" s="39"/>
      <c r="P96" s="3">
        <f>TABL1234[[#This Row],[ (S/S) SAR]]-TABL1234[[#This Row],[(S/S) AJD]]</f>
        <v>0</v>
      </c>
      <c r="Q96" s="39"/>
      <c r="R96" s="3">
        <f>TABL1234[[#This Row],[ (T/B) SAR]]-TABL1234[[#This Row],[(T/B) AJD]]</f>
        <v>0</v>
      </c>
      <c r="S96" s="3">
        <f>TABL1234[[#This Row],[T/B-CON.]]+TABL1234[[#This Row],[S/S_CON.]]</f>
        <v>0</v>
      </c>
      <c r="T96" s="3">
        <f>TABL1234[[#This Row],[(S/S) AJD]]+TABL1234[[#This Row],[(T/B) AJD]]</f>
        <v>0</v>
      </c>
      <c r="U96" s="41"/>
      <c r="V96" s="41"/>
      <c r="W96" s="3">
        <f>TABL1234[[#This Row],[(A/B) AJD]]+TABL1234[[#This Row],[(A/S)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Row],[AJD_Evaporation]])</f>
        <v>0</v>
      </c>
      <c r="AE96" s="41"/>
      <c r="AF96" s="43"/>
      <c r="AG96" s="43"/>
      <c r="AH96" s="6"/>
      <c r="AI96" s="43"/>
      <c r="AJ96" s="43">
        <f>TABL1234[[#This Row],[(A/B) AJD]]-TABL1234[[#This Row],[BER_IN]]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Row],[(A/S) AJD]]-TABL1234[[#This Row],[SER_IN]]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 (T/B) SAR]]+TABL1234[[#This Row],[ (S/S) SAR]]</f>
        <v>0</v>
      </c>
      <c r="L97" s="45"/>
      <c r="M97" s="46"/>
      <c r="N97" s="46"/>
      <c r="O97" s="40"/>
      <c r="P97" s="3">
        <f>TABL1234[[#This Row],[ (S/S) SAR]]-TABL1234[[#This Row],[(S/S) AJD]]</f>
        <v>0</v>
      </c>
      <c r="Q97" s="40"/>
      <c r="R97" s="3">
        <f>TABL1234[[#This Row],[ (T/B) SAR]]-TABL1234[[#This Row],[(T/B) AJD]]</f>
        <v>0</v>
      </c>
      <c r="S97" s="3">
        <f>TABL1234[[#This Row],[T/B-CON.]]+TABL1234[[#This Row],[S/S_CON.]]</f>
        <v>0</v>
      </c>
      <c r="T97" s="3">
        <f>TABL1234[[#This Row],[(S/S) AJD]]+TABL1234[[#This Row],[(T/B) AJD]]</f>
        <v>0</v>
      </c>
      <c r="U97" s="44"/>
      <c r="V97" s="44"/>
      <c r="W97" s="3">
        <f>TABL1234[[#This Row],[(A/B) AJD]]+TABL1234[[#This Row],[(A/S)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Row],[AJD_Evaporation]])</f>
        <v>0</v>
      </c>
      <c r="AE97" s="44"/>
      <c r="AF97" s="45"/>
      <c r="AG97" s="45"/>
      <c r="AH97" s="6"/>
      <c r="AI97" s="45"/>
      <c r="AJ97" s="45">
        <f>TABL1234[[#This Row],[(A/B) AJD]]-TABL1234[[#This Row],[BER_IN]]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Row],[(A/S) AJD]]-TABL1234[[#This Row],[SER_IN]]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 (T/B) SAR]]+TABL1234[[#This Row],[ (S/S) SAR]]</f>
        <v>0</v>
      </c>
      <c r="L98" s="41"/>
      <c r="M98" s="42"/>
      <c r="N98" s="42"/>
      <c r="O98" s="39"/>
      <c r="P98" s="3">
        <f>TABL1234[[#This Row],[ (S/S) SAR]]-TABL1234[[#This Row],[(S/S) AJD]]</f>
        <v>0</v>
      </c>
      <c r="Q98" s="39"/>
      <c r="R98" s="3">
        <f>TABL1234[[#This Row],[ (T/B) SAR]]-TABL1234[[#This Row],[(T/B) AJD]]</f>
        <v>0</v>
      </c>
      <c r="S98" s="3">
        <f>TABL1234[[#This Row],[T/B-CON.]]+TABL1234[[#This Row],[S/S_CON.]]</f>
        <v>0</v>
      </c>
      <c r="T98" s="3">
        <f>TABL1234[[#This Row],[(S/S) AJD]]+TABL1234[[#This Row],[(T/B) AJD]]</f>
        <v>0</v>
      </c>
      <c r="U98" s="41"/>
      <c r="V98" s="41"/>
      <c r="W98" s="3">
        <f>TABL1234[[#This Row],[(A/B) AJD]]+TABL1234[[#This Row],[(A/S)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Row],[AJD_Evaporation]])</f>
        <v>0</v>
      </c>
      <c r="AE98" s="41"/>
      <c r="AF98" s="43"/>
      <c r="AG98" s="43"/>
      <c r="AH98" s="6"/>
      <c r="AI98" s="43"/>
      <c r="AJ98" s="43">
        <f>TABL1234[[#This Row],[(A/B) AJD]]-TABL1234[[#This Row],[BER_IN]]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Row],[(A/S) AJD]]-TABL1234[[#This Row],[SER_IN]]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 (T/B) SAR]]+TABL1234[[#This Row],[ (S/S) SAR]]</f>
        <v>0</v>
      </c>
      <c r="L99" s="45"/>
      <c r="M99" s="46"/>
      <c r="N99" s="46"/>
      <c r="O99" s="40"/>
      <c r="P99" s="3">
        <f>TABL1234[[#This Row],[ (S/S) SAR]]-TABL1234[[#This Row],[(S/S) AJD]]</f>
        <v>0</v>
      </c>
      <c r="Q99" s="40"/>
      <c r="R99" s="3">
        <f>TABL1234[[#This Row],[ (T/B) SAR]]-TABL1234[[#This Row],[(T/B) AJD]]</f>
        <v>0</v>
      </c>
      <c r="S99" s="3">
        <f>TABL1234[[#This Row],[T/B-CON.]]+TABL1234[[#This Row],[S/S_CON.]]</f>
        <v>0</v>
      </c>
      <c r="T99" s="3">
        <f>TABL1234[[#This Row],[(S/S) AJD]]+TABL1234[[#This Row],[(T/B) AJD]]</f>
        <v>0</v>
      </c>
      <c r="U99" s="44"/>
      <c r="V99" s="44"/>
      <c r="W99" s="3">
        <f>TABL1234[[#This Row],[(A/B) AJD]]+TABL1234[[#This Row],[(A/S)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Row],[AJD_Evaporation]])</f>
        <v>0</v>
      </c>
      <c r="AE99" s="44"/>
      <c r="AF99" s="45"/>
      <c r="AG99" s="45"/>
      <c r="AH99" s="6"/>
      <c r="AI99" s="45"/>
      <c r="AJ99" s="45">
        <f>TABL1234[[#This Row],[(A/B) AJD]]-TABL1234[[#This Row],[BER_IN]]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Row],[(A/S) AJD]]-TABL1234[[#This Row],[SER_IN]]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 (T/B) SAR]]+TABL1234[[#This Row],[ (S/S) SAR]]</f>
        <v>0</v>
      </c>
      <c r="L100" s="41"/>
      <c r="M100" s="42"/>
      <c r="N100" s="42"/>
      <c r="O100" s="39"/>
      <c r="P100" s="3">
        <f>TABL1234[[#This Row],[ (S/S) SAR]]-TABL1234[[#This Row],[(S/S) AJD]]</f>
        <v>0</v>
      </c>
      <c r="Q100" s="39"/>
      <c r="R100" s="3">
        <f>TABL1234[[#This Row],[ (T/B) SAR]]-TABL1234[[#This Row],[(T/B) AJD]]</f>
        <v>0</v>
      </c>
      <c r="S100" s="3">
        <f>TABL1234[[#This Row],[T/B-CON.]]+TABL1234[[#This Row],[S/S_CON.]]</f>
        <v>0</v>
      </c>
      <c r="T100" s="3">
        <f>TABL1234[[#This Row],[(S/S) AJD]]+TABL1234[[#This Row],[(T/B) AJD]]</f>
        <v>0</v>
      </c>
      <c r="U100" s="41"/>
      <c r="V100" s="41"/>
      <c r="W100" s="3">
        <f>TABL1234[[#This Row],[(A/B) AJD]]+TABL1234[[#This Row],[(A/S)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Row],[AJD_Evaporation]])</f>
        <v>0</v>
      </c>
      <c r="AE100" s="41"/>
      <c r="AF100" s="43"/>
      <c r="AG100" s="43"/>
      <c r="AH100" s="6"/>
      <c r="AI100" s="43"/>
      <c r="AJ100" s="43">
        <f>TABL1234[[#This Row],[(A/B) AJD]]-TABL1234[[#This Row],[BER_IN]]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Row],[(A/S) AJD]]-TABL1234[[#This Row],[SER_IN]]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 (T/B) SAR]]+TABL1234[[#This Row],[ (S/S) SAR]]</f>
        <v>0</v>
      </c>
      <c r="L101" s="45"/>
      <c r="M101" s="46"/>
      <c r="N101" s="46"/>
      <c r="O101" s="40"/>
      <c r="P101" s="3">
        <f>TABL1234[[#This Row],[ (S/S) SAR]]-TABL1234[[#This Row],[(S/S) AJD]]</f>
        <v>0</v>
      </c>
      <c r="Q101" s="40"/>
      <c r="R101" s="3">
        <f>TABL1234[[#This Row],[ (T/B) SAR]]-TABL1234[[#This Row],[(T/B) AJD]]</f>
        <v>0</v>
      </c>
      <c r="S101" s="3">
        <f>TABL1234[[#This Row],[T/B-CON.]]+TABL1234[[#This Row],[S/S_CON.]]</f>
        <v>0</v>
      </c>
      <c r="T101" s="3">
        <f>TABL1234[[#This Row],[(S/S) AJD]]+TABL1234[[#This Row],[(T/B) AJD]]</f>
        <v>0</v>
      </c>
      <c r="U101" s="44"/>
      <c r="V101" s="44"/>
      <c r="W101" s="3">
        <f>TABL1234[[#This Row],[(A/B) AJD]]+TABL1234[[#This Row],[(A/S)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Row],[AJD_Evaporation]])</f>
        <v>0</v>
      </c>
      <c r="AE101" s="44"/>
      <c r="AF101" s="45"/>
      <c r="AG101" s="45"/>
      <c r="AH101" s="6"/>
      <c r="AI101" s="45"/>
      <c r="AJ101" s="45">
        <f>TABL1234[[#This Row],[(A/B) AJD]]-TABL1234[[#This Row],[BER_IN]]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Row],[(A/S) AJD]]-TABL1234[[#This Row],[SER_IN]]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 (T/B) SAR]]+TABL1234[[#This Row],[ (S/S) SAR]]</f>
        <v>0</v>
      </c>
      <c r="L102" s="41"/>
      <c r="M102" s="42"/>
      <c r="N102" s="42"/>
      <c r="O102" s="39"/>
      <c r="P102" s="3">
        <f>TABL1234[[#This Row],[ (S/S) SAR]]-TABL1234[[#This Row],[(S/S) AJD]]</f>
        <v>0</v>
      </c>
      <c r="Q102" s="39"/>
      <c r="R102" s="3">
        <f>TABL1234[[#This Row],[ (T/B) SAR]]-TABL1234[[#This Row],[(T/B) AJD]]</f>
        <v>0</v>
      </c>
      <c r="S102" s="3">
        <f>TABL1234[[#This Row],[T/B-CON.]]+TABL1234[[#This Row],[S/S_CON.]]</f>
        <v>0</v>
      </c>
      <c r="T102" s="3">
        <f>TABL1234[[#This Row],[(S/S) AJD]]+TABL1234[[#This Row],[(T/B) AJD]]</f>
        <v>0</v>
      </c>
      <c r="U102" s="41"/>
      <c r="V102" s="41"/>
      <c r="W102" s="3">
        <f>TABL1234[[#This Row],[(A/B) AJD]]+TABL1234[[#This Row],[(A/S)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Row],[AJD_Evaporation]])</f>
        <v>0</v>
      </c>
      <c r="AE102" s="41"/>
      <c r="AF102" s="43"/>
      <c r="AG102" s="43"/>
      <c r="AH102" s="6"/>
      <c r="AI102" s="43"/>
      <c r="AJ102" s="43">
        <f>TABL1234[[#This Row],[(A/B) AJD]]-TABL1234[[#This Row],[BER_IN]]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Row],[(A/S) AJD]]-TABL1234[[#This Row],[SER_IN]]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 (T/B) SAR]]+TABL1234[[#This Row],[ (S/S) SAR]]</f>
        <v>0</v>
      </c>
      <c r="L103" s="45"/>
      <c r="M103" s="46"/>
      <c r="N103" s="46"/>
      <c r="O103" s="40"/>
      <c r="P103" s="3">
        <f>TABL1234[[#This Row],[ (S/S) SAR]]-TABL1234[[#This Row],[(S/S) AJD]]</f>
        <v>0</v>
      </c>
      <c r="Q103" s="40"/>
      <c r="R103" s="3">
        <f>TABL1234[[#This Row],[ (T/B) SAR]]-TABL1234[[#This Row],[(T/B) AJD]]</f>
        <v>0</v>
      </c>
      <c r="S103" s="3">
        <f>TABL1234[[#This Row],[T/B-CON.]]+TABL1234[[#This Row],[S/S_CON.]]</f>
        <v>0</v>
      </c>
      <c r="T103" s="3">
        <f>TABL1234[[#This Row],[(S/S) AJD]]+TABL1234[[#This Row],[(T/B) AJD]]</f>
        <v>0</v>
      </c>
      <c r="U103" s="44"/>
      <c r="V103" s="44"/>
      <c r="W103" s="3">
        <f>TABL1234[[#This Row],[(A/B) AJD]]+TABL1234[[#This Row],[(A/S)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Row],[AJD_Evaporation]])</f>
        <v>0</v>
      </c>
      <c r="AE103" s="44"/>
      <c r="AF103" s="45"/>
      <c r="AG103" s="45"/>
      <c r="AH103" s="6"/>
      <c r="AI103" s="45"/>
      <c r="AJ103" s="45">
        <f>TABL1234[[#This Row],[(A/B) AJD]]-TABL1234[[#This Row],[BER_IN]]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Row],[(A/S) AJD]]-TABL1234[[#This Row],[SER_IN]]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 (T/B) SAR]]+TABL1234[[#This Row],[ (S/S) SAR]]</f>
        <v>0</v>
      </c>
      <c r="L104" s="41"/>
      <c r="M104" s="42"/>
      <c r="N104" s="42"/>
      <c r="O104" s="39"/>
      <c r="P104" s="3">
        <f>TABL1234[[#This Row],[ (S/S) SAR]]-TABL1234[[#This Row],[(S/S) AJD]]</f>
        <v>0</v>
      </c>
      <c r="Q104" s="39"/>
      <c r="R104" s="3">
        <f>TABL1234[[#This Row],[ (T/B) SAR]]-TABL1234[[#This Row],[(T/B) AJD]]</f>
        <v>0</v>
      </c>
      <c r="S104" s="3">
        <f>TABL1234[[#This Row],[T/B-CON.]]+TABL1234[[#This Row],[S/S_CON.]]</f>
        <v>0</v>
      </c>
      <c r="T104" s="3">
        <f>TABL1234[[#This Row],[(S/S) AJD]]+TABL1234[[#This Row],[(T/B) AJD]]</f>
        <v>0</v>
      </c>
      <c r="U104" s="41"/>
      <c r="V104" s="41"/>
      <c r="W104" s="3">
        <f>TABL1234[[#This Row],[(A/B) AJD]]+TABL1234[[#This Row],[(A/S)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Row],[AJD_Evaporation]])</f>
        <v>0</v>
      </c>
      <c r="AE104" s="41"/>
      <c r="AF104" s="43"/>
      <c r="AG104" s="43"/>
      <c r="AH104" s="6"/>
      <c r="AI104" s="43"/>
      <c r="AJ104" s="43">
        <f>TABL1234[[#This Row],[(A/B) AJD]]-TABL1234[[#This Row],[BER_IN]]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Row],[(A/S) AJD]]-TABL1234[[#This Row],[SER_IN]]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 (T/B) SAR]]+TABL1234[[#This Row],[ (S/S) SAR]]</f>
        <v>0</v>
      </c>
      <c r="L105" s="45"/>
      <c r="M105" s="46"/>
      <c r="N105" s="46"/>
      <c r="O105" s="40"/>
      <c r="P105" s="3">
        <f>TABL1234[[#This Row],[ (S/S) SAR]]-TABL1234[[#This Row],[(S/S) AJD]]</f>
        <v>0</v>
      </c>
      <c r="Q105" s="40"/>
      <c r="R105" s="3">
        <f>TABL1234[[#This Row],[ (T/B) SAR]]-TABL1234[[#This Row],[(T/B) AJD]]</f>
        <v>0</v>
      </c>
      <c r="S105" s="3">
        <f>TABL1234[[#This Row],[T/B-CON.]]+TABL1234[[#This Row],[S/S_CON.]]</f>
        <v>0</v>
      </c>
      <c r="T105" s="3">
        <f>TABL1234[[#This Row],[(S/S) AJD]]+TABL1234[[#This Row],[(T/B) AJD]]</f>
        <v>0</v>
      </c>
      <c r="U105" s="44"/>
      <c r="V105" s="44"/>
      <c r="W105" s="3">
        <f>TABL1234[[#This Row],[(A/B) AJD]]+TABL1234[[#This Row],[(A/S)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Row],[AJD_Evaporation]])</f>
        <v>0</v>
      </c>
      <c r="AE105" s="44"/>
      <c r="AF105" s="45"/>
      <c r="AG105" s="45"/>
      <c r="AH105" s="6"/>
      <c r="AI105" s="45"/>
      <c r="AJ105" s="45">
        <f>TABL1234[[#This Row],[(A/B) AJD]]-TABL1234[[#This Row],[BER_IN]]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Row],[(A/S) AJD]]-TABL1234[[#This Row],[SER_IN]]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 (T/B) SAR]]+TABL1234[[#This Row],[ (S/S) SAR]]</f>
        <v>0</v>
      </c>
      <c r="L106" s="41"/>
      <c r="M106" s="42"/>
      <c r="N106" s="42"/>
      <c r="O106" s="39"/>
      <c r="P106" s="3">
        <f>TABL1234[[#This Row],[ (S/S) SAR]]-TABL1234[[#This Row],[(S/S) AJD]]</f>
        <v>0</v>
      </c>
      <c r="Q106" s="39"/>
      <c r="R106" s="3">
        <f>TABL1234[[#This Row],[ (T/B) SAR]]-TABL1234[[#This Row],[(T/B) AJD]]</f>
        <v>0</v>
      </c>
      <c r="S106" s="3">
        <f>TABL1234[[#This Row],[T/B-CON.]]+TABL1234[[#This Row],[S/S_CON.]]</f>
        <v>0</v>
      </c>
      <c r="T106" s="3">
        <f>TABL1234[[#This Row],[(S/S) AJD]]+TABL1234[[#This Row],[(T/B) AJD]]</f>
        <v>0</v>
      </c>
      <c r="U106" s="41"/>
      <c r="V106" s="41"/>
      <c r="W106" s="3">
        <f>TABL1234[[#This Row],[(A/B) AJD]]+TABL1234[[#This Row],[(A/S)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Row],[AJD_Evaporation]])</f>
        <v>0</v>
      </c>
      <c r="AE106" s="41"/>
      <c r="AF106" s="43"/>
      <c r="AG106" s="43"/>
      <c r="AH106" s="6"/>
      <c r="AI106" s="43"/>
      <c r="AJ106" s="43">
        <f>TABL1234[[#This Row],[(A/B) AJD]]-TABL1234[[#This Row],[BER_IN]]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Row],[(A/S) AJD]]-TABL1234[[#This Row],[SER_IN]]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 (T/B) SAR]]+TABL1234[[#This Row],[ (S/S) SAR]]</f>
        <v>0</v>
      </c>
      <c r="L107" s="45"/>
      <c r="M107" s="46"/>
      <c r="N107" s="46"/>
      <c r="O107" s="40"/>
      <c r="P107" s="3">
        <f>TABL1234[[#This Row],[ (S/S) SAR]]-TABL1234[[#This Row],[(S/S) AJD]]</f>
        <v>0</v>
      </c>
      <c r="Q107" s="40"/>
      <c r="R107" s="3">
        <f>TABL1234[[#This Row],[ (T/B) SAR]]-TABL1234[[#This Row],[(T/B) AJD]]</f>
        <v>0</v>
      </c>
      <c r="S107" s="3">
        <f>TABL1234[[#This Row],[T/B-CON.]]+TABL1234[[#This Row],[S/S_CON.]]</f>
        <v>0</v>
      </c>
      <c r="T107" s="3">
        <f>TABL1234[[#This Row],[(S/S) AJD]]+TABL1234[[#This Row],[(T/B) AJD]]</f>
        <v>0</v>
      </c>
      <c r="U107" s="44"/>
      <c r="V107" s="44"/>
      <c r="W107" s="3">
        <f>TABL1234[[#This Row],[(A/B) AJD]]+TABL1234[[#This Row],[(A/S)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Row],[AJD_Evaporation]])</f>
        <v>0</v>
      </c>
      <c r="AE107" s="44"/>
      <c r="AF107" s="45"/>
      <c r="AG107" s="45"/>
      <c r="AH107" s="6"/>
      <c r="AI107" s="45"/>
      <c r="AJ107" s="45">
        <f>TABL1234[[#This Row],[(A/B) AJD]]-TABL1234[[#This Row],[BER_IN]]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Row],[(A/S) AJD]]-TABL1234[[#This Row],[SER_IN]]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 (T/B) SAR]]+TABL1234[[#This Row],[ (S/S) SAR]]</f>
        <v>0</v>
      </c>
      <c r="L108" s="41"/>
      <c r="M108" s="42"/>
      <c r="N108" s="42"/>
      <c r="O108" s="39"/>
      <c r="P108" s="3">
        <f>TABL1234[[#This Row],[ (S/S) SAR]]-TABL1234[[#This Row],[(S/S) AJD]]</f>
        <v>0</v>
      </c>
      <c r="Q108" s="39"/>
      <c r="R108" s="3">
        <f>TABL1234[[#This Row],[ (T/B) SAR]]-TABL1234[[#This Row],[(T/B) AJD]]</f>
        <v>0</v>
      </c>
      <c r="S108" s="3">
        <f>TABL1234[[#This Row],[T/B-CON.]]+TABL1234[[#This Row],[S/S_CON.]]</f>
        <v>0</v>
      </c>
      <c r="T108" s="3">
        <f>TABL1234[[#This Row],[(S/S) AJD]]+TABL1234[[#This Row],[(T/B) AJD]]</f>
        <v>0</v>
      </c>
      <c r="U108" s="41"/>
      <c r="V108" s="41"/>
      <c r="W108" s="3">
        <f>TABL1234[[#This Row],[(A/B) AJD]]+TABL1234[[#This Row],[(A/S)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Row],[AJD_Evaporation]])</f>
        <v>0</v>
      </c>
      <c r="AE108" s="41"/>
      <c r="AF108" s="43"/>
      <c r="AG108" s="43"/>
      <c r="AH108" s="6"/>
      <c r="AI108" s="43"/>
      <c r="AJ108" s="43">
        <f>TABL1234[[#This Row],[(A/B) AJD]]-TABL1234[[#This Row],[BER_IN]]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Row],[(A/S) AJD]]-TABL1234[[#This Row],[SER_IN]]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 (T/B) SAR]]+TABL1234[[#This Row],[ (S/S) SAR]]</f>
        <v>0</v>
      </c>
      <c r="L109" s="45"/>
      <c r="M109" s="46"/>
      <c r="N109" s="46"/>
      <c r="O109" s="40"/>
      <c r="P109" s="3">
        <f>TABL1234[[#This Row],[ (S/S) SAR]]-TABL1234[[#This Row],[(S/S) AJD]]</f>
        <v>0</v>
      </c>
      <c r="Q109" s="40"/>
      <c r="R109" s="3">
        <f>TABL1234[[#This Row],[ (T/B) SAR]]-TABL1234[[#This Row],[(T/B) AJD]]</f>
        <v>0</v>
      </c>
      <c r="S109" s="3">
        <f>TABL1234[[#This Row],[T/B-CON.]]+TABL1234[[#This Row],[S/S_CON.]]</f>
        <v>0</v>
      </c>
      <c r="T109" s="3">
        <f>TABL1234[[#This Row],[(S/S) AJD]]+TABL1234[[#This Row],[(T/B) AJD]]</f>
        <v>0</v>
      </c>
      <c r="U109" s="44"/>
      <c r="V109" s="44"/>
      <c r="W109" s="3">
        <f>TABL1234[[#This Row],[(A/B) AJD]]+TABL1234[[#This Row],[(A/S)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Row],[AJD_Evaporation]])</f>
        <v>0</v>
      </c>
      <c r="AE109" s="44"/>
      <c r="AF109" s="45"/>
      <c r="AG109" s="45"/>
      <c r="AH109" s="6"/>
      <c r="AI109" s="45"/>
      <c r="AJ109" s="45">
        <f>TABL1234[[#This Row],[(A/B) AJD]]-TABL1234[[#This Row],[BER_IN]]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Row],[(A/S) AJD]]-TABL1234[[#This Row],[SER_IN]]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 (T/B) SAR]]+TABL1234[[#This Row],[ (S/S) SAR]]</f>
        <v>0</v>
      </c>
      <c r="L110" s="41"/>
      <c r="M110" s="42"/>
      <c r="N110" s="42"/>
      <c r="O110" s="39"/>
      <c r="P110" s="3">
        <f>TABL1234[[#This Row],[ (S/S) SAR]]-TABL1234[[#This Row],[(S/S) AJD]]</f>
        <v>0</v>
      </c>
      <c r="Q110" s="39"/>
      <c r="R110" s="3">
        <f>TABL1234[[#This Row],[ (T/B) SAR]]-TABL1234[[#This Row],[(T/B) AJD]]</f>
        <v>0</v>
      </c>
      <c r="S110" s="3">
        <f>TABL1234[[#This Row],[T/B-CON.]]+TABL1234[[#This Row],[S/S_CON.]]</f>
        <v>0</v>
      </c>
      <c r="T110" s="3">
        <f>TABL1234[[#This Row],[(S/S) AJD]]+TABL1234[[#This Row],[(T/B) AJD]]</f>
        <v>0</v>
      </c>
      <c r="U110" s="41"/>
      <c r="V110" s="41"/>
      <c r="W110" s="3">
        <f>TABL1234[[#This Row],[(A/B) AJD]]+TABL1234[[#This Row],[(A/S)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Row],[AJD_Evaporation]])</f>
        <v>0</v>
      </c>
      <c r="AE110" s="41"/>
      <c r="AF110" s="43"/>
      <c r="AG110" s="43"/>
      <c r="AH110" s="6"/>
      <c r="AI110" s="43"/>
      <c r="AJ110" s="43">
        <f>TABL1234[[#This Row],[(A/B) AJD]]-TABL1234[[#This Row],[BER_IN]]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Row],[(A/S) AJD]]-TABL1234[[#This Row],[SER_IN]]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 (T/B) SAR]]+TABL1234[[#This Row],[ (S/S) SAR]]</f>
        <v>0</v>
      </c>
      <c r="L111" s="45"/>
      <c r="M111" s="46"/>
      <c r="N111" s="46"/>
      <c r="O111" s="40"/>
      <c r="P111" s="3">
        <f>TABL1234[[#This Row],[ (S/S) SAR]]-TABL1234[[#This Row],[(S/S) AJD]]</f>
        <v>0</v>
      </c>
      <c r="Q111" s="40"/>
      <c r="R111" s="3">
        <f>TABL1234[[#This Row],[ (T/B) SAR]]-TABL1234[[#This Row],[(T/B) AJD]]</f>
        <v>0</v>
      </c>
      <c r="S111" s="3">
        <f>TABL1234[[#This Row],[T/B-CON.]]+TABL1234[[#This Row],[S/S_CON.]]</f>
        <v>0</v>
      </c>
      <c r="T111" s="3">
        <f>TABL1234[[#This Row],[(S/S) AJD]]+TABL1234[[#This Row],[(T/B) AJD]]</f>
        <v>0</v>
      </c>
      <c r="U111" s="44"/>
      <c r="V111" s="44"/>
      <c r="W111" s="3">
        <f>TABL1234[[#This Row],[(A/B) AJD]]+TABL1234[[#This Row],[(A/S)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Row],[AJD_Evaporation]])</f>
        <v>0</v>
      </c>
      <c r="AE111" s="44"/>
      <c r="AF111" s="45"/>
      <c r="AG111" s="45"/>
      <c r="AH111" s="6"/>
      <c r="AI111" s="45"/>
      <c r="AJ111" s="45">
        <f>TABL1234[[#This Row],[(A/B) AJD]]-TABL1234[[#This Row],[BER_IN]]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Row],[(A/S) AJD]]-TABL1234[[#This Row],[SER_IN]]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 (T/B) SAR]]+TABL1234[[#This Row],[ (S/S) SAR]]</f>
        <v>0</v>
      </c>
      <c r="L112" s="41"/>
      <c r="M112" s="42"/>
      <c r="N112" s="42"/>
      <c r="O112" s="39"/>
      <c r="P112" s="3">
        <f>TABL1234[[#This Row],[ (S/S) SAR]]-TABL1234[[#This Row],[(S/S) AJD]]</f>
        <v>0</v>
      </c>
      <c r="Q112" s="39"/>
      <c r="R112" s="3">
        <f>TABL1234[[#This Row],[ (T/B) SAR]]-TABL1234[[#This Row],[(T/B) AJD]]</f>
        <v>0</v>
      </c>
      <c r="S112" s="3">
        <f>TABL1234[[#This Row],[T/B-CON.]]+TABL1234[[#This Row],[S/S_CON.]]</f>
        <v>0</v>
      </c>
      <c r="T112" s="3">
        <f>TABL1234[[#This Row],[(S/S) AJD]]+TABL1234[[#This Row],[(T/B) AJD]]</f>
        <v>0</v>
      </c>
      <c r="U112" s="41"/>
      <c r="V112" s="41"/>
      <c r="W112" s="3">
        <f>TABL1234[[#This Row],[(A/B) AJD]]+TABL1234[[#This Row],[(A/S)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Row],[AJD_Evaporation]])</f>
        <v>0</v>
      </c>
      <c r="AE112" s="41"/>
      <c r="AF112" s="43"/>
      <c r="AG112" s="43"/>
      <c r="AH112" s="6"/>
      <c r="AI112" s="43"/>
      <c r="AJ112" s="43">
        <f>TABL1234[[#This Row],[(A/B) AJD]]-TABL1234[[#This Row],[BER_IN]]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Row],[(A/S) AJD]]-TABL1234[[#This Row],[SER_IN]]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 (T/B) SAR]]+TABL1234[[#This Row],[ (S/S) SAR]]</f>
        <v>0</v>
      </c>
      <c r="L113" s="45"/>
      <c r="M113" s="46"/>
      <c r="N113" s="46"/>
      <c r="O113" s="40"/>
      <c r="P113" s="3">
        <f>TABL1234[[#This Row],[ (S/S) SAR]]-TABL1234[[#This Row],[(S/S) AJD]]</f>
        <v>0</v>
      </c>
      <c r="Q113" s="40"/>
      <c r="R113" s="3">
        <f>TABL1234[[#This Row],[ (T/B) SAR]]-TABL1234[[#This Row],[(T/B) AJD]]</f>
        <v>0</v>
      </c>
      <c r="S113" s="3">
        <f>TABL1234[[#This Row],[T/B-CON.]]+TABL1234[[#This Row],[S/S_CON.]]</f>
        <v>0</v>
      </c>
      <c r="T113" s="3">
        <f>TABL1234[[#This Row],[(S/S) AJD]]+TABL1234[[#This Row],[(T/B) AJD]]</f>
        <v>0</v>
      </c>
      <c r="U113" s="44"/>
      <c r="V113" s="44"/>
      <c r="W113" s="3">
        <f>TABL1234[[#This Row],[(A/B) AJD]]+TABL1234[[#This Row],[(A/S)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Row],[AJD_Evaporation]])</f>
        <v>0</v>
      </c>
      <c r="AE113" s="44"/>
      <c r="AF113" s="45"/>
      <c r="AG113" s="45"/>
      <c r="AH113" s="6"/>
      <c r="AI113" s="45"/>
      <c r="AJ113" s="45">
        <f>TABL1234[[#This Row],[(A/B) AJD]]-TABL1234[[#This Row],[BER_IN]]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Row],[(A/S) AJD]]-TABL1234[[#This Row],[SER_IN]]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 (T/B) SAR]]+TABL1234[[#This Row],[ (S/S) SAR]]</f>
        <v>0</v>
      </c>
      <c r="L114" s="41"/>
      <c r="M114" s="42"/>
      <c r="N114" s="42"/>
      <c r="O114" s="39"/>
      <c r="P114" s="3">
        <f>TABL1234[[#This Row],[ (S/S) SAR]]-TABL1234[[#This Row],[(S/S) AJD]]</f>
        <v>0</v>
      </c>
      <c r="Q114" s="39"/>
      <c r="R114" s="3">
        <f>TABL1234[[#This Row],[ (T/B) SAR]]-TABL1234[[#This Row],[(T/B) AJD]]</f>
        <v>0</v>
      </c>
      <c r="S114" s="3">
        <f>TABL1234[[#This Row],[T/B-CON.]]+TABL1234[[#This Row],[S/S_CON.]]</f>
        <v>0</v>
      </c>
      <c r="T114" s="3">
        <f>TABL1234[[#This Row],[(S/S) AJD]]+TABL1234[[#This Row],[(T/B) AJD]]</f>
        <v>0</v>
      </c>
      <c r="U114" s="41"/>
      <c r="V114" s="41"/>
      <c r="W114" s="3">
        <f>TABL1234[[#This Row],[(A/B) AJD]]+TABL1234[[#This Row],[(A/S)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Row],[AJD_Evaporation]])</f>
        <v>0</v>
      </c>
      <c r="AE114" s="41"/>
      <c r="AF114" s="43"/>
      <c r="AG114" s="43"/>
      <c r="AH114" s="6"/>
      <c r="AI114" s="43"/>
      <c r="AJ114" s="43">
        <f>TABL1234[[#This Row],[(A/B) AJD]]-TABL1234[[#This Row],[BER_IN]]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Row],[(A/S) AJD]]-TABL1234[[#This Row],[SER_IN]]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 (T/B) SAR]]+TABL1234[[#This Row],[ (S/S) SAR]]</f>
        <v>0</v>
      </c>
      <c r="L115" s="45"/>
      <c r="M115" s="46"/>
      <c r="N115" s="46"/>
      <c r="O115" s="40"/>
      <c r="P115" s="3">
        <f>TABL1234[[#This Row],[ (S/S) SAR]]-TABL1234[[#This Row],[(S/S) AJD]]</f>
        <v>0</v>
      </c>
      <c r="Q115" s="40"/>
      <c r="R115" s="3">
        <f>TABL1234[[#This Row],[ (T/B) SAR]]-TABL1234[[#This Row],[(T/B) AJD]]</f>
        <v>0</v>
      </c>
      <c r="S115" s="3">
        <f>TABL1234[[#This Row],[T/B-CON.]]+TABL1234[[#This Row],[S/S_CON.]]</f>
        <v>0</v>
      </c>
      <c r="T115" s="3">
        <f>TABL1234[[#This Row],[(S/S) AJD]]+TABL1234[[#This Row],[(T/B) AJD]]</f>
        <v>0</v>
      </c>
      <c r="U115" s="44"/>
      <c r="V115" s="44"/>
      <c r="W115" s="3">
        <f>TABL1234[[#This Row],[(A/B) AJD]]+TABL1234[[#This Row],[(A/S)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Row],[AJD_Evaporation]])</f>
        <v>0</v>
      </c>
      <c r="AE115" s="44"/>
      <c r="AF115" s="45"/>
      <c r="AG115" s="45"/>
      <c r="AH115" s="6"/>
      <c r="AI115" s="45"/>
      <c r="AJ115" s="45">
        <f>TABL1234[[#This Row],[(A/B) AJD]]-TABL1234[[#This Row],[BER_IN]]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Row],[(A/S) AJD]]-TABL1234[[#This Row],[SER_IN]]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 (T/B) SAR]]+TABL1234[[#This Row],[ (S/S) SAR]]</f>
        <v>0</v>
      </c>
      <c r="L116" s="41"/>
      <c r="M116" s="42"/>
      <c r="N116" s="42"/>
      <c r="O116" s="39"/>
      <c r="P116" s="3">
        <f>TABL1234[[#This Row],[ (S/S) SAR]]-TABL1234[[#This Row],[(S/S) AJD]]</f>
        <v>0</v>
      </c>
      <c r="Q116" s="39"/>
      <c r="R116" s="3">
        <f>TABL1234[[#This Row],[ (T/B) SAR]]-TABL1234[[#This Row],[(T/B) AJD]]</f>
        <v>0</v>
      </c>
      <c r="S116" s="3">
        <f>TABL1234[[#This Row],[T/B-CON.]]+TABL1234[[#This Row],[S/S_CON.]]</f>
        <v>0</v>
      </c>
      <c r="T116" s="3">
        <f>TABL1234[[#This Row],[(S/S) AJD]]+TABL1234[[#This Row],[(T/B) AJD]]</f>
        <v>0</v>
      </c>
      <c r="U116" s="41"/>
      <c r="V116" s="41"/>
      <c r="W116" s="3">
        <f>TABL1234[[#This Row],[(A/B) AJD]]+TABL1234[[#This Row],[(A/S)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Row],[AJD_Evaporation]])</f>
        <v>0</v>
      </c>
      <c r="AE116" s="41"/>
      <c r="AF116" s="43"/>
      <c r="AG116" s="43"/>
      <c r="AH116" s="6"/>
      <c r="AI116" s="43"/>
      <c r="AJ116" s="43">
        <f>TABL1234[[#This Row],[(A/B) AJD]]-TABL1234[[#This Row],[BER_IN]]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Row],[(A/S) AJD]]-TABL1234[[#This Row],[SER_IN]]</f>
        <v>0</v>
      </c>
    </row>
    <row r="117" spans="1:42" ht="18.75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 (T/B) SAR]]+TABL1234[[#This Row],[ (S/S) SAR]]</f>
        <v>0</v>
      </c>
      <c r="L117" s="45"/>
      <c r="M117" s="46"/>
      <c r="N117" s="46"/>
      <c r="O117" s="40"/>
      <c r="P117" s="3">
        <f>TABL1234[[#This Row],[ (S/S) SAR]]-TABL1234[[#This Row],[(S/S) AJD]]</f>
        <v>0</v>
      </c>
      <c r="Q117" s="40"/>
      <c r="R117" s="3">
        <f>TABL1234[[#This Row],[ (T/B) SAR]]-TABL1234[[#This Row],[(T/B) AJD]]</f>
        <v>0</v>
      </c>
      <c r="S117" s="3">
        <f>TABL1234[[#This Row],[T/B-CON.]]+TABL1234[[#This Row],[S/S_CON.]]</f>
        <v>0</v>
      </c>
      <c r="T117" s="3">
        <f>TABL1234[[#This Row],[(S/S) AJD]]+TABL1234[[#This Row],[(T/B) AJD]]</f>
        <v>0</v>
      </c>
      <c r="U117" s="44"/>
      <c r="V117" s="44"/>
      <c r="W117" s="3">
        <f>TABL1234[[#This Row],[(A/B) AJD]]+TABL1234[[#This Row],[(A/S)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Row],[AJD_Evaporation]])</f>
        <v>0</v>
      </c>
      <c r="AE117" s="44"/>
      <c r="AF117" s="45"/>
      <c r="AG117" s="45"/>
      <c r="AH117" s="6"/>
      <c r="AI117" s="45"/>
      <c r="AJ117" s="45">
        <f>TABL1234[[#This Row],[(A/B) AJD]]-TABL1234[[#This Row],[BER_IN]]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Row],[(A/S) AJD]]-TABL1234[[#This Row],[SER_IN]]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 (T/B) SAR]]+TABL1234[[#This Row],[ (S/S) SAR]]</f>
        <v>0</v>
      </c>
      <c r="L118" s="41"/>
      <c r="M118" s="42"/>
      <c r="N118" s="42"/>
      <c r="O118" s="39"/>
      <c r="P118" s="3">
        <f>TABL1234[[#This Row],[ (S/S) SAR]]-TABL1234[[#This Row],[(S/S) AJD]]</f>
        <v>0</v>
      </c>
      <c r="Q118" s="39"/>
      <c r="R118" s="3">
        <f>TABL1234[[#This Row],[ (T/B) SAR]]-TABL1234[[#This Row],[(T/B) AJD]]</f>
        <v>0</v>
      </c>
      <c r="S118" s="3">
        <f>TABL1234[[#This Row],[T/B-CON.]]+TABL1234[[#This Row],[S/S_CON.]]</f>
        <v>0</v>
      </c>
      <c r="T118" s="3">
        <f>TABL1234[[#This Row],[(S/S) AJD]]+TABL1234[[#This Row],[(T/B) AJD]]</f>
        <v>0</v>
      </c>
      <c r="U118" s="41"/>
      <c r="V118" s="41"/>
      <c r="W118" s="3">
        <f>TABL1234[[#This Row],[(A/B) AJD]]+TABL1234[[#This Row],[(A/S)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Row],[AJD_Evaporation]])</f>
        <v>0</v>
      </c>
      <c r="AE118" s="41"/>
      <c r="AF118" s="43"/>
      <c r="AG118" s="43"/>
      <c r="AH118" s="6"/>
      <c r="AI118" s="43"/>
      <c r="AJ118" s="43">
        <f>TABL1234[[#This Row],[(A/B) AJD]]-TABL1234[[#This Row],[BER_IN]]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Row],[(A/S) AJD]]-TABL1234[[#This Row],[SER_IN]]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 (T/B) SAR]]+TABL1234[[#This Row],[ (S/S) SAR]]</f>
        <v>0</v>
      </c>
      <c r="L119" s="45"/>
      <c r="M119" s="46"/>
      <c r="N119" s="46"/>
      <c r="O119" s="40"/>
      <c r="P119" s="3">
        <f>TABL1234[[#This Row],[ (S/S) SAR]]-TABL1234[[#This Row],[(S/S) AJD]]</f>
        <v>0</v>
      </c>
      <c r="Q119" s="40"/>
      <c r="R119" s="3">
        <f>TABL1234[[#This Row],[ (T/B) SAR]]-TABL1234[[#This Row],[(T/B) AJD]]</f>
        <v>0</v>
      </c>
      <c r="S119" s="3">
        <f>TABL1234[[#This Row],[T/B-CON.]]+TABL1234[[#This Row],[S/S_CON.]]</f>
        <v>0</v>
      </c>
      <c r="T119" s="3">
        <f>TABL1234[[#This Row],[(S/S) AJD]]+TABL1234[[#This Row],[(T/B) AJD]]</f>
        <v>0</v>
      </c>
      <c r="U119" s="44"/>
      <c r="V119" s="44"/>
      <c r="W119" s="3">
        <f>TABL1234[[#This Row],[(A/B) AJD]]+TABL1234[[#This Row],[(A/S)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Row],[AJD_Evaporation]])</f>
        <v>0</v>
      </c>
      <c r="AE119" s="44"/>
      <c r="AF119" s="45"/>
      <c r="AG119" s="45"/>
      <c r="AH119" s="6"/>
      <c r="AI119" s="45"/>
      <c r="AJ119" s="45">
        <f>TABL1234[[#This Row],[(A/B) AJD]]-TABL1234[[#This Row],[BER_IN]]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Row],[(A/S) AJD]]-TABL1234[[#This Row],[SER_IN]]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 (T/B) SAR]]+TABL1234[[#This Row],[ (S/S) SAR]]</f>
        <v>0</v>
      </c>
      <c r="L120" s="41"/>
      <c r="M120" s="42"/>
      <c r="N120" s="42"/>
      <c r="O120" s="39"/>
      <c r="P120" s="3">
        <f>TABL1234[[#This Row],[ (S/S) SAR]]-TABL1234[[#This Row],[(S/S) AJD]]</f>
        <v>0</v>
      </c>
      <c r="Q120" s="39"/>
      <c r="R120" s="3">
        <f>TABL1234[[#This Row],[ (T/B) SAR]]-TABL1234[[#This Row],[(T/B) AJD]]</f>
        <v>0</v>
      </c>
      <c r="S120" s="3">
        <f>TABL1234[[#This Row],[T/B-CON.]]+TABL1234[[#This Row],[S/S_CON.]]</f>
        <v>0</v>
      </c>
      <c r="T120" s="3">
        <f>TABL1234[[#This Row],[(S/S) AJD]]+TABL1234[[#This Row],[(T/B) AJD]]</f>
        <v>0</v>
      </c>
      <c r="U120" s="41"/>
      <c r="V120" s="41"/>
      <c r="W120" s="3">
        <f>TABL1234[[#This Row],[(A/B) AJD]]+TABL1234[[#This Row],[(A/S)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Row],[AJD_Evaporation]])</f>
        <v>0</v>
      </c>
      <c r="AE120" s="41"/>
      <c r="AF120" s="43"/>
      <c r="AG120" s="43"/>
      <c r="AH120" s="6"/>
      <c r="AI120" s="43"/>
      <c r="AJ120" s="43">
        <f>TABL1234[[#This Row],[(A/B) AJD]]-TABL1234[[#This Row],[BER_IN]]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Row],[(A/S) AJD]]-TABL1234[[#This Row],[SER_IN]]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 (T/B) SAR]]+TABL1234[[#This Row],[ (S/S) SAR]]</f>
        <v>0</v>
      </c>
      <c r="L121" s="45"/>
      <c r="M121" s="46"/>
      <c r="N121" s="46"/>
      <c r="O121" s="40"/>
      <c r="P121" s="3">
        <f>TABL1234[[#This Row],[ (S/S) SAR]]-TABL1234[[#This Row],[(S/S) AJD]]</f>
        <v>0</v>
      </c>
      <c r="Q121" s="40"/>
      <c r="R121" s="3">
        <f>TABL1234[[#This Row],[ (T/B) SAR]]-TABL1234[[#This Row],[(T/B) AJD]]</f>
        <v>0</v>
      </c>
      <c r="S121" s="3">
        <f>TABL1234[[#This Row],[T/B-CON.]]+TABL1234[[#This Row],[S/S_CON.]]</f>
        <v>0</v>
      </c>
      <c r="T121" s="3">
        <f>TABL1234[[#This Row],[(S/S) AJD]]+TABL1234[[#This Row],[(T/B) AJD]]</f>
        <v>0</v>
      </c>
      <c r="U121" s="44"/>
      <c r="V121" s="44"/>
      <c r="W121" s="3">
        <f>TABL1234[[#This Row],[(A/B) AJD]]+TABL1234[[#This Row],[(A/S)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Row],[AJD_Evaporation]])</f>
        <v>0</v>
      </c>
      <c r="AE121" s="44"/>
      <c r="AF121" s="45"/>
      <c r="AG121" s="45"/>
      <c r="AH121" s="6"/>
      <c r="AI121" s="45"/>
      <c r="AJ121" s="45">
        <f>TABL1234[[#This Row],[(A/B) AJD]]-TABL1234[[#This Row],[BER_IN]]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Row],[(A/S) AJD]]-TABL1234[[#This Row],[SER_IN]]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 (T/B) SAR]]+TABL1234[[#This Row],[ (S/S) SAR]]</f>
        <v>0</v>
      </c>
      <c r="L122" s="41"/>
      <c r="M122" s="42"/>
      <c r="N122" s="42"/>
      <c r="O122" s="39"/>
      <c r="P122" s="3">
        <f>TABL1234[[#This Row],[ (S/S) SAR]]-TABL1234[[#This Row],[(S/S) AJD]]</f>
        <v>0</v>
      </c>
      <c r="Q122" s="39"/>
      <c r="R122" s="3">
        <f>TABL1234[[#This Row],[ (T/B) SAR]]-TABL1234[[#This Row],[(T/B) AJD]]</f>
        <v>0</v>
      </c>
      <c r="S122" s="3">
        <f>TABL1234[[#This Row],[T/B-CON.]]+TABL1234[[#This Row],[S/S_CON.]]</f>
        <v>0</v>
      </c>
      <c r="T122" s="3">
        <f>TABL1234[[#This Row],[(S/S) AJD]]+TABL1234[[#This Row],[(T/B) AJD]]</f>
        <v>0</v>
      </c>
      <c r="U122" s="41"/>
      <c r="V122" s="41"/>
      <c r="W122" s="3">
        <f>TABL1234[[#This Row],[(A/B) AJD]]+TABL1234[[#This Row],[(A/S)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Row],[AJD_Evaporation]])</f>
        <v>0</v>
      </c>
      <c r="AE122" s="41"/>
      <c r="AF122" s="43"/>
      <c r="AG122" s="43"/>
      <c r="AH122" s="6"/>
      <c r="AI122" s="43"/>
      <c r="AJ122" s="43">
        <f>TABL1234[[#This Row],[(A/B) AJD]]-TABL1234[[#This Row],[BER_IN]]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Row],[(A/S) AJD]]-TABL1234[[#This Row],[SER_IN]]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 (T/B) SAR]]+TABL1234[[#This Row],[ (S/S) SAR]]</f>
        <v>0</v>
      </c>
      <c r="L123" s="45"/>
      <c r="M123" s="46"/>
      <c r="N123" s="46"/>
      <c r="O123" s="40"/>
      <c r="P123" s="3">
        <f>TABL1234[[#This Row],[ (S/S) SAR]]-TABL1234[[#This Row],[(S/S) AJD]]</f>
        <v>0</v>
      </c>
      <c r="Q123" s="40"/>
      <c r="R123" s="3">
        <f>TABL1234[[#This Row],[ (T/B) SAR]]-TABL1234[[#This Row],[(T/B) AJD]]</f>
        <v>0</v>
      </c>
      <c r="S123" s="3">
        <f>TABL1234[[#This Row],[T/B-CON.]]+TABL1234[[#This Row],[S/S_CON.]]</f>
        <v>0</v>
      </c>
      <c r="T123" s="3">
        <f>TABL1234[[#This Row],[(S/S) AJD]]+TABL1234[[#This Row],[(T/B) AJD]]</f>
        <v>0</v>
      </c>
      <c r="U123" s="44"/>
      <c r="V123" s="44"/>
      <c r="W123" s="3">
        <f>TABL1234[[#This Row],[(A/B) AJD]]+TABL1234[[#This Row],[(A/S)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Row],[AJD_Evaporation]])</f>
        <v>0</v>
      </c>
      <c r="AE123" s="44"/>
      <c r="AF123" s="45"/>
      <c r="AG123" s="45"/>
      <c r="AH123" s="6"/>
      <c r="AI123" s="45"/>
      <c r="AJ123" s="45">
        <f>TABL1234[[#This Row],[(A/B) AJD]]-TABL1234[[#This Row],[BER_IN]]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Row],[(A/S) AJD]]-TABL1234[[#This Row],[SER_IN]]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 (T/B) SAR]]+TABL1234[[#This Row],[ (S/S) SAR]]</f>
        <v>0</v>
      </c>
      <c r="L124" s="41"/>
      <c r="M124" s="42"/>
      <c r="N124" s="42"/>
      <c r="O124" s="39"/>
      <c r="P124" s="3">
        <f>TABL1234[[#This Row],[ (S/S) SAR]]-TABL1234[[#This Row],[(S/S) AJD]]</f>
        <v>0</v>
      </c>
      <c r="Q124" s="39"/>
      <c r="R124" s="3">
        <f>TABL1234[[#This Row],[ (T/B) SAR]]-TABL1234[[#This Row],[(T/B) AJD]]</f>
        <v>0</v>
      </c>
      <c r="S124" s="3">
        <f>TABL1234[[#This Row],[T/B-CON.]]+TABL1234[[#This Row],[S/S_CON.]]</f>
        <v>0</v>
      </c>
      <c r="T124" s="3">
        <f>TABL1234[[#This Row],[(S/S) AJD]]+TABL1234[[#This Row],[(T/B) AJD]]</f>
        <v>0</v>
      </c>
      <c r="U124" s="41"/>
      <c r="V124" s="41"/>
      <c r="W124" s="3">
        <f>TABL1234[[#This Row],[(A/B) AJD]]+TABL1234[[#This Row],[(A/S)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Row],[AJD_Evaporation]])</f>
        <v>0</v>
      </c>
      <c r="AE124" s="41"/>
      <c r="AF124" s="43"/>
      <c r="AG124" s="43"/>
      <c r="AH124" s="6"/>
      <c r="AI124" s="43"/>
      <c r="AJ124" s="43">
        <f>TABL1234[[#This Row],[(A/B) AJD]]-TABL1234[[#This Row],[BER_IN]]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Row],[(A/S) AJD]]-TABL1234[[#This Row],[SER_IN]]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 (T/B) SAR]]+TABL1234[[#This Row],[ (S/S) SAR]]</f>
        <v>0</v>
      </c>
      <c r="L125" s="45"/>
      <c r="M125" s="46"/>
      <c r="N125" s="46"/>
      <c r="O125" s="40"/>
      <c r="P125" s="3">
        <f>TABL1234[[#This Row],[ (S/S) SAR]]-TABL1234[[#This Row],[(S/S) AJD]]</f>
        <v>0</v>
      </c>
      <c r="Q125" s="40"/>
      <c r="R125" s="3">
        <f>TABL1234[[#This Row],[ (T/B) SAR]]-TABL1234[[#This Row],[(T/B) AJD]]</f>
        <v>0</v>
      </c>
      <c r="S125" s="3">
        <f>TABL1234[[#This Row],[T/B-CON.]]+TABL1234[[#This Row],[S/S_CON.]]</f>
        <v>0</v>
      </c>
      <c r="T125" s="3">
        <f>TABL1234[[#This Row],[(S/S) AJD]]+TABL1234[[#This Row],[(T/B) AJD]]</f>
        <v>0</v>
      </c>
      <c r="U125" s="44"/>
      <c r="V125" s="44"/>
      <c r="W125" s="3">
        <f>TABL1234[[#This Row],[(A/B) AJD]]+TABL1234[[#This Row],[(A/S)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Row],[AJD_Evaporation]])</f>
        <v>0</v>
      </c>
      <c r="AE125" s="44"/>
      <c r="AF125" s="45"/>
      <c r="AG125" s="45"/>
      <c r="AH125" s="6"/>
      <c r="AI125" s="45"/>
      <c r="AJ125" s="45">
        <f>TABL1234[[#This Row],[(A/B) AJD]]-TABL1234[[#This Row],[BER_IN]]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Row],[(A/S) AJD]]-TABL1234[[#This Row],[SER_IN]]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 (T/B) SAR]]+TABL1234[[#This Row],[ (S/S) SAR]]</f>
        <v>0</v>
      </c>
      <c r="L126" s="41"/>
      <c r="M126" s="42"/>
      <c r="N126" s="42"/>
      <c r="O126" s="39"/>
      <c r="P126" s="3">
        <f>TABL1234[[#This Row],[ (S/S) SAR]]-TABL1234[[#This Row],[(S/S) AJD]]</f>
        <v>0</v>
      </c>
      <c r="Q126" s="39"/>
      <c r="R126" s="3">
        <f>TABL1234[[#This Row],[ (T/B) SAR]]-TABL1234[[#This Row],[(T/B) AJD]]</f>
        <v>0</v>
      </c>
      <c r="S126" s="3">
        <f>TABL1234[[#This Row],[T/B-CON.]]+TABL1234[[#This Row],[S/S_CON.]]</f>
        <v>0</v>
      </c>
      <c r="T126" s="3">
        <f>TABL1234[[#This Row],[(S/S) AJD]]+TABL1234[[#This Row],[(T/B) AJD]]</f>
        <v>0</v>
      </c>
      <c r="U126" s="41"/>
      <c r="V126" s="41"/>
      <c r="W126" s="3">
        <f>TABL1234[[#This Row],[(A/B) AJD]]+TABL1234[[#This Row],[(A/S)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Row],[AJD_Evaporation]])</f>
        <v>0</v>
      </c>
      <c r="AE126" s="41"/>
      <c r="AF126" s="43"/>
      <c r="AG126" s="43"/>
      <c r="AH126" s="6"/>
      <c r="AI126" s="43"/>
      <c r="AJ126" s="43">
        <f>TABL1234[[#This Row],[(A/B) AJD]]-TABL1234[[#This Row],[BER_IN]]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Row],[(A/S) AJD]]-TABL1234[[#This Row],[SER_IN]]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 (T/B) SAR]]+TABL1234[[#This Row],[ (S/S) SAR]]</f>
        <v>0</v>
      </c>
      <c r="L127" s="45"/>
      <c r="M127" s="46"/>
      <c r="N127" s="46"/>
      <c r="O127" s="40"/>
      <c r="P127" s="3">
        <f>TABL1234[[#This Row],[ (S/S) SAR]]-TABL1234[[#This Row],[(S/S) AJD]]</f>
        <v>0</v>
      </c>
      <c r="Q127" s="40"/>
      <c r="R127" s="3">
        <f>TABL1234[[#This Row],[ (T/B) SAR]]-TABL1234[[#This Row],[(T/B) AJD]]</f>
        <v>0</v>
      </c>
      <c r="S127" s="3">
        <f>TABL1234[[#This Row],[T/B-CON.]]+TABL1234[[#This Row],[S/S_CON.]]</f>
        <v>0</v>
      </c>
      <c r="T127" s="3">
        <f>TABL1234[[#This Row],[(S/S) AJD]]+TABL1234[[#This Row],[(T/B) AJD]]</f>
        <v>0</v>
      </c>
      <c r="U127" s="44"/>
      <c r="V127" s="44"/>
      <c r="W127" s="3">
        <f>TABL1234[[#This Row],[(A/B) AJD]]+TABL1234[[#This Row],[(A/S)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Row],[AJD_Evaporation]])</f>
        <v>0</v>
      </c>
      <c r="AE127" s="44"/>
      <c r="AF127" s="45"/>
      <c r="AG127" s="45"/>
      <c r="AH127" s="6"/>
      <c r="AI127" s="45"/>
      <c r="AJ127" s="45">
        <f>TABL1234[[#This Row],[(A/B) AJD]]-TABL1234[[#This Row],[BER_IN]]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Row],[(A/S) AJD]]-TABL1234[[#This Row],[SER_IN]]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 (T/B) SAR]]+TABL1234[[#This Row],[ (S/S) SAR]]</f>
        <v>0</v>
      </c>
      <c r="L128" s="41"/>
      <c r="M128" s="42"/>
      <c r="N128" s="42"/>
      <c r="O128" s="39"/>
      <c r="P128" s="3">
        <f>TABL1234[[#This Row],[ (S/S) SAR]]-TABL1234[[#This Row],[(S/S) AJD]]</f>
        <v>0</v>
      </c>
      <c r="Q128" s="39"/>
      <c r="R128" s="3">
        <f>TABL1234[[#This Row],[ (T/B) SAR]]-TABL1234[[#This Row],[(T/B) AJD]]</f>
        <v>0</v>
      </c>
      <c r="S128" s="3">
        <f>TABL1234[[#This Row],[T/B-CON.]]+TABL1234[[#This Row],[S/S_CON.]]</f>
        <v>0</v>
      </c>
      <c r="T128" s="3">
        <f>TABL1234[[#This Row],[(S/S) AJD]]+TABL1234[[#This Row],[(T/B) AJD]]</f>
        <v>0</v>
      </c>
      <c r="U128" s="41"/>
      <c r="V128" s="41"/>
      <c r="W128" s="3">
        <f>TABL1234[[#This Row],[(A/B) AJD]]+TABL1234[[#This Row],[(A/S)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Row],[AJD_Evaporation]])</f>
        <v>0</v>
      </c>
      <c r="AE128" s="41"/>
      <c r="AF128" s="43"/>
      <c r="AG128" s="43"/>
      <c r="AH128" s="6"/>
      <c r="AI128" s="43"/>
      <c r="AJ128" s="43">
        <f>TABL1234[[#This Row],[(A/B) AJD]]-TABL1234[[#This Row],[BER_IN]]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Row],[(A/S) AJD]]-TABL1234[[#This Row],[SER_IN]]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 (T/B) SAR]]+TABL1234[[#This Row],[ (S/S) SAR]]</f>
        <v>0</v>
      </c>
      <c r="L129" s="45"/>
      <c r="M129" s="46"/>
      <c r="N129" s="46"/>
      <c r="O129" s="40"/>
      <c r="P129" s="3">
        <f>TABL1234[[#This Row],[ (S/S) SAR]]-TABL1234[[#This Row],[(S/S) AJD]]</f>
        <v>0</v>
      </c>
      <c r="Q129" s="40"/>
      <c r="R129" s="3">
        <f>TABL1234[[#This Row],[ (T/B) SAR]]-TABL1234[[#This Row],[(T/B) AJD]]</f>
        <v>0</v>
      </c>
      <c r="S129" s="3">
        <f>TABL1234[[#This Row],[T/B-CON.]]+TABL1234[[#This Row],[S/S_CON.]]</f>
        <v>0</v>
      </c>
      <c r="T129" s="3">
        <f>TABL1234[[#This Row],[(S/S) AJD]]+TABL1234[[#This Row],[(T/B) AJD]]</f>
        <v>0</v>
      </c>
      <c r="U129" s="44"/>
      <c r="V129" s="44"/>
      <c r="W129" s="3">
        <f>TABL1234[[#This Row],[(A/B) AJD]]+TABL1234[[#This Row],[(A/S)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Row],[AJD_Evaporation]])</f>
        <v>0</v>
      </c>
      <c r="AE129" s="44"/>
      <c r="AF129" s="45"/>
      <c r="AG129" s="45"/>
      <c r="AH129" s="6"/>
      <c r="AI129" s="45"/>
      <c r="AJ129" s="45">
        <f>TABL1234[[#This Row],[(A/B) AJD]]-TABL1234[[#This Row],[BER_IN]]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Row],[(A/S) AJD]]-TABL1234[[#This Row],[SER_IN]]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 (T/B) SAR]]+TABL1234[[#This Row],[ (S/S) SAR]]</f>
        <v>0</v>
      </c>
      <c r="L130" s="41"/>
      <c r="M130" s="42"/>
      <c r="N130" s="42"/>
      <c r="O130" s="39"/>
      <c r="P130" s="3">
        <f>TABL1234[[#This Row],[ (S/S) SAR]]-TABL1234[[#This Row],[(S/S) AJD]]</f>
        <v>0</v>
      </c>
      <c r="Q130" s="39"/>
      <c r="R130" s="3">
        <f>TABL1234[[#This Row],[ (T/B) SAR]]-TABL1234[[#This Row],[(T/B) AJD]]</f>
        <v>0</v>
      </c>
      <c r="S130" s="3">
        <f>TABL1234[[#This Row],[T/B-CON.]]+TABL1234[[#This Row],[S/S_CON.]]</f>
        <v>0</v>
      </c>
      <c r="T130" s="3">
        <f>TABL1234[[#This Row],[(S/S) AJD]]+TABL1234[[#This Row],[(T/B) AJD]]</f>
        <v>0</v>
      </c>
      <c r="U130" s="41"/>
      <c r="V130" s="41"/>
      <c r="W130" s="3">
        <f>TABL1234[[#This Row],[(A/B) AJD]]+TABL1234[[#This Row],[(A/S)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Row],[AJD_Evaporation]])</f>
        <v>0</v>
      </c>
      <c r="AE130" s="41"/>
      <c r="AF130" s="43"/>
      <c r="AG130" s="43"/>
      <c r="AH130" s="6"/>
      <c r="AI130" s="43"/>
      <c r="AJ130" s="43">
        <f>TABL1234[[#This Row],[(A/B) AJD]]-TABL1234[[#This Row],[BER_IN]]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Row],[(A/S) AJD]]-TABL1234[[#This Row],[SER_IN]]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 (T/B) SAR]]+TABL1234[[#This Row],[ (S/S) SAR]]</f>
        <v>0</v>
      </c>
      <c r="L131" s="45"/>
      <c r="M131" s="46"/>
      <c r="N131" s="46"/>
      <c r="O131" s="40"/>
      <c r="P131" s="3">
        <f>TABL1234[[#This Row],[ (S/S) SAR]]-TABL1234[[#This Row],[(S/S) AJD]]</f>
        <v>0</v>
      </c>
      <c r="Q131" s="40"/>
      <c r="R131" s="3">
        <f>TABL1234[[#This Row],[ (T/B) SAR]]-TABL1234[[#This Row],[(T/B) AJD]]</f>
        <v>0</v>
      </c>
      <c r="S131" s="3">
        <f>TABL1234[[#This Row],[T/B-CON.]]+TABL1234[[#This Row],[S/S_CON.]]</f>
        <v>0</v>
      </c>
      <c r="T131" s="3">
        <f>TABL1234[[#This Row],[(S/S) AJD]]+TABL1234[[#This Row],[(T/B) AJD]]</f>
        <v>0</v>
      </c>
      <c r="U131" s="44"/>
      <c r="V131" s="44"/>
      <c r="W131" s="3">
        <f>TABL1234[[#This Row],[(A/B) AJD]]+TABL1234[[#This Row],[(A/S)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Row],[AJD_Evaporation]])</f>
        <v>0</v>
      </c>
      <c r="AE131" s="44"/>
      <c r="AF131" s="45"/>
      <c r="AG131" s="45"/>
      <c r="AH131" s="6"/>
      <c r="AI131" s="45"/>
      <c r="AJ131" s="45">
        <f>TABL1234[[#This Row],[(A/B) AJD]]-TABL1234[[#This Row],[BER_IN]]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Row],[(A/S) AJD]]-TABL1234[[#This Row],[SER_IN]]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 (T/B) SAR]]+TABL1234[[#This Row],[ (S/S) SAR]]</f>
        <v>0</v>
      </c>
      <c r="L132" s="41"/>
      <c r="M132" s="42"/>
      <c r="N132" s="42"/>
      <c r="O132" s="39"/>
      <c r="P132" s="3">
        <f>TABL1234[[#This Row],[ (S/S) SAR]]-TABL1234[[#This Row],[(S/S) AJD]]</f>
        <v>0</v>
      </c>
      <c r="Q132" s="39"/>
      <c r="R132" s="3">
        <f>TABL1234[[#This Row],[ (T/B) SAR]]-TABL1234[[#This Row],[(T/B) AJD]]</f>
        <v>0</v>
      </c>
      <c r="S132" s="3">
        <f>TABL1234[[#This Row],[T/B-CON.]]+TABL1234[[#This Row],[S/S_CON.]]</f>
        <v>0</v>
      </c>
      <c r="T132" s="3">
        <f>TABL1234[[#This Row],[(S/S) AJD]]+TABL1234[[#This Row],[(T/B) AJD]]</f>
        <v>0</v>
      </c>
      <c r="U132" s="41"/>
      <c r="V132" s="41"/>
      <c r="W132" s="3">
        <f>TABL1234[[#This Row],[(A/B) AJD]]+TABL1234[[#This Row],[(A/S)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IF(TRIM(Z132)="",,(Z132-Z131)/1000)</f>
        <v>0</v>
      </c>
      <c r="AC132" s="5"/>
      <c r="AD132" s="39">
        <f>TABL1234[[#This Row],[( S/S+T/B) AJD]]-(TABL1234[[#This Row],[(A/B + A/S) AJD]]+(TABL1234[[#This Row],[(STORGE DIFF.) AJD]]*1000)+TABL1234[[#This Row],[AJD_Evaporation]])</f>
        <v>0</v>
      </c>
      <c r="AE132" s="41"/>
      <c r="AF132" s="43"/>
      <c r="AG132" s="68"/>
      <c r="AH132" s="6"/>
      <c r="AI132" s="43"/>
      <c r="AJ132" s="68">
        <f>TABL1234[[#This Row],[(A/B) AJD]]-TABL1234[[#This Row],[BER_IN]]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Row],[(A/S) AJD]]-TABL1234[[#This Row],[SER_IN]]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 (T/B) SAR]]+TABL1234[[#This Row],[ (S/S) SAR]]</f>
        <v>0</v>
      </c>
      <c r="L133" s="45"/>
      <c r="M133" s="46"/>
      <c r="N133" s="46"/>
      <c r="O133" s="40"/>
      <c r="P133" s="3">
        <f>TABL1234[[#This Row],[ (S/S) SAR]]-TABL1234[[#This Row],[(S/S) AJD]]</f>
        <v>0</v>
      </c>
      <c r="Q133" s="40"/>
      <c r="R133" s="3">
        <f>TABL1234[[#This Row],[ (T/B) SAR]]-TABL1234[[#This Row],[(T/B) AJD]]</f>
        <v>0</v>
      </c>
      <c r="S133" s="3">
        <f>TABL1234[[#This Row],[T/B-CON.]]+TABL1234[[#This Row],[S/S_CON.]]</f>
        <v>0</v>
      </c>
      <c r="T133" s="3">
        <f>TABL1234[[#This Row],[(S/S) AJD]]+TABL1234[[#This Row],[(T/B) AJD]]</f>
        <v>0</v>
      </c>
      <c r="U133" s="44"/>
      <c r="V133" s="44"/>
      <c r="W133" s="3">
        <f>TABL1234[[#This Row],[(A/B) AJD]]+TABL1234[[#This Row],[(A/S)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Row],[AJD_Evaporation]])</f>
        <v>0</v>
      </c>
      <c r="AE133" s="44"/>
      <c r="AF133" s="45"/>
      <c r="AG133" s="45"/>
      <c r="AH133" s="6"/>
      <c r="AI133" s="45"/>
      <c r="AJ133" s="45">
        <f>TABL1234[[#This Row],[(A/B) AJD]]-TABL1234[[#This Row],[BER_IN]]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Row],[(A/S) AJD]]-TABL1234[[#This Row],[SER_IN]]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 (T/B) SAR]]+TABL1234[[#This Row],[ (S/S) SAR]]</f>
        <v>0</v>
      </c>
      <c r="L134" s="41"/>
      <c r="M134" s="42"/>
      <c r="N134" s="42"/>
      <c r="O134" s="39"/>
      <c r="P134" s="3">
        <f>TABL1234[[#This Row],[ (S/S) SAR]]-TABL1234[[#This Row],[(S/S) AJD]]</f>
        <v>0</v>
      </c>
      <c r="Q134" s="39"/>
      <c r="R134" s="3">
        <f>TABL1234[[#This Row],[ (T/B) SAR]]-TABL1234[[#This Row],[(T/B) AJD]]</f>
        <v>0</v>
      </c>
      <c r="S134" s="3">
        <f>TABL1234[[#This Row],[T/B-CON.]]+TABL1234[[#This Row],[S/S_CON.]]</f>
        <v>0</v>
      </c>
      <c r="T134" s="3">
        <f>TABL1234[[#This Row],[(S/S) AJD]]+TABL1234[[#This Row],[(T/B) AJD]]</f>
        <v>0</v>
      </c>
      <c r="U134" s="41"/>
      <c r="V134" s="41"/>
      <c r="W134" s="3">
        <f>TABL1234[[#This Row],[(A/B) AJD]]+TABL1234[[#This Row],[(A/S)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Row],[AJD_Evaporation]])</f>
        <v>0</v>
      </c>
      <c r="AE134" s="41"/>
      <c r="AF134" s="43"/>
      <c r="AG134" s="43"/>
      <c r="AH134" s="6"/>
      <c r="AI134" s="43"/>
      <c r="AJ134" s="43">
        <f>TABL1234[[#This Row],[(A/B) AJD]]-TABL1234[[#This Row],[BER_IN]]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Row],[(A/S) AJD]]-TABL1234[[#This Row],[SER_IN]]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 (T/B) SAR]]+TABL1234[[#This Row],[ (S/S) SAR]]</f>
        <v>0</v>
      </c>
      <c r="L135" s="45"/>
      <c r="M135" s="46"/>
      <c r="N135" s="46"/>
      <c r="O135" s="40"/>
      <c r="P135" s="3">
        <f>TABL1234[[#This Row],[ (S/S) SAR]]-TABL1234[[#This Row],[(S/S) AJD]]</f>
        <v>0</v>
      </c>
      <c r="Q135" s="40"/>
      <c r="R135" s="3">
        <f>TABL1234[[#This Row],[ (T/B) SAR]]-TABL1234[[#This Row],[(T/B) AJD]]</f>
        <v>0</v>
      </c>
      <c r="S135" s="3">
        <f>TABL1234[[#This Row],[T/B-CON.]]+TABL1234[[#This Row],[S/S_CON.]]</f>
        <v>0</v>
      </c>
      <c r="T135" s="3">
        <f>TABL1234[[#This Row],[(S/S) AJD]]+TABL1234[[#This Row],[(T/B) AJD]]</f>
        <v>0</v>
      </c>
      <c r="U135" s="44"/>
      <c r="V135" s="44"/>
      <c r="W135" s="3">
        <f>TABL1234[[#This Row],[(A/B) AJD]]+TABL1234[[#This Row],[(A/S)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Row],[AJD_Evaporation]])</f>
        <v>0</v>
      </c>
      <c r="AE135" s="44"/>
      <c r="AF135" s="45"/>
      <c r="AG135" s="45"/>
      <c r="AH135" s="6"/>
      <c r="AI135" s="45"/>
      <c r="AJ135" s="45">
        <f>TABL1234[[#This Row],[(A/B) AJD]]-TABL1234[[#This Row],[BER_IN]]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Row],[(A/S) AJD]]-TABL1234[[#This Row],[SER_IN]]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 (T/B) SAR]]+TABL1234[[#This Row],[ (S/S) SAR]]</f>
        <v>0</v>
      </c>
      <c r="L136" s="41"/>
      <c r="M136" s="42"/>
      <c r="N136" s="42"/>
      <c r="O136" s="39"/>
      <c r="P136" s="3">
        <f>TABL1234[[#This Row],[ (S/S) SAR]]-TABL1234[[#This Row],[(S/S) AJD]]</f>
        <v>0</v>
      </c>
      <c r="Q136" s="39"/>
      <c r="R136" s="3">
        <f>TABL1234[[#This Row],[ (T/B) SAR]]-TABL1234[[#This Row],[(T/B) AJD]]</f>
        <v>0</v>
      </c>
      <c r="S136" s="3">
        <f>TABL1234[[#This Row],[T/B-CON.]]+TABL1234[[#This Row],[S/S_CON.]]</f>
        <v>0</v>
      </c>
      <c r="T136" s="3">
        <f>TABL1234[[#This Row],[(S/S) AJD]]+TABL1234[[#This Row],[(T/B) AJD]]</f>
        <v>0</v>
      </c>
      <c r="U136" s="41"/>
      <c r="V136" s="41"/>
      <c r="W136" s="3">
        <f>TABL1234[[#This Row],[(A/B) AJD]]+TABL1234[[#This Row],[(A/S)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Row],[AJD_Evaporation]])</f>
        <v>0</v>
      </c>
      <c r="AE136" s="41"/>
      <c r="AF136" s="43"/>
      <c r="AG136" s="43"/>
      <c r="AH136" s="6"/>
      <c r="AI136" s="43"/>
      <c r="AJ136" s="43">
        <f>TABL1234[[#This Row],[(A/B) AJD]]-TABL1234[[#This Row],[BER_IN]]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Row],[(A/S) AJD]]-TABL1234[[#This Row],[SER_IN]]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 (T/B) SAR]]+TABL1234[[#This Row],[ (S/S) SAR]]</f>
        <v>0</v>
      </c>
      <c r="L137" s="45"/>
      <c r="M137" s="46"/>
      <c r="N137" s="46"/>
      <c r="O137" s="40"/>
      <c r="P137" s="3">
        <f>TABL1234[[#This Row],[ (S/S) SAR]]-TABL1234[[#This Row],[(S/S) AJD]]</f>
        <v>0</v>
      </c>
      <c r="Q137" s="40"/>
      <c r="R137" s="3">
        <f>TABL1234[[#This Row],[ (T/B) SAR]]-TABL1234[[#This Row],[(T/B) AJD]]</f>
        <v>0</v>
      </c>
      <c r="S137" s="3">
        <f>TABL1234[[#This Row],[T/B-CON.]]+TABL1234[[#This Row],[S/S_CON.]]</f>
        <v>0</v>
      </c>
      <c r="T137" s="3">
        <f>TABL1234[[#This Row],[(S/S) AJD]]+TABL1234[[#This Row],[(T/B) AJD]]</f>
        <v>0</v>
      </c>
      <c r="U137" s="44"/>
      <c r="V137" s="44"/>
      <c r="W137" s="3">
        <f>TABL1234[[#This Row],[(A/B) AJD]]+TABL1234[[#This Row],[(A/S)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Row],[AJD_Evaporation]])</f>
        <v>0</v>
      </c>
      <c r="AE137" s="44"/>
      <c r="AF137" s="45"/>
      <c r="AG137" s="45"/>
      <c r="AH137" s="6"/>
      <c r="AI137" s="45"/>
      <c r="AJ137" s="45">
        <f>TABL1234[[#This Row],[(A/B) AJD]]-TABL1234[[#This Row],[BER_IN]]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Row],[(A/S) AJD]]-TABL1234[[#This Row],[SER_IN]]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 (T/B) SAR]]+TABL1234[[#This Row],[ (S/S) SAR]]</f>
        <v>0</v>
      </c>
      <c r="L138" s="41"/>
      <c r="M138" s="42"/>
      <c r="N138" s="42"/>
      <c r="O138" s="39"/>
      <c r="P138" s="3">
        <f>TABL1234[[#This Row],[ (S/S) SAR]]-TABL1234[[#This Row],[(S/S) AJD]]</f>
        <v>0</v>
      </c>
      <c r="Q138" s="39"/>
      <c r="R138" s="3">
        <f>TABL1234[[#This Row],[ (T/B) SAR]]-TABL1234[[#This Row],[(T/B) AJD]]</f>
        <v>0</v>
      </c>
      <c r="S138" s="3">
        <f>TABL1234[[#This Row],[T/B-CON.]]+TABL1234[[#This Row],[S/S_CON.]]</f>
        <v>0</v>
      </c>
      <c r="T138" s="3">
        <f>TABL1234[[#This Row],[(S/S) AJD]]+TABL1234[[#This Row],[(T/B) AJD]]</f>
        <v>0</v>
      </c>
      <c r="U138" s="41"/>
      <c r="V138" s="41"/>
      <c r="W138" s="3">
        <f>TABL1234[[#This Row],[(A/B) AJD]]+TABL1234[[#This Row],[(A/S)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Row],[AJD_Evaporation]])</f>
        <v>0</v>
      </c>
      <c r="AE138" s="41"/>
      <c r="AF138" s="43"/>
      <c r="AG138" s="43"/>
      <c r="AH138" s="6"/>
      <c r="AI138" s="43"/>
      <c r="AJ138" s="43">
        <f>TABL1234[[#This Row],[(A/B) AJD]]-TABL1234[[#This Row],[BER_IN]]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Row],[(A/S) AJD]]-TABL1234[[#This Row],[SER_IN]]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 (T/B) SAR]]+TABL1234[[#This Row],[ (S/S) SAR]]</f>
        <v>0</v>
      </c>
      <c r="L139" s="45"/>
      <c r="M139" s="46"/>
      <c r="N139" s="46"/>
      <c r="O139" s="40"/>
      <c r="P139" s="3">
        <f>TABL1234[[#This Row],[ (S/S) SAR]]-TABL1234[[#This Row],[(S/S) AJD]]</f>
        <v>0</v>
      </c>
      <c r="Q139" s="40"/>
      <c r="R139" s="3">
        <f>TABL1234[[#This Row],[ (T/B) SAR]]-TABL1234[[#This Row],[(T/B) AJD]]</f>
        <v>0</v>
      </c>
      <c r="S139" s="3">
        <f>TABL1234[[#This Row],[T/B-CON.]]+TABL1234[[#This Row],[S/S_CON.]]</f>
        <v>0</v>
      </c>
      <c r="T139" s="3">
        <f>TABL1234[[#This Row],[(S/S) AJD]]+TABL1234[[#This Row],[(T/B) AJD]]</f>
        <v>0</v>
      </c>
      <c r="U139" s="44"/>
      <c r="V139" s="44"/>
      <c r="W139" s="3">
        <f>TABL1234[[#This Row],[(A/B) AJD]]+TABL1234[[#This Row],[(A/S)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Row],[AJD_Evaporation]])</f>
        <v>0</v>
      </c>
      <c r="AE139" s="44"/>
      <c r="AF139" s="45"/>
      <c r="AG139" s="45"/>
      <c r="AH139" s="6"/>
      <c r="AI139" s="45"/>
      <c r="AJ139" s="45">
        <f>TABL1234[[#This Row],[(A/B) AJD]]-TABL1234[[#This Row],[BER_IN]]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Row],[(A/S) AJD]]-TABL1234[[#This Row],[SER_IN]]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 (T/B) SAR]]+TABL1234[[#This Row],[ (S/S) SAR]]</f>
        <v>0</v>
      </c>
      <c r="L140" s="41"/>
      <c r="M140" s="42"/>
      <c r="N140" s="42"/>
      <c r="O140" s="39"/>
      <c r="P140" s="3">
        <f>TABL1234[[#This Row],[ (S/S) SAR]]-TABL1234[[#This Row],[(S/S) AJD]]</f>
        <v>0</v>
      </c>
      <c r="Q140" s="39"/>
      <c r="R140" s="3">
        <f>TABL1234[[#This Row],[ (T/B) SAR]]-TABL1234[[#This Row],[(T/B) AJD]]</f>
        <v>0</v>
      </c>
      <c r="S140" s="3">
        <f>TABL1234[[#This Row],[T/B-CON.]]+TABL1234[[#This Row],[S/S_CON.]]</f>
        <v>0</v>
      </c>
      <c r="T140" s="3">
        <f>TABL1234[[#This Row],[(S/S) AJD]]+TABL1234[[#This Row],[(T/B) AJD]]</f>
        <v>0</v>
      </c>
      <c r="U140" s="41"/>
      <c r="V140" s="41"/>
      <c r="W140" s="3">
        <f>TABL1234[[#This Row],[(A/B) AJD]]+TABL1234[[#This Row],[(A/S)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Row],[AJD_Evaporation]])</f>
        <v>0</v>
      </c>
      <c r="AE140" s="41"/>
      <c r="AF140" s="43"/>
      <c r="AG140" s="43"/>
      <c r="AH140" s="6"/>
      <c r="AI140" s="43"/>
      <c r="AJ140" s="43">
        <f>TABL1234[[#This Row],[(A/B) AJD]]-TABL1234[[#This Row],[BER_IN]]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Row],[(A/S) AJD]]-TABL1234[[#This Row],[SER_IN]]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 (T/B) SAR]]+TABL1234[[#This Row],[ (S/S) SAR]]</f>
        <v>0</v>
      </c>
      <c r="L141" s="45"/>
      <c r="M141" s="46"/>
      <c r="N141" s="46"/>
      <c r="O141" s="40"/>
      <c r="P141" s="3">
        <f>TABL1234[[#This Row],[ (S/S) SAR]]-TABL1234[[#This Row],[(S/S) AJD]]</f>
        <v>0</v>
      </c>
      <c r="Q141" s="40"/>
      <c r="R141" s="3">
        <f>TABL1234[[#This Row],[ (T/B) SAR]]-TABL1234[[#This Row],[(T/B) AJD]]</f>
        <v>0</v>
      </c>
      <c r="S141" s="3">
        <f>TABL1234[[#This Row],[T/B-CON.]]+TABL1234[[#This Row],[S/S_CON.]]</f>
        <v>0</v>
      </c>
      <c r="T141" s="3">
        <f>TABL1234[[#This Row],[(S/S) AJD]]+TABL1234[[#This Row],[(T/B) AJD]]</f>
        <v>0</v>
      </c>
      <c r="U141" s="44"/>
      <c r="V141" s="44"/>
      <c r="W141" s="3">
        <f>TABL1234[[#This Row],[(A/B) AJD]]+TABL1234[[#This Row],[(A/S)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Row],[AJD_Evaporation]])</f>
        <v>0</v>
      </c>
      <c r="AE141" s="44"/>
      <c r="AF141" s="45"/>
      <c r="AG141" s="45"/>
      <c r="AH141" s="6"/>
      <c r="AI141" s="45"/>
      <c r="AJ141" s="45">
        <f>TABL1234[[#This Row],[(A/B) AJD]]-TABL1234[[#This Row],[BER_IN]]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Row],[(A/S) AJD]]-TABL1234[[#This Row],[SER_IN]]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 (T/B) SAR]]+TABL1234[[#This Row],[ (S/S) SAR]]</f>
        <v>0</v>
      </c>
      <c r="L142" s="41"/>
      <c r="M142" s="42"/>
      <c r="N142" s="42"/>
      <c r="O142" s="39"/>
      <c r="P142" s="3">
        <f>TABL1234[[#This Row],[ (S/S) SAR]]-TABL1234[[#This Row],[(S/S) AJD]]</f>
        <v>0</v>
      </c>
      <c r="Q142" s="39"/>
      <c r="R142" s="3">
        <f>TABL1234[[#This Row],[ (T/B) SAR]]-TABL1234[[#This Row],[(T/B) AJD]]</f>
        <v>0</v>
      </c>
      <c r="S142" s="3">
        <f>TABL1234[[#This Row],[T/B-CON.]]+TABL1234[[#This Row],[S/S_CON.]]</f>
        <v>0</v>
      </c>
      <c r="T142" s="3">
        <f>TABL1234[[#This Row],[(S/S) AJD]]+TABL1234[[#This Row],[(T/B) AJD]]</f>
        <v>0</v>
      </c>
      <c r="U142" s="41"/>
      <c r="V142" s="41"/>
      <c r="W142" s="3">
        <f>TABL1234[[#This Row],[(A/B) AJD]]+TABL1234[[#This Row],[(A/S)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Row],[AJD_Evaporation]])</f>
        <v>0</v>
      </c>
      <c r="AE142" s="41"/>
      <c r="AF142" s="43"/>
      <c r="AG142" s="43"/>
      <c r="AH142" s="6"/>
      <c r="AI142" s="43"/>
      <c r="AJ142" s="43">
        <f>TABL1234[[#This Row],[(A/B) AJD]]-TABL1234[[#This Row],[BER_IN]]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Row],[(A/S) AJD]]-TABL1234[[#This Row],[SER_IN]]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 (T/B) SAR]]+TABL1234[[#This Row],[ (S/S) SAR]]</f>
        <v>0</v>
      </c>
      <c r="L143" s="45"/>
      <c r="M143" s="46"/>
      <c r="N143" s="46"/>
      <c r="O143" s="40"/>
      <c r="P143" s="3">
        <f>TABL1234[[#This Row],[ (S/S) SAR]]-TABL1234[[#This Row],[(S/S) AJD]]</f>
        <v>0</v>
      </c>
      <c r="Q143" s="40"/>
      <c r="R143" s="3">
        <f>TABL1234[[#This Row],[ (T/B) SAR]]-TABL1234[[#This Row],[(T/B) AJD]]</f>
        <v>0</v>
      </c>
      <c r="S143" s="3">
        <f>TABL1234[[#This Row],[T/B-CON.]]+TABL1234[[#This Row],[S/S_CON.]]</f>
        <v>0</v>
      </c>
      <c r="T143" s="3">
        <f>TABL1234[[#This Row],[(S/S) AJD]]+TABL1234[[#This Row],[(T/B) AJD]]</f>
        <v>0</v>
      </c>
      <c r="U143" s="44"/>
      <c r="V143" s="44"/>
      <c r="W143" s="3">
        <f>TABL1234[[#This Row],[(A/B) AJD]]+TABL1234[[#This Row],[(A/S)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Row],[AJD_Evaporation]])</f>
        <v>0</v>
      </c>
      <c r="AE143" s="44"/>
      <c r="AF143" s="45"/>
      <c r="AG143" s="45"/>
      <c r="AH143" s="6"/>
      <c r="AI143" s="45"/>
      <c r="AJ143" s="45">
        <f>TABL1234[[#This Row],[(A/B) AJD]]-TABL1234[[#This Row],[BER_IN]]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Row],[(A/S) AJD]]-TABL1234[[#This Row],[SER_IN]]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 (T/B) SAR]]+TABL1234[[#This Row],[ (S/S) SAR]]</f>
        <v>0</v>
      </c>
      <c r="L144" s="41"/>
      <c r="M144" s="42"/>
      <c r="N144" s="42"/>
      <c r="O144" s="39"/>
      <c r="P144" s="3">
        <f>TABL1234[[#This Row],[ (S/S) SAR]]-TABL1234[[#This Row],[(S/S) AJD]]</f>
        <v>0</v>
      </c>
      <c r="Q144" s="39"/>
      <c r="R144" s="3">
        <f>TABL1234[[#This Row],[ (T/B) SAR]]-TABL1234[[#This Row],[(T/B) AJD]]</f>
        <v>0</v>
      </c>
      <c r="S144" s="3">
        <f>TABL1234[[#This Row],[T/B-CON.]]+TABL1234[[#This Row],[S/S_CON.]]</f>
        <v>0</v>
      </c>
      <c r="T144" s="3">
        <f>TABL1234[[#This Row],[(S/S) AJD]]+TABL1234[[#This Row],[(T/B) AJD]]</f>
        <v>0</v>
      </c>
      <c r="U144" s="41"/>
      <c r="V144" s="41"/>
      <c r="W144" s="3">
        <f>TABL1234[[#This Row],[(A/B) AJD]]+TABL1234[[#This Row],[(A/S)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Row],[AJD_Evaporation]])</f>
        <v>0</v>
      </c>
      <c r="AE144" s="41"/>
      <c r="AF144" s="43"/>
      <c r="AG144" s="43"/>
      <c r="AH144" s="6"/>
      <c r="AI144" s="43"/>
      <c r="AJ144" s="43">
        <f>TABL1234[[#This Row],[(A/B) AJD]]-TABL1234[[#This Row],[BER_IN]]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Row],[(A/S) AJD]]-TABL1234[[#This Row],[SER_IN]]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 (T/B) SAR]]+TABL1234[[#This Row],[ (S/S) SAR]]</f>
        <v>0</v>
      </c>
      <c r="L145" s="45"/>
      <c r="M145" s="46"/>
      <c r="N145" s="46"/>
      <c r="O145" s="40"/>
      <c r="P145" s="3">
        <f>TABL1234[[#This Row],[ (S/S) SAR]]-TABL1234[[#This Row],[(S/S) AJD]]</f>
        <v>0</v>
      </c>
      <c r="Q145" s="40"/>
      <c r="R145" s="3">
        <f>TABL1234[[#This Row],[ (T/B) SAR]]-TABL1234[[#This Row],[(T/B) AJD]]</f>
        <v>0</v>
      </c>
      <c r="S145" s="3">
        <f>TABL1234[[#This Row],[T/B-CON.]]+TABL1234[[#This Row],[S/S_CON.]]</f>
        <v>0</v>
      </c>
      <c r="T145" s="3">
        <f>TABL1234[[#This Row],[(S/S) AJD]]+TABL1234[[#This Row],[(T/B) AJD]]</f>
        <v>0</v>
      </c>
      <c r="U145" s="44"/>
      <c r="V145" s="44"/>
      <c r="W145" s="3">
        <f>TABL1234[[#This Row],[(A/B) AJD]]+TABL1234[[#This Row],[(A/S)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Row],[AJD_Evaporation]])</f>
        <v>0</v>
      </c>
      <c r="AE145" s="44"/>
      <c r="AF145" s="45"/>
      <c r="AG145" s="45"/>
      <c r="AH145" s="6"/>
      <c r="AI145" s="45"/>
      <c r="AJ145" s="45">
        <f>TABL1234[[#This Row],[(A/B) AJD]]-TABL1234[[#This Row],[BER_IN]]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Row],[(A/S) AJD]]-TABL1234[[#This Row],[SER_IN]]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 (T/B) SAR]]+TABL1234[[#This Row],[ (S/S) SAR]]</f>
        <v>0</v>
      </c>
      <c r="L146" s="41"/>
      <c r="M146" s="42"/>
      <c r="N146" s="42"/>
      <c r="O146" s="39"/>
      <c r="P146" s="3">
        <f>TABL1234[[#This Row],[ (S/S) SAR]]-TABL1234[[#This Row],[(S/S) AJD]]</f>
        <v>0</v>
      </c>
      <c r="Q146" s="39"/>
      <c r="R146" s="3">
        <f>TABL1234[[#This Row],[ (T/B) SAR]]-TABL1234[[#This Row],[(T/B) AJD]]</f>
        <v>0</v>
      </c>
      <c r="S146" s="3">
        <f>TABL1234[[#This Row],[T/B-CON.]]+TABL1234[[#This Row],[S/S_CON.]]</f>
        <v>0</v>
      </c>
      <c r="T146" s="3">
        <f>TABL1234[[#This Row],[(S/S) AJD]]+TABL1234[[#This Row],[(T/B) AJD]]</f>
        <v>0</v>
      </c>
      <c r="U146" s="41"/>
      <c r="V146" s="41"/>
      <c r="W146" s="3">
        <f>TABL1234[[#This Row],[(A/B) AJD]]+TABL1234[[#This Row],[(A/S)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Row],[AJD_Evaporation]])</f>
        <v>0</v>
      </c>
      <c r="AE146" s="41"/>
      <c r="AF146" s="43"/>
      <c r="AG146" s="43"/>
      <c r="AH146" s="6"/>
      <c r="AI146" s="43"/>
      <c r="AJ146" s="43">
        <f>TABL1234[[#This Row],[(A/B) AJD]]-TABL1234[[#This Row],[BER_IN]]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Row],[(A/S) AJD]]-TABL1234[[#This Row],[SER_IN]]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 (T/B) SAR]]+TABL1234[[#This Row],[ (S/S) SAR]]</f>
        <v>0</v>
      </c>
      <c r="L147" s="45"/>
      <c r="M147" s="46"/>
      <c r="N147" s="46"/>
      <c r="O147" s="40"/>
      <c r="P147" s="3">
        <f>TABL1234[[#This Row],[ (S/S) SAR]]-TABL1234[[#This Row],[(S/S) AJD]]</f>
        <v>0</v>
      </c>
      <c r="Q147" s="40"/>
      <c r="R147" s="3">
        <f>TABL1234[[#This Row],[ (T/B) SAR]]-TABL1234[[#This Row],[(T/B) AJD]]</f>
        <v>0</v>
      </c>
      <c r="S147" s="3">
        <f>TABL1234[[#This Row],[T/B-CON.]]+TABL1234[[#This Row],[S/S_CON.]]</f>
        <v>0</v>
      </c>
      <c r="T147" s="3">
        <f>TABL1234[[#This Row],[(S/S) AJD]]+TABL1234[[#This Row],[(T/B) AJD]]</f>
        <v>0</v>
      </c>
      <c r="U147" s="44"/>
      <c r="V147" s="44"/>
      <c r="W147" s="3">
        <f>TABL1234[[#This Row],[(A/B) AJD]]+TABL1234[[#This Row],[(A/S)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Row],[AJD_Evaporation]])</f>
        <v>0</v>
      </c>
      <c r="AE147" s="44"/>
      <c r="AF147" s="45"/>
      <c r="AG147" s="45"/>
      <c r="AH147" s="6"/>
      <c r="AI147" s="45"/>
      <c r="AJ147" s="45">
        <f>TABL1234[[#This Row],[(A/B) AJD]]-TABL1234[[#This Row],[BER_IN]]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Row],[(A/S) AJD]]-TABL1234[[#This Row],[SER_IN]]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 (T/B) SAR]]+TABL1234[[#This Row],[ (S/S) SAR]]</f>
        <v>0</v>
      </c>
      <c r="L148" s="41"/>
      <c r="M148" s="42"/>
      <c r="N148" s="42"/>
      <c r="O148" s="39"/>
      <c r="P148" s="3">
        <f>TABL1234[[#This Row],[ (S/S) SAR]]-TABL1234[[#This Row],[(S/S) AJD]]</f>
        <v>0</v>
      </c>
      <c r="Q148" s="39"/>
      <c r="R148" s="3">
        <f>TABL1234[[#This Row],[ (T/B) SAR]]-TABL1234[[#This Row],[(T/B) AJD]]</f>
        <v>0</v>
      </c>
      <c r="S148" s="3">
        <f>TABL1234[[#This Row],[T/B-CON.]]+TABL1234[[#This Row],[S/S_CON.]]</f>
        <v>0</v>
      </c>
      <c r="T148" s="3">
        <f>TABL1234[[#This Row],[(S/S) AJD]]+TABL1234[[#This Row],[(T/B) AJD]]</f>
        <v>0</v>
      </c>
      <c r="U148" s="41"/>
      <c r="V148" s="41"/>
      <c r="W148" s="3">
        <f>TABL1234[[#This Row],[(A/B) AJD]]+TABL1234[[#This Row],[(A/S)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Row],[AJD_Evaporation]])</f>
        <v>0</v>
      </c>
      <c r="AE148" s="41"/>
      <c r="AF148" s="43"/>
      <c r="AG148" s="43"/>
      <c r="AH148" s="6"/>
      <c r="AI148" s="43"/>
      <c r="AJ148" s="43">
        <f>TABL1234[[#This Row],[(A/B) AJD]]-TABL1234[[#This Row],[BER_IN]]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Row],[(A/S) AJD]]-TABL1234[[#This Row],[SER_IN]]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 (T/B) SAR]]+TABL1234[[#This Row],[ (S/S) SAR]]</f>
        <v>0</v>
      </c>
      <c r="L149" s="45"/>
      <c r="M149" s="46"/>
      <c r="N149" s="46"/>
      <c r="O149" s="40"/>
      <c r="P149" s="3">
        <f>TABL1234[[#This Row],[ (S/S) SAR]]-TABL1234[[#This Row],[(S/S) AJD]]</f>
        <v>0</v>
      </c>
      <c r="Q149" s="40"/>
      <c r="R149" s="3">
        <f>TABL1234[[#This Row],[ (T/B) SAR]]-TABL1234[[#This Row],[(T/B) AJD]]</f>
        <v>0</v>
      </c>
      <c r="S149" s="3">
        <f>TABL1234[[#This Row],[T/B-CON.]]+TABL1234[[#This Row],[S/S_CON.]]</f>
        <v>0</v>
      </c>
      <c r="T149" s="3">
        <f>TABL1234[[#This Row],[(S/S) AJD]]+TABL1234[[#This Row],[(T/B) AJD]]</f>
        <v>0</v>
      </c>
      <c r="U149" s="44"/>
      <c r="V149" s="44"/>
      <c r="W149" s="3">
        <f>TABL1234[[#This Row],[(A/B) AJD]]+TABL1234[[#This Row],[(A/S)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Row],[AJD_Evaporation]])</f>
        <v>0</v>
      </c>
      <c r="AE149" s="44"/>
      <c r="AF149" s="45"/>
      <c r="AG149" s="45"/>
      <c r="AH149" s="6"/>
      <c r="AI149" s="45"/>
      <c r="AJ149" s="45">
        <f>TABL1234[[#This Row],[(A/B) AJD]]-TABL1234[[#This Row],[BER_IN]]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Row],[(A/S) AJD]]-TABL1234[[#This Row],[SER_IN]]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 (T/B) SAR]]+TABL1234[[#This Row],[ (S/S) SAR]]</f>
        <v>0</v>
      </c>
      <c r="L150" s="41"/>
      <c r="M150" s="42"/>
      <c r="N150" s="42"/>
      <c r="O150" s="39"/>
      <c r="P150" s="3">
        <f>TABL1234[[#This Row],[ (S/S) SAR]]-TABL1234[[#This Row],[(S/S) AJD]]</f>
        <v>0</v>
      </c>
      <c r="Q150" s="39"/>
      <c r="R150" s="3">
        <f>TABL1234[[#This Row],[ (T/B) SAR]]-TABL1234[[#This Row],[(T/B) AJD]]</f>
        <v>0</v>
      </c>
      <c r="S150" s="3">
        <f>TABL1234[[#This Row],[T/B-CON.]]+TABL1234[[#This Row],[S/S_CON.]]</f>
        <v>0</v>
      </c>
      <c r="T150" s="3">
        <f>TABL1234[[#This Row],[(S/S) AJD]]+TABL1234[[#This Row],[(T/B) AJD]]</f>
        <v>0</v>
      </c>
      <c r="U150" s="41"/>
      <c r="V150" s="41"/>
      <c r="W150" s="3">
        <f>TABL1234[[#This Row],[(A/B) AJD]]+TABL1234[[#This Row],[(A/S)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Row],[AJD_Evaporation]])</f>
        <v>0</v>
      </c>
      <c r="AE150" s="41"/>
      <c r="AF150" s="43"/>
      <c r="AG150" s="43"/>
      <c r="AH150" s="6"/>
      <c r="AI150" s="43"/>
      <c r="AJ150" s="43">
        <f>TABL1234[[#This Row],[(A/B) AJD]]-TABL1234[[#This Row],[BER_IN]]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Row],[(A/S) AJD]]-TABL1234[[#This Row],[SER_IN]]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 (T/B) SAR]]+TABL1234[[#This Row],[ (S/S) SAR]]</f>
        <v>0</v>
      </c>
      <c r="L151" s="45"/>
      <c r="M151" s="46"/>
      <c r="N151" s="46"/>
      <c r="O151" s="40"/>
      <c r="P151" s="3">
        <f>TABL1234[[#This Row],[ (S/S) SAR]]-TABL1234[[#This Row],[(S/S) AJD]]</f>
        <v>0</v>
      </c>
      <c r="Q151" s="40"/>
      <c r="R151" s="3">
        <f>TABL1234[[#This Row],[ (T/B) SAR]]-TABL1234[[#This Row],[(T/B) AJD]]</f>
        <v>0</v>
      </c>
      <c r="S151" s="3">
        <f>TABL1234[[#This Row],[T/B-CON.]]+TABL1234[[#This Row],[S/S_CON.]]</f>
        <v>0</v>
      </c>
      <c r="T151" s="3">
        <f>TABL1234[[#This Row],[(S/S) AJD]]+TABL1234[[#This Row],[(T/B) AJD]]</f>
        <v>0</v>
      </c>
      <c r="U151" s="44"/>
      <c r="V151" s="44"/>
      <c r="W151" s="3">
        <f>TABL1234[[#This Row],[(A/B) AJD]]+TABL1234[[#This Row],[(A/S)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Row],[AJD_Evaporation]])</f>
        <v>0</v>
      </c>
      <c r="AE151" s="44"/>
      <c r="AF151" s="45"/>
      <c r="AG151" s="45"/>
      <c r="AH151" s="6"/>
      <c r="AI151" s="45"/>
      <c r="AJ151" s="90">
        <f>TABL1234[[#This Row],[(A/B) AJD]]-TABL1234[[#This Row],[BER_IN]]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Row],[(A/S) AJD]]-TABL1234[[#This Row],[SER_IN]]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 (T/B) SAR]]+TABL1234[[#This Row],[ (S/S) SAR]]</f>
        <v>0</v>
      </c>
      <c r="L152" s="41"/>
      <c r="M152" s="42"/>
      <c r="N152" s="42"/>
      <c r="O152" s="39"/>
      <c r="P152" s="3">
        <f>TABL1234[[#This Row],[ (S/S) SAR]]-TABL1234[[#This Row],[(S/S) AJD]]</f>
        <v>0</v>
      </c>
      <c r="Q152" s="39"/>
      <c r="R152" s="3">
        <f>TABL1234[[#This Row],[ (T/B) SAR]]-TABL1234[[#This Row],[(T/B) AJD]]</f>
        <v>0</v>
      </c>
      <c r="S152" s="3">
        <f>TABL1234[[#This Row],[T/B-CON.]]+TABL1234[[#This Row],[S/S_CON.]]</f>
        <v>0</v>
      </c>
      <c r="T152" s="3">
        <f>TABL1234[[#This Row],[(S/S) AJD]]+TABL1234[[#This Row],[(T/B) AJD]]</f>
        <v>0</v>
      </c>
      <c r="U152" s="41"/>
      <c r="V152" s="41"/>
      <c r="W152" s="3">
        <f>TABL1234[[#This Row],[(A/B) AJD]]+TABL1234[[#This Row],[(A/S)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Row],[AJD_Evaporation]])</f>
        <v>0</v>
      </c>
      <c r="AE152" s="41"/>
      <c r="AF152" s="43"/>
      <c r="AG152" s="43"/>
      <c r="AH152" s="6"/>
      <c r="AI152" s="43"/>
      <c r="AJ152" s="43">
        <f>TABL1234[[#This Row],[(A/B) AJD]]-TABL1234[[#This Row],[BER_IN]]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Row],[(A/S) AJD]]-TABL1234[[#This Row],[SER_IN]]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 (T/B) SAR]]+TABL1234[[#This Row],[ (S/S) SAR]]</f>
        <v>0</v>
      </c>
      <c r="L153" s="41"/>
      <c r="M153" s="42"/>
      <c r="N153" s="42"/>
      <c r="O153" s="39"/>
      <c r="P153" s="10">
        <f>TABL1234[[#This Row],[ (S/S) SAR]]-TABL1234[[#This Row],[(S/S) AJD]]</f>
        <v>0</v>
      </c>
      <c r="Q153" s="39"/>
      <c r="R153" s="10">
        <f>TABL1234[[#This Row],[ (T/B) SAR]]-TABL1234[[#This Row],[(T/B) AJD]]</f>
        <v>0</v>
      </c>
      <c r="S153" s="10">
        <f>TABL1234[[#This Row],[T/B-CON.]]+TABL1234[[#This Row],[S/S_CON.]]</f>
        <v>0</v>
      </c>
      <c r="T153" s="10">
        <f>TABL1234[[#This Row],[(S/S) AJD]]+TABL1234[[#This Row],[(T/B) AJD]]</f>
        <v>0</v>
      </c>
      <c r="U153" s="41"/>
      <c r="V153" s="41"/>
      <c r="W153" s="10">
        <f>TABL1234[[#This Row],[(A/B) AJD]]+TABL1234[[#This Row],[(A/S)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Row],[AJD_Evaporation]])</f>
        <v>0</v>
      </c>
      <c r="AE153" s="41"/>
      <c r="AF153" s="43"/>
      <c r="AG153" s="43"/>
      <c r="AH153" s="6"/>
      <c r="AI153" s="43"/>
      <c r="AJ153" s="43">
        <f>TABL1234[[#This Row],[(A/B) AJD]]-TABL1234[[#This Row],[BER_IN]]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Row],[(A/S) AJD]]-TABL1234[[#This Row],[SER_IN]]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 (T/B) SAR]]+TABL1234[[#This Row],[ (S/S) SAR]]</f>
        <v>0</v>
      </c>
      <c r="L154" s="45"/>
      <c r="M154" s="46"/>
      <c r="N154" s="46"/>
      <c r="O154" s="40"/>
      <c r="P154" s="10">
        <f>TABL1234[[#This Row],[ (S/S) SAR]]-TABL1234[[#This Row],[(S/S) AJD]]</f>
        <v>0</v>
      </c>
      <c r="Q154" s="40"/>
      <c r="R154" s="10">
        <f>TABL1234[[#This Row],[ (T/B) SAR]]-TABL1234[[#This Row],[(T/B) AJD]]</f>
        <v>0</v>
      </c>
      <c r="S154" s="10">
        <f>TABL1234[[#This Row],[T/B-CON.]]+TABL1234[[#This Row],[S/S_CON.]]</f>
        <v>0</v>
      </c>
      <c r="T154" s="10">
        <f>TABL1234[[#This Row],[(S/S) AJD]]+TABL1234[[#This Row],[(T/B) AJD]]</f>
        <v>0</v>
      </c>
      <c r="U154" s="44"/>
      <c r="V154" s="44"/>
      <c r="W154" s="10">
        <f>TABL1234[[#This Row],[(A/B) AJD]]+TABL1234[[#This Row],[(A/S)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Row],[AJD_Evaporation]])</f>
        <v>0</v>
      </c>
      <c r="AE154" s="44"/>
      <c r="AF154" s="45"/>
      <c r="AG154" s="45"/>
      <c r="AH154" s="6"/>
      <c r="AI154" s="45"/>
      <c r="AJ154" s="45">
        <f>TABL1234[[#This Row],[(A/B) AJD]]-TABL1234[[#This Row],[BER_IN]]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Row],[(A/S) AJD]]-TABL1234[[#This Row],[SER_IN]]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 (T/B) SAR]]+TABL1234[[#This Row],[ (S/S) SAR]]</f>
        <v>0</v>
      </c>
      <c r="L155" s="41"/>
      <c r="M155" s="42"/>
      <c r="N155" s="42"/>
      <c r="O155" s="39"/>
      <c r="P155" s="10">
        <f>TABL1234[[#This Row],[ (S/S) SAR]]-TABL1234[[#This Row],[(S/S) AJD]]</f>
        <v>0</v>
      </c>
      <c r="Q155" s="39"/>
      <c r="R155" s="10">
        <f>TABL1234[[#This Row],[ (T/B) SAR]]-TABL1234[[#This Row],[(T/B) AJD]]</f>
        <v>0</v>
      </c>
      <c r="S155" s="10">
        <f>TABL1234[[#This Row],[T/B-CON.]]+TABL1234[[#This Row],[S/S_CON.]]</f>
        <v>0</v>
      </c>
      <c r="T155" s="10">
        <f>TABL1234[[#This Row],[(S/S) AJD]]+TABL1234[[#This Row],[(T/B) AJD]]</f>
        <v>0</v>
      </c>
      <c r="U155" s="41"/>
      <c r="V155" s="41"/>
      <c r="W155" s="10">
        <f>TABL1234[[#This Row],[(A/B) AJD]]+TABL1234[[#This Row],[(A/S)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Row],[AJD_Evaporation]])</f>
        <v>0</v>
      </c>
      <c r="AE155" s="41"/>
      <c r="AF155" s="43"/>
      <c r="AG155" s="43"/>
      <c r="AH155" s="6"/>
      <c r="AI155" s="43"/>
      <c r="AJ155" s="43">
        <f>TABL1234[[#This Row],[(A/B) AJD]]-TABL1234[[#This Row],[BER_IN]]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Row],[(A/S) AJD]]-TABL1234[[#This Row],[SER_IN]]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 (T/B) SAR]]+TABL1234[[#This Row],[ (S/S) SAR]]</f>
        <v>0</v>
      </c>
      <c r="L156" s="45"/>
      <c r="M156" s="46"/>
      <c r="N156" s="46"/>
      <c r="O156" s="40"/>
      <c r="P156" s="10">
        <f>TABL1234[[#This Row],[ (S/S) SAR]]-TABL1234[[#This Row],[(S/S) AJD]]</f>
        <v>0</v>
      </c>
      <c r="Q156" s="40"/>
      <c r="R156" s="10">
        <f>TABL1234[[#This Row],[ (T/B) SAR]]-TABL1234[[#This Row],[(T/B) AJD]]</f>
        <v>0</v>
      </c>
      <c r="S156" s="10">
        <f>TABL1234[[#This Row],[T/B-CON.]]+TABL1234[[#This Row],[S/S_CON.]]</f>
        <v>0</v>
      </c>
      <c r="T156" s="10">
        <f>TABL1234[[#This Row],[(S/S) AJD]]+TABL1234[[#This Row],[(T/B) AJD]]</f>
        <v>0</v>
      </c>
      <c r="U156" s="44"/>
      <c r="V156" s="44"/>
      <c r="W156" s="10">
        <f>TABL1234[[#This Row],[(A/B) AJD]]+TABL1234[[#This Row],[(A/S)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Row],[AJD_Evaporation]])</f>
        <v>0</v>
      </c>
      <c r="AE156" s="44"/>
      <c r="AF156" s="45"/>
      <c r="AG156" s="45"/>
      <c r="AH156" s="6"/>
      <c r="AI156" s="45"/>
      <c r="AJ156" s="45">
        <f>TABL1234[[#This Row],[(A/B) AJD]]-TABL1234[[#This Row],[BER_IN]]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Row],[(A/S) AJD]]-TABL1234[[#This Row],[SER_IN]]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 (T/B) SAR]]+TABL1234[[#This Row],[ (S/S) SAR]]</f>
        <v>0</v>
      </c>
      <c r="L157" s="41"/>
      <c r="M157" s="42"/>
      <c r="N157" s="42"/>
      <c r="O157" s="39"/>
      <c r="P157" s="10">
        <f>TABL1234[[#This Row],[ (S/S) SAR]]-TABL1234[[#This Row],[(S/S) AJD]]</f>
        <v>0</v>
      </c>
      <c r="Q157" s="39"/>
      <c r="R157" s="10">
        <f>TABL1234[[#This Row],[ (T/B) SAR]]-TABL1234[[#This Row],[(T/B) AJD]]</f>
        <v>0</v>
      </c>
      <c r="S157" s="10">
        <f>TABL1234[[#This Row],[T/B-CON.]]+TABL1234[[#This Row],[S/S_CON.]]</f>
        <v>0</v>
      </c>
      <c r="T157" s="10">
        <f>TABL1234[[#This Row],[(S/S) AJD]]+TABL1234[[#This Row],[(T/B) AJD]]</f>
        <v>0</v>
      </c>
      <c r="U157" s="41"/>
      <c r="V157" s="41"/>
      <c r="W157" s="10">
        <f>TABL1234[[#This Row],[(A/B) AJD]]+TABL1234[[#This Row],[(A/S)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Row],[AJD_Evaporation]])</f>
        <v>0</v>
      </c>
      <c r="AE157" s="41"/>
      <c r="AF157" s="43"/>
      <c r="AG157" s="43"/>
      <c r="AH157" s="6"/>
      <c r="AI157" s="43"/>
      <c r="AJ157" s="43">
        <f>TABL1234[[#This Row],[(A/B) AJD]]-TABL1234[[#This Row],[BER_IN]]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Row],[(A/S) AJD]]-TABL1234[[#This Row],[SER_IN]]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 (T/B) SAR]]+TABL1234[[#This Row],[ (S/S) SAR]]</f>
        <v>0</v>
      </c>
      <c r="L158" s="45"/>
      <c r="M158" s="46"/>
      <c r="N158" s="46"/>
      <c r="O158" s="40"/>
      <c r="P158" s="10">
        <f>TABL1234[[#This Row],[ (S/S) SAR]]-TABL1234[[#This Row],[(S/S) AJD]]</f>
        <v>0</v>
      </c>
      <c r="Q158" s="40"/>
      <c r="R158" s="10">
        <f>TABL1234[[#This Row],[ (T/B) SAR]]-TABL1234[[#This Row],[(T/B) AJD]]</f>
        <v>0</v>
      </c>
      <c r="S158" s="10">
        <f>TABL1234[[#This Row],[T/B-CON.]]+TABL1234[[#This Row],[S/S_CON.]]</f>
        <v>0</v>
      </c>
      <c r="T158" s="10">
        <f>TABL1234[[#This Row],[(S/S) AJD]]+TABL1234[[#This Row],[(T/B) AJD]]</f>
        <v>0</v>
      </c>
      <c r="U158" s="44"/>
      <c r="V158" s="44"/>
      <c r="W158" s="10">
        <f>TABL1234[[#This Row],[(A/B) AJD]]+TABL1234[[#This Row],[(A/S)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Row],[AJD_Evaporation]])</f>
        <v>0</v>
      </c>
      <c r="AE158" s="44"/>
      <c r="AF158" s="45"/>
      <c r="AG158" s="45"/>
      <c r="AH158" s="6"/>
      <c r="AI158" s="45"/>
      <c r="AJ158" s="45">
        <f>TABL1234[[#This Row],[(A/B) AJD]]-TABL1234[[#This Row],[BER_IN]]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Row],[(A/S) AJD]]-TABL1234[[#This Row],[SER_IN]]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 (T/B) SAR]]+TABL1234[[#This Row],[ (S/S) SAR]]</f>
        <v>0</v>
      </c>
      <c r="L159" s="41"/>
      <c r="M159" s="42"/>
      <c r="N159" s="42"/>
      <c r="O159" s="39"/>
      <c r="P159" s="10">
        <f>TABL1234[[#This Row],[ (S/S) SAR]]-TABL1234[[#This Row],[(S/S) AJD]]</f>
        <v>0</v>
      </c>
      <c r="Q159" s="39"/>
      <c r="R159" s="10">
        <f>TABL1234[[#This Row],[ (T/B) SAR]]-TABL1234[[#This Row],[(T/B) AJD]]</f>
        <v>0</v>
      </c>
      <c r="S159" s="10">
        <f>TABL1234[[#This Row],[T/B-CON.]]+TABL1234[[#This Row],[S/S_CON.]]</f>
        <v>0</v>
      </c>
      <c r="T159" s="10">
        <f>TABL1234[[#This Row],[(S/S) AJD]]+TABL1234[[#This Row],[(T/B) AJD]]</f>
        <v>0</v>
      </c>
      <c r="U159" s="41"/>
      <c r="V159" s="41"/>
      <c r="W159" s="10">
        <f>TABL1234[[#This Row],[(A/B) AJD]]+TABL1234[[#This Row],[(A/S)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Row],[AJD_Evaporation]])</f>
        <v>0</v>
      </c>
      <c r="AE159" s="41"/>
      <c r="AF159" s="43"/>
      <c r="AG159" s="43"/>
      <c r="AH159" s="6"/>
      <c r="AI159" s="43"/>
      <c r="AJ159" s="43">
        <f>TABL1234[[#This Row],[(A/B) AJD]]-TABL1234[[#This Row],[BER_IN]]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Row],[(A/S) AJD]]-TABL1234[[#This Row],[SER_IN]]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 (T/B) SAR]]+TABL1234[[#This Row],[ (S/S) SAR]]</f>
        <v>0</v>
      </c>
      <c r="L160" s="45"/>
      <c r="M160" s="46"/>
      <c r="N160" s="46"/>
      <c r="O160" s="40"/>
      <c r="P160" s="10">
        <f>TABL1234[[#This Row],[ (S/S) SAR]]-TABL1234[[#This Row],[(S/S) AJD]]</f>
        <v>0</v>
      </c>
      <c r="Q160" s="40"/>
      <c r="R160" s="10">
        <f>TABL1234[[#This Row],[ (T/B) SAR]]-TABL1234[[#This Row],[(T/B) AJD]]</f>
        <v>0</v>
      </c>
      <c r="S160" s="10">
        <f>TABL1234[[#This Row],[T/B-CON.]]+TABL1234[[#This Row],[S/S_CON.]]</f>
        <v>0</v>
      </c>
      <c r="T160" s="10">
        <f>TABL1234[[#This Row],[(S/S) AJD]]+TABL1234[[#This Row],[(T/B) AJD]]</f>
        <v>0</v>
      </c>
      <c r="U160" s="44"/>
      <c r="V160" s="44"/>
      <c r="W160" s="10">
        <f>TABL1234[[#This Row],[(A/B) AJD]]+TABL1234[[#This Row],[(A/S)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Row],[AJD_Evaporation]])</f>
        <v>0</v>
      </c>
      <c r="AE160" s="44"/>
      <c r="AF160" s="45"/>
      <c r="AG160" s="45"/>
      <c r="AH160" s="6"/>
      <c r="AI160" s="45"/>
      <c r="AJ160" s="45">
        <f>TABL1234[[#This Row],[(A/B) AJD]]-TABL1234[[#This Row],[BER_IN]]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Row],[(A/S) AJD]]-TABL1234[[#This Row],[SER_IN]]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 (T/B) SAR]]+TABL1234[[#This Row],[ (S/S) SAR]]</f>
        <v>0</v>
      </c>
      <c r="L161" s="41"/>
      <c r="M161" s="42"/>
      <c r="N161" s="42"/>
      <c r="O161" s="39"/>
      <c r="P161" s="10">
        <f>TABL1234[[#This Row],[ (S/S) SAR]]-TABL1234[[#This Row],[(S/S) AJD]]</f>
        <v>0</v>
      </c>
      <c r="Q161" s="39"/>
      <c r="R161" s="10">
        <f>TABL1234[[#This Row],[ (T/B) SAR]]-TABL1234[[#This Row],[(T/B) AJD]]</f>
        <v>0</v>
      </c>
      <c r="S161" s="10">
        <f>TABL1234[[#This Row],[T/B-CON.]]+TABL1234[[#This Row],[S/S_CON.]]</f>
        <v>0</v>
      </c>
      <c r="T161" s="10">
        <f>TABL1234[[#This Row],[(S/S) AJD]]+TABL1234[[#This Row],[(T/B) AJD]]</f>
        <v>0</v>
      </c>
      <c r="U161" s="41"/>
      <c r="V161" s="41"/>
      <c r="W161" s="10">
        <f>TABL1234[[#This Row],[(A/B) AJD]]+TABL1234[[#This Row],[(A/S)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Row],[AJD_Evaporation]])</f>
        <v>0</v>
      </c>
      <c r="AE161" s="41"/>
      <c r="AF161" s="43"/>
      <c r="AG161" s="43"/>
      <c r="AH161" s="6"/>
      <c r="AI161" s="43"/>
      <c r="AJ161" s="43">
        <f>TABL1234[[#This Row],[(A/B) AJD]]-TABL1234[[#This Row],[BER_IN]]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Row],[(A/S) AJD]]-TABL1234[[#This Row],[SER_IN]]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 (T/B) SAR]]+TABL1234[[#This Row],[ (S/S) SAR]]</f>
        <v>0</v>
      </c>
      <c r="L162" s="45"/>
      <c r="M162" s="46"/>
      <c r="N162" s="46"/>
      <c r="O162" s="40"/>
      <c r="P162" s="10">
        <f>TABL1234[[#This Row],[ (S/S) SAR]]-TABL1234[[#This Row],[(S/S) AJD]]</f>
        <v>0</v>
      </c>
      <c r="Q162" s="40"/>
      <c r="R162" s="10">
        <f>TABL1234[[#This Row],[ (T/B) SAR]]-TABL1234[[#This Row],[(T/B) AJD]]</f>
        <v>0</v>
      </c>
      <c r="S162" s="10">
        <f>TABL1234[[#This Row],[T/B-CON.]]+TABL1234[[#This Row],[S/S_CON.]]</f>
        <v>0</v>
      </c>
      <c r="T162" s="10">
        <f>TABL1234[[#This Row],[(S/S) AJD]]+TABL1234[[#This Row],[(T/B) AJD]]</f>
        <v>0</v>
      </c>
      <c r="U162" s="44"/>
      <c r="V162" s="44"/>
      <c r="W162" s="10">
        <f>TABL1234[[#This Row],[(A/B) AJD]]+TABL1234[[#This Row],[(A/S)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Row],[AJD_Evaporation]])</f>
        <v>0</v>
      </c>
      <c r="AE162" s="44"/>
      <c r="AF162" s="45"/>
      <c r="AG162" s="45"/>
      <c r="AH162" s="6"/>
      <c r="AI162" s="45"/>
      <c r="AJ162" s="45">
        <f>TABL1234[[#This Row],[(A/B) AJD]]-TABL1234[[#This Row],[BER_IN]]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Row],[(A/S) AJD]]-TABL1234[[#This Row],[SER_IN]]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 (T/B) SAR]]+TABL1234[[#This Row],[ (S/S) SAR]]</f>
        <v>0</v>
      </c>
      <c r="L163" s="41"/>
      <c r="M163" s="42"/>
      <c r="N163" s="42"/>
      <c r="O163" s="39"/>
      <c r="P163" s="10">
        <f>TABL1234[[#This Row],[ (S/S) SAR]]-TABL1234[[#This Row],[(S/S) AJD]]</f>
        <v>0</v>
      </c>
      <c r="Q163" s="39"/>
      <c r="R163" s="10">
        <f>TABL1234[[#This Row],[ (T/B) SAR]]-TABL1234[[#This Row],[(T/B) AJD]]</f>
        <v>0</v>
      </c>
      <c r="S163" s="10">
        <f>TABL1234[[#This Row],[T/B-CON.]]+TABL1234[[#This Row],[S/S_CON.]]</f>
        <v>0</v>
      </c>
      <c r="T163" s="10">
        <f>TABL1234[[#This Row],[(S/S) AJD]]+TABL1234[[#This Row],[(T/B) AJD]]</f>
        <v>0</v>
      </c>
      <c r="U163" s="41"/>
      <c r="V163" s="41"/>
      <c r="W163" s="10">
        <f>TABL1234[[#This Row],[(A/B) AJD]]+TABL1234[[#This Row],[(A/S)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Row],[AJD_Evaporation]])</f>
        <v>0</v>
      </c>
      <c r="AE163" s="41"/>
      <c r="AF163" s="43"/>
      <c r="AG163" s="43"/>
      <c r="AH163" s="6"/>
      <c r="AI163" s="43"/>
      <c r="AJ163" s="43">
        <f>TABL1234[[#This Row],[(A/B) AJD]]-TABL1234[[#This Row],[BER_IN]]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Row],[(A/S) AJD]]-TABL1234[[#This Row],[SER_IN]]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 (T/B) SAR]]+TABL1234[[#This Row],[ (S/S) SAR]]</f>
        <v>0</v>
      </c>
      <c r="L164" s="45"/>
      <c r="M164" s="46"/>
      <c r="N164" s="46"/>
      <c r="O164" s="40"/>
      <c r="P164" s="10">
        <f>TABL1234[[#This Row],[ (S/S) SAR]]-TABL1234[[#This Row],[(S/S) AJD]]</f>
        <v>0</v>
      </c>
      <c r="Q164" s="40"/>
      <c r="R164" s="10">
        <f>TABL1234[[#This Row],[ (T/B) SAR]]-TABL1234[[#This Row],[(T/B) AJD]]</f>
        <v>0</v>
      </c>
      <c r="S164" s="10">
        <f>TABL1234[[#This Row],[T/B-CON.]]+TABL1234[[#This Row],[S/S_CON.]]</f>
        <v>0</v>
      </c>
      <c r="T164" s="10">
        <f>TABL1234[[#This Row],[(S/S) AJD]]+TABL1234[[#This Row],[(T/B) AJD]]</f>
        <v>0</v>
      </c>
      <c r="U164" s="44"/>
      <c r="V164" s="44"/>
      <c r="W164" s="10">
        <f>TABL1234[[#This Row],[(A/B) AJD]]+TABL1234[[#This Row],[(A/S)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Row],[AJD_Evaporation]])</f>
        <v>0</v>
      </c>
      <c r="AE164" s="44"/>
      <c r="AF164" s="45"/>
      <c r="AG164" s="45"/>
      <c r="AH164" s="6"/>
      <c r="AI164" s="45"/>
      <c r="AJ164" s="45">
        <f>TABL1234[[#This Row],[(A/B) AJD]]-TABL1234[[#This Row],[BER_IN]]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Row],[(A/S) AJD]]-TABL1234[[#This Row],[SER_IN]]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 (T/B) SAR]]+TABL1234[[#This Row],[ (S/S) SAR]]</f>
        <v>0</v>
      </c>
      <c r="L165" s="41"/>
      <c r="M165" s="42"/>
      <c r="N165" s="42"/>
      <c r="O165" s="39"/>
      <c r="P165" s="10">
        <f>TABL1234[[#This Row],[ (S/S) SAR]]-TABL1234[[#This Row],[(S/S) AJD]]</f>
        <v>0</v>
      </c>
      <c r="Q165" s="39"/>
      <c r="R165" s="10">
        <f>TABL1234[[#This Row],[ (T/B) SAR]]-TABL1234[[#This Row],[(T/B) AJD]]</f>
        <v>0</v>
      </c>
      <c r="S165" s="10">
        <f>TABL1234[[#This Row],[T/B-CON.]]+TABL1234[[#This Row],[S/S_CON.]]</f>
        <v>0</v>
      </c>
      <c r="T165" s="10">
        <f>TABL1234[[#This Row],[(S/S) AJD]]+TABL1234[[#This Row],[(T/B) AJD]]</f>
        <v>0</v>
      </c>
      <c r="U165" s="41"/>
      <c r="V165" s="41"/>
      <c r="W165" s="10">
        <f>TABL1234[[#This Row],[(A/B) AJD]]+TABL1234[[#This Row],[(A/S)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Row],[AJD_Evaporation]])</f>
        <v>0</v>
      </c>
      <c r="AE165" s="41"/>
      <c r="AF165" s="43"/>
      <c r="AG165" s="43"/>
      <c r="AH165" s="6"/>
      <c r="AI165" s="43"/>
      <c r="AJ165" s="43">
        <f>TABL1234[[#This Row],[(A/B) AJD]]-TABL1234[[#This Row],[BER_IN]]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Row],[(A/S) AJD]]-TABL1234[[#This Row],[SER_IN]]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 (T/B) SAR]]+TABL1234[[#This Row],[ (S/S) SAR]]</f>
        <v>0</v>
      </c>
      <c r="L166" s="45"/>
      <c r="M166" s="46"/>
      <c r="N166" s="46"/>
      <c r="O166" s="40"/>
      <c r="P166" s="10">
        <f>TABL1234[[#This Row],[ (S/S) SAR]]-TABL1234[[#This Row],[(S/S) AJD]]</f>
        <v>0</v>
      </c>
      <c r="Q166" s="40"/>
      <c r="R166" s="10">
        <f>TABL1234[[#This Row],[ (T/B) SAR]]-TABL1234[[#This Row],[(T/B) AJD]]</f>
        <v>0</v>
      </c>
      <c r="S166" s="10">
        <f>TABL1234[[#This Row],[T/B-CON.]]+TABL1234[[#This Row],[S/S_CON.]]</f>
        <v>0</v>
      </c>
      <c r="T166" s="10">
        <f>TABL1234[[#This Row],[(S/S) AJD]]+TABL1234[[#This Row],[(T/B) AJD]]</f>
        <v>0</v>
      </c>
      <c r="U166" s="44"/>
      <c r="V166" s="44"/>
      <c r="W166" s="10">
        <f>TABL1234[[#This Row],[(A/B) AJD]]+TABL1234[[#This Row],[(A/S)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Row],[AJD_Evaporation]])</f>
        <v>0</v>
      </c>
      <c r="AE166" s="44"/>
      <c r="AF166" s="45"/>
      <c r="AG166" s="45"/>
      <c r="AH166" s="6"/>
      <c r="AI166" s="45"/>
      <c r="AJ166" s="45">
        <f>TABL1234[[#This Row],[(A/B) AJD]]-TABL1234[[#This Row],[BER_IN]]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Row],[(A/S) AJD]]-TABL1234[[#This Row],[SER_IN]]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 (T/B) SAR]]+TABL1234[[#This Row],[ (S/S) SAR]]</f>
        <v>0</v>
      </c>
      <c r="L167" s="41"/>
      <c r="M167" s="42"/>
      <c r="N167" s="42"/>
      <c r="O167" s="39"/>
      <c r="P167" s="10">
        <f>TABL1234[[#This Row],[ (S/S) SAR]]-TABL1234[[#This Row],[(S/S) AJD]]</f>
        <v>0</v>
      </c>
      <c r="Q167" s="39"/>
      <c r="R167" s="10">
        <f>TABL1234[[#This Row],[ (T/B) SAR]]-TABL1234[[#This Row],[(T/B) AJD]]</f>
        <v>0</v>
      </c>
      <c r="S167" s="10">
        <f>TABL1234[[#This Row],[T/B-CON.]]+TABL1234[[#This Row],[S/S_CON.]]</f>
        <v>0</v>
      </c>
      <c r="T167" s="10">
        <f>TABL1234[[#This Row],[(S/S) AJD]]+TABL1234[[#This Row],[(T/B) AJD]]</f>
        <v>0</v>
      </c>
      <c r="U167" s="41"/>
      <c r="V167" s="41"/>
      <c r="W167" s="10">
        <f>TABL1234[[#This Row],[(A/B) AJD]]+TABL1234[[#This Row],[(A/S)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Row],[AJD_Evaporation]])</f>
        <v>0</v>
      </c>
      <c r="AE167" s="41"/>
      <c r="AF167" s="43"/>
      <c r="AG167" s="43"/>
      <c r="AH167" s="6"/>
      <c r="AI167" s="43"/>
      <c r="AJ167" s="43">
        <f>TABL1234[[#This Row],[(A/B) AJD]]-TABL1234[[#This Row],[BER_IN]]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Row],[(A/S) AJD]]-TABL1234[[#This Row],[SER_IN]]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 (T/B) SAR]]+TABL1234[[#This Row],[ (S/S) SAR]]</f>
        <v>0</v>
      </c>
      <c r="L168" s="45"/>
      <c r="M168" s="46"/>
      <c r="N168" s="46"/>
      <c r="O168" s="40"/>
      <c r="P168" s="10">
        <f>TABL1234[[#This Row],[ (S/S) SAR]]-TABL1234[[#This Row],[(S/S) AJD]]</f>
        <v>0</v>
      </c>
      <c r="Q168" s="40"/>
      <c r="R168" s="10">
        <f>TABL1234[[#This Row],[ (T/B) SAR]]-TABL1234[[#This Row],[(T/B) AJD]]</f>
        <v>0</v>
      </c>
      <c r="S168" s="10">
        <f>TABL1234[[#This Row],[T/B-CON.]]+TABL1234[[#This Row],[S/S_CON.]]</f>
        <v>0</v>
      </c>
      <c r="T168" s="10">
        <f>TABL1234[[#This Row],[(S/S) AJD]]+TABL1234[[#This Row],[(T/B) AJD]]</f>
        <v>0</v>
      </c>
      <c r="U168" s="44"/>
      <c r="V168" s="44"/>
      <c r="W168" s="10">
        <f>TABL1234[[#This Row],[(A/B) AJD]]+TABL1234[[#This Row],[(A/S)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Row],[AJD_Evaporation]])</f>
        <v>0</v>
      </c>
      <c r="AE168" s="44"/>
      <c r="AF168" s="45"/>
      <c r="AG168" s="45"/>
      <c r="AH168" s="6"/>
      <c r="AI168" s="45"/>
      <c r="AJ168" s="45">
        <f>TABL1234[[#This Row],[(A/B) AJD]]-TABL1234[[#This Row],[BER_IN]]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Row],[(A/S) AJD]]-TABL1234[[#This Row],[SER_IN]]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 (T/B) SAR]]+TABL1234[[#This Row],[ (S/S) SAR]]</f>
        <v>0</v>
      </c>
      <c r="L169" s="41"/>
      <c r="M169" s="42"/>
      <c r="N169" s="42"/>
      <c r="O169" s="39"/>
      <c r="P169" s="10">
        <f>TABL1234[[#This Row],[ (S/S) SAR]]-TABL1234[[#This Row],[(S/S) AJD]]</f>
        <v>0</v>
      </c>
      <c r="Q169" s="39"/>
      <c r="R169" s="10">
        <f>TABL1234[[#This Row],[ (T/B) SAR]]-TABL1234[[#This Row],[(T/B) AJD]]</f>
        <v>0</v>
      </c>
      <c r="S169" s="10">
        <f>TABL1234[[#This Row],[T/B-CON.]]+TABL1234[[#This Row],[S/S_CON.]]</f>
        <v>0</v>
      </c>
      <c r="T169" s="10">
        <f>TABL1234[[#This Row],[(S/S) AJD]]+TABL1234[[#This Row],[(T/B) AJD]]</f>
        <v>0</v>
      </c>
      <c r="U169" s="41"/>
      <c r="V169" s="41"/>
      <c r="W169" s="10">
        <f>TABL1234[[#This Row],[(A/B) AJD]]+TABL1234[[#This Row],[(A/S)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Row],[AJD_Evaporation]])</f>
        <v>0</v>
      </c>
      <c r="AE169" s="41"/>
      <c r="AF169" s="43"/>
      <c r="AG169" s="43"/>
      <c r="AH169" s="6"/>
      <c r="AI169" s="43"/>
      <c r="AJ169" s="43">
        <f>TABL1234[[#This Row],[(A/B) AJD]]-TABL1234[[#This Row],[BER_IN]]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Row],[(A/S) AJD]]-TABL1234[[#This Row],[SER_IN]]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 (T/B) SAR]]+TABL1234[[#This Row],[ (S/S) SAR]]</f>
        <v>0</v>
      </c>
      <c r="L170" s="45"/>
      <c r="M170" s="46"/>
      <c r="N170" s="46"/>
      <c r="O170" s="40"/>
      <c r="P170" s="3">
        <f>TABL1234[[#This Row],[ (S/S) SAR]]-TABL1234[[#This Row],[(S/S) AJD]]</f>
        <v>0</v>
      </c>
      <c r="Q170" s="40"/>
      <c r="R170" s="3">
        <f>TABL1234[[#This Row],[ (T/B) SAR]]-TABL1234[[#This Row],[(T/B) AJD]]</f>
        <v>0</v>
      </c>
      <c r="S170" s="3">
        <f>TABL1234[[#This Row],[T/B-CON.]]+TABL1234[[#This Row],[S/S_CON.]]</f>
        <v>0</v>
      </c>
      <c r="T170" s="3">
        <f>TABL1234[[#This Row],[(S/S) AJD]]+TABL1234[[#This Row],[(T/B) AJD]]</f>
        <v>0</v>
      </c>
      <c r="U170" s="44"/>
      <c r="V170" s="44"/>
      <c r="W170" s="3">
        <f>TABL1234[[#This Row],[(A/B) AJD]]+TABL1234[[#This Row],[(A/S)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Row],[AJD_Evaporation]])</f>
        <v>0</v>
      </c>
      <c r="AE170" s="44"/>
      <c r="AF170" s="45"/>
      <c r="AG170" s="45"/>
      <c r="AH170" s="6"/>
      <c r="AI170" s="45"/>
      <c r="AJ170" s="45">
        <f>TABL1234[[#This Row],[(A/B) AJD]]-TABL1234[[#This Row],[BER_IN]]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Row],[(A/S) AJD]]-TABL1234[[#This Row],[SER_IN]]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 (T/B) SAR]]+TABL1234[[#This Row],[ (S/S) SAR]]</f>
        <v>0</v>
      </c>
      <c r="L171" s="41"/>
      <c r="M171" s="42"/>
      <c r="N171" s="42"/>
      <c r="O171" s="39"/>
      <c r="P171" s="3">
        <f>TABL1234[[#This Row],[ (S/S) SAR]]-TABL1234[[#This Row],[(S/S) AJD]]</f>
        <v>0</v>
      </c>
      <c r="Q171" s="39"/>
      <c r="R171" s="3">
        <f>TABL1234[[#This Row],[ (T/B) SAR]]-TABL1234[[#This Row],[(T/B) AJD]]</f>
        <v>0</v>
      </c>
      <c r="S171" s="3">
        <f>TABL1234[[#This Row],[T/B-CON.]]+TABL1234[[#This Row],[S/S_CON.]]</f>
        <v>0</v>
      </c>
      <c r="T171" s="3">
        <f>TABL1234[[#This Row],[(S/S) AJD]]+TABL1234[[#This Row],[(T/B) AJD]]</f>
        <v>0</v>
      </c>
      <c r="U171" s="41"/>
      <c r="V171" s="41"/>
      <c r="W171" s="3">
        <f>TABL1234[[#This Row],[(A/B) AJD]]+TABL1234[[#This Row],[(A/S)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Row],[AJD_Evaporation]])</f>
        <v>0</v>
      </c>
      <c r="AE171" s="41"/>
      <c r="AF171" s="43"/>
      <c r="AG171" s="43"/>
      <c r="AH171" s="6"/>
      <c r="AI171" s="43"/>
      <c r="AJ171" s="43">
        <f>TABL1234[[#This Row],[(A/B) AJD]]-TABL1234[[#This Row],[BER_IN]]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Row],[(A/S) AJD]]-TABL1234[[#This Row],[SER_IN]]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 (T/B) SAR]]+TABL1234[[#This Row],[ (S/S) SAR]]</f>
        <v>0</v>
      </c>
      <c r="L172" s="44"/>
      <c r="M172" s="46"/>
      <c r="N172" s="46"/>
      <c r="O172" s="40"/>
      <c r="P172" s="3">
        <f>TABL1234[[#This Row],[ (S/S) SAR]]-TABL1234[[#This Row],[(S/S) AJD]]</f>
        <v>0</v>
      </c>
      <c r="Q172" s="40"/>
      <c r="R172" s="3">
        <f>TABL1234[[#This Row],[ (T/B) SAR]]-TABL1234[[#This Row],[(T/B) AJD]]</f>
        <v>0</v>
      </c>
      <c r="S172" s="3">
        <f>TABL1234[[#This Row],[T/B-CON.]]+TABL1234[[#This Row],[S/S_CON.]]</f>
        <v>0</v>
      </c>
      <c r="T172" s="3">
        <f>TABL1234[[#This Row],[(S/S) AJD]]+TABL1234[[#This Row],[(T/B) AJD]]</f>
        <v>0</v>
      </c>
      <c r="U172" s="44"/>
      <c r="V172" s="44"/>
      <c r="W172" s="3">
        <f>TABL1234[[#This Row],[(A/B) AJD]]+TABL1234[[#This Row],[(A/S)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Row],[AJD_Evaporation]])</f>
        <v>0</v>
      </c>
      <c r="AE172" s="44"/>
      <c r="AF172" s="45"/>
      <c r="AG172" s="45"/>
      <c r="AH172" s="6"/>
      <c r="AI172" s="45"/>
      <c r="AJ172" s="45">
        <f>TABL1234[[#This Row],[(A/B) AJD]]-TABL1234[[#This Row],[BER_IN]]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Row],[(A/S) AJD]]-TABL1234[[#This Row],[SER_IN]]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 (T/B) SAR]]+TABL1234[[#This Row],[ (S/S) SAR]]</f>
        <v>0</v>
      </c>
      <c r="L173" s="41"/>
      <c r="M173" s="42"/>
      <c r="N173" s="42"/>
      <c r="O173" s="39"/>
      <c r="P173" s="3">
        <f>TABL1234[[#This Row],[ (S/S) SAR]]-TABL1234[[#This Row],[(S/S) AJD]]</f>
        <v>0</v>
      </c>
      <c r="Q173" s="39"/>
      <c r="R173" s="3">
        <f>TABL1234[[#This Row],[ (T/B) SAR]]-TABL1234[[#This Row],[(T/B) AJD]]</f>
        <v>0</v>
      </c>
      <c r="S173" s="3">
        <f>TABL1234[[#This Row],[T/B-CON.]]+TABL1234[[#This Row],[S/S_CON.]]</f>
        <v>0</v>
      </c>
      <c r="T173" s="3">
        <f>TABL1234[[#This Row],[(S/S) AJD]]+TABL1234[[#This Row],[(T/B) AJD]]</f>
        <v>0</v>
      </c>
      <c r="U173" s="41"/>
      <c r="V173" s="41"/>
      <c r="W173" s="3">
        <f>TABL1234[[#This Row],[(A/B) AJD]]+TABL1234[[#This Row],[(A/S)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Row],[AJD_Evaporation]])</f>
        <v>0</v>
      </c>
      <c r="AE173" s="41"/>
      <c r="AF173" s="43"/>
      <c r="AG173" s="43"/>
      <c r="AH173" s="6"/>
      <c r="AI173" s="43"/>
      <c r="AJ173" s="43">
        <f>TABL1234[[#This Row],[(A/B) AJD]]-TABL1234[[#This Row],[BER_IN]]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Row],[(A/S) AJD]]-TABL1234[[#This Row],[SER_IN]]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 (T/B) SAR]]+TABL1234[[#This Row],[ (S/S) SAR]]</f>
        <v>0</v>
      </c>
      <c r="L174" s="45"/>
      <c r="M174" s="46"/>
      <c r="N174" s="46"/>
      <c r="O174" s="40"/>
      <c r="P174" s="3">
        <f>TABL1234[[#This Row],[ (S/S) SAR]]-TABL1234[[#This Row],[(S/S) AJD]]</f>
        <v>0</v>
      </c>
      <c r="Q174" s="40"/>
      <c r="R174" s="3">
        <f>TABL1234[[#This Row],[ (T/B) SAR]]-TABL1234[[#This Row],[(T/B) AJD]]</f>
        <v>0</v>
      </c>
      <c r="S174" s="3">
        <f>TABL1234[[#This Row],[T/B-CON.]]+TABL1234[[#This Row],[S/S_CON.]]</f>
        <v>0</v>
      </c>
      <c r="T174" s="3">
        <f>TABL1234[[#This Row],[(S/S) AJD]]+TABL1234[[#This Row],[(T/B) AJD]]</f>
        <v>0</v>
      </c>
      <c r="U174" s="44"/>
      <c r="V174" s="44"/>
      <c r="W174" s="3">
        <f>TABL1234[[#This Row],[(A/B) AJD]]+TABL1234[[#This Row],[(A/S)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Row],[AJD_Evaporation]])</f>
        <v>0</v>
      </c>
      <c r="AE174" s="44"/>
      <c r="AF174" s="45"/>
      <c r="AG174" s="45"/>
      <c r="AH174" s="6"/>
      <c r="AI174" s="45"/>
      <c r="AJ174" s="45">
        <f>TABL1234[[#This Row],[(A/B) AJD]]-TABL1234[[#This Row],[BER_IN]]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Row],[(A/S) AJD]]-TABL1234[[#This Row],[SER_IN]]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 (T/B) SAR]]+TABL1234[[#This Row],[ (S/S) SAR]]</f>
        <v>0</v>
      </c>
      <c r="L175" s="41"/>
      <c r="M175" s="42"/>
      <c r="N175" s="42"/>
      <c r="O175" s="39"/>
      <c r="P175" s="3">
        <f>TABL1234[[#This Row],[ (S/S) SAR]]-TABL1234[[#This Row],[(S/S) AJD]]</f>
        <v>0</v>
      </c>
      <c r="Q175" s="39"/>
      <c r="R175" s="3">
        <f>TABL1234[[#This Row],[ (T/B) SAR]]-TABL1234[[#This Row],[(T/B) AJD]]</f>
        <v>0</v>
      </c>
      <c r="S175" s="3">
        <f>TABL1234[[#This Row],[T/B-CON.]]+TABL1234[[#This Row],[S/S_CON.]]</f>
        <v>0</v>
      </c>
      <c r="T175" s="3">
        <f>TABL1234[[#This Row],[(S/S) AJD]]+TABL1234[[#This Row],[(T/B) AJD]]</f>
        <v>0</v>
      </c>
      <c r="U175" s="41"/>
      <c r="V175" s="41"/>
      <c r="W175" s="3">
        <f>TABL1234[[#This Row],[(A/B) AJD]]+TABL1234[[#This Row],[(A/S)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Row],[AJD_Evaporation]])</f>
        <v>0</v>
      </c>
      <c r="AE175" s="41"/>
      <c r="AF175" s="43"/>
      <c r="AG175" s="43"/>
      <c r="AH175" s="6"/>
      <c r="AI175" s="43"/>
      <c r="AJ175" s="43">
        <f>TABL1234[[#This Row],[(A/B) AJD]]-TABL1234[[#This Row],[BER_IN]]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Row],[(A/S) AJD]]-TABL1234[[#This Row],[SER_IN]]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 (T/B) SAR]]+TABL1234[[#This Row],[ (S/S) SAR]]</f>
        <v>0</v>
      </c>
      <c r="L176" s="45"/>
      <c r="M176" s="46"/>
      <c r="N176" s="46"/>
      <c r="O176" s="40"/>
      <c r="P176" s="3">
        <f>TABL1234[[#This Row],[ (S/S) SAR]]-TABL1234[[#This Row],[(S/S) AJD]]</f>
        <v>0</v>
      </c>
      <c r="Q176" s="40"/>
      <c r="R176" s="3">
        <f>TABL1234[[#This Row],[ (T/B) SAR]]-TABL1234[[#This Row],[(T/B) AJD]]</f>
        <v>0</v>
      </c>
      <c r="S176" s="3">
        <f>TABL1234[[#This Row],[T/B-CON.]]+TABL1234[[#This Row],[S/S_CON.]]</f>
        <v>0</v>
      </c>
      <c r="T176" s="3">
        <f>TABL1234[[#This Row],[(S/S) AJD]]+TABL1234[[#This Row],[(T/B) AJD]]</f>
        <v>0</v>
      </c>
      <c r="U176" s="44"/>
      <c r="V176" s="44"/>
      <c r="W176" s="3">
        <f>TABL1234[[#This Row],[(A/B) AJD]]+TABL1234[[#This Row],[(A/S)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Row],[AJD_Evaporation]])</f>
        <v>0</v>
      </c>
      <c r="AE176" s="44"/>
      <c r="AF176" s="45"/>
      <c r="AG176" s="45"/>
      <c r="AH176" s="6"/>
      <c r="AI176" s="45"/>
      <c r="AJ176" s="45">
        <f>TABL1234[[#This Row],[(A/B) AJD]]-TABL1234[[#This Row],[BER_IN]]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Row],[(A/S) AJD]]-TABL1234[[#This Row],[SER_IN]]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 (T/B) SAR]]+TABL1234[[#This Row],[ (S/S) SAR]]</f>
        <v>0</v>
      </c>
      <c r="L177" s="41"/>
      <c r="M177" s="42"/>
      <c r="N177" s="42"/>
      <c r="O177" s="39"/>
      <c r="P177" s="3">
        <f>TABL1234[[#This Row],[ (S/S) SAR]]-TABL1234[[#This Row],[(S/S) AJD]]</f>
        <v>0</v>
      </c>
      <c r="Q177" s="39"/>
      <c r="R177" s="3">
        <f>TABL1234[[#This Row],[ (T/B) SAR]]-TABL1234[[#This Row],[(T/B) AJD]]</f>
        <v>0</v>
      </c>
      <c r="S177" s="3">
        <f>TABL1234[[#This Row],[T/B-CON.]]+TABL1234[[#This Row],[S/S_CON.]]</f>
        <v>0</v>
      </c>
      <c r="T177" s="3">
        <f>TABL1234[[#This Row],[(S/S) AJD]]+TABL1234[[#This Row],[(T/B) AJD]]</f>
        <v>0</v>
      </c>
      <c r="U177" s="41"/>
      <c r="V177" s="41"/>
      <c r="W177" s="3">
        <f>TABL1234[[#This Row],[(A/B) AJD]]+TABL1234[[#This Row],[(A/S)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Row],[AJD_Evaporation]])</f>
        <v>0</v>
      </c>
      <c r="AE177" s="41"/>
      <c r="AF177" s="43"/>
      <c r="AG177" s="43"/>
      <c r="AH177" s="6"/>
      <c r="AI177" s="43"/>
      <c r="AJ177" s="43">
        <f>TABL1234[[#This Row],[(A/B) AJD]]-TABL1234[[#This Row],[BER_IN]]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Row],[(A/S) AJD]]-TABL1234[[#This Row],[SER_IN]]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 (T/B) SAR]]+TABL1234[[#This Row],[ (S/S) SAR]]</f>
        <v>0</v>
      </c>
      <c r="L178" s="45"/>
      <c r="M178" s="46"/>
      <c r="N178" s="46"/>
      <c r="O178" s="40"/>
      <c r="P178" s="3">
        <f>TABL1234[[#This Row],[ (S/S) SAR]]-TABL1234[[#This Row],[(S/S) AJD]]</f>
        <v>0</v>
      </c>
      <c r="Q178" s="40"/>
      <c r="R178" s="3">
        <f>TABL1234[[#This Row],[ (T/B) SAR]]-TABL1234[[#This Row],[(T/B) AJD]]</f>
        <v>0</v>
      </c>
      <c r="S178" s="3">
        <f>TABL1234[[#This Row],[T/B-CON.]]+TABL1234[[#This Row],[S/S_CON.]]</f>
        <v>0</v>
      </c>
      <c r="T178" s="3">
        <f>TABL1234[[#This Row],[(S/S) AJD]]+TABL1234[[#This Row],[(T/B) AJD]]</f>
        <v>0</v>
      </c>
      <c r="U178" s="44"/>
      <c r="V178" s="44"/>
      <c r="W178" s="3">
        <f>TABL1234[[#This Row],[(A/B) AJD]]+TABL1234[[#This Row],[(A/S)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Row],[AJD_Evaporation]])</f>
        <v>0</v>
      </c>
      <c r="AE178" s="44"/>
      <c r="AF178" s="45"/>
      <c r="AG178" s="45"/>
      <c r="AH178" s="6"/>
      <c r="AI178" s="45"/>
      <c r="AJ178" s="45">
        <f>TABL1234[[#This Row],[(A/B) AJD]]-TABL1234[[#This Row],[BER_IN]]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Row],[(A/S) AJD]]-TABL1234[[#This Row],[SER_IN]]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 (T/B) SAR]]+TABL1234[[#This Row],[ (S/S) SAR]]</f>
        <v>0</v>
      </c>
      <c r="L179" s="41"/>
      <c r="M179" s="42"/>
      <c r="N179" s="42"/>
      <c r="O179" s="39"/>
      <c r="P179" s="3">
        <f>TABL1234[[#This Row],[ (S/S) SAR]]-TABL1234[[#This Row],[(S/S) AJD]]</f>
        <v>0</v>
      </c>
      <c r="Q179" s="39"/>
      <c r="R179" s="3">
        <f>TABL1234[[#This Row],[ (T/B) SAR]]-TABL1234[[#This Row],[(T/B) AJD]]</f>
        <v>0</v>
      </c>
      <c r="S179" s="3">
        <f>TABL1234[[#This Row],[T/B-CON.]]+TABL1234[[#This Row],[S/S_CON.]]</f>
        <v>0</v>
      </c>
      <c r="T179" s="3">
        <f>TABL1234[[#This Row],[(S/S) AJD]]+TABL1234[[#This Row],[(T/B) AJD]]</f>
        <v>0</v>
      </c>
      <c r="U179" s="41"/>
      <c r="V179" s="41"/>
      <c r="W179" s="3">
        <f>TABL1234[[#This Row],[(A/B) AJD]]+TABL1234[[#This Row],[(A/S)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Row],[AJD_Evaporation]])</f>
        <v>0</v>
      </c>
      <c r="AE179" s="41"/>
      <c r="AF179" s="43"/>
      <c r="AG179" s="43"/>
      <c r="AH179" s="6"/>
      <c r="AI179" s="43"/>
      <c r="AJ179" s="43">
        <f>TABL1234[[#This Row],[(A/B) AJD]]-TABL1234[[#This Row],[BER_IN]]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Row],[(A/S) AJD]]-TABL1234[[#This Row],[SER_IN]]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 (T/B) SAR]]+TABL1234[[#This Row],[ (S/S) SAR]]</f>
        <v>0</v>
      </c>
      <c r="L180" s="45"/>
      <c r="M180" s="46"/>
      <c r="N180" s="46"/>
      <c r="O180" s="40"/>
      <c r="P180" s="3">
        <f>TABL1234[[#This Row],[ (S/S) SAR]]-TABL1234[[#This Row],[(S/S) AJD]]</f>
        <v>0</v>
      </c>
      <c r="Q180" s="40"/>
      <c r="R180" s="3">
        <f>TABL1234[[#This Row],[ (T/B) SAR]]-TABL1234[[#This Row],[(T/B) AJD]]</f>
        <v>0</v>
      </c>
      <c r="S180" s="3">
        <f>TABL1234[[#This Row],[T/B-CON.]]+TABL1234[[#This Row],[S/S_CON.]]</f>
        <v>0</v>
      </c>
      <c r="T180" s="3">
        <f>TABL1234[[#This Row],[(S/S) AJD]]+TABL1234[[#This Row],[(T/B) AJD]]</f>
        <v>0</v>
      </c>
      <c r="U180" s="44"/>
      <c r="V180" s="44"/>
      <c r="W180" s="3">
        <f>TABL1234[[#This Row],[(A/B) AJD]]+TABL1234[[#This Row],[(A/S)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Row],[AJD_Evaporation]])</f>
        <v>0</v>
      </c>
      <c r="AE180" s="44"/>
      <c r="AF180" s="45"/>
      <c r="AG180" s="45"/>
      <c r="AH180" s="6"/>
      <c r="AI180" s="45"/>
      <c r="AJ180" s="45">
        <f>TABL1234[[#This Row],[(A/B) AJD]]-TABL1234[[#This Row],[BER_IN]]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Row],[(A/S) AJD]]-TABL1234[[#This Row],[SER_IN]]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 (T/B) SAR]]+TABL1234[[#This Row],[ (S/S) SAR]]</f>
        <v>0</v>
      </c>
      <c r="L181" s="41"/>
      <c r="M181" s="42"/>
      <c r="N181" s="42"/>
      <c r="O181" s="39"/>
      <c r="P181" s="3">
        <f>TABL1234[[#This Row],[ (S/S) SAR]]-TABL1234[[#This Row],[(S/S) AJD]]</f>
        <v>0</v>
      </c>
      <c r="Q181" s="39"/>
      <c r="R181" s="3">
        <f>TABL1234[[#This Row],[ (T/B) SAR]]-TABL1234[[#This Row],[(T/B) AJD]]</f>
        <v>0</v>
      </c>
      <c r="S181" s="3">
        <f>TABL1234[[#This Row],[T/B-CON.]]+TABL1234[[#This Row],[S/S_CON.]]</f>
        <v>0</v>
      </c>
      <c r="T181" s="3">
        <f>TABL1234[[#This Row],[(S/S) AJD]]+TABL1234[[#This Row],[(T/B) AJD]]</f>
        <v>0</v>
      </c>
      <c r="U181" s="41"/>
      <c r="V181" s="41"/>
      <c r="W181" s="3">
        <f>TABL1234[[#This Row],[(A/B) AJD]]+TABL1234[[#This Row],[(A/S)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Row],[AJD_Evaporation]])</f>
        <v>0</v>
      </c>
      <c r="AE181" s="41"/>
      <c r="AF181" s="43"/>
      <c r="AG181" s="43"/>
      <c r="AH181" s="6"/>
      <c r="AI181" s="43"/>
      <c r="AJ181" s="43">
        <f>TABL1234[[#This Row],[(A/B) AJD]]-TABL1234[[#This Row],[BER_IN]]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Row],[(A/S) AJD]]-TABL1234[[#This Row],[SER_IN]]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 (T/B) SAR]]+TABL1234[[#This Row],[ (S/S) SAR]]</f>
        <v>0</v>
      </c>
      <c r="L182" s="45"/>
      <c r="M182" s="46"/>
      <c r="N182" s="46"/>
      <c r="O182" s="40"/>
      <c r="P182" s="3">
        <f>TABL1234[[#This Row],[ (S/S) SAR]]-TABL1234[[#This Row],[(S/S) AJD]]</f>
        <v>0</v>
      </c>
      <c r="Q182" s="40"/>
      <c r="R182" s="3">
        <f>TABL1234[[#This Row],[ (T/B) SAR]]-TABL1234[[#This Row],[(T/B) AJD]]</f>
        <v>0</v>
      </c>
      <c r="S182" s="3">
        <f>TABL1234[[#This Row],[T/B-CON.]]+TABL1234[[#This Row],[S/S_CON.]]</f>
        <v>0</v>
      </c>
      <c r="T182" s="3">
        <f>TABL1234[[#This Row],[(S/S) AJD]]+TABL1234[[#This Row],[(T/B) AJD]]</f>
        <v>0</v>
      </c>
      <c r="U182" s="44"/>
      <c r="V182" s="44"/>
      <c r="W182" s="3">
        <f>TABL1234[[#This Row],[(A/B) AJD]]+TABL1234[[#This Row],[(A/S)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Row],[AJD_Evaporation]])</f>
        <v>0</v>
      </c>
      <c r="AE182" s="44"/>
      <c r="AF182" s="45"/>
      <c r="AG182" s="45"/>
      <c r="AH182" s="6"/>
      <c r="AI182" s="45"/>
      <c r="AJ182" s="45">
        <f>TABL1234[[#This Row],[(A/B) AJD]]-TABL1234[[#This Row],[BER_IN]]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Row],[(A/S) AJD]]-TABL1234[[#This Row],[SER_IN]]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 (T/B) SAR]]+TABL1234[[#This Row],[ (S/S) SAR]]</f>
        <v>0</v>
      </c>
      <c r="L183" s="41"/>
      <c r="M183" s="42"/>
      <c r="N183" s="42"/>
      <c r="O183" s="39"/>
      <c r="P183" s="12">
        <f>TABL1234[[#This Row],[ (S/S) SAR]]-TABL1234[[#This Row],[(S/S) AJD]]</f>
        <v>0</v>
      </c>
      <c r="Q183" s="39"/>
      <c r="R183" s="12">
        <f>TABL1234[[#This Row],[ (T/B) SAR]]-TABL1234[[#This Row],[(T/B) AJD]]</f>
        <v>0</v>
      </c>
      <c r="S183" s="12">
        <f>TABL1234[[#This Row],[T/B-CON.]]+TABL1234[[#This Row],[S/S_CON.]]</f>
        <v>0</v>
      </c>
      <c r="T183" s="12">
        <f>TABL1234[[#This Row],[(S/S) AJD]]+TABL1234[[#This Row],[(T/B) AJD]]</f>
        <v>0</v>
      </c>
      <c r="U183" s="41"/>
      <c r="V183" s="41"/>
      <c r="W183" s="12">
        <f>TABL1234[[#This Row],[(A/B) AJD]]+TABL1234[[#This Row],[(A/S)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Row],[AJD_Evaporation]])</f>
        <v>0</v>
      </c>
      <c r="AE183" s="41"/>
      <c r="AF183" s="43"/>
      <c r="AG183" s="43"/>
      <c r="AH183" s="6"/>
      <c r="AI183" s="43"/>
      <c r="AJ183" s="43">
        <f>TABL1234[[#This Row],[(A/B) AJD]]-TABL1234[[#This Row],[BER_IN]]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Row],[(A/S) AJD]]-TABL1234[[#This Row],[SER_IN]]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 (T/B) SAR]]+TABL1234[[#This Row],[ (S/S) SAR]]</f>
        <v>0</v>
      </c>
      <c r="L184" s="45"/>
      <c r="M184" s="46"/>
      <c r="N184" s="46"/>
      <c r="O184" s="40"/>
      <c r="P184" s="12">
        <f>TABL1234[[#This Row],[ (S/S) SAR]]-TABL1234[[#This Row],[(S/S) AJD]]</f>
        <v>0</v>
      </c>
      <c r="Q184" s="40"/>
      <c r="R184" s="12">
        <f>TABL1234[[#This Row],[ (T/B) SAR]]-TABL1234[[#This Row],[(T/B) AJD]]</f>
        <v>0</v>
      </c>
      <c r="S184" s="12">
        <f>TABL1234[[#This Row],[T/B-CON.]]+TABL1234[[#This Row],[S/S_CON.]]</f>
        <v>0</v>
      </c>
      <c r="T184" s="12">
        <f>TABL1234[[#This Row],[(S/S) AJD]]+TABL1234[[#This Row],[(T/B) AJD]]</f>
        <v>0</v>
      </c>
      <c r="U184" s="44"/>
      <c r="V184" s="44"/>
      <c r="W184" s="12">
        <f>TABL1234[[#This Row],[(A/B) AJD]]+TABL1234[[#This Row],[(A/S)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Row],[AJD_Evaporation]])</f>
        <v>0</v>
      </c>
      <c r="AE184" s="44"/>
      <c r="AF184" s="45"/>
      <c r="AG184" s="45"/>
      <c r="AH184" s="6"/>
      <c r="AI184" s="45"/>
      <c r="AJ184" s="45">
        <f>TABL1234[[#This Row],[(A/B) AJD]]-TABL1234[[#This Row],[BER_IN]]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Row],[(A/S) AJD]]-TABL1234[[#This Row],[SER_IN]]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 (T/B) SAR]]+TABL1234[[#This Row],[ (S/S) SAR]]</f>
        <v>0</v>
      </c>
      <c r="L185" s="41"/>
      <c r="M185" s="42"/>
      <c r="N185" s="42"/>
      <c r="O185" s="39"/>
      <c r="P185" s="12">
        <f>TABL1234[[#This Row],[ (S/S) SAR]]-TABL1234[[#This Row],[(S/S) AJD]]</f>
        <v>0</v>
      </c>
      <c r="Q185" s="39"/>
      <c r="R185" s="12">
        <f>TABL1234[[#This Row],[ (T/B) SAR]]-TABL1234[[#This Row],[(T/B) AJD]]</f>
        <v>0</v>
      </c>
      <c r="S185" s="12">
        <f>TABL1234[[#This Row],[T/B-CON.]]+TABL1234[[#This Row],[S/S_CON.]]</f>
        <v>0</v>
      </c>
      <c r="T185" s="12">
        <f>TABL1234[[#This Row],[(S/S) AJD]]+TABL1234[[#This Row],[(T/B) AJD]]</f>
        <v>0</v>
      </c>
      <c r="U185" s="41"/>
      <c r="V185" s="41"/>
      <c r="W185" s="12">
        <f>TABL1234[[#This Row],[(A/B) AJD]]+TABL1234[[#This Row],[(A/S)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Row],[AJD_Evaporation]])</f>
        <v>0</v>
      </c>
      <c r="AE185" s="41"/>
      <c r="AF185" s="43"/>
      <c r="AG185" s="43"/>
      <c r="AH185" s="6"/>
      <c r="AI185" s="43"/>
      <c r="AJ185" s="43">
        <f>TABL1234[[#This Row],[(A/B) AJD]]-TABL1234[[#This Row],[BER_IN]]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Row],[(A/S) AJD]]-TABL1234[[#This Row],[SER_IN]]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 (T/B) SAR]]+TABL1234[[#This Row],[ (S/S) SAR]]</f>
        <v>0</v>
      </c>
      <c r="L186" s="45"/>
      <c r="M186" s="46"/>
      <c r="N186" s="46"/>
      <c r="O186" s="40"/>
      <c r="P186" s="12">
        <f>TABL1234[[#This Row],[ (S/S) SAR]]-TABL1234[[#This Row],[(S/S) AJD]]</f>
        <v>0</v>
      </c>
      <c r="Q186" s="40"/>
      <c r="R186" s="12">
        <f>TABL1234[[#This Row],[ (T/B) SAR]]-TABL1234[[#This Row],[(T/B) AJD]]</f>
        <v>0</v>
      </c>
      <c r="S186" s="12">
        <f>TABL1234[[#This Row],[T/B-CON.]]+TABL1234[[#This Row],[S/S_CON.]]</f>
        <v>0</v>
      </c>
      <c r="T186" s="12">
        <f>TABL1234[[#This Row],[(S/S) AJD]]+TABL1234[[#This Row],[(T/B) AJD]]</f>
        <v>0</v>
      </c>
      <c r="U186" s="44"/>
      <c r="V186" s="44"/>
      <c r="W186" s="12">
        <f>TABL1234[[#This Row],[(A/B) AJD]]+TABL1234[[#This Row],[(A/S)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Row],[AJD_Evaporation]])</f>
        <v>0</v>
      </c>
      <c r="AE186" s="44"/>
      <c r="AF186" s="45"/>
      <c r="AG186" s="45"/>
      <c r="AH186" s="6"/>
      <c r="AI186" s="45"/>
      <c r="AJ186" s="45">
        <f>TABL1234[[#This Row],[(A/B) AJD]]-TABL1234[[#This Row],[BER_IN]]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Row],[(A/S) AJD]]-TABL1234[[#This Row],[SER_IN]]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 (T/B) SAR]]+TABL1234[[#This Row],[ (S/S) SAR]]</f>
        <v>0</v>
      </c>
      <c r="L187" s="41"/>
      <c r="M187" s="42"/>
      <c r="N187" s="42"/>
      <c r="O187" s="39"/>
      <c r="P187" s="12">
        <f>TABL1234[[#This Row],[ (S/S) SAR]]-TABL1234[[#This Row],[(S/S) AJD]]</f>
        <v>0</v>
      </c>
      <c r="Q187" s="39"/>
      <c r="R187" s="12">
        <f>TABL1234[[#This Row],[ (T/B) SAR]]-TABL1234[[#This Row],[(T/B) AJD]]</f>
        <v>0</v>
      </c>
      <c r="S187" s="12">
        <f>TABL1234[[#This Row],[T/B-CON.]]+TABL1234[[#This Row],[S/S_CON.]]</f>
        <v>0</v>
      </c>
      <c r="T187" s="12">
        <f>TABL1234[[#This Row],[(S/S) AJD]]+TABL1234[[#This Row],[(T/B) AJD]]</f>
        <v>0</v>
      </c>
      <c r="U187" s="41"/>
      <c r="V187" s="41"/>
      <c r="W187" s="10">
        <f>TABL1234[[#This Row],[(A/B) AJD]]+TABL1234[[#This Row],[(A/S)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Row],[AJD_Evaporation]])</f>
        <v>0</v>
      </c>
      <c r="AE187" s="41"/>
      <c r="AF187" s="43"/>
      <c r="AG187" s="43"/>
      <c r="AH187" s="6"/>
      <c r="AI187" s="43"/>
      <c r="AJ187" s="43">
        <f>TABL1234[[#This Row],[(A/B) AJD]]-TABL1234[[#This Row],[BER_IN]]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Row],[(A/S) AJD]]-TABL1234[[#This Row],[SER_IN]]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 (T/B) SAR]]+TABL1234[[#This Row],[ (S/S) SAR]]</f>
        <v>0</v>
      </c>
      <c r="L188" s="45"/>
      <c r="M188" s="46"/>
      <c r="N188" s="46"/>
      <c r="O188" s="40"/>
      <c r="P188" s="12">
        <f>TABL1234[[#This Row],[ (S/S) SAR]]-TABL1234[[#This Row],[(S/S) AJD]]</f>
        <v>0</v>
      </c>
      <c r="Q188" s="40"/>
      <c r="R188" s="12">
        <f>TABL1234[[#This Row],[ (T/B) SAR]]-TABL1234[[#This Row],[(T/B) AJD]]</f>
        <v>0</v>
      </c>
      <c r="S188" s="12">
        <f>TABL1234[[#This Row],[T/B-CON.]]+TABL1234[[#This Row],[S/S_CON.]]</f>
        <v>0</v>
      </c>
      <c r="T188" s="12">
        <f>TABL1234[[#This Row],[(S/S) AJD]]+TABL1234[[#This Row],[(T/B) AJD]]</f>
        <v>0</v>
      </c>
      <c r="U188" s="44"/>
      <c r="V188" s="44"/>
      <c r="W188" s="12">
        <f>TABL1234[[#This Row],[(A/B) AJD]]+TABL1234[[#This Row],[(A/S)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Row],[AJD_Evaporation]])</f>
        <v>0</v>
      </c>
      <c r="AE188" s="44"/>
      <c r="AF188" s="45"/>
      <c r="AG188" s="45"/>
      <c r="AH188" s="6"/>
      <c r="AI188" s="45"/>
      <c r="AJ188" s="45">
        <f>TABL1234[[#This Row],[(A/B) AJD]]-TABL1234[[#This Row],[BER_IN]]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Row],[(A/S) AJD]]-TABL1234[[#This Row],[SER_IN]]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 (T/B) SAR]]+TABL1234[[#This Row],[ (S/S) SAR]]</f>
        <v>0</v>
      </c>
      <c r="L189" s="41"/>
      <c r="M189" s="42"/>
      <c r="N189" s="42"/>
      <c r="O189" s="39"/>
      <c r="P189" s="12">
        <f>TABL1234[[#This Row],[ (S/S) SAR]]-TABL1234[[#This Row],[(S/S) AJD]]</f>
        <v>0</v>
      </c>
      <c r="Q189" s="39"/>
      <c r="R189" s="12">
        <f>TABL1234[[#This Row],[ (T/B) SAR]]-TABL1234[[#This Row],[(T/B) AJD]]</f>
        <v>0</v>
      </c>
      <c r="S189" s="12">
        <f>TABL1234[[#This Row],[T/B-CON.]]+TABL1234[[#This Row],[S/S_CON.]]</f>
        <v>0</v>
      </c>
      <c r="T189" s="12">
        <f>TABL1234[[#This Row],[(S/S) AJD]]+TABL1234[[#This Row],[(T/B) AJD]]</f>
        <v>0</v>
      </c>
      <c r="U189" s="41"/>
      <c r="V189" s="41"/>
      <c r="W189" s="12">
        <f>TABL1234[[#This Row],[(A/B) AJD]]+TABL1234[[#This Row],[(A/S)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Row],[AJD_Evaporation]])</f>
        <v>0</v>
      </c>
      <c r="AE189" s="41"/>
      <c r="AF189" s="43"/>
      <c r="AG189" s="43"/>
      <c r="AH189" s="6"/>
      <c r="AI189" s="43"/>
      <c r="AJ189" s="43">
        <f>TABL1234[[#This Row],[(A/B) AJD]]-TABL1234[[#This Row],[BER_IN]]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Row],[(A/S) AJD]]-TABL1234[[#This Row],[SER_IN]]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 (T/B) SAR]]+TABL1234[[#This Row],[ (S/S) SAR]]</f>
        <v>0</v>
      </c>
      <c r="L190" s="45"/>
      <c r="M190" s="46"/>
      <c r="N190" s="46"/>
      <c r="O190" s="40"/>
      <c r="P190" s="12">
        <f>TABL1234[[#This Row],[ (S/S) SAR]]-TABL1234[[#This Row],[(S/S) AJD]]</f>
        <v>0</v>
      </c>
      <c r="Q190" s="40"/>
      <c r="R190" s="12">
        <f>TABL1234[[#This Row],[ (T/B) SAR]]-TABL1234[[#This Row],[(T/B) AJD]]</f>
        <v>0</v>
      </c>
      <c r="S190" s="12">
        <f>TABL1234[[#This Row],[T/B-CON.]]+TABL1234[[#This Row],[S/S_CON.]]</f>
        <v>0</v>
      </c>
      <c r="T190" s="12">
        <f>TABL1234[[#This Row],[(S/S) AJD]]+TABL1234[[#This Row],[(T/B) AJD]]</f>
        <v>0</v>
      </c>
      <c r="U190" s="44"/>
      <c r="V190" s="44"/>
      <c r="W190" s="12">
        <f>TABL1234[[#This Row],[(A/B) AJD]]+TABL1234[[#This Row],[(A/S)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Row],[AJD_Evaporation]])</f>
        <v>0</v>
      </c>
      <c r="AE190" s="44"/>
      <c r="AF190" s="45"/>
      <c r="AG190" s="45"/>
      <c r="AH190" s="6"/>
      <c r="AI190" s="45"/>
      <c r="AJ190" s="45">
        <f>TABL1234[[#This Row],[(A/B) AJD]]-TABL1234[[#This Row],[BER_IN]]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Row],[(A/S) AJD]]-TABL1234[[#This Row],[SER_IN]]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 (T/B) SAR]]+TABL1234[[#This Row],[ (S/S) SAR]]</f>
        <v>0</v>
      </c>
      <c r="L191" s="41"/>
      <c r="M191" s="42"/>
      <c r="N191" s="42"/>
      <c r="O191" s="39"/>
      <c r="P191" s="12">
        <f>TABL1234[[#This Row],[ (S/S) SAR]]-TABL1234[[#This Row],[(S/S) AJD]]</f>
        <v>0</v>
      </c>
      <c r="Q191" s="39"/>
      <c r="R191" s="12">
        <f>TABL1234[[#This Row],[ (T/B) SAR]]-TABL1234[[#This Row],[(T/B) AJD]]</f>
        <v>0</v>
      </c>
      <c r="S191" s="12">
        <f>TABL1234[[#This Row],[T/B-CON.]]+TABL1234[[#This Row],[S/S_CON.]]</f>
        <v>0</v>
      </c>
      <c r="T191" s="12">
        <f>TABL1234[[#This Row],[(S/S) AJD]]+TABL1234[[#This Row],[(T/B) AJD]]</f>
        <v>0</v>
      </c>
      <c r="U191" s="41"/>
      <c r="V191" s="41"/>
      <c r="W191" s="12">
        <f>TABL1234[[#This Row],[(A/B) AJD]]+TABL1234[[#This Row],[(A/S)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Row],[AJD_Evaporation]])</f>
        <v>0</v>
      </c>
      <c r="AE191" s="41"/>
      <c r="AF191" s="43"/>
      <c r="AG191" s="43"/>
      <c r="AH191" s="6"/>
      <c r="AI191" s="43"/>
      <c r="AJ191" s="43">
        <f>TABL1234[[#This Row],[(A/B) AJD]]-TABL1234[[#This Row],[BER_IN]]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Row],[(A/S) AJD]]-TABL1234[[#This Row],[SER_IN]]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 (T/B) SAR]]+TABL1234[[#This Row],[ (S/S) SAR]]</f>
        <v>0</v>
      </c>
      <c r="L192" s="45"/>
      <c r="M192" s="46"/>
      <c r="N192" s="46"/>
      <c r="O192" s="40"/>
      <c r="P192" s="12">
        <f>TABL1234[[#This Row],[ (S/S) SAR]]-TABL1234[[#This Row],[(S/S) AJD]]</f>
        <v>0</v>
      </c>
      <c r="Q192" s="40"/>
      <c r="R192" s="12">
        <f>TABL1234[[#This Row],[ (T/B) SAR]]-TABL1234[[#This Row],[(T/B) AJD]]</f>
        <v>0</v>
      </c>
      <c r="S192" s="12">
        <f>TABL1234[[#This Row],[T/B-CON.]]+TABL1234[[#This Row],[S/S_CON.]]</f>
        <v>0</v>
      </c>
      <c r="T192" s="12">
        <f>TABL1234[[#This Row],[(S/S) AJD]]+TABL1234[[#This Row],[(T/B) AJD]]</f>
        <v>0</v>
      </c>
      <c r="U192" s="44"/>
      <c r="V192" s="44"/>
      <c r="W192" s="12">
        <f>TABL1234[[#This Row],[(A/B) AJD]]+TABL1234[[#This Row],[(A/S)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Row],[AJD_Evaporation]])</f>
        <v>0</v>
      </c>
      <c r="AE192" s="44"/>
      <c r="AF192" s="45"/>
      <c r="AG192" s="45"/>
      <c r="AH192" s="6"/>
      <c r="AI192" s="45"/>
      <c r="AJ192" s="45">
        <f>TABL1234[[#This Row],[(A/B) AJD]]-TABL1234[[#This Row],[BER_IN]]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Row],[(A/S) AJD]]-TABL1234[[#This Row],[SER_IN]]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 (T/B) SAR]]+TABL1234[[#This Row],[ (S/S) SAR]]</f>
        <v>0</v>
      </c>
      <c r="L193" s="41"/>
      <c r="M193" s="42"/>
      <c r="N193" s="42"/>
      <c r="O193" s="39"/>
      <c r="P193" s="12">
        <f>TABL1234[[#This Row],[ (S/S) SAR]]-TABL1234[[#This Row],[(S/S) AJD]]</f>
        <v>0</v>
      </c>
      <c r="Q193" s="39"/>
      <c r="R193" s="12">
        <f>TABL1234[[#This Row],[ (T/B) SAR]]-TABL1234[[#This Row],[(T/B) AJD]]</f>
        <v>0</v>
      </c>
      <c r="S193" s="12">
        <f>TABL1234[[#This Row],[T/B-CON.]]+TABL1234[[#This Row],[S/S_CON.]]</f>
        <v>0</v>
      </c>
      <c r="T193" s="12">
        <f>TABL1234[[#This Row],[(S/S) AJD]]+TABL1234[[#This Row],[(T/B) AJD]]</f>
        <v>0</v>
      </c>
      <c r="U193" s="41"/>
      <c r="V193" s="41"/>
      <c r="W193" s="12">
        <f>TABL1234[[#This Row],[(A/B) AJD]]+TABL1234[[#This Row],[(A/S)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Row],[AJD_Evaporation]])</f>
        <v>0</v>
      </c>
      <c r="AE193" s="41"/>
      <c r="AF193" s="43"/>
      <c r="AG193" s="68"/>
      <c r="AH193" s="6"/>
      <c r="AI193" s="43"/>
      <c r="AJ193" s="68">
        <f>TABL1234[[#This Row],[(A/B) AJD]]-TABL1234[[#This Row],[BER_IN]]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Row],[(A/S) AJD]]-TABL1234[[#This Row],[SER_IN]]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 (T/B) SAR]]+TABL1234[[#This Row],[ (S/S) SAR]]</f>
        <v>0</v>
      </c>
      <c r="L194" s="45"/>
      <c r="M194" s="46"/>
      <c r="N194" s="46"/>
      <c r="O194" s="40"/>
      <c r="P194" s="12">
        <f>TABL1234[[#This Row],[ (S/S) SAR]]-TABL1234[[#This Row],[(S/S) AJD]]</f>
        <v>0</v>
      </c>
      <c r="Q194" s="40"/>
      <c r="R194" s="12">
        <f>TABL1234[[#This Row],[ (T/B) SAR]]-TABL1234[[#This Row],[(T/B) AJD]]</f>
        <v>0</v>
      </c>
      <c r="S194" s="12">
        <f>TABL1234[[#This Row],[T/B-CON.]]+TABL1234[[#This Row],[S/S_CON.]]</f>
        <v>0</v>
      </c>
      <c r="T194" s="12">
        <f>TABL1234[[#This Row],[(S/S) AJD]]+TABL1234[[#This Row],[(T/B) AJD]]</f>
        <v>0</v>
      </c>
      <c r="U194" s="44"/>
      <c r="V194" s="44"/>
      <c r="W194" s="12">
        <f>TABL1234[[#This Row],[(A/B) AJD]]+TABL1234[[#This Row],[(A/S)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Row],[AJD_Evaporation]])</f>
        <v>0</v>
      </c>
      <c r="AE194" s="44"/>
      <c r="AF194" s="45"/>
      <c r="AG194" s="45"/>
      <c r="AH194" s="6"/>
      <c r="AI194" s="45"/>
      <c r="AJ194" s="45">
        <f>TABL1234[[#This Row],[(A/B) AJD]]-TABL1234[[#This Row],[BER_IN]]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Row],[(A/S) AJD]]-TABL1234[[#This Row],[SER_IN]]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 (T/B) SAR]]+TABL1234[[#This Row],[ (S/S) SAR]]</f>
        <v>0</v>
      </c>
      <c r="L195" s="41"/>
      <c r="M195" s="42"/>
      <c r="N195" s="42"/>
      <c r="O195" s="39"/>
      <c r="P195" s="12">
        <f>TABL1234[[#This Row],[ (S/S) SAR]]-TABL1234[[#This Row],[(S/S) AJD]]</f>
        <v>0</v>
      </c>
      <c r="Q195" s="39"/>
      <c r="R195" s="12">
        <f>TABL1234[[#This Row],[ (T/B) SAR]]-TABL1234[[#This Row],[(T/B) AJD]]</f>
        <v>0</v>
      </c>
      <c r="S195" s="12">
        <f>TABL1234[[#This Row],[T/B-CON.]]+TABL1234[[#This Row],[S/S_CON.]]</f>
        <v>0</v>
      </c>
      <c r="T195" s="12">
        <f>TABL1234[[#This Row],[(S/S) AJD]]+TABL1234[[#This Row],[(T/B) AJD]]</f>
        <v>0</v>
      </c>
      <c r="U195" s="41"/>
      <c r="V195" s="41"/>
      <c r="W195" s="12">
        <f>TABL1234[[#This Row],[(A/B) AJD]]+TABL1234[[#This Row],[(A/S)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Row],[AJD_Evaporation]])</f>
        <v>0</v>
      </c>
      <c r="AE195" s="41"/>
      <c r="AF195" s="43"/>
      <c r="AG195" s="43"/>
      <c r="AH195" s="6"/>
      <c r="AI195" s="43"/>
      <c r="AJ195" s="43">
        <f>TABL1234[[#This Row],[(A/B) AJD]]-TABL1234[[#This Row],[BER_IN]]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Row],[(A/S) AJD]]-TABL1234[[#This Row],[SER_IN]]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 (T/B) SAR]]+TABL1234[[#This Row],[ (S/S) SAR]]</f>
        <v>0</v>
      </c>
      <c r="L196" s="45"/>
      <c r="M196" s="46"/>
      <c r="N196" s="46"/>
      <c r="O196" s="40"/>
      <c r="P196" s="12">
        <f>TABL1234[[#This Row],[ (S/S) SAR]]-TABL1234[[#This Row],[(S/S) AJD]]</f>
        <v>0</v>
      </c>
      <c r="Q196" s="40"/>
      <c r="R196" s="12">
        <f>TABL1234[[#This Row],[ (T/B) SAR]]-TABL1234[[#This Row],[(T/B) AJD]]</f>
        <v>0</v>
      </c>
      <c r="S196" s="12">
        <f>TABL1234[[#This Row],[T/B-CON.]]+TABL1234[[#This Row],[S/S_CON.]]</f>
        <v>0</v>
      </c>
      <c r="T196" s="12">
        <f>TABL1234[[#This Row],[(S/S) AJD]]+TABL1234[[#This Row],[(T/B) AJD]]</f>
        <v>0</v>
      </c>
      <c r="U196" s="44"/>
      <c r="V196" s="44"/>
      <c r="W196" s="12">
        <f>TABL1234[[#This Row],[(A/B) AJD]]+TABL1234[[#This Row],[(A/S)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IF(TRIM(Z196)="",,(Z196-Z195)/1000)</f>
        <v>0</v>
      </c>
      <c r="AC196" s="5"/>
      <c r="AD196" s="40">
        <f>TABL1234[[#This Row],[( S/S+T/B) AJD]]-(TABL1234[[#This Row],[(A/B + A/S) AJD]]+(TABL1234[[#This Row],[(STORGE DIFF.) AJD]]*1000)+TABL1234[[#This Row],[AJD_Evaporation]])</f>
        <v>0</v>
      </c>
      <c r="AE196" s="44"/>
      <c r="AF196" s="45"/>
      <c r="AG196" s="45"/>
      <c r="AH196" s="6"/>
      <c r="AI196" s="45"/>
      <c r="AJ196" s="45">
        <f>TABL1234[[#This Row],[(A/B) AJD]]-TABL1234[[#This Row],[BER_IN]]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Row],[(A/S) AJD]]-TABL1234[[#This Row],[SER_IN]]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 (T/B) SAR]]+TABL1234[[#This Row],[ (S/S) SAR]]</f>
        <v>0</v>
      </c>
      <c r="L197" s="41"/>
      <c r="M197" s="42"/>
      <c r="N197" s="42"/>
      <c r="O197" s="39"/>
      <c r="P197" s="12">
        <f>TABL1234[[#This Row],[ (S/S) SAR]]-TABL1234[[#This Row],[(S/S) AJD]]</f>
        <v>0</v>
      </c>
      <c r="Q197" s="39"/>
      <c r="R197" s="12">
        <f>TABL1234[[#This Row],[ (T/B) SAR]]-TABL1234[[#This Row],[(T/B) AJD]]</f>
        <v>0</v>
      </c>
      <c r="S197" s="12">
        <f>TABL1234[[#This Row],[T/B-CON.]]+TABL1234[[#This Row],[S/S_CON.]]</f>
        <v>0</v>
      </c>
      <c r="T197" s="12">
        <f>TABL1234[[#This Row],[(S/S) AJD]]+TABL1234[[#This Row],[(T/B) AJD]]</f>
        <v>0</v>
      </c>
      <c r="U197" s="41"/>
      <c r="V197" s="41"/>
      <c r="W197" s="12">
        <f>TABL1234[[#This Row],[(A/B) AJD]]+TABL1234[[#This Row],[(A/S)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Row],[AJD_Evaporation]])</f>
        <v>0</v>
      </c>
      <c r="AE197" s="41"/>
      <c r="AF197" s="43"/>
      <c r="AG197" s="43"/>
      <c r="AH197" s="6"/>
      <c r="AI197" s="43"/>
      <c r="AJ197" s="43">
        <f>TABL1234[[#This Row],[(A/B) AJD]]-TABL1234[[#This Row],[BER_IN]]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Row],[(A/S) AJD]]-TABL1234[[#This Row],[SER_IN]]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 (T/B) SAR]]+TABL1234[[#This Row],[ (S/S) SAR]]</f>
        <v>0</v>
      </c>
      <c r="L198" s="45"/>
      <c r="M198" s="46"/>
      <c r="N198" s="46"/>
      <c r="O198" s="40"/>
      <c r="P198" s="12">
        <f>TABL1234[[#This Row],[ (S/S) SAR]]-TABL1234[[#This Row],[(S/S) AJD]]</f>
        <v>0</v>
      </c>
      <c r="Q198" s="40"/>
      <c r="R198" s="12">
        <f>TABL1234[[#This Row],[ (T/B) SAR]]-TABL1234[[#This Row],[(T/B) AJD]]</f>
        <v>0</v>
      </c>
      <c r="S198" s="12">
        <f>TABL1234[[#This Row],[T/B-CON.]]+TABL1234[[#This Row],[S/S_CON.]]</f>
        <v>0</v>
      </c>
      <c r="T198" s="12">
        <f>TABL1234[[#This Row],[(S/S) AJD]]+TABL1234[[#This Row],[(T/B) AJD]]</f>
        <v>0</v>
      </c>
      <c r="U198" s="44"/>
      <c r="V198" s="44"/>
      <c r="W198" s="12">
        <f>TABL1234[[#This Row],[(A/B) AJD]]+TABL1234[[#This Row],[(A/S)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Row],[AJD_Evaporation]])</f>
        <v>0</v>
      </c>
      <c r="AE198" s="44"/>
      <c r="AF198" s="45"/>
      <c r="AG198" s="45"/>
      <c r="AH198" s="6"/>
      <c r="AI198" s="45"/>
      <c r="AJ198" s="45">
        <f>TABL1234[[#This Row],[(A/B) AJD]]-TABL1234[[#This Row],[BER_IN]]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Row],[(A/S) AJD]]-TABL1234[[#This Row],[SER_IN]]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 (T/B) SAR]]+TABL1234[[#This Row],[ (S/S) SAR]]</f>
        <v>0</v>
      </c>
      <c r="L199" s="41"/>
      <c r="M199" s="42"/>
      <c r="N199" s="42"/>
      <c r="O199" s="39"/>
      <c r="P199" s="12">
        <f>TABL1234[[#This Row],[ (S/S) SAR]]-TABL1234[[#This Row],[(S/S) AJD]]</f>
        <v>0</v>
      </c>
      <c r="Q199" s="39"/>
      <c r="R199" s="12">
        <f>TABL1234[[#This Row],[ (T/B) SAR]]-TABL1234[[#This Row],[(T/B) AJD]]</f>
        <v>0</v>
      </c>
      <c r="S199" s="12">
        <f>TABL1234[[#This Row],[T/B-CON.]]+TABL1234[[#This Row],[S/S_CON.]]</f>
        <v>0</v>
      </c>
      <c r="T199" s="12">
        <f>TABL1234[[#This Row],[(S/S) AJD]]+TABL1234[[#This Row],[(T/B) AJD]]</f>
        <v>0</v>
      </c>
      <c r="U199" s="41"/>
      <c r="V199" s="41"/>
      <c r="W199" s="12">
        <f>TABL1234[[#This Row],[(A/B) AJD]]+TABL1234[[#This Row],[(A/S)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Row],[AJD_Evaporation]])</f>
        <v>0</v>
      </c>
      <c r="AE199" s="41"/>
      <c r="AF199" s="43"/>
      <c r="AG199" s="43"/>
      <c r="AH199" s="6"/>
      <c r="AI199" s="43"/>
      <c r="AJ199" s="43">
        <f>TABL1234[[#This Row],[(A/B) AJD]]-TABL1234[[#This Row],[BER_IN]]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Row],[(A/S) AJD]]-TABL1234[[#This Row],[SER_IN]]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 (T/B) SAR]]+TABL1234[[#This Row],[ (S/S) SAR]]</f>
        <v>0</v>
      </c>
      <c r="L200" s="45"/>
      <c r="M200" s="46"/>
      <c r="N200" s="46"/>
      <c r="O200" s="40"/>
      <c r="P200" s="12">
        <f>TABL1234[[#This Row],[ (S/S) SAR]]-TABL1234[[#This Row],[(S/S) AJD]]</f>
        <v>0</v>
      </c>
      <c r="Q200" s="40"/>
      <c r="R200" s="12">
        <f>TABL1234[[#This Row],[ (T/B) SAR]]-TABL1234[[#This Row],[(T/B) AJD]]</f>
        <v>0</v>
      </c>
      <c r="S200" s="12">
        <f>TABL1234[[#This Row],[T/B-CON.]]+TABL1234[[#This Row],[S/S_CON.]]</f>
        <v>0</v>
      </c>
      <c r="T200" s="12">
        <f>TABL1234[[#This Row],[(S/S) AJD]]+TABL1234[[#This Row],[(T/B) AJD]]</f>
        <v>0</v>
      </c>
      <c r="U200" s="44"/>
      <c r="V200" s="44"/>
      <c r="W200" s="12">
        <f>TABL1234[[#This Row],[(A/B) AJD]]+TABL1234[[#This Row],[(A/S)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Row],[AJD_Evaporation]])</f>
        <v>0</v>
      </c>
      <c r="AE200" s="44"/>
      <c r="AF200" s="45"/>
      <c r="AG200" s="45"/>
      <c r="AH200" s="6"/>
      <c r="AI200" s="45"/>
      <c r="AJ200" s="45">
        <f>TABL1234[[#This Row],[(A/B) AJD]]-TABL1234[[#This Row],[BER_IN]]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Row],[(A/S) AJD]]-TABL1234[[#This Row],[SER_IN]]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 (T/B) SAR]]+TABL1234[[#This Row],[ (S/S) SAR]]</f>
        <v>0</v>
      </c>
      <c r="L201" s="41"/>
      <c r="M201" s="42"/>
      <c r="N201" s="42"/>
      <c r="O201" s="39"/>
      <c r="P201" s="12">
        <f>TABL1234[[#This Row],[ (S/S) SAR]]-TABL1234[[#This Row],[(S/S) AJD]]</f>
        <v>0</v>
      </c>
      <c r="Q201" s="39"/>
      <c r="R201" s="12">
        <f>TABL1234[[#This Row],[ (T/B) SAR]]-TABL1234[[#This Row],[(T/B) AJD]]</f>
        <v>0</v>
      </c>
      <c r="S201" s="12">
        <f>TABL1234[[#This Row],[T/B-CON.]]+TABL1234[[#This Row],[S/S_CON.]]</f>
        <v>0</v>
      </c>
      <c r="T201" s="12">
        <f>TABL1234[[#This Row],[(S/S) AJD]]+TABL1234[[#This Row],[(T/B) AJD]]</f>
        <v>0</v>
      </c>
      <c r="U201" s="41"/>
      <c r="V201" s="41"/>
      <c r="W201" s="12">
        <f>TABL1234[[#This Row],[(A/B) AJD]]+TABL1234[[#This Row],[(A/S)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Row],[AJD_Evaporation]])</f>
        <v>0</v>
      </c>
      <c r="AE201" s="41"/>
      <c r="AF201" s="43"/>
      <c r="AG201" s="43"/>
      <c r="AH201" s="6"/>
      <c r="AI201" s="43"/>
      <c r="AJ201" s="43">
        <f>TABL1234[[#This Row],[(A/B) AJD]]-TABL1234[[#This Row],[BER_IN]]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Row],[(A/S) AJD]]-TABL1234[[#This Row],[SER_IN]]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 (T/B) SAR]]+TABL1234[[#This Row],[ (S/S) SAR]]</f>
        <v>0</v>
      </c>
      <c r="L202" s="45"/>
      <c r="M202" s="46"/>
      <c r="N202" s="46"/>
      <c r="O202" s="40"/>
      <c r="P202" s="12">
        <f>TABL1234[[#This Row],[ (S/S) SAR]]-TABL1234[[#This Row],[(S/S) AJD]]</f>
        <v>0</v>
      </c>
      <c r="Q202" s="40"/>
      <c r="R202" s="12">
        <f>TABL1234[[#This Row],[ (T/B) SAR]]-TABL1234[[#This Row],[(T/B) AJD]]</f>
        <v>0</v>
      </c>
      <c r="S202" s="12">
        <f>TABL1234[[#This Row],[T/B-CON.]]+TABL1234[[#This Row],[S/S_CON.]]</f>
        <v>0</v>
      </c>
      <c r="T202" s="12">
        <f>TABL1234[[#This Row],[(S/S) AJD]]+TABL1234[[#This Row],[(T/B) AJD]]</f>
        <v>0</v>
      </c>
      <c r="U202" s="44"/>
      <c r="V202" s="44"/>
      <c r="W202" s="12">
        <f>TABL1234[[#This Row],[(A/B) AJD]]+TABL1234[[#This Row],[(A/S)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Row],[AJD_Evaporation]])</f>
        <v>0</v>
      </c>
      <c r="AE202" s="44"/>
      <c r="AF202" s="45"/>
      <c r="AG202" s="45"/>
      <c r="AH202" s="6"/>
      <c r="AI202" s="45"/>
      <c r="AJ202" s="45">
        <f>TABL1234[[#This Row],[(A/B) AJD]]-TABL1234[[#This Row],[BER_IN]]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Row],[(A/S) AJD]]-TABL1234[[#This Row],[SER_IN]]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 (T/B) SAR]]+TABL1234[[#This Row],[ (S/S) SAR]]</f>
        <v>0</v>
      </c>
      <c r="L203" s="41"/>
      <c r="M203" s="42"/>
      <c r="N203" s="42"/>
      <c r="O203" s="39"/>
      <c r="P203" s="12">
        <f>TABL1234[[#This Row],[ (S/S) SAR]]-TABL1234[[#This Row],[(S/S) AJD]]</f>
        <v>0</v>
      </c>
      <c r="Q203" s="39"/>
      <c r="R203" s="12">
        <f>TABL1234[[#This Row],[ (T/B) SAR]]-TABL1234[[#This Row],[(T/B) AJD]]</f>
        <v>0</v>
      </c>
      <c r="S203" s="12">
        <f>TABL1234[[#This Row],[T/B-CON.]]+TABL1234[[#This Row],[S/S_CON.]]</f>
        <v>0</v>
      </c>
      <c r="T203" s="12">
        <f>TABL1234[[#This Row],[(S/S) AJD]]+TABL1234[[#This Row],[(T/B) AJD]]</f>
        <v>0</v>
      </c>
      <c r="U203" s="41"/>
      <c r="V203" s="41"/>
      <c r="W203" s="12">
        <f>TABL1234[[#This Row],[(A/B) AJD]]+TABL1234[[#This Row],[(A/S)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Row],[AJD_Evaporation]])</f>
        <v>0</v>
      </c>
      <c r="AE203" s="41"/>
      <c r="AF203" s="43"/>
      <c r="AG203" s="43"/>
      <c r="AH203" s="6"/>
      <c r="AI203" s="43"/>
      <c r="AJ203" s="43">
        <f>TABL1234[[#This Row],[(A/B) AJD]]-TABL1234[[#This Row],[BER_IN]]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Row],[(A/S) AJD]]-TABL1234[[#This Row],[SER_IN]]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 (T/B) SAR]]+TABL1234[[#This Row],[ (S/S) SAR]]</f>
        <v>0</v>
      </c>
      <c r="L204" s="45"/>
      <c r="M204" s="46"/>
      <c r="N204" s="46"/>
      <c r="O204" s="40"/>
      <c r="P204" s="12">
        <f>TABL1234[[#This Row],[ (S/S) SAR]]-TABL1234[[#This Row],[(S/S) AJD]]</f>
        <v>0</v>
      </c>
      <c r="Q204" s="40"/>
      <c r="R204" s="12">
        <f>TABL1234[[#This Row],[ (T/B) SAR]]-TABL1234[[#This Row],[(T/B) AJD]]</f>
        <v>0</v>
      </c>
      <c r="S204" s="12">
        <f>TABL1234[[#This Row],[T/B-CON.]]+TABL1234[[#This Row],[S/S_CON.]]</f>
        <v>0</v>
      </c>
      <c r="T204" s="12">
        <f>TABL1234[[#This Row],[(S/S) AJD]]+TABL1234[[#This Row],[(T/B) AJD]]</f>
        <v>0</v>
      </c>
      <c r="U204" s="44"/>
      <c r="V204" s="44"/>
      <c r="W204" s="12">
        <f>TABL1234[[#This Row],[(A/B) AJD]]+TABL1234[[#This Row],[(A/S)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Row],[AJD_Evaporation]])</f>
        <v>0</v>
      </c>
      <c r="AE204" s="44"/>
      <c r="AF204" s="45"/>
      <c r="AG204" s="45"/>
      <c r="AH204" s="6"/>
      <c r="AI204" s="45"/>
      <c r="AJ204" s="45">
        <f>TABL1234[[#This Row],[(A/B) AJD]]-TABL1234[[#This Row],[BER_IN]]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Row],[(A/S) AJD]]-TABL1234[[#This Row],[SER_IN]]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 (T/B) SAR]]+TABL1234[[#This Row],[ (S/S) SAR]]</f>
        <v>0</v>
      </c>
      <c r="L205" s="41"/>
      <c r="M205" s="42"/>
      <c r="N205" s="42"/>
      <c r="O205" s="39"/>
      <c r="P205" s="12">
        <f>TABL1234[[#This Row],[ (S/S) SAR]]-TABL1234[[#This Row],[(S/S) AJD]]</f>
        <v>0</v>
      </c>
      <c r="Q205" s="39"/>
      <c r="R205" s="12">
        <f>TABL1234[[#This Row],[ (T/B) SAR]]-TABL1234[[#This Row],[(T/B) AJD]]</f>
        <v>0</v>
      </c>
      <c r="S205" s="12">
        <f>TABL1234[[#This Row],[T/B-CON.]]+TABL1234[[#This Row],[S/S_CON.]]</f>
        <v>0</v>
      </c>
      <c r="T205" s="12">
        <f>TABL1234[[#This Row],[(S/S) AJD]]+TABL1234[[#This Row],[(T/B) AJD]]</f>
        <v>0</v>
      </c>
      <c r="U205" s="41"/>
      <c r="V205" s="41"/>
      <c r="W205" s="12">
        <f>TABL1234[[#This Row],[(A/B) AJD]]+TABL1234[[#This Row],[(A/S)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Row],[AJD_Evaporation]])</f>
        <v>0</v>
      </c>
      <c r="AE205" s="41"/>
      <c r="AF205" s="43"/>
      <c r="AG205" s="43"/>
      <c r="AH205" s="6"/>
      <c r="AI205" s="43"/>
      <c r="AJ205" s="43">
        <f>TABL1234[[#This Row],[(A/B) AJD]]-TABL1234[[#This Row],[BER_IN]]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Row],[(A/S) AJD]]-TABL1234[[#This Row],[SER_IN]]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 (T/B) SAR]]+TABL1234[[#This Row],[ (S/S) SAR]]</f>
        <v>0</v>
      </c>
      <c r="L206" s="45"/>
      <c r="M206" s="46"/>
      <c r="N206" s="46"/>
      <c r="O206" s="40"/>
      <c r="P206" s="12">
        <f>TABL1234[[#This Row],[ (S/S) SAR]]-TABL1234[[#This Row],[(S/S) AJD]]</f>
        <v>0</v>
      </c>
      <c r="Q206" s="45"/>
      <c r="R206" s="12">
        <f>TABL1234[[#This Row],[ (T/B) SAR]]-TABL1234[[#This Row],[(T/B) AJD]]</f>
        <v>0</v>
      </c>
      <c r="S206" s="12">
        <f>TABL1234[[#This Row],[T/B-CON.]]+TABL1234[[#This Row],[S/S_CON.]]</f>
        <v>0</v>
      </c>
      <c r="T206" s="12">
        <f>TABL1234[[#This Row],[(S/S) AJD]]+TABL1234[[#This Row],[(T/B) AJD]]</f>
        <v>0</v>
      </c>
      <c r="U206" s="44"/>
      <c r="V206" s="44"/>
      <c r="W206" s="12">
        <f>TABL1234[[#This Row],[(A/B) AJD]]+TABL1234[[#This Row],[(A/S)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Row],[AJD_Evaporation]])</f>
        <v>0</v>
      </c>
      <c r="AE206" s="44"/>
      <c r="AF206" s="45"/>
      <c r="AG206" s="45"/>
      <c r="AH206" s="6"/>
      <c r="AI206" s="45"/>
      <c r="AJ206" s="45">
        <f>TABL1234[[#This Row],[(A/B) AJD]]-TABL1234[[#This Row],[BER_IN]]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Row],[(A/S) AJD]]-TABL1234[[#This Row],[SER_IN]]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 (T/B) SAR]]+TABL1234[[#This Row],[ (S/S) SAR]]</f>
        <v>0</v>
      </c>
      <c r="L207" s="41"/>
      <c r="M207" s="42"/>
      <c r="N207" s="42"/>
      <c r="O207" s="39"/>
      <c r="P207" s="12">
        <f>TABL1234[[#This Row],[ (S/S) SAR]]-TABL1234[[#This Row],[(S/S) AJD]]</f>
        <v>0</v>
      </c>
      <c r="Q207" s="43"/>
      <c r="R207" s="12">
        <f>TABL1234[[#This Row],[ (T/B) SAR]]-TABL1234[[#This Row],[(T/B) AJD]]</f>
        <v>0</v>
      </c>
      <c r="S207" s="12">
        <f>TABL1234[[#This Row],[T/B-CON.]]+TABL1234[[#This Row],[S/S_CON.]]</f>
        <v>0</v>
      </c>
      <c r="T207" s="12">
        <f>TABL1234[[#This Row],[(S/S) AJD]]+TABL1234[[#This Row],[(T/B) AJD]]</f>
        <v>0</v>
      </c>
      <c r="U207" s="41"/>
      <c r="V207" s="41"/>
      <c r="W207" s="12">
        <f>TABL1234[[#This Row],[(A/B) AJD]]+TABL1234[[#This Row],[(A/S)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Row],[AJD_Evaporation]])</f>
        <v>0</v>
      </c>
      <c r="AE207" s="41"/>
      <c r="AF207" s="43"/>
      <c r="AG207" s="43"/>
      <c r="AH207" s="6"/>
      <c r="AI207" s="43"/>
      <c r="AJ207" s="43">
        <f>TABL1234[[#This Row],[(A/B) AJD]]-TABL1234[[#This Row],[BER_IN]]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Row],[(A/S) AJD]]-TABL1234[[#This Row],[SER_IN]]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 (T/B) SAR]]+TABL1234[[#This Row],[ (S/S) SAR]]</f>
        <v>0</v>
      </c>
      <c r="L208" s="45"/>
      <c r="M208" s="46"/>
      <c r="N208" s="46"/>
      <c r="O208" s="40"/>
      <c r="P208" s="12">
        <f>TABL1234[[#This Row],[ (S/S) SAR]]-TABL1234[[#This Row],[(S/S) AJD]]</f>
        <v>0</v>
      </c>
      <c r="Q208" s="45"/>
      <c r="R208" s="12">
        <f>TABL1234[[#This Row],[ (T/B) SAR]]-TABL1234[[#This Row],[(T/B) AJD]]</f>
        <v>0</v>
      </c>
      <c r="S208" s="12">
        <f>TABL1234[[#This Row],[T/B-CON.]]+TABL1234[[#This Row],[S/S_CON.]]</f>
        <v>0</v>
      </c>
      <c r="T208" s="12">
        <f>TABL1234[[#This Row],[(S/S) AJD]]+TABL1234[[#This Row],[(T/B) AJD]]</f>
        <v>0</v>
      </c>
      <c r="U208" s="44"/>
      <c r="V208" s="44"/>
      <c r="W208" s="12">
        <f>TABL1234[[#This Row],[(A/B) AJD]]+TABL1234[[#This Row],[(A/S)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Row],[AJD_Evaporation]])</f>
        <v>0</v>
      </c>
      <c r="AE208" s="44"/>
      <c r="AF208" s="45"/>
      <c r="AG208" s="45"/>
      <c r="AH208" s="6"/>
      <c r="AI208" s="45"/>
      <c r="AJ208" s="45">
        <f>TABL1234[[#This Row],[(A/B) AJD]]-TABL1234[[#This Row],[BER_IN]]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Row],[(A/S) AJD]]-TABL1234[[#This Row],[SER_IN]]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 (T/B) SAR]]+TABL1234[[#This Row],[ (S/S) SAR]]</f>
        <v>0</v>
      </c>
      <c r="L209" s="41"/>
      <c r="M209" s="42"/>
      <c r="N209" s="42"/>
      <c r="O209" s="39"/>
      <c r="P209" s="12">
        <f>TABL1234[[#This Row],[ (S/S) SAR]]-TABL1234[[#This Row],[(S/S) AJD]]</f>
        <v>0</v>
      </c>
      <c r="Q209" s="39"/>
      <c r="R209" s="12">
        <f>TABL1234[[#This Row],[ (T/B) SAR]]-TABL1234[[#This Row],[(T/B) AJD]]</f>
        <v>0</v>
      </c>
      <c r="S209" s="12">
        <f>TABL1234[[#This Row],[T/B-CON.]]+TABL1234[[#This Row],[S/S_CON.]]</f>
        <v>0</v>
      </c>
      <c r="T209" s="12">
        <f>TABL1234[[#This Row],[(S/S) AJD]]+TABL1234[[#This Row],[(T/B) AJD]]</f>
        <v>0</v>
      </c>
      <c r="U209" s="41"/>
      <c r="V209" s="41"/>
      <c r="W209" s="12">
        <f>TABL1234[[#This Row],[(A/B) AJD]]+TABL1234[[#This Row],[(A/S)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Row],[AJD_Evaporation]])</f>
        <v>0</v>
      </c>
      <c r="AE209" s="41"/>
      <c r="AF209" s="43"/>
      <c r="AG209" s="43"/>
      <c r="AH209" s="6"/>
      <c r="AI209" s="43"/>
      <c r="AJ209" s="43">
        <f>TABL1234[[#This Row],[(A/B) AJD]]-TABL1234[[#This Row],[BER_IN]]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Row],[(A/S) AJD]]-TABL1234[[#This Row],[SER_IN]]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 (T/B) SAR]]+TABL1234[[#This Row],[ (S/S) SAR]]</f>
        <v>0</v>
      </c>
      <c r="L210" s="45"/>
      <c r="M210" s="46"/>
      <c r="N210" s="46"/>
      <c r="O210" s="40"/>
      <c r="P210" s="12">
        <f>TABL1234[[#This Row],[ (S/S) SAR]]-TABL1234[[#This Row],[(S/S) AJD]]</f>
        <v>0</v>
      </c>
      <c r="Q210" s="40"/>
      <c r="R210" s="12">
        <f>TABL1234[[#This Row],[ (T/B) SAR]]-TABL1234[[#This Row],[(T/B) AJD]]</f>
        <v>0</v>
      </c>
      <c r="S210" s="12">
        <f>TABL1234[[#This Row],[T/B-CON.]]+TABL1234[[#This Row],[S/S_CON.]]</f>
        <v>0</v>
      </c>
      <c r="T210" s="12">
        <f>TABL1234[[#This Row],[(S/S) AJD]]+TABL1234[[#This Row],[(T/B) AJD]]</f>
        <v>0</v>
      </c>
      <c r="U210" s="44"/>
      <c r="V210" s="44"/>
      <c r="W210" s="12">
        <f>TABL1234[[#This Row],[(A/B) AJD]]+TABL1234[[#This Row],[(A/S)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Row],[AJD_Evaporation]])</f>
        <v>0</v>
      </c>
      <c r="AE210" s="44"/>
      <c r="AF210" s="45"/>
      <c r="AG210" s="45"/>
      <c r="AH210" s="6"/>
      <c r="AI210" s="45"/>
      <c r="AJ210" s="45">
        <f>TABL1234[[#This Row],[(A/B) AJD]]-TABL1234[[#This Row],[BER_IN]]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Row],[(A/S) AJD]]-TABL1234[[#This Row],[SER_IN]]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 (T/B) SAR]]+TABL1234[[#This Row],[ (S/S) SAR]]</f>
        <v>0</v>
      </c>
      <c r="L211" s="41"/>
      <c r="M211" s="42"/>
      <c r="N211" s="42"/>
      <c r="O211" s="39"/>
      <c r="P211" s="12">
        <f>TABL1234[[#This Row],[ (S/S) SAR]]-TABL1234[[#This Row],[(S/S) AJD]]</f>
        <v>0</v>
      </c>
      <c r="Q211" s="39"/>
      <c r="R211" s="12">
        <f>TABL1234[[#This Row],[ (T/B) SAR]]-TABL1234[[#This Row],[(T/B) AJD]]</f>
        <v>0</v>
      </c>
      <c r="S211" s="12">
        <f>TABL1234[[#This Row],[T/B-CON.]]+TABL1234[[#This Row],[S/S_CON.]]</f>
        <v>0</v>
      </c>
      <c r="T211" s="12">
        <f>TABL1234[[#This Row],[(S/S) AJD]]+TABL1234[[#This Row],[(T/B) AJD]]</f>
        <v>0</v>
      </c>
      <c r="U211" s="41"/>
      <c r="V211" s="41"/>
      <c r="W211" s="12">
        <f>TABL1234[[#This Row],[(A/B) AJD]]+TABL1234[[#This Row],[(A/S)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Row],[AJD_Evaporation]])</f>
        <v>0</v>
      </c>
      <c r="AE211" s="41"/>
      <c r="AF211" s="43"/>
      <c r="AG211" s="43"/>
      <c r="AH211" s="6"/>
      <c r="AI211" s="43"/>
      <c r="AJ211" s="43">
        <f>TABL1234[[#This Row],[(A/B) AJD]]-TABL1234[[#This Row],[BER_IN]]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Row],[(A/S) AJD]]-TABL1234[[#This Row],[SER_IN]]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 (T/B) SAR]]+TABL1234[[#This Row],[ (S/S) SAR]]</f>
        <v>0</v>
      </c>
      <c r="L212" s="45"/>
      <c r="M212" s="46"/>
      <c r="N212" s="46"/>
      <c r="O212" s="40"/>
      <c r="P212" s="12">
        <f>TABL1234[[#This Row],[ (S/S) SAR]]-TABL1234[[#This Row],[(S/S) AJD]]</f>
        <v>0</v>
      </c>
      <c r="Q212" s="40"/>
      <c r="R212" s="12">
        <f>TABL1234[[#This Row],[ (T/B) SAR]]-TABL1234[[#This Row],[(T/B) AJD]]</f>
        <v>0</v>
      </c>
      <c r="S212" s="12">
        <f>TABL1234[[#This Row],[T/B-CON.]]+TABL1234[[#This Row],[S/S_CON.]]</f>
        <v>0</v>
      </c>
      <c r="T212" s="12">
        <f>TABL1234[[#This Row],[(S/S) AJD]]+TABL1234[[#This Row],[(T/B) AJD]]</f>
        <v>0</v>
      </c>
      <c r="U212" s="44"/>
      <c r="V212" s="44"/>
      <c r="W212" s="12">
        <f>TABL1234[[#This Row],[(A/B) AJD]]+TABL1234[[#This Row],[(A/S)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Row],[AJD_Evaporation]])</f>
        <v>0</v>
      </c>
      <c r="AE212" s="44"/>
      <c r="AF212" s="45"/>
      <c r="AG212" s="45"/>
      <c r="AH212" s="6"/>
      <c r="AI212" s="45"/>
      <c r="AJ212" s="90">
        <f>TABL1234[[#This Row],[(A/B) AJD]]-TABL1234[[#This Row],[BER_IN]]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Row],[(A/S) AJD]]-TABL1234[[#This Row],[SER_IN]]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 (T/B) SAR]]+TABL1234[[#This Row],[ (S/S) SAR]]</f>
        <v>0</v>
      </c>
      <c r="L213" s="41"/>
      <c r="M213" s="42"/>
      <c r="N213" s="42"/>
      <c r="O213" s="39"/>
      <c r="P213" s="12">
        <f>TABL1234[[#This Row],[ (S/S) SAR]]-TABL1234[[#This Row],[(S/S) AJD]]</f>
        <v>0</v>
      </c>
      <c r="Q213" s="39"/>
      <c r="R213" s="12">
        <f>TABL1234[[#This Row],[ (T/B) SAR]]-TABL1234[[#This Row],[(T/B) AJD]]</f>
        <v>0</v>
      </c>
      <c r="S213" s="12">
        <f>TABL1234[[#This Row],[T/B-CON.]]+TABL1234[[#This Row],[S/S_CON.]]</f>
        <v>0</v>
      </c>
      <c r="T213" s="12">
        <f>TABL1234[[#This Row],[(S/S) AJD]]+TABL1234[[#This Row],[(T/B) AJD]]</f>
        <v>0</v>
      </c>
      <c r="U213" s="41"/>
      <c r="V213" s="41"/>
      <c r="W213" s="12">
        <f>TABL1234[[#This Row],[(A/B) AJD]]+TABL1234[[#This Row],[(A/S)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Row],[AJD_Evaporation]])</f>
        <v>0</v>
      </c>
      <c r="AE213" s="41"/>
      <c r="AF213" s="43"/>
      <c r="AG213" s="43"/>
      <c r="AH213" s="6"/>
      <c r="AI213" s="43"/>
      <c r="AJ213" s="43">
        <f>TABL1234[[#This Row],[(A/B) AJD]]-TABL1234[[#This Row],[BER_IN]]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Row],[(A/S) AJD]]-TABL1234[[#This Row],[SER_IN]]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 (T/B) SAR]]+TABL1234[[#This Row],[ (S/S) SAR]]</f>
        <v>0</v>
      </c>
      <c r="L214" s="41"/>
      <c r="M214" s="42"/>
      <c r="N214" s="42"/>
      <c r="O214" s="39"/>
      <c r="P214" s="3">
        <f>TABL1234[[#This Row],[ (S/S) SAR]]-TABL1234[[#This Row],[(S/S) AJD]]</f>
        <v>0</v>
      </c>
      <c r="Q214" s="39"/>
      <c r="R214" s="3">
        <f>TABL1234[[#This Row],[ (T/B) SAR]]-TABL1234[[#This Row],[(T/B) AJD]]</f>
        <v>0</v>
      </c>
      <c r="S214" s="3">
        <f>TABL1234[[#This Row],[T/B-CON.]]+TABL1234[[#This Row],[S/S_CON.]]</f>
        <v>0</v>
      </c>
      <c r="T214" s="3">
        <f>TABL1234[[#This Row],[(S/S) AJD]]+TABL1234[[#This Row],[(T/B) AJD]]</f>
        <v>0</v>
      </c>
      <c r="U214" s="41"/>
      <c r="V214" s="41"/>
      <c r="W214" s="3">
        <f>TABL1234[[#This Row],[(A/B) AJD]]+TABL1234[[#This Row],[(A/S)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Row],[AJD_Evaporation]])</f>
        <v>0</v>
      </c>
      <c r="AE214" s="41"/>
      <c r="AF214" s="43"/>
      <c r="AG214" s="43"/>
      <c r="AH214" s="6"/>
      <c r="AI214" s="43"/>
      <c r="AJ214" s="43">
        <f>TABL1234[[#This Row],[(A/B) AJD]]-TABL1234[[#This Row],[BER_IN]]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Row],[(A/S) AJD]]-TABL1234[[#This Row],[SER_IN]]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 (T/B) SAR]]+TABL1234[[#This Row],[ (S/S) SAR]]</f>
        <v>0</v>
      </c>
      <c r="L215" s="45"/>
      <c r="M215" s="46"/>
      <c r="N215" s="46"/>
      <c r="O215" s="40"/>
      <c r="P215" s="3">
        <f>TABL1234[[#This Row],[ (S/S) SAR]]-TABL1234[[#This Row],[(S/S) AJD]]</f>
        <v>0</v>
      </c>
      <c r="Q215" s="40"/>
      <c r="R215" s="3">
        <f>TABL1234[[#This Row],[ (T/B) SAR]]-TABL1234[[#This Row],[(T/B) AJD]]</f>
        <v>0</v>
      </c>
      <c r="S215" s="3">
        <f>TABL1234[[#This Row],[T/B-CON.]]+TABL1234[[#This Row],[S/S_CON.]]</f>
        <v>0</v>
      </c>
      <c r="T215" s="3">
        <f>TABL1234[[#This Row],[(S/S) AJD]]+TABL1234[[#This Row],[(T/B) AJD]]</f>
        <v>0</v>
      </c>
      <c r="U215" s="44"/>
      <c r="V215" s="44"/>
      <c r="W215" s="3">
        <f>TABL1234[[#This Row],[(A/B) AJD]]+TABL1234[[#This Row],[(A/S)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Row],[AJD_Evaporation]])</f>
        <v>0</v>
      </c>
      <c r="AE215" s="44"/>
      <c r="AF215" s="45"/>
      <c r="AG215" s="45"/>
      <c r="AH215" s="6"/>
      <c r="AI215" s="45"/>
      <c r="AJ215" s="45">
        <f>TABL1234[[#This Row],[(A/B) AJD]]-TABL1234[[#This Row],[BER_IN]]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Row],[(A/S) AJD]]-TABL1234[[#This Row],[SER_IN]]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 (T/B) SAR]]+TABL1234[[#This Row],[ (S/S) SAR]]</f>
        <v>0</v>
      </c>
      <c r="L216" s="41"/>
      <c r="M216" s="42"/>
      <c r="N216" s="42"/>
      <c r="O216" s="39"/>
      <c r="P216" s="3">
        <f>TABL1234[[#This Row],[ (S/S) SAR]]-TABL1234[[#This Row],[(S/S) AJD]]</f>
        <v>0</v>
      </c>
      <c r="Q216" s="39"/>
      <c r="R216" s="3">
        <f>TABL1234[[#This Row],[ (T/B) SAR]]-TABL1234[[#This Row],[(T/B) AJD]]</f>
        <v>0</v>
      </c>
      <c r="S216" s="3">
        <f>TABL1234[[#This Row],[T/B-CON.]]+TABL1234[[#This Row],[S/S_CON.]]</f>
        <v>0</v>
      </c>
      <c r="T216" s="3">
        <f>TABL1234[[#This Row],[(S/S) AJD]]+TABL1234[[#This Row],[(T/B) AJD]]</f>
        <v>0</v>
      </c>
      <c r="U216" s="41"/>
      <c r="V216" s="41"/>
      <c r="W216" s="3">
        <f>TABL1234[[#This Row],[(A/B) AJD]]+TABL1234[[#This Row],[(A/S)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Row],[AJD_Evaporation]])</f>
        <v>0</v>
      </c>
      <c r="AE216" s="41"/>
      <c r="AF216" s="43"/>
      <c r="AG216" s="43"/>
      <c r="AH216" s="6"/>
      <c r="AI216" s="43"/>
      <c r="AJ216" s="43">
        <f>TABL1234[[#This Row],[(A/B) AJD]]-TABL1234[[#This Row],[BER_IN]]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Row],[(A/S) AJD]]-TABL1234[[#This Row],[SER_IN]]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 (T/B) SAR]]+TABL1234[[#This Row],[ (S/S) SAR]]</f>
        <v>0</v>
      </c>
      <c r="L217" s="45"/>
      <c r="M217" s="46"/>
      <c r="N217" s="46"/>
      <c r="O217" s="40"/>
      <c r="P217" s="3">
        <f>TABL1234[[#This Row],[ (S/S) SAR]]-TABL1234[[#This Row],[(S/S) AJD]]</f>
        <v>0</v>
      </c>
      <c r="Q217" s="40"/>
      <c r="R217" s="3">
        <f>TABL1234[[#This Row],[ (T/B) SAR]]-TABL1234[[#This Row],[(T/B) AJD]]</f>
        <v>0</v>
      </c>
      <c r="S217" s="3">
        <f>TABL1234[[#This Row],[T/B-CON.]]+TABL1234[[#This Row],[S/S_CON.]]</f>
        <v>0</v>
      </c>
      <c r="T217" s="3">
        <f>TABL1234[[#This Row],[(S/S) AJD]]+TABL1234[[#This Row],[(T/B) AJD]]</f>
        <v>0</v>
      </c>
      <c r="U217" s="44"/>
      <c r="V217" s="44"/>
      <c r="W217" s="3">
        <f>TABL1234[[#This Row],[(A/B) AJD]]+TABL1234[[#This Row],[(A/S)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Row],[AJD_Evaporation]])</f>
        <v>0</v>
      </c>
      <c r="AE217" s="44"/>
      <c r="AF217" s="45"/>
      <c r="AG217" s="45"/>
      <c r="AH217" s="6"/>
      <c r="AI217" s="45"/>
      <c r="AJ217" s="45">
        <f>TABL1234[[#This Row],[(A/B) AJD]]-TABL1234[[#This Row],[BER_IN]]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Row],[(A/S) AJD]]-TABL1234[[#This Row],[SER_IN]]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 (T/B) SAR]]+TABL1234[[#This Row],[ (S/S) SAR]]</f>
        <v>0</v>
      </c>
      <c r="L218" s="41"/>
      <c r="M218" s="42"/>
      <c r="N218" s="42"/>
      <c r="O218" s="39"/>
      <c r="P218" s="3">
        <f>TABL1234[[#This Row],[ (S/S) SAR]]-TABL1234[[#This Row],[(S/S) AJD]]</f>
        <v>0</v>
      </c>
      <c r="Q218" s="39"/>
      <c r="R218" s="3">
        <f>TABL1234[[#This Row],[ (T/B) SAR]]-TABL1234[[#This Row],[(T/B) AJD]]</f>
        <v>0</v>
      </c>
      <c r="S218" s="3">
        <f>TABL1234[[#This Row],[T/B-CON.]]+TABL1234[[#This Row],[S/S_CON.]]</f>
        <v>0</v>
      </c>
      <c r="T218" s="3">
        <f>TABL1234[[#This Row],[(S/S) AJD]]+TABL1234[[#This Row],[(T/B) AJD]]</f>
        <v>0</v>
      </c>
      <c r="U218" s="41"/>
      <c r="V218" s="41"/>
      <c r="W218" s="3">
        <f>TABL1234[[#This Row],[(A/B) AJD]]+TABL1234[[#This Row],[(A/S)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Row],[AJD_Evaporation]])</f>
        <v>0</v>
      </c>
      <c r="AE218" s="41"/>
      <c r="AF218" s="43"/>
      <c r="AG218" s="43"/>
      <c r="AH218" s="6"/>
      <c r="AI218" s="43"/>
      <c r="AJ218" s="43">
        <f>TABL1234[[#This Row],[(A/B) AJD]]-TABL1234[[#This Row],[BER_IN]]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Row],[(A/S) AJD]]-TABL1234[[#This Row],[SER_IN]]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 (T/B) SAR]]+TABL1234[[#This Row],[ (S/S) SAR]]</f>
        <v>0</v>
      </c>
      <c r="L219" s="45"/>
      <c r="M219" s="46"/>
      <c r="N219" s="46"/>
      <c r="O219" s="40"/>
      <c r="P219" s="3">
        <f>TABL1234[[#This Row],[ (S/S) SAR]]-TABL1234[[#This Row],[(S/S) AJD]]</f>
        <v>0</v>
      </c>
      <c r="Q219" s="40"/>
      <c r="R219" s="3">
        <f>TABL1234[[#This Row],[ (T/B) SAR]]-TABL1234[[#This Row],[(T/B) AJD]]</f>
        <v>0</v>
      </c>
      <c r="S219" s="3">
        <f>TABL1234[[#This Row],[T/B-CON.]]+TABL1234[[#This Row],[S/S_CON.]]</f>
        <v>0</v>
      </c>
      <c r="T219" s="3">
        <f>TABL1234[[#This Row],[(S/S) AJD]]+TABL1234[[#This Row],[(T/B) AJD]]</f>
        <v>0</v>
      </c>
      <c r="U219" s="44"/>
      <c r="V219" s="44"/>
      <c r="W219" s="3">
        <f>TABL1234[[#This Row],[(A/B) AJD]]+TABL1234[[#This Row],[(A/S)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Row],[AJD_Evaporation]])</f>
        <v>0</v>
      </c>
      <c r="AE219" s="44"/>
      <c r="AF219" s="45"/>
      <c r="AG219" s="45"/>
      <c r="AH219" s="6"/>
      <c r="AI219" s="45"/>
      <c r="AJ219" s="45">
        <f>TABL1234[[#This Row],[(A/B) AJD]]-TABL1234[[#This Row],[BER_IN]]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Row],[(A/S) AJD]]-TABL1234[[#This Row],[SER_IN]]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 (T/B) SAR]]+TABL1234[[#This Row],[ (S/S) SAR]]</f>
        <v>0</v>
      </c>
      <c r="L220" s="41"/>
      <c r="M220" s="42"/>
      <c r="N220" s="42"/>
      <c r="O220" s="39"/>
      <c r="P220" s="3">
        <f>TABL1234[[#This Row],[ (S/S) SAR]]-TABL1234[[#This Row],[(S/S) AJD]]</f>
        <v>0</v>
      </c>
      <c r="Q220" s="39"/>
      <c r="R220" s="3">
        <f>TABL1234[[#This Row],[ (T/B) SAR]]-TABL1234[[#This Row],[(T/B) AJD]]</f>
        <v>0</v>
      </c>
      <c r="S220" s="3">
        <f>TABL1234[[#This Row],[T/B-CON.]]+TABL1234[[#This Row],[S/S_CON.]]</f>
        <v>0</v>
      </c>
      <c r="T220" s="3">
        <f>TABL1234[[#This Row],[(S/S) AJD]]+TABL1234[[#This Row],[(T/B) AJD]]</f>
        <v>0</v>
      </c>
      <c r="U220" s="41"/>
      <c r="V220" s="41"/>
      <c r="W220" s="3">
        <f>TABL1234[[#This Row],[(A/B) AJD]]+TABL1234[[#This Row],[(A/S)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Row],[AJD_Evaporation]])</f>
        <v>0</v>
      </c>
      <c r="AE220" s="41"/>
      <c r="AF220" s="43"/>
      <c r="AG220" s="43"/>
      <c r="AH220" s="6"/>
      <c r="AI220" s="43"/>
      <c r="AJ220" s="43">
        <f>TABL1234[[#This Row],[(A/B) AJD]]-TABL1234[[#This Row],[BER_IN]]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Row],[(A/S) AJD]]-TABL1234[[#This Row],[SER_IN]]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 (T/B) SAR]]+TABL1234[[#This Row],[ (S/S) SAR]]</f>
        <v>0</v>
      </c>
      <c r="L221" s="45"/>
      <c r="M221" s="46"/>
      <c r="N221" s="46"/>
      <c r="O221" s="40"/>
      <c r="P221" s="3">
        <f>TABL1234[[#This Row],[ (S/S) SAR]]-TABL1234[[#This Row],[(S/S) AJD]]</f>
        <v>0</v>
      </c>
      <c r="Q221" s="40"/>
      <c r="R221" s="3">
        <f>TABL1234[[#This Row],[ (T/B) SAR]]-TABL1234[[#This Row],[(T/B) AJD]]</f>
        <v>0</v>
      </c>
      <c r="S221" s="3">
        <f>TABL1234[[#This Row],[T/B-CON.]]+TABL1234[[#This Row],[S/S_CON.]]</f>
        <v>0</v>
      </c>
      <c r="T221" s="3">
        <f>TABL1234[[#This Row],[(S/S) AJD]]+TABL1234[[#This Row],[(T/B) AJD]]</f>
        <v>0</v>
      </c>
      <c r="U221" s="44"/>
      <c r="V221" s="44"/>
      <c r="W221" s="3">
        <f>TABL1234[[#This Row],[(A/B) AJD]]+TABL1234[[#This Row],[(A/S)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Row],[AJD_Evaporation]])</f>
        <v>0</v>
      </c>
      <c r="AE221" s="44"/>
      <c r="AF221" s="45"/>
      <c r="AG221" s="45"/>
      <c r="AH221" s="6"/>
      <c r="AI221" s="45"/>
      <c r="AJ221" s="45">
        <f>TABL1234[[#This Row],[(A/B) AJD]]-TABL1234[[#This Row],[BER_IN]]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Row],[(A/S) AJD]]-TABL1234[[#This Row],[SER_IN]]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 (T/B) SAR]]+TABL1234[[#This Row],[ (S/S) SAR]]</f>
        <v>0</v>
      </c>
      <c r="L222" s="41"/>
      <c r="M222" s="42"/>
      <c r="N222" s="42"/>
      <c r="O222" s="39"/>
      <c r="P222" s="3">
        <f>TABL1234[[#This Row],[ (S/S) SAR]]-TABL1234[[#This Row],[(S/S) AJD]]</f>
        <v>0</v>
      </c>
      <c r="Q222" s="39"/>
      <c r="R222" s="3">
        <f>TABL1234[[#This Row],[ (T/B) SAR]]-TABL1234[[#This Row],[(T/B) AJD]]</f>
        <v>0</v>
      </c>
      <c r="S222" s="3">
        <f>TABL1234[[#This Row],[T/B-CON.]]+TABL1234[[#This Row],[S/S_CON.]]</f>
        <v>0</v>
      </c>
      <c r="T222" s="3">
        <f>TABL1234[[#This Row],[(S/S) AJD]]+TABL1234[[#This Row],[(T/B) AJD]]</f>
        <v>0</v>
      </c>
      <c r="U222" s="41"/>
      <c r="V222" s="41"/>
      <c r="W222" s="3">
        <f>TABL1234[[#This Row],[(A/B) AJD]]+TABL1234[[#This Row],[(A/S)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Row],[AJD_Evaporation]])</f>
        <v>0</v>
      </c>
      <c r="AE222" s="41"/>
      <c r="AF222" s="43"/>
      <c r="AG222" s="43"/>
      <c r="AH222" s="6"/>
      <c r="AI222" s="43"/>
      <c r="AJ222" s="43">
        <f>TABL1234[[#This Row],[(A/B) AJD]]-TABL1234[[#This Row],[BER_IN]]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Row],[(A/S) AJD]]-TABL1234[[#This Row],[SER_IN]]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 (T/B) SAR]]+TABL1234[[#This Row],[ (S/S) SAR]]</f>
        <v>0</v>
      </c>
      <c r="L223" s="45"/>
      <c r="M223" s="46"/>
      <c r="N223" s="46"/>
      <c r="O223" s="40"/>
      <c r="P223" s="3">
        <f>TABL1234[[#This Row],[ (S/S) SAR]]-TABL1234[[#This Row],[(S/S) AJD]]</f>
        <v>0</v>
      </c>
      <c r="Q223" s="40"/>
      <c r="R223" s="3">
        <f>TABL1234[[#This Row],[ (T/B) SAR]]-TABL1234[[#This Row],[(T/B) AJD]]</f>
        <v>0</v>
      </c>
      <c r="S223" s="3">
        <f>TABL1234[[#This Row],[T/B-CON.]]+TABL1234[[#This Row],[S/S_CON.]]</f>
        <v>0</v>
      </c>
      <c r="T223" s="3">
        <f>TABL1234[[#This Row],[(S/S) AJD]]+TABL1234[[#This Row],[(T/B) AJD]]</f>
        <v>0</v>
      </c>
      <c r="U223" s="44"/>
      <c r="V223" s="44"/>
      <c r="W223" s="3">
        <f>TABL1234[[#This Row],[(A/B) AJD]]+TABL1234[[#This Row],[(A/S)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Row],[AJD_Evaporation]])</f>
        <v>0</v>
      </c>
      <c r="AE223" s="44"/>
      <c r="AF223" s="45"/>
      <c r="AG223" s="45"/>
      <c r="AH223" s="6"/>
      <c r="AI223" s="45"/>
      <c r="AJ223" s="45">
        <f>TABL1234[[#This Row],[(A/B) AJD]]-TABL1234[[#This Row],[BER_IN]]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Row],[(A/S) AJD]]-TABL1234[[#This Row],[SER_IN]]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 (T/B) SAR]]+TABL1234[[#This Row],[ (S/S) SAR]]</f>
        <v>0</v>
      </c>
      <c r="L224" s="41"/>
      <c r="M224" s="42"/>
      <c r="N224" s="42"/>
      <c r="O224" s="39"/>
      <c r="P224" s="3">
        <f>TABL1234[[#This Row],[ (S/S) SAR]]-TABL1234[[#This Row],[(S/S) AJD]]</f>
        <v>0</v>
      </c>
      <c r="Q224" s="39"/>
      <c r="R224" s="3">
        <f>TABL1234[[#This Row],[ (T/B) SAR]]-TABL1234[[#This Row],[(T/B) AJD]]</f>
        <v>0</v>
      </c>
      <c r="S224" s="3">
        <f>TABL1234[[#This Row],[T/B-CON.]]+TABL1234[[#This Row],[S/S_CON.]]</f>
        <v>0</v>
      </c>
      <c r="T224" s="3">
        <f>TABL1234[[#This Row],[(S/S) AJD]]+TABL1234[[#This Row],[(T/B) AJD]]</f>
        <v>0</v>
      </c>
      <c r="U224" s="41"/>
      <c r="V224" s="41"/>
      <c r="W224" s="3">
        <f>TABL1234[[#This Row],[(A/B) AJD]]+TABL1234[[#This Row],[(A/S)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Row],[AJD_Evaporation]])</f>
        <v>0</v>
      </c>
      <c r="AE224" s="41"/>
      <c r="AF224" s="43"/>
      <c r="AG224" s="68"/>
      <c r="AH224" s="6"/>
      <c r="AI224" s="43"/>
      <c r="AJ224" s="68">
        <f>TABL1234[[#This Row],[(A/B) AJD]]-TABL1234[[#This Row],[BER_IN]]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Row],[(A/S) AJD]]-TABL1234[[#This Row],[SER_IN]]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 (T/B) SAR]]+TABL1234[[#This Row],[ (S/S) SAR]]</f>
        <v>0</v>
      </c>
      <c r="L225" s="45"/>
      <c r="M225" s="46"/>
      <c r="N225" s="46"/>
      <c r="O225" s="40"/>
      <c r="P225" s="3">
        <f>TABL1234[[#This Row],[ (S/S) SAR]]-TABL1234[[#This Row],[(S/S) AJD]]</f>
        <v>0</v>
      </c>
      <c r="Q225" s="40"/>
      <c r="R225" s="3">
        <f>TABL1234[[#This Row],[ (T/B) SAR]]-TABL1234[[#This Row],[(T/B) AJD]]</f>
        <v>0</v>
      </c>
      <c r="S225" s="3">
        <f>TABL1234[[#This Row],[T/B-CON.]]+TABL1234[[#This Row],[S/S_CON.]]</f>
        <v>0</v>
      </c>
      <c r="T225" s="3">
        <f>TABL1234[[#This Row],[(S/S) AJD]]+TABL1234[[#This Row],[(T/B) AJD]]</f>
        <v>0</v>
      </c>
      <c r="U225" s="44"/>
      <c r="V225" s="44"/>
      <c r="W225" s="3">
        <f>TABL1234[[#This Row],[(A/B) AJD]]+TABL1234[[#This Row],[(A/S)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Row],[AJD_Evaporation]])</f>
        <v>0</v>
      </c>
      <c r="AE225" s="44"/>
      <c r="AF225" s="45"/>
      <c r="AG225" s="45"/>
      <c r="AH225" s="6"/>
      <c r="AI225" s="45"/>
      <c r="AJ225" s="45">
        <f>TABL1234[[#This Row],[(A/B) AJD]]-TABL1234[[#This Row],[BER_IN]]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Row],[(A/S) AJD]]-TABL1234[[#This Row],[SER_IN]]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 (T/B) SAR]]+TABL1234[[#This Row],[ (S/S) SAR]]</f>
        <v>0</v>
      </c>
      <c r="L226" s="41"/>
      <c r="M226" s="42"/>
      <c r="N226" s="42"/>
      <c r="O226" s="39"/>
      <c r="P226" s="3">
        <f>TABL1234[[#This Row],[ (S/S) SAR]]-TABL1234[[#This Row],[(S/S) AJD]]</f>
        <v>0</v>
      </c>
      <c r="Q226" s="39"/>
      <c r="R226" s="3">
        <f>TABL1234[[#This Row],[ (T/B) SAR]]-TABL1234[[#This Row],[(T/B) AJD]]</f>
        <v>0</v>
      </c>
      <c r="S226" s="3">
        <f>TABL1234[[#This Row],[T/B-CON.]]+TABL1234[[#This Row],[S/S_CON.]]</f>
        <v>0</v>
      </c>
      <c r="T226" s="3">
        <f>TABL1234[[#This Row],[(S/S) AJD]]+TABL1234[[#This Row],[(T/B) AJD]]</f>
        <v>0</v>
      </c>
      <c r="U226" s="41"/>
      <c r="V226" s="41"/>
      <c r="W226" s="3">
        <f>TABL1234[[#This Row],[(A/B) AJD]]+TABL1234[[#This Row],[(A/S)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Row],[AJD_Evaporation]])</f>
        <v>0</v>
      </c>
      <c r="AE226" s="41"/>
      <c r="AF226" s="43"/>
      <c r="AG226" s="43"/>
      <c r="AH226" s="6"/>
      <c r="AI226" s="43"/>
      <c r="AJ226" s="43">
        <f>TABL1234[[#This Row],[(A/B) AJD]]-TABL1234[[#This Row],[BER_IN]]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Row],[(A/S) AJD]]-TABL1234[[#This Row],[SER_IN]]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 (T/B) SAR]]+TABL1234[[#This Row],[ (S/S) SAR]]</f>
        <v>0</v>
      </c>
      <c r="L227" s="45"/>
      <c r="M227" s="46"/>
      <c r="N227" s="46"/>
      <c r="O227" s="40"/>
      <c r="P227" s="3">
        <f>TABL1234[[#This Row],[ (S/S) SAR]]-TABL1234[[#This Row],[(S/S) AJD]]</f>
        <v>0</v>
      </c>
      <c r="Q227" s="40"/>
      <c r="R227" s="3">
        <f>TABL1234[[#This Row],[ (T/B) SAR]]-TABL1234[[#This Row],[(T/B) AJD]]</f>
        <v>0</v>
      </c>
      <c r="S227" s="3">
        <f>TABL1234[[#This Row],[T/B-CON.]]+TABL1234[[#This Row],[S/S_CON.]]</f>
        <v>0</v>
      </c>
      <c r="T227" s="3">
        <f>TABL1234[[#This Row],[(S/S) AJD]]+TABL1234[[#This Row],[(T/B) AJD]]</f>
        <v>0</v>
      </c>
      <c r="U227" s="44"/>
      <c r="V227" s="44"/>
      <c r="W227" s="3">
        <f>TABL1234[[#This Row],[(A/B) AJD]]+TABL1234[[#This Row],[(A/S)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Row],[AJD_Evaporation]])</f>
        <v>0</v>
      </c>
      <c r="AE227" s="44"/>
      <c r="AF227" s="45"/>
      <c r="AG227" s="45"/>
      <c r="AH227" s="6"/>
      <c r="AI227" s="45"/>
      <c r="AJ227" s="45">
        <f>TABL1234[[#This Row],[(A/B) AJD]]-TABL1234[[#This Row],[BER_IN]]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Row],[(A/S) AJD]]-TABL1234[[#This Row],[SER_IN]]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 (T/B) SAR]]+TABL1234[[#This Row],[ (S/S) SAR]]</f>
        <v>0</v>
      </c>
      <c r="L228" s="41"/>
      <c r="M228" s="42"/>
      <c r="N228" s="42"/>
      <c r="O228" s="39"/>
      <c r="P228" s="3">
        <f>TABL1234[[#This Row],[ (S/S) SAR]]-TABL1234[[#This Row],[(S/S) AJD]]</f>
        <v>0</v>
      </c>
      <c r="Q228" s="39"/>
      <c r="R228" s="3">
        <f>TABL1234[[#This Row],[ (T/B) SAR]]-TABL1234[[#This Row],[(T/B) AJD]]</f>
        <v>0</v>
      </c>
      <c r="S228" s="3">
        <f>TABL1234[[#This Row],[T/B-CON.]]+TABL1234[[#This Row],[S/S_CON.]]</f>
        <v>0</v>
      </c>
      <c r="T228" s="3">
        <f>TABL1234[[#This Row],[(S/S) AJD]]+TABL1234[[#This Row],[(T/B) AJD]]</f>
        <v>0</v>
      </c>
      <c r="U228" s="41"/>
      <c r="V228" s="41"/>
      <c r="W228" s="3">
        <f>TABL1234[[#This Row],[(A/B) AJD]]+TABL1234[[#This Row],[(A/S)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Row],[AJD_Evaporation]])</f>
        <v>0</v>
      </c>
      <c r="AE228" s="41"/>
      <c r="AF228" s="43"/>
      <c r="AG228" s="43"/>
      <c r="AH228" s="6"/>
      <c r="AI228" s="43"/>
      <c r="AJ228" s="43">
        <f>TABL1234[[#This Row],[(A/B) AJD]]-TABL1234[[#This Row],[BER_IN]]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Row],[(A/S) AJD]]-TABL1234[[#This Row],[SER_IN]]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 (T/B) SAR]]+TABL1234[[#This Row],[ (S/S) SAR]]</f>
        <v>0</v>
      </c>
      <c r="L229" s="45"/>
      <c r="M229" s="46"/>
      <c r="N229" s="46"/>
      <c r="O229" s="40"/>
      <c r="P229" s="3">
        <f>TABL1234[[#This Row],[ (S/S) SAR]]-TABL1234[[#This Row],[(S/S) AJD]]</f>
        <v>0</v>
      </c>
      <c r="Q229" s="40"/>
      <c r="R229" s="3">
        <f>TABL1234[[#This Row],[ (T/B) SAR]]-TABL1234[[#This Row],[(T/B) AJD]]</f>
        <v>0</v>
      </c>
      <c r="S229" s="3">
        <f>TABL1234[[#This Row],[T/B-CON.]]+TABL1234[[#This Row],[S/S_CON.]]</f>
        <v>0</v>
      </c>
      <c r="T229" s="3">
        <f>TABL1234[[#This Row],[(S/S) AJD]]+TABL1234[[#This Row],[(T/B) AJD]]</f>
        <v>0</v>
      </c>
      <c r="U229" s="44"/>
      <c r="V229" s="44"/>
      <c r="W229" s="3">
        <f>TABL1234[[#This Row],[(A/B) AJD]]+TABL1234[[#This Row],[(A/S)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Row],[AJD_Evaporation]])</f>
        <v>0</v>
      </c>
      <c r="AE229" s="44"/>
      <c r="AF229" s="45"/>
      <c r="AG229" s="45"/>
      <c r="AH229" s="6"/>
      <c r="AI229" s="45"/>
      <c r="AJ229" s="45">
        <f>TABL1234[[#This Row],[(A/B) AJD]]-TABL1234[[#This Row],[BER_IN]]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Row],[(A/S) AJD]]-TABL1234[[#This Row],[SER_IN]]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 (T/B) SAR]]+TABL1234[[#This Row],[ (S/S) SAR]]</f>
        <v>0</v>
      </c>
      <c r="L230" s="41"/>
      <c r="M230" s="42"/>
      <c r="N230" s="42"/>
      <c r="O230" s="39"/>
      <c r="P230" s="3">
        <f>TABL1234[[#This Row],[ (S/S) SAR]]-TABL1234[[#This Row],[(S/S) AJD]]</f>
        <v>0</v>
      </c>
      <c r="Q230" s="39"/>
      <c r="R230" s="3">
        <f>TABL1234[[#This Row],[ (T/B) SAR]]-TABL1234[[#This Row],[(T/B) AJD]]</f>
        <v>0</v>
      </c>
      <c r="S230" s="3">
        <f>TABL1234[[#This Row],[T/B-CON.]]+TABL1234[[#This Row],[S/S_CON.]]</f>
        <v>0</v>
      </c>
      <c r="T230" s="3">
        <f>TABL1234[[#This Row],[(S/S) AJD]]+TABL1234[[#This Row],[(T/B) AJD]]</f>
        <v>0</v>
      </c>
      <c r="U230" s="41"/>
      <c r="V230" s="41"/>
      <c r="W230" s="3">
        <f>TABL1234[[#This Row],[(A/B) AJD]]+TABL1234[[#This Row],[(A/S)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Row],[AJD_Evaporation]])</f>
        <v>0</v>
      </c>
      <c r="AE230" s="41"/>
      <c r="AF230" s="43"/>
      <c r="AG230" s="43"/>
      <c r="AH230" s="6"/>
      <c r="AI230" s="43"/>
      <c r="AJ230" s="43">
        <f>TABL1234[[#This Row],[(A/B) AJD]]-TABL1234[[#This Row],[BER_IN]]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Row],[(A/S) AJD]]-TABL1234[[#This Row],[SER_IN]]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 (T/B) SAR]]+TABL1234[[#This Row],[ (S/S) SAR]]</f>
        <v>0</v>
      </c>
      <c r="L231" s="45"/>
      <c r="M231" s="46"/>
      <c r="N231" s="46"/>
      <c r="O231" s="40"/>
      <c r="P231" s="3">
        <f>TABL1234[[#This Row],[ (S/S) SAR]]-TABL1234[[#This Row],[(S/S) AJD]]</f>
        <v>0</v>
      </c>
      <c r="Q231" s="40"/>
      <c r="R231" s="3">
        <f>TABL1234[[#This Row],[ (T/B) SAR]]-TABL1234[[#This Row],[(T/B) AJD]]</f>
        <v>0</v>
      </c>
      <c r="S231" s="3">
        <f>TABL1234[[#This Row],[T/B-CON.]]+TABL1234[[#This Row],[S/S_CON.]]</f>
        <v>0</v>
      </c>
      <c r="T231" s="3">
        <f>TABL1234[[#This Row],[(S/S) AJD]]+TABL1234[[#This Row],[(T/B) AJD]]</f>
        <v>0</v>
      </c>
      <c r="U231" s="44"/>
      <c r="V231" s="44"/>
      <c r="W231" s="3">
        <f>TABL1234[[#This Row],[(A/B) AJD]]+TABL1234[[#This Row],[(A/S)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Row],[AJD_Evaporation]])</f>
        <v>0</v>
      </c>
      <c r="AE231" s="44"/>
      <c r="AF231" s="45"/>
      <c r="AG231" s="45"/>
      <c r="AH231" s="6"/>
      <c r="AI231" s="45"/>
      <c r="AJ231" s="45">
        <f>TABL1234[[#This Row],[(A/B) AJD]]-TABL1234[[#This Row],[BER_IN]]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Row],[(A/S) AJD]]-TABL1234[[#This Row],[SER_IN]]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1"/>
      <c r="J232" s="39"/>
      <c r="K232" s="28">
        <f>TABL1234[[#This Row],[ (T/B) SAR]]+TABL1234[[#This Row],[ (S/S) SAR]]</f>
        <v>0</v>
      </c>
      <c r="L232" s="41"/>
      <c r="M232" s="42"/>
      <c r="N232" s="42"/>
      <c r="O232" s="39"/>
      <c r="P232" s="3">
        <f>TABL1234[[#This Row],[ (S/S) SAR]]-TABL1234[[#This Row],[(S/S) AJD]]</f>
        <v>0</v>
      </c>
      <c r="Q232" s="39"/>
      <c r="R232" s="3">
        <f>TABL1234[[#This Row],[ (T/B) SAR]]-TABL1234[[#This Row],[(T/B) AJD]]</f>
        <v>0</v>
      </c>
      <c r="S232" s="3">
        <f>TABL1234[[#This Row],[T/B-CON.]]+TABL1234[[#This Row],[S/S_CON.]]</f>
        <v>0</v>
      </c>
      <c r="T232" s="3">
        <f>TABL1234[[#This Row],[(S/S) AJD]]+TABL1234[[#This Row],[(T/B) AJD]]</f>
        <v>0</v>
      </c>
      <c r="U232" s="41"/>
      <c r="V232" s="41"/>
      <c r="W232" s="3">
        <f>TABL1234[[#This Row],[(A/B) AJD]]+TABL1234[[#This Row],[(A/S)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Row],[AJD_Evaporation]])</f>
        <v>0</v>
      </c>
      <c r="AE232" s="41"/>
      <c r="AF232" s="43"/>
      <c r="AG232" s="43"/>
      <c r="AH232" s="6"/>
      <c r="AI232" s="43"/>
      <c r="AJ232" s="43">
        <f>TABL1234[[#This Row],[(A/B) AJD]]-TABL1234[[#This Row],[BER_IN]]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Row],[(A/S) AJD]]-TABL1234[[#This Row],[SER_IN]]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 (T/B) SAR]]+TABL1234[[#This Row],[ (S/S) SAR]]</f>
        <v>0</v>
      </c>
      <c r="L233" s="45"/>
      <c r="M233" s="46"/>
      <c r="N233" s="46"/>
      <c r="O233" s="40"/>
      <c r="P233" s="3">
        <f>TABL1234[[#This Row],[ (S/S) SAR]]-TABL1234[[#This Row],[(S/S) AJD]]</f>
        <v>0</v>
      </c>
      <c r="Q233" s="40"/>
      <c r="R233" s="3">
        <f>TABL1234[[#This Row],[ (T/B) SAR]]-TABL1234[[#This Row],[(T/B) AJD]]</f>
        <v>0</v>
      </c>
      <c r="S233" s="3">
        <f>TABL1234[[#This Row],[T/B-CON.]]+TABL1234[[#This Row],[S/S_CON.]]</f>
        <v>0</v>
      </c>
      <c r="T233" s="3">
        <f>TABL1234[[#This Row],[(S/S) AJD]]+TABL1234[[#This Row],[(T/B) AJD]]</f>
        <v>0</v>
      </c>
      <c r="U233" s="44"/>
      <c r="V233" s="44"/>
      <c r="W233" s="3">
        <f>TABL1234[[#This Row],[(A/B) AJD]]+TABL1234[[#This Row],[(A/S)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Row],[AJD_Evaporation]])</f>
        <v>0</v>
      </c>
      <c r="AE233" s="44"/>
      <c r="AF233" s="45"/>
      <c r="AG233" s="45"/>
      <c r="AH233" s="6"/>
      <c r="AI233" s="45"/>
      <c r="AJ233" s="45">
        <f>TABL1234[[#This Row],[(A/B) AJD]]-TABL1234[[#This Row],[BER_IN]]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Row],[(A/S) AJD]]-TABL1234[[#This Row],[SER_IN]]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 (T/B) SAR]]+TABL1234[[#This Row],[ (S/S) SAR]]</f>
        <v>0</v>
      </c>
      <c r="L234" s="41"/>
      <c r="M234" s="42"/>
      <c r="N234" s="42"/>
      <c r="O234" s="39"/>
      <c r="P234" s="3">
        <f>TABL1234[[#This Row],[ (S/S) SAR]]-TABL1234[[#This Row],[(S/S) AJD]]</f>
        <v>0</v>
      </c>
      <c r="Q234" s="39"/>
      <c r="R234" s="3">
        <f>TABL1234[[#This Row],[ (T/B) SAR]]-TABL1234[[#This Row],[(T/B) AJD]]</f>
        <v>0</v>
      </c>
      <c r="S234" s="3">
        <f>TABL1234[[#This Row],[T/B-CON.]]+TABL1234[[#This Row],[S/S_CON.]]</f>
        <v>0</v>
      </c>
      <c r="T234" s="3">
        <f>TABL1234[[#This Row],[(S/S) AJD]]+TABL1234[[#This Row],[(T/B) AJD]]</f>
        <v>0</v>
      </c>
      <c r="U234" s="41"/>
      <c r="V234" s="41"/>
      <c r="W234" s="3">
        <f>TABL1234[[#This Row],[(A/B) AJD]]+TABL1234[[#This Row],[(A/S)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Row],[AJD_Evaporation]])</f>
        <v>0</v>
      </c>
      <c r="AE234" s="41"/>
      <c r="AF234" s="43"/>
      <c r="AG234" s="43"/>
      <c r="AH234" s="6"/>
      <c r="AI234" s="43"/>
      <c r="AJ234" s="43">
        <f>TABL1234[[#This Row],[(A/B) AJD]]-TABL1234[[#This Row],[BER_IN]]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Row],[(A/S) AJD]]-TABL1234[[#This Row],[SER_IN]]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 (T/B) SAR]]+TABL1234[[#This Row],[ (S/S) SAR]]</f>
        <v>0</v>
      </c>
      <c r="L235" s="45"/>
      <c r="M235" s="46"/>
      <c r="N235" s="46"/>
      <c r="O235" s="40"/>
      <c r="P235" s="3">
        <f>TABL1234[[#This Row],[ (S/S) SAR]]-TABL1234[[#This Row],[(S/S) AJD]]</f>
        <v>0</v>
      </c>
      <c r="Q235" s="40"/>
      <c r="R235" s="3">
        <f>TABL1234[[#This Row],[ (T/B) SAR]]-TABL1234[[#This Row],[(T/B) AJD]]</f>
        <v>0</v>
      </c>
      <c r="S235" s="3">
        <f>TABL1234[[#This Row],[T/B-CON.]]+TABL1234[[#This Row],[S/S_CON.]]</f>
        <v>0</v>
      </c>
      <c r="T235" s="3">
        <f>TABL1234[[#This Row],[(S/S) AJD]]+TABL1234[[#This Row],[(T/B) AJD]]</f>
        <v>0</v>
      </c>
      <c r="U235" s="44"/>
      <c r="V235" s="44"/>
      <c r="W235" s="3">
        <f>TABL1234[[#This Row],[(A/B) AJD]]+TABL1234[[#This Row],[(A/S)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Row],[AJD_Evaporation]])</f>
        <v>0</v>
      </c>
      <c r="AE235" s="44"/>
      <c r="AF235" s="45"/>
      <c r="AG235" s="45"/>
      <c r="AH235" s="6"/>
      <c r="AI235" s="45"/>
      <c r="AJ235" s="45">
        <f>TABL1234[[#This Row],[(A/B) AJD]]-TABL1234[[#This Row],[BER_IN]]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Row],[(A/S) AJD]]-TABL1234[[#This Row],[SER_IN]]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 (T/B) SAR]]+TABL1234[[#This Row],[ (S/S) SAR]]</f>
        <v>0</v>
      </c>
      <c r="L236" s="41"/>
      <c r="M236" s="42"/>
      <c r="N236" s="42"/>
      <c r="O236" s="39"/>
      <c r="P236" s="3">
        <f>TABL1234[[#This Row],[ (S/S) SAR]]-TABL1234[[#This Row],[(S/S) AJD]]</f>
        <v>0</v>
      </c>
      <c r="Q236" s="39"/>
      <c r="R236" s="3">
        <f>TABL1234[[#This Row],[ (T/B) SAR]]-TABL1234[[#This Row],[(T/B) AJD]]</f>
        <v>0</v>
      </c>
      <c r="S236" s="3">
        <f>TABL1234[[#This Row],[T/B-CON.]]+TABL1234[[#This Row],[S/S_CON.]]</f>
        <v>0</v>
      </c>
      <c r="T236" s="3">
        <f>TABL1234[[#This Row],[(S/S) AJD]]+TABL1234[[#This Row],[(T/B) AJD]]</f>
        <v>0</v>
      </c>
      <c r="U236" s="41"/>
      <c r="V236" s="41"/>
      <c r="W236" s="3">
        <f>TABL1234[[#This Row],[(A/B) AJD]]+TABL1234[[#This Row],[(A/S)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Row],[AJD_Evaporation]])</f>
        <v>0</v>
      </c>
      <c r="AE236" s="41"/>
      <c r="AF236" s="43"/>
      <c r="AG236" s="43"/>
      <c r="AH236" s="6"/>
      <c r="AI236" s="43"/>
      <c r="AJ236" s="43">
        <f>TABL1234[[#This Row],[(A/B) AJD]]-TABL1234[[#This Row],[BER_IN]]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Row],[(A/S) AJD]]-TABL1234[[#This Row],[SER_IN]]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 (T/B) SAR]]+TABL1234[[#This Row],[ (S/S) SAR]]</f>
        <v>0</v>
      </c>
      <c r="L237" s="45"/>
      <c r="M237" s="46"/>
      <c r="N237" s="46"/>
      <c r="O237" s="40"/>
      <c r="P237" s="3">
        <f>TABL1234[[#This Row],[ (S/S) SAR]]-TABL1234[[#This Row],[(S/S) AJD]]</f>
        <v>0</v>
      </c>
      <c r="Q237" s="40"/>
      <c r="R237" s="3">
        <f>TABL1234[[#This Row],[ (T/B) SAR]]-TABL1234[[#This Row],[(T/B) AJD]]</f>
        <v>0</v>
      </c>
      <c r="S237" s="3">
        <f>TABL1234[[#This Row],[T/B-CON.]]+TABL1234[[#This Row],[S/S_CON.]]</f>
        <v>0</v>
      </c>
      <c r="T237" s="3">
        <f>TABL1234[[#This Row],[(S/S) AJD]]+TABL1234[[#This Row],[(T/B) AJD]]</f>
        <v>0</v>
      </c>
      <c r="U237" s="44"/>
      <c r="V237" s="44"/>
      <c r="W237" s="3">
        <f>TABL1234[[#This Row],[(A/B) AJD]]+TABL1234[[#This Row],[(A/S)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Row],[AJD_Evaporation]])</f>
        <v>0</v>
      </c>
      <c r="AE237" s="44"/>
      <c r="AF237" s="45"/>
      <c r="AG237" s="45"/>
      <c r="AH237" s="6"/>
      <c r="AI237" s="45"/>
      <c r="AJ237" s="45">
        <f>TABL1234[[#This Row],[(A/B) AJD]]-TABL1234[[#This Row],[BER_IN]]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Row],[(A/S) AJD]]-TABL1234[[#This Row],[SER_IN]]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 (T/B) SAR]]+TABL1234[[#This Row],[ (S/S) SAR]]</f>
        <v>0</v>
      </c>
      <c r="L238" s="41"/>
      <c r="M238" s="42"/>
      <c r="N238" s="42"/>
      <c r="O238" s="39"/>
      <c r="P238" s="3">
        <f>TABL1234[[#This Row],[ (S/S) SAR]]-TABL1234[[#This Row],[(S/S) AJD]]</f>
        <v>0</v>
      </c>
      <c r="Q238" s="39"/>
      <c r="R238" s="3">
        <f>TABL1234[[#This Row],[ (T/B) SAR]]-TABL1234[[#This Row],[(T/B) AJD]]</f>
        <v>0</v>
      </c>
      <c r="S238" s="3">
        <f>TABL1234[[#This Row],[T/B-CON.]]+TABL1234[[#This Row],[S/S_CON.]]</f>
        <v>0</v>
      </c>
      <c r="T238" s="3">
        <f>TABL1234[[#This Row],[(S/S) AJD]]+TABL1234[[#This Row],[(T/B) AJD]]</f>
        <v>0</v>
      </c>
      <c r="U238" s="41"/>
      <c r="V238" s="41"/>
      <c r="W238" s="3">
        <f>TABL1234[[#This Row],[(A/B) AJD]]+TABL1234[[#This Row],[(A/S)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Row],[AJD_Evaporation]])</f>
        <v>0</v>
      </c>
      <c r="AE238" s="41"/>
      <c r="AF238" s="43"/>
      <c r="AG238" s="43"/>
      <c r="AH238" s="6"/>
      <c r="AI238" s="43"/>
      <c r="AJ238" s="43">
        <f>TABL1234[[#This Row],[(A/B) AJD]]-TABL1234[[#This Row],[BER_IN]]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Row],[(A/S) AJD]]-TABL1234[[#This Row],[SER_IN]]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 (T/B) SAR]]+TABL1234[[#This Row],[ (S/S) SAR]]</f>
        <v>0</v>
      </c>
      <c r="L239" s="45"/>
      <c r="M239" s="46"/>
      <c r="N239" s="46"/>
      <c r="O239" s="40"/>
      <c r="P239" s="3">
        <f>TABL1234[[#This Row],[ (S/S) SAR]]-TABL1234[[#This Row],[(S/S) AJD]]</f>
        <v>0</v>
      </c>
      <c r="Q239" s="40"/>
      <c r="R239" s="3">
        <f>TABL1234[[#This Row],[ (T/B) SAR]]-TABL1234[[#This Row],[(T/B) AJD]]</f>
        <v>0</v>
      </c>
      <c r="S239" s="3">
        <f>TABL1234[[#This Row],[T/B-CON.]]+TABL1234[[#This Row],[S/S_CON.]]</f>
        <v>0</v>
      </c>
      <c r="T239" s="3">
        <f>TABL1234[[#This Row],[(S/S) AJD]]+TABL1234[[#This Row],[(T/B) AJD]]</f>
        <v>0</v>
      </c>
      <c r="U239" s="44"/>
      <c r="V239" s="44"/>
      <c r="W239" s="3">
        <f>TABL1234[[#This Row],[(A/B) AJD]]+TABL1234[[#This Row],[(A/S)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Row],[AJD_Evaporation]])</f>
        <v>0</v>
      </c>
      <c r="AE239" s="44"/>
      <c r="AF239" s="45"/>
      <c r="AG239" s="45"/>
      <c r="AH239" s="6"/>
      <c r="AI239" s="45"/>
      <c r="AJ239" s="45">
        <f>TABL1234[[#This Row],[(A/B) AJD]]-TABL1234[[#This Row],[BER_IN]]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Row],[(A/S) AJD]]-TABL1234[[#This Row],[SER_IN]]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 (T/B) SAR]]+TABL1234[[#This Row],[ (S/S) SAR]]</f>
        <v>0</v>
      </c>
      <c r="L240" s="41"/>
      <c r="M240" s="42"/>
      <c r="N240" s="42"/>
      <c r="O240" s="39"/>
      <c r="P240" s="3">
        <f>TABL1234[[#This Row],[ (S/S) SAR]]-TABL1234[[#This Row],[(S/S) AJD]]</f>
        <v>0</v>
      </c>
      <c r="Q240" s="39"/>
      <c r="R240" s="3">
        <f>TABL1234[[#This Row],[ (T/B) SAR]]-TABL1234[[#This Row],[(T/B) AJD]]</f>
        <v>0</v>
      </c>
      <c r="S240" s="3">
        <f>TABL1234[[#This Row],[T/B-CON.]]+TABL1234[[#This Row],[S/S_CON.]]</f>
        <v>0</v>
      </c>
      <c r="T240" s="3">
        <f>TABL1234[[#This Row],[(S/S) AJD]]+TABL1234[[#This Row],[(T/B) AJD]]</f>
        <v>0</v>
      </c>
      <c r="U240" s="41"/>
      <c r="V240" s="41"/>
      <c r="W240" s="3">
        <f>TABL1234[[#This Row],[(A/B) AJD]]+TABL1234[[#This Row],[(A/S)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Row],[AJD_Evaporation]])</f>
        <v>0</v>
      </c>
      <c r="AE240" s="41"/>
      <c r="AF240" s="43"/>
      <c r="AG240" s="43"/>
      <c r="AH240" s="6"/>
      <c r="AI240" s="43"/>
      <c r="AJ240" s="43">
        <f>TABL1234[[#This Row],[(A/B) AJD]]-TABL1234[[#This Row],[BER_IN]]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Row],[(A/S) AJD]]-TABL1234[[#This Row],[SER_IN]]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 (T/B) SAR]]+TABL1234[[#This Row],[ (S/S) SAR]]</f>
        <v>0</v>
      </c>
      <c r="L241" s="45"/>
      <c r="M241" s="46"/>
      <c r="N241" s="46"/>
      <c r="O241" s="40"/>
      <c r="P241" s="3">
        <f>TABL1234[[#This Row],[ (S/S) SAR]]-TABL1234[[#This Row],[(S/S) AJD]]</f>
        <v>0</v>
      </c>
      <c r="Q241" s="40"/>
      <c r="R241" s="3">
        <f>TABL1234[[#This Row],[ (T/B) SAR]]-TABL1234[[#This Row],[(T/B) AJD]]</f>
        <v>0</v>
      </c>
      <c r="S241" s="3">
        <f>TABL1234[[#This Row],[T/B-CON.]]+TABL1234[[#This Row],[S/S_CON.]]</f>
        <v>0</v>
      </c>
      <c r="T241" s="3">
        <f>TABL1234[[#This Row],[(S/S) AJD]]+TABL1234[[#This Row],[(T/B) AJD]]</f>
        <v>0</v>
      </c>
      <c r="U241" s="44"/>
      <c r="V241" s="44"/>
      <c r="W241" s="3">
        <f>TABL1234[[#This Row],[(A/B) AJD]]+TABL1234[[#This Row],[(A/S)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Row],[AJD_Evaporation]])</f>
        <v>0</v>
      </c>
      <c r="AE241" s="44"/>
      <c r="AF241" s="45"/>
      <c r="AG241" s="45"/>
      <c r="AH241" s="6"/>
      <c r="AI241" s="45"/>
      <c r="AJ241" s="45">
        <f>TABL1234[[#This Row],[(A/B) AJD]]-TABL1234[[#This Row],[BER_IN]]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Row],[(A/S) AJD]]-TABL1234[[#This Row],[SER_IN]]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 (T/B) SAR]]+TABL1234[[#This Row],[ (S/S) SAR]]</f>
        <v>0</v>
      </c>
      <c r="L242" s="41"/>
      <c r="M242" s="42"/>
      <c r="N242" s="42"/>
      <c r="O242" s="39"/>
      <c r="P242" s="3">
        <f>TABL1234[[#This Row],[ (S/S) SAR]]-TABL1234[[#This Row],[(S/S) AJD]]</f>
        <v>0</v>
      </c>
      <c r="Q242" s="39"/>
      <c r="R242" s="3">
        <f>TABL1234[[#This Row],[ (T/B) SAR]]-TABL1234[[#This Row],[(T/B) AJD]]</f>
        <v>0</v>
      </c>
      <c r="S242" s="3">
        <f>TABL1234[[#This Row],[T/B-CON.]]+TABL1234[[#This Row],[S/S_CON.]]</f>
        <v>0</v>
      </c>
      <c r="T242" s="3">
        <f>TABL1234[[#This Row],[(S/S) AJD]]+TABL1234[[#This Row],[(T/B) AJD]]</f>
        <v>0</v>
      </c>
      <c r="U242" s="41"/>
      <c r="V242" s="41"/>
      <c r="W242" s="3">
        <f>TABL1234[[#This Row],[(A/B) AJD]]+TABL1234[[#This Row],[(A/S)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Row],[AJD_Evaporation]])</f>
        <v>0</v>
      </c>
      <c r="AE242" s="41"/>
      <c r="AF242" s="43"/>
      <c r="AG242" s="43"/>
      <c r="AH242" s="6"/>
      <c r="AI242" s="43"/>
      <c r="AJ242" s="43">
        <f>TABL1234[[#This Row],[(A/B) AJD]]-TABL1234[[#This Row],[BER_IN]]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Row],[(A/S) AJD]]-TABL1234[[#This Row],[SER_IN]]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 (T/B) SAR]]+TABL1234[[#This Row],[ (S/S) SAR]]</f>
        <v>0</v>
      </c>
      <c r="L243" s="45"/>
      <c r="M243" s="46"/>
      <c r="N243" s="46"/>
      <c r="O243" s="40"/>
      <c r="P243" s="3">
        <f>TABL1234[[#This Row],[ (S/S) SAR]]-TABL1234[[#This Row],[(S/S) AJD]]</f>
        <v>0</v>
      </c>
      <c r="Q243" s="40"/>
      <c r="R243" s="3">
        <f>TABL1234[[#This Row],[ (T/B) SAR]]-TABL1234[[#This Row],[(T/B) AJD]]</f>
        <v>0</v>
      </c>
      <c r="S243" s="3">
        <f>TABL1234[[#This Row],[T/B-CON.]]+TABL1234[[#This Row],[S/S_CON.]]</f>
        <v>0</v>
      </c>
      <c r="T243" s="3">
        <f>TABL1234[[#This Row],[(S/S) AJD]]+TABL1234[[#This Row],[(T/B) AJD]]</f>
        <v>0</v>
      </c>
      <c r="U243" s="44"/>
      <c r="V243" s="44"/>
      <c r="W243" s="3">
        <f>TABL1234[[#This Row],[(A/B) AJD]]+TABL1234[[#This Row],[(A/S)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Row],[AJD_Evaporation]])</f>
        <v>0</v>
      </c>
      <c r="AE243" s="44"/>
      <c r="AF243" s="45"/>
      <c r="AG243" s="45"/>
      <c r="AH243" s="6"/>
      <c r="AI243" s="45"/>
      <c r="AJ243" s="90">
        <f>TABL1234[[#This Row],[(A/B) AJD]]-TABL1234[[#This Row],[BER_IN]]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Row],[(A/S) AJD]]-TABL1234[[#This Row],[SER_IN]]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 (T/B) SAR]]+TABL1234[[#This Row],[ (S/S) SAR]]</f>
        <v>0</v>
      </c>
      <c r="L244" s="41"/>
      <c r="M244" s="42"/>
      <c r="N244" s="42"/>
      <c r="O244" s="39"/>
      <c r="P244" s="3">
        <f>TABL1234[[#This Row],[ (S/S) SAR]]-TABL1234[[#This Row],[(S/S) AJD]]</f>
        <v>0</v>
      </c>
      <c r="Q244" s="39"/>
      <c r="R244" s="3">
        <f>TABL1234[[#This Row],[ (T/B) SAR]]-TABL1234[[#This Row],[(T/B) AJD]]</f>
        <v>0</v>
      </c>
      <c r="S244" s="3">
        <f>TABL1234[[#This Row],[T/B-CON.]]+TABL1234[[#This Row],[S/S_CON.]]</f>
        <v>0</v>
      </c>
      <c r="T244" s="3">
        <f>TABL1234[[#This Row],[(S/S) AJD]]+TABL1234[[#This Row],[(T/B) AJD]]</f>
        <v>0</v>
      </c>
      <c r="U244" s="41"/>
      <c r="V244" s="41"/>
      <c r="W244" s="3">
        <f>TABL1234[[#This Row],[(A/B) AJD]]+TABL1234[[#This Row],[(A/S)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Row],[AJD_Evaporation]])</f>
        <v>0</v>
      </c>
      <c r="AE244" s="41"/>
      <c r="AF244" s="43"/>
      <c r="AG244" s="43"/>
      <c r="AH244" s="6"/>
      <c r="AI244" s="43"/>
      <c r="AJ244" s="43">
        <f>TABL1234[[#This Row],[(A/B) AJD]]-TABL1234[[#This Row],[BER_IN]]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Row],[(A/S) AJD]]-TABL1234[[#This Row],[SER_IN]]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 (T/B) SAR]]+TABL1234[[#This Row],[ (S/S) SAR]]</f>
        <v>0</v>
      </c>
      <c r="L245" s="41"/>
      <c r="M245" s="42"/>
      <c r="N245" s="42"/>
      <c r="O245" s="39"/>
      <c r="P245" s="14">
        <f>TABL1234[[#This Row],[ (S/S) SAR]]-TABL1234[[#This Row],[(S/S) AJD]]</f>
        <v>0</v>
      </c>
      <c r="Q245" s="39"/>
      <c r="R245" s="14">
        <f>TABL1234[[#This Row],[ (T/B) SAR]]-TABL1234[[#This Row],[(T/B) AJD]]</f>
        <v>0</v>
      </c>
      <c r="S245" s="14">
        <f>TABL1234[[#This Row],[T/B-CON.]]+TABL1234[[#This Row],[S/S_CON.]]</f>
        <v>0</v>
      </c>
      <c r="T245" s="9">
        <f>TABL1234[[#This Row],[(S/S) AJD]]+TABL1234[[#This Row],[(T/B) AJD]]</f>
        <v>0</v>
      </c>
      <c r="U245" s="41"/>
      <c r="V245" s="41"/>
      <c r="W245" s="9">
        <f>TABL1234[[#This Row],[(A/B) AJD]]+TABL1234[[#This Row],[(A/S)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Row],[AJD_Evaporation]])</f>
        <v>0</v>
      </c>
      <c r="AE245" s="41"/>
      <c r="AF245" s="43"/>
      <c r="AG245" s="43"/>
      <c r="AH245" s="6"/>
      <c r="AI245" s="43"/>
      <c r="AJ245" s="43">
        <f>TABL1234[[#This Row],[(A/B) AJD]]-TABL1234[[#This Row],[BER_IN]]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Row],[(A/S) AJD]]-TABL1234[[#This Row],[SER_IN]]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 (T/B) SAR]]+TABL1234[[#This Row],[ (S/S) SAR]]</f>
        <v>0</v>
      </c>
      <c r="L246" s="45"/>
      <c r="M246" s="46"/>
      <c r="N246" s="46"/>
      <c r="O246" s="40"/>
      <c r="P246" s="14">
        <f>TABL1234[[#This Row],[ (S/S) SAR]]-TABL1234[[#This Row],[(S/S) AJD]]</f>
        <v>0</v>
      </c>
      <c r="Q246" s="40"/>
      <c r="R246" s="14">
        <f>TABL1234[[#This Row],[ (T/B) SAR]]-TABL1234[[#This Row],[(T/B) AJD]]</f>
        <v>0</v>
      </c>
      <c r="S246" s="14">
        <f>TABL1234[[#This Row],[T/B-CON.]]+TABL1234[[#This Row],[S/S_CON.]]</f>
        <v>0</v>
      </c>
      <c r="T246" s="9">
        <f>TABL1234[[#This Row],[(S/S) AJD]]+TABL1234[[#This Row],[(T/B) AJD]]</f>
        <v>0</v>
      </c>
      <c r="U246" s="44"/>
      <c r="V246" s="44"/>
      <c r="W246" s="9">
        <f>TABL1234[[#This Row],[(A/B) AJD]]+TABL1234[[#This Row],[(A/S)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Row],[AJD_Evaporation]])</f>
        <v>0</v>
      </c>
      <c r="AE246" s="44"/>
      <c r="AF246" s="45"/>
      <c r="AG246" s="45"/>
      <c r="AH246" s="6"/>
      <c r="AI246" s="45"/>
      <c r="AJ246" s="45">
        <f>TABL1234[[#This Row],[(A/B) AJD]]-TABL1234[[#This Row],[BER_IN]]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Row],[(A/S) AJD]]-TABL1234[[#This Row],[SER_IN]]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 (T/B) SAR]]+TABL1234[[#This Row],[ (S/S) SAR]]</f>
        <v>0</v>
      </c>
      <c r="L247" s="41"/>
      <c r="M247" s="42"/>
      <c r="N247" s="42"/>
      <c r="O247" s="39"/>
      <c r="P247" s="14">
        <f>TABL1234[[#This Row],[ (S/S) SAR]]-TABL1234[[#This Row],[(S/S) AJD]]</f>
        <v>0</v>
      </c>
      <c r="Q247" s="39"/>
      <c r="R247" s="14">
        <f>TABL1234[[#This Row],[ (T/B) SAR]]-TABL1234[[#This Row],[(T/B) AJD]]</f>
        <v>0</v>
      </c>
      <c r="S247" s="14">
        <f>TABL1234[[#This Row],[T/B-CON.]]+TABL1234[[#This Row],[S/S_CON.]]</f>
        <v>0</v>
      </c>
      <c r="T247" s="9">
        <f>TABL1234[[#This Row],[(S/S) AJD]]+TABL1234[[#This Row],[(T/B) AJD]]</f>
        <v>0</v>
      </c>
      <c r="U247" s="41"/>
      <c r="V247" s="41"/>
      <c r="W247" s="9">
        <f>TABL1234[[#This Row],[(A/B) AJD]]+TABL1234[[#This Row],[(A/S)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Row],[AJD_Evaporation]])</f>
        <v>0</v>
      </c>
      <c r="AE247" s="41"/>
      <c r="AF247" s="43"/>
      <c r="AG247" s="43"/>
      <c r="AH247" s="6"/>
      <c r="AI247" s="43"/>
      <c r="AJ247" s="43">
        <f>TABL1234[[#This Row],[(A/B) AJD]]-TABL1234[[#This Row],[BER_IN]]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Row],[(A/S) AJD]]-TABL1234[[#This Row],[SER_IN]]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 (T/B) SAR]]+TABL1234[[#This Row],[ (S/S) SAR]]</f>
        <v>0</v>
      </c>
      <c r="L248" s="45"/>
      <c r="M248" s="46"/>
      <c r="N248" s="46"/>
      <c r="O248" s="40"/>
      <c r="P248" s="14">
        <f>TABL1234[[#This Row],[ (S/S) SAR]]-TABL1234[[#This Row],[(S/S) AJD]]</f>
        <v>0</v>
      </c>
      <c r="Q248" s="40"/>
      <c r="R248" s="14">
        <f>TABL1234[[#This Row],[ (T/B) SAR]]-TABL1234[[#This Row],[(T/B) AJD]]</f>
        <v>0</v>
      </c>
      <c r="S248" s="14">
        <f>TABL1234[[#This Row],[T/B-CON.]]+TABL1234[[#This Row],[S/S_CON.]]</f>
        <v>0</v>
      </c>
      <c r="T248" s="9">
        <f>TABL1234[[#This Row],[(S/S) AJD]]+TABL1234[[#This Row],[(T/B) AJD]]</f>
        <v>0</v>
      </c>
      <c r="U248" s="44"/>
      <c r="V248" s="44"/>
      <c r="W248" s="9">
        <f>TABL1234[[#This Row],[(A/B) AJD]]+TABL1234[[#This Row],[(A/S)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Row],[AJD_Evaporation]])</f>
        <v>0</v>
      </c>
      <c r="AE248" s="44"/>
      <c r="AF248" s="45"/>
      <c r="AG248" s="45"/>
      <c r="AH248" s="6"/>
      <c r="AI248" s="45"/>
      <c r="AJ248" s="45">
        <f>TABL1234[[#This Row],[(A/B) AJD]]-TABL1234[[#This Row],[BER_IN]]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Row],[(A/S) AJD]]-TABL1234[[#This Row],[SER_IN]]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 (T/B) SAR]]+TABL1234[[#This Row],[ (S/S) SAR]]</f>
        <v>0</v>
      </c>
      <c r="L249" s="41"/>
      <c r="M249" s="42"/>
      <c r="N249" s="42"/>
      <c r="O249" s="39"/>
      <c r="P249" s="14">
        <f>TABL1234[[#This Row],[ (S/S) SAR]]-TABL1234[[#This Row],[(S/S) AJD]]</f>
        <v>0</v>
      </c>
      <c r="Q249" s="39"/>
      <c r="R249" s="14">
        <f>TABL1234[[#This Row],[ (T/B) SAR]]-TABL1234[[#This Row],[(T/B) AJD]]</f>
        <v>0</v>
      </c>
      <c r="S249" s="14">
        <f>TABL1234[[#This Row],[T/B-CON.]]+TABL1234[[#This Row],[S/S_CON.]]</f>
        <v>0</v>
      </c>
      <c r="T249" s="9">
        <f>TABL1234[[#This Row],[(S/S) AJD]]+TABL1234[[#This Row],[(T/B) AJD]]</f>
        <v>0</v>
      </c>
      <c r="U249" s="41"/>
      <c r="V249" s="41"/>
      <c r="W249" s="9">
        <f>TABL1234[[#This Row],[(A/B) AJD]]+TABL1234[[#This Row],[(A/S)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Row],[AJD_Evaporation]])</f>
        <v>0</v>
      </c>
      <c r="AE249" s="41"/>
      <c r="AF249" s="43"/>
      <c r="AG249" s="43"/>
      <c r="AH249" s="6"/>
      <c r="AI249" s="43"/>
      <c r="AJ249" s="43">
        <f>TABL1234[[#This Row],[(A/B) AJD]]-TABL1234[[#This Row],[BER_IN]]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Row],[(A/S) AJD]]-TABL1234[[#This Row],[SER_IN]]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 (T/B) SAR]]+TABL1234[[#This Row],[ (S/S) SAR]]</f>
        <v>0</v>
      </c>
      <c r="L250" s="45"/>
      <c r="M250" s="46"/>
      <c r="N250" s="46"/>
      <c r="O250" s="40"/>
      <c r="P250" s="9">
        <f>TABL1234[[#This Row],[ (S/S) SAR]]-TABL1234[[#This Row],[(S/S) AJD]]</f>
        <v>0</v>
      </c>
      <c r="Q250" s="40"/>
      <c r="R250" s="9">
        <f>TABL1234[[#This Row],[ (T/B) SAR]]-TABL1234[[#This Row],[(T/B) AJD]]</f>
        <v>0</v>
      </c>
      <c r="S250" s="9">
        <f>TABL1234[[#This Row],[T/B-CON.]]+TABL1234[[#This Row],[S/S_CON.]]</f>
        <v>0</v>
      </c>
      <c r="T250" s="9">
        <f>TABL1234[[#This Row],[(S/S) AJD]]+TABL1234[[#This Row],[(T/B) AJD]]</f>
        <v>0</v>
      </c>
      <c r="U250" s="44"/>
      <c r="V250" s="44"/>
      <c r="W250" s="9">
        <f>TABL1234[[#This Row],[(A/B) AJD]]+TABL1234[[#This Row],[(A/S)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Row],[AJD_Evaporation]])</f>
        <v>0</v>
      </c>
      <c r="AE250" s="44"/>
      <c r="AF250" s="45"/>
      <c r="AG250" s="45"/>
      <c r="AH250" s="6"/>
      <c r="AI250" s="45"/>
      <c r="AJ250" s="45">
        <f>TABL1234[[#This Row],[(A/B) AJD]]-TABL1234[[#This Row],[BER_IN]]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Row],[(A/S) AJD]]-TABL1234[[#This Row],[SER_IN]]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 (T/B) SAR]]+TABL1234[[#This Row],[ (S/S) SAR]]</f>
        <v>0</v>
      </c>
      <c r="L251" s="41"/>
      <c r="M251" s="42"/>
      <c r="N251" s="42"/>
      <c r="O251" s="39"/>
      <c r="P251" s="9">
        <f>TABL1234[[#This Row],[ (S/S) SAR]]-TABL1234[[#This Row],[(S/S) AJD]]</f>
        <v>0</v>
      </c>
      <c r="Q251" s="39"/>
      <c r="R251" s="9">
        <f>TABL1234[[#This Row],[ (T/B) SAR]]-TABL1234[[#This Row],[(T/B) AJD]]</f>
        <v>0</v>
      </c>
      <c r="S251" s="9">
        <f>TABL1234[[#This Row],[T/B-CON.]]+TABL1234[[#This Row],[S/S_CON.]]</f>
        <v>0</v>
      </c>
      <c r="T251" s="9">
        <f>TABL1234[[#This Row],[(S/S) AJD]]+TABL1234[[#This Row],[(T/B) AJD]]</f>
        <v>0</v>
      </c>
      <c r="U251" s="41"/>
      <c r="V251" s="41"/>
      <c r="W251" s="9">
        <f>TABL1234[[#This Row],[(A/B) AJD]]+TABL1234[[#This Row],[(A/S)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Row],[AJD_Evaporation]])</f>
        <v>0</v>
      </c>
      <c r="AE251" s="41"/>
      <c r="AF251" s="43"/>
      <c r="AG251" s="43"/>
      <c r="AH251" s="6"/>
      <c r="AI251" s="43"/>
      <c r="AJ251" s="43">
        <f>TABL1234[[#This Row],[(A/B) AJD]]-TABL1234[[#This Row],[BER_IN]]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Row],[(A/S) AJD]]-TABL1234[[#This Row],[SER_IN]]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 (T/B) SAR]]+TABL1234[[#This Row],[ (S/S) SAR]]</f>
        <v>0</v>
      </c>
      <c r="L252" s="45"/>
      <c r="M252" s="46"/>
      <c r="N252" s="46"/>
      <c r="O252" s="40"/>
      <c r="P252" s="9">
        <f>TABL1234[[#This Row],[ (S/S) SAR]]-TABL1234[[#This Row],[(S/S) AJD]]</f>
        <v>0</v>
      </c>
      <c r="Q252" s="40"/>
      <c r="R252" s="9">
        <f>TABL1234[[#This Row],[ (T/B) SAR]]-TABL1234[[#This Row],[(T/B) AJD]]</f>
        <v>0</v>
      </c>
      <c r="S252" s="9">
        <f>TABL1234[[#This Row],[T/B-CON.]]+TABL1234[[#This Row],[S/S_CON.]]</f>
        <v>0</v>
      </c>
      <c r="T252" s="9">
        <f>TABL1234[[#This Row],[(S/S) AJD]]+TABL1234[[#This Row],[(T/B) AJD]]</f>
        <v>0</v>
      </c>
      <c r="U252" s="44"/>
      <c r="V252" s="44"/>
      <c r="W252" s="9">
        <f>TABL1234[[#This Row],[(A/B) AJD]]+TABL1234[[#This Row],[(A/S)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Row],[AJD_Evaporation]])</f>
        <v>0</v>
      </c>
      <c r="AE252" s="44"/>
      <c r="AF252" s="45"/>
      <c r="AG252" s="45"/>
      <c r="AH252" s="6"/>
      <c r="AI252" s="45"/>
      <c r="AJ252" s="45">
        <f>TABL1234[[#This Row],[(A/B) AJD]]-TABL1234[[#This Row],[BER_IN]]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Row],[(A/S) AJD]]-TABL1234[[#This Row],[SER_IN]]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 (T/B) SAR]]+TABL1234[[#This Row],[ (S/S) SAR]]</f>
        <v>0</v>
      </c>
      <c r="L253" s="41"/>
      <c r="M253" s="42"/>
      <c r="N253" s="42"/>
      <c r="O253" s="39"/>
      <c r="P253" s="9">
        <f>TABL1234[[#This Row],[ (S/S) SAR]]-TABL1234[[#This Row],[(S/S) AJD]]</f>
        <v>0</v>
      </c>
      <c r="Q253" s="39"/>
      <c r="R253" s="9">
        <f>TABL1234[[#This Row],[ (T/B) SAR]]-TABL1234[[#This Row],[(T/B) AJD]]</f>
        <v>0</v>
      </c>
      <c r="S253" s="9">
        <f>TABL1234[[#This Row],[T/B-CON.]]+TABL1234[[#This Row],[S/S_CON.]]</f>
        <v>0</v>
      </c>
      <c r="T253" s="9">
        <f>TABL1234[[#This Row],[(S/S) AJD]]+TABL1234[[#This Row],[(T/B) AJD]]</f>
        <v>0</v>
      </c>
      <c r="U253" s="41"/>
      <c r="V253" s="41"/>
      <c r="W253" s="9">
        <f>TABL1234[[#This Row],[(A/B) AJD]]+TABL1234[[#This Row],[(A/S)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Row],[AJD_Evaporation]])</f>
        <v>0</v>
      </c>
      <c r="AE253" s="41"/>
      <c r="AF253" s="43"/>
      <c r="AG253" s="43"/>
      <c r="AH253" s="6"/>
      <c r="AI253" s="43"/>
      <c r="AJ253" s="43">
        <f>TABL1234[[#This Row],[(A/B) AJD]]-TABL1234[[#This Row],[BER_IN]]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Row],[(A/S) AJD]]-TABL1234[[#This Row],[SER_IN]]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 (T/B) SAR]]+TABL1234[[#This Row],[ (S/S) SAR]]</f>
        <v>0</v>
      </c>
      <c r="L254" s="45"/>
      <c r="M254" s="46"/>
      <c r="N254" s="46"/>
      <c r="O254" s="40"/>
      <c r="P254" s="9">
        <f>TABL1234[[#This Row],[ (S/S) SAR]]-TABL1234[[#This Row],[(S/S) AJD]]</f>
        <v>0</v>
      </c>
      <c r="Q254" s="40"/>
      <c r="R254" s="9">
        <f>TABL1234[[#This Row],[ (T/B) SAR]]-TABL1234[[#This Row],[(T/B) AJD]]</f>
        <v>0</v>
      </c>
      <c r="S254" s="9">
        <f>TABL1234[[#This Row],[T/B-CON.]]+TABL1234[[#This Row],[S/S_CON.]]</f>
        <v>0</v>
      </c>
      <c r="T254" s="9">
        <f>TABL1234[[#This Row],[(S/S) AJD]]+TABL1234[[#This Row],[(T/B) AJD]]</f>
        <v>0</v>
      </c>
      <c r="U254" s="44"/>
      <c r="V254" s="44"/>
      <c r="W254" s="9">
        <f>TABL1234[[#This Row],[(A/B) AJD]]+TABL1234[[#This Row],[(A/S)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Row],[AJD_Evaporation]])</f>
        <v>0</v>
      </c>
      <c r="AE254" s="44"/>
      <c r="AF254" s="45"/>
      <c r="AG254" s="45"/>
      <c r="AH254" s="6"/>
      <c r="AI254" s="45"/>
      <c r="AJ254" s="45">
        <f>TABL1234[[#This Row],[(A/B) AJD]]-TABL1234[[#This Row],[BER_IN]]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Row],[(A/S) AJD]]-TABL1234[[#This Row],[SER_IN]]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 (T/B) SAR]]+TABL1234[[#This Row],[ (S/S) SAR]]</f>
        <v>0</v>
      </c>
      <c r="L255" s="41"/>
      <c r="M255" s="42"/>
      <c r="N255" s="42"/>
      <c r="O255" s="39"/>
      <c r="P255" s="9">
        <f>TABL1234[[#This Row],[ (S/S) SAR]]-TABL1234[[#This Row],[(S/S) AJD]]</f>
        <v>0</v>
      </c>
      <c r="Q255" s="39"/>
      <c r="R255" s="9">
        <f>TABL1234[[#This Row],[ (T/B) SAR]]-TABL1234[[#This Row],[(T/B) AJD]]</f>
        <v>0</v>
      </c>
      <c r="S255" s="9">
        <f>TABL1234[[#This Row],[T/B-CON.]]+TABL1234[[#This Row],[S/S_CON.]]</f>
        <v>0</v>
      </c>
      <c r="T255" s="9">
        <f>TABL1234[[#This Row],[(S/S) AJD]]+TABL1234[[#This Row],[(T/B) AJD]]</f>
        <v>0</v>
      </c>
      <c r="U255" s="41"/>
      <c r="V255" s="41"/>
      <c r="W255" s="9">
        <f>TABL1234[[#This Row],[(A/B) AJD]]+TABL1234[[#This Row],[(A/S)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Row],[AJD_Evaporation]])</f>
        <v>0</v>
      </c>
      <c r="AE255" s="41"/>
      <c r="AF255" s="43"/>
      <c r="AG255" s="43"/>
      <c r="AH255" s="6"/>
      <c r="AI255" s="43"/>
      <c r="AJ255" s="43">
        <f>TABL1234[[#This Row],[(A/B) AJD]]-TABL1234[[#This Row],[BER_IN]]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Row],[(A/S) AJD]]-TABL1234[[#This Row],[SER_IN]]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 (T/B) SAR]]+TABL1234[[#This Row],[ (S/S) SAR]]</f>
        <v>0</v>
      </c>
      <c r="L256" s="45"/>
      <c r="M256" s="46"/>
      <c r="N256" s="46"/>
      <c r="O256" s="40"/>
      <c r="P256" s="9">
        <f>TABL1234[[#This Row],[ (S/S) SAR]]-TABL1234[[#This Row],[(S/S) AJD]]</f>
        <v>0</v>
      </c>
      <c r="Q256" s="40"/>
      <c r="R256" s="9">
        <f>TABL1234[[#This Row],[ (T/B) SAR]]-TABL1234[[#This Row],[(T/B) AJD]]</f>
        <v>0</v>
      </c>
      <c r="S256" s="9">
        <f>TABL1234[[#This Row],[T/B-CON.]]+TABL1234[[#This Row],[S/S_CON.]]</f>
        <v>0</v>
      </c>
      <c r="T256" s="9">
        <f>TABL1234[[#This Row],[(S/S) AJD]]+TABL1234[[#This Row],[(T/B) AJD]]</f>
        <v>0</v>
      </c>
      <c r="U256" s="44"/>
      <c r="V256" s="44"/>
      <c r="W256" s="9">
        <f>TABL1234[[#This Row],[(A/B) AJD]]+TABL1234[[#This Row],[(A/S)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Row],[AJD_Evaporation]])</f>
        <v>0</v>
      </c>
      <c r="AE256" s="44"/>
      <c r="AF256" s="45"/>
      <c r="AG256" s="45"/>
      <c r="AH256" s="6"/>
      <c r="AI256" s="45"/>
      <c r="AJ256" s="45">
        <f>TABL1234[[#This Row],[(A/B) AJD]]-TABL1234[[#This Row],[BER_IN]]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Row],[(A/S) AJD]]-TABL1234[[#This Row],[SER_IN]]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 (T/B) SAR]]+TABL1234[[#This Row],[ (S/S) SAR]]</f>
        <v>0</v>
      </c>
      <c r="L257" s="41"/>
      <c r="M257" s="42"/>
      <c r="N257" s="42"/>
      <c r="O257" s="39"/>
      <c r="P257" s="9">
        <f>TABL1234[[#This Row],[ (S/S) SAR]]-TABL1234[[#This Row],[(S/S) AJD]]</f>
        <v>0</v>
      </c>
      <c r="Q257" s="39"/>
      <c r="R257" s="9">
        <f>TABL1234[[#This Row],[ (T/B) SAR]]-TABL1234[[#This Row],[(T/B) AJD]]</f>
        <v>0</v>
      </c>
      <c r="S257" s="9">
        <f>TABL1234[[#This Row],[T/B-CON.]]+TABL1234[[#This Row],[S/S_CON.]]</f>
        <v>0</v>
      </c>
      <c r="T257" s="9">
        <f>TABL1234[[#This Row],[(S/S) AJD]]+TABL1234[[#This Row],[(T/B) AJD]]</f>
        <v>0</v>
      </c>
      <c r="U257" s="41"/>
      <c r="V257" s="41"/>
      <c r="W257" s="9">
        <f>TABL1234[[#This Row],[(A/B) AJD]]+TABL1234[[#This Row],[(A/S)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Row],[AJD_Evaporation]])</f>
        <v>0</v>
      </c>
      <c r="AE257" s="41"/>
      <c r="AF257" s="43"/>
      <c r="AG257" s="43"/>
      <c r="AH257" s="6"/>
      <c r="AI257" s="43"/>
      <c r="AJ257" s="43">
        <f>TABL1234[[#This Row],[(A/B) AJD]]-TABL1234[[#This Row],[BER_IN]]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Row],[(A/S) AJD]]-TABL1234[[#This Row],[SER_IN]]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 (T/B) SAR]]+TABL1234[[#This Row],[ (S/S) SAR]]</f>
        <v>0</v>
      </c>
      <c r="L258" s="45"/>
      <c r="M258" s="46"/>
      <c r="N258" s="46"/>
      <c r="O258" s="40"/>
      <c r="P258" s="9">
        <f>TABL1234[[#This Row],[ (S/S) SAR]]-TABL1234[[#This Row],[(S/S) AJD]]</f>
        <v>0</v>
      </c>
      <c r="Q258" s="40"/>
      <c r="R258" s="9">
        <f>TABL1234[[#This Row],[ (T/B) SAR]]-TABL1234[[#This Row],[(T/B) AJD]]</f>
        <v>0</v>
      </c>
      <c r="S258" s="9">
        <f>TABL1234[[#This Row],[T/B-CON.]]+TABL1234[[#This Row],[S/S_CON.]]</f>
        <v>0</v>
      </c>
      <c r="T258" s="9">
        <f>TABL1234[[#This Row],[(S/S) AJD]]+TABL1234[[#This Row],[(T/B) AJD]]</f>
        <v>0</v>
      </c>
      <c r="U258" s="44"/>
      <c r="V258" s="44"/>
      <c r="W258" s="9">
        <f>TABL1234[[#This Row],[(A/B) AJD]]+TABL1234[[#This Row],[(A/S)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Row],[AJD_Evaporation]])</f>
        <v>0</v>
      </c>
      <c r="AE258" s="44"/>
      <c r="AF258" s="45"/>
      <c r="AG258" s="45"/>
      <c r="AH258" s="6"/>
      <c r="AI258" s="45"/>
      <c r="AJ258" s="45">
        <f>TABL1234[[#This Row],[(A/B) AJD]]-TABL1234[[#This Row],[BER_IN]]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Row],[(A/S) AJD]]-TABL1234[[#This Row],[SER_IN]]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 (T/B) SAR]]+TABL1234[[#This Row],[ (S/S) SAR]]</f>
        <v>0</v>
      </c>
      <c r="L259" s="41"/>
      <c r="M259" s="42"/>
      <c r="N259" s="42"/>
      <c r="O259" s="39"/>
      <c r="P259" s="9">
        <f>TABL1234[[#This Row],[ (S/S) SAR]]-TABL1234[[#This Row],[(S/S) AJD]]</f>
        <v>0</v>
      </c>
      <c r="Q259" s="39"/>
      <c r="R259" s="9">
        <f>TABL1234[[#This Row],[ (T/B) SAR]]-TABL1234[[#This Row],[(T/B) AJD]]</f>
        <v>0</v>
      </c>
      <c r="S259" s="9">
        <f>TABL1234[[#This Row],[T/B-CON.]]+TABL1234[[#This Row],[S/S_CON.]]</f>
        <v>0</v>
      </c>
      <c r="T259" s="9">
        <f>TABL1234[[#This Row],[(S/S) AJD]]+TABL1234[[#This Row],[(T/B) AJD]]</f>
        <v>0</v>
      </c>
      <c r="U259" s="41"/>
      <c r="V259" s="41"/>
      <c r="W259" s="9">
        <f>TABL1234[[#This Row],[(A/B) AJD]]+TABL1234[[#This Row],[(A/S)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Row],[AJD_Evaporation]])</f>
        <v>0</v>
      </c>
      <c r="AE259" s="41"/>
      <c r="AF259" s="43"/>
      <c r="AG259" s="43"/>
      <c r="AH259" s="6"/>
      <c r="AI259" s="43"/>
      <c r="AJ259" s="43">
        <f>TABL1234[[#This Row],[(A/B) AJD]]-TABL1234[[#This Row],[BER_IN]]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Row],[(A/S) AJD]]-TABL1234[[#This Row],[SER_IN]]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 (T/B) SAR]]+TABL1234[[#This Row],[ (S/S) SAR]]</f>
        <v>0</v>
      </c>
      <c r="L260" s="45"/>
      <c r="M260" s="46"/>
      <c r="N260" s="46"/>
      <c r="O260" s="40"/>
      <c r="P260" s="9">
        <f>TABL1234[[#This Row],[ (S/S) SAR]]-TABL1234[[#This Row],[(S/S) AJD]]</f>
        <v>0</v>
      </c>
      <c r="Q260" s="40"/>
      <c r="R260" s="9">
        <f>TABL1234[[#This Row],[ (T/B) SAR]]-TABL1234[[#This Row],[(T/B) AJD]]</f>
        <v>0</v>
      </c>
      <c r="S260" s="9">
        <f>TABL1234[[#This Row],[T/B-CON.]]+TABL1234[[#This Row],[S/S_CON.]]</f>
        <v>0</v>
      </c>
      <c r="T260" s="9">
        <f>TABL1234[[#This Row],[(S/S) AJD]]+TABL1234[[#This Row],[(T/B) AJD]]</f>
        <v>0</v>
      </c>
      <c r="U260" s="44"/>
      <c r="V260" s="44"/>
      <c r="W260" s="9">
        <f>TABL1234[[#This Row],[(A/B) AJD]]+TABL1234[[#This Row],[(A/S)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IF(TRIM(Z260)="",,(Z260-Z259)/1000)</f>
        <v>0</v>
      </c>
      <c r="AC260" s="5"/>
      <c r="AD260" s="40">
        <f>TABL1234[[#This Row],[( S/S+T/B) AJD]]-(TABL1234[[#This Row],[(A/B + A/S) AJD]]+(TABL1234[[#This Row],[(STORGE DIFF.) AJD]]*1000)+TABL1234[[#This Row],[AJD_Evaporation]])</f>
        <v>0</v>
      </c>
      <c r="AE260" s="44"/>
      <c r="AF260" s="45"/>
      <c r="AG260" s="45"/>
      <c r="AH260" s="6"/>
      <c r="AI260" s="45"/>
      <c r="AJ260" s="45">
        <f>TABL1234[[#This Row],[(A/B) AJD]]-TABL1234[[#This Row],[BER_IN]]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Row],[(A/S) AJD]]-TABL1234[[#This Row],[SER_IN]]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 (T/B) SAR]]+TABL1234[[#This Row],[ (S/S) SAR]]</f>
        <v>0</v>
      </c>
      <c r="L261" s="41"/>
      <c r="M261" s="42"/>
      <c r="N261" s="42"/>
      <c r="O261" s="39"/>
      <c r="P261" s="9">
        <f>TABL1234[[#This Row],[ (S/S) SAR]]-TABL1234[[#This Row],[(S/S) AJD]]</f>
        <v>0</v>
      </c>
      <c r="Q261" s="39"/>
      <c r="R261" s="9">
        <f>TABL1234[[#This Row],[ (T/B) SAR]]-TABL1234[[#This Row],[(T/B) AJD]]</f>
        <v>0</v>
      </c>
      <c r="S261" s="9">
        <f>TABL1234[[#This Row],[T/B-CON.]]+TABL1234[[#This Row],[S/S_CON.]]</f>
        <v>0</v>
      </c>
      <c r="T261" s="9">
        <f>TABL1234[[#This Row],[(S/S) AJD]]+TABL1234[[#This Row],[(T/B) AJD]]</f>
        <v>0</v>
      </c>
      <c r="U261" s="41"/>
      <c r="V261" s="41"/>
      <c r="W261" s="9">
        <f>TABL1234[[#This Row],[(A/B) AJD]]+TABL1234[[#This Row],[(A/S)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Row],[AJD_Evaporation]])</f>
        <v>0</v>
      </c>
      <c r="AE261" s="41"/>
      <c r="AF261" s="43"/>
      <c r="AG261" s="43"/>
      <c r="AH261" s="6"/>
      <c r="AI261" s="43"/>
      <c r="AJ261" s="43">
        <f>TABL1234[[#This Row],[(A/B) AJD]]-TABL1234[[#This Row],[BER_IN]]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Row],[(A/S) AJD]]-TABL1234[[#This Row],[SER_IN]]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 (T/B) SAR]]+TABL1234[[#This Row],[ (S/S) SAR]]</f>
        <v>0</v>
      </c>
      <c r="L262" s="45"/>
      <c r="M262" s="46"/>
      <c r="N262" s="46"/>
      <c r="O262" s="40"/>
      <c r="P262" s="9">
        <f>TABL1234[[#This Row],[ (S/S) SAR]]-TABL1234[[#This Row],[(S/S) AJD]]</f>
        <v>0</v>
      </c>
      <c r="Q262" s="40"/>
      <c r="R262" s="9">
        <f>TABL1234[[#This Row],[ (T/B) SAR]]-TABL1234[[#This Row],[(T/B) AJD]]</f>
        <v>0</v>
      </c>
      <c r="S262" s="9">
        <f>TABL1234[[#This Row],[T/B-CON.]]+TABL1234[[#This Row],[S/S_CON.]]</f>
        <v>0</v>
      </c>
      <c r="T262" s="9">
        <f>TABL1234[[#This Row],[(S/S) AJD]]+TABL1234[[#This Row],[(T/B) AJD]]</f>
        <v>0</v>
      </c>
      <c r="U262" s="44"/>
      <c r="V262" s="44"/>
      <c r="W262" s="9">
        <f>TABL1234[[#This Row],[(A/B) AJD]]+TABL1234[[#This Row],[(A/S)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Row],[AJD_Evaporation]])</f>
        <v>0</v>
      </c>
      <c r="AE262" s="44"/>
      <c r="AF262" s="45"/>
      <c r="AG262" s="45"/>
      <c r="AH262" s="6"/>
      <c r="AI262" s="45"/>
      <c r="AJ262" s="45">
        <f>TABL1234[[#This Row],[(A/B) AJD]]-TABL1234[[#This Row],[BER_IN]]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Row],[(A/S) AJD]]-TABL1234[[#This Row],[SER_IN]]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 (T/B) SAR]]+TABL1234[[#This Row],[ (S/S) SAR]]</f>
        <v>0</v>
      </c>
      <c r="L263" s="41"/>
      <c r="M263" s="42"/>
      <c r="N263" s="42"/>
      <c r="O263" s="39"/>
      <c r="P263" s="9">
        <f>TABL1234[[#This Row],[ (S/S) SAR]]-TABL1234[[#This Row],[(S/S) AJD]]</f>
        <v>0</v>
      </c>
      <c r="Q263" s="39"/>
      <c r="R263" s="9">
        <f>TABL1234[[#This Row],[ (T/B) SAR]]-TABL1234[[#This Row],[(T/B) AJD]]</f>
        <v>0</v>
      </c>
      <c r="S263" s="9">
        <f>TABL1234[[#This Row],[T/B-CON.]]+TABL1234[[#This Row],[S/S_CON.]]</f>
        <v>0</v>
      </c>
      <c r="T263" s="9">
        <f>TABL1234[[#This Row],[(S/S) AJD]]+TABL1234[[#This Row],[(T/B) AJD]]</f>
        <v>0</v>
      </c>
      <c r="U263" s="41"/>
      <c r="V263" s="41"/>
      <c r="W263" s="9">
        <f>TABL1234[[#This Row],[(A/B) AJD]]+TABL1234[[#This Row],[(A/S)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Row],[AJD_Evaporation]])</f>
        <v>0</v>
      </c>
      <c r="AE263" s="41"/>
      <c r="AF263" s="43"/>
      <c r="AG263" s="43"/>
      <c r="AH263" s="6"/>
      <c r="AI263" s="43"/>
      <c r="AJ263" s="43">
        <f>TABL1234[[#This Row],[(A/B) AJD]]-TABL1234[[#This Row],[BER_IN]]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Row],[(A/S) AJD]]-TABL1234[[#This Row],[SER_IN]]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 (T/B) SAR]]+TABL1234[[#This Row],[ (S/S) SAR]]</f>
        <v>0</v>
      </c>
      <c r="L264" s="45"/>
      <c r="M264" s="46"/>
      <c r="N264" s="46"/>
      <c r="O264" s="40"/>
      <c r="P264" s="9">
        <f>TABL1234[[#This Row],[ (S/S) SAR]]-TABL1234[[#This Row],[(S/S) AJD]]</f>
        <v>0</v>
      </c>
      <c r="Q264" s="40"/>
      <c r="R264" s="9">
        <f>TABL1234[[#This Row],[ (T/B) SAR]]-TABL1234[[#This Row],[(T/B) AJD]]</f>
        <v>0</v>
      </c>
      <c r="S264" s="9">
        <f>TABL1234[[#This Row],[T/B-CON.]]+TABL1234[[#This Row],[S/S_CON.]]</f>
        <v>0</v>
      </c>
      <c r="T264" s="9">
        <f>TABL1234[[#This Row],[(S/S) AJD]]+TABL1234[[#This Row],[(T/B) AJD]]</f>
        <v>0</v>
      </c>
      <c r="U264" s="44"/>
      <c r="V264" s="44"/>
      <c r="W264" s="9">
        <f>TABL1234[[#This Row],[(A/B) AJD]]+TABL1234[[#This Row],[(A/S)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Row],[AJD_Evaporation]])</f>
        <v>0</v>
      </c>
      <c r="AE264" s="44"/>
      <c r="AF264" s="45"/>
      <c r="AG264" s="45"/>
      <c r="AH264" s="6"/>
      <c r="AI264" s="45"/>
      <c r="AJ264" s="45">
        <f>TABL1234[[#This Row],[(A/B) AJD]]-TABL1234[[#This Row],[BER_IN]]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Row],[(A/S) AJD]]-TABL1234[[#This Row],[SER_IN]]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 (T/B) SAR]]+TABL1234[[#This Row],[ (S/S) SAR]]</f>
        <v>0</v>
      </c>
      <c r="L265" s="41"/>
      <c r="M265" s="42"/>
      <c r="N265" s="42"/>
      <c r="O265" s="39"/>
      <c r="P265" s="9">
        <f>TABL1234[[#This Row],[ (S/S) SAR]]-TABL1234[[#This Row],[(S/S) AJD]]</f>
        <v>0</v>
      </c>
      <c r="Q265" s="39"/>
      <c r="R265" s="9">
        <f>TABL1234[[#This Row],[ (T/B) SAR]]-TABL1234[[#This Row],[(T/B) AJD]]</f>
        <v>0</v>
      </c>
      <c r="S265" s="9">
        <f>TABL1234[[#This Row],[T/B-CON.]]+TABL1234[[#This Row],[S/S_CON.]]</f>
        <v>0</v>
      </c>
      <c r="T265" s="9">
        <f>TABL1234[[#This Row],[(S/S) AJD]]+TABL1234[[#This Row],[(T/B) AJD]]</f>
        <v>0</v>
      </c>
      <c r="U265" s="41"/>
      <c r="V265" s="41"/>
      <c r="W265" s="9">
        <f>TABL1234[[#This Row],[(A/B) AJD]]+TABL1234[[#This Row],[(A/S)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Row],[AJD_Evaporation]])</f>
        <v>0</v>
      </c>
      <c r="AE265" s="41"/>
      <c r="AF265" s="43"/>
      <c r="AG265" s="43"/>
      <c r="AH265" s="6"/>
      <c r="AI265" s="43"/>
      <c r="AJ265" s="43">
        <f>TABL1234[[#This Row],[(A/B) AJD]]-TABL1234[[#This Row],[BER_IN]]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Row],[(A/S) AJD]]-TABL1234[[#This Row],[SER_IN]]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 (T/B) SAR]]+TABL1234[[#This Row],[ (S/S) SAR]]</f>
        <v>0</v>
      </c>
      <c r="L266" s="45"/>
      <c r="M266" s="46"/>
      <c r="N266" s="46"/>
      <c r="O266" s="40"/>
      <c r="P266" s="9">
        <f>TABL1234[[#This Row],[ (S/S) SAR]]-TABL1234[[#This Row],[(S/S) AJD]]</f>
        <v>0</v>
      </c>
      <c r="Q266" s="40"/>
      <c r="R266" s="9">
        <f>TABL1234[[#This Row],[ (T/B) SAR]]-TABL1234[[#This Row],[(T/B) AJD]]</f>
        <v>0</v>
      </c>
      <c r="S266" s="9">
        <f>TABL1234[[#This Row],[T/B-CON.]]+TABL1234[[#This Row],[S/S_CON.]]</f>
        <v>0</v>
      </c>
      <c r="T266" s="9">
        <f>TABL1234[[#This Row],[(S/S) AJD]]+TABL1234[[#This Row],[(T/B) AJD]]</f>
        <v>0</v>
      </c>
      <c r="U266" s="44"/>
      <c r="V266" s="44"/>
      <c r="W266" s="9">
        <f>TABL1234[[#This Row],[(A/B) AJD]]+TABL1234[[#This Row],[(A/S)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Row],[AJD_Evaporation]])</f>
        <v>0</v>
      </c>
      <c r="AE266" s="44"/>
      <c r="AF266" s="45"/>
      <c r="AG266" s="45"/>
      <c r="AH266" s="6"/>
      <c r="AI266" s="45"/>
      <c r="AJ266" s="45">
        <f>TABL1234[[#This Row],[(A/B) AJD]]-TABL1234[[#This Row],[BER_IN]]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Row],[(A/S) AJD]]-TABL1234[[#This Row],[SER_IN]]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 (T/B) SAR]]+TABL1234[[#This Row],[ (S/S) SAR]]</f>
        <v>0</v>
      </c>
      <c r="L267" s="41"/>
      <c r="M267" s="42"/>
      <c r="N267" s="42"/>
      <c r="O267" s="39"/>
      <c r="P267" s="9">
        <f>TABL1234[[#This Row],[ (S/S) SAR]]-TABL1234[[#This Row],[(S/S) AJD]]</f>
        <v>0</v>
      </c>
      <c r="Q267" s="39"/>
      <c r="R267" s="9">
        <f>TABL1234[[#This Row],[ (T/B) SAR]]-TABL1234[[#This Row],[(T/B) AJD]]</f>
        <v>0</v>
      </c>
      <c r="S267" s="9">
        <f>TABL1234[[#This Row],[T/B-CON.]]+TABL1234[[#This Row],[S/S_CON.]]</f>
        <v>0</v>
      </c>
      <c r="T267" s="9">
        <f>TABL1234[[#This Row],[(S/S) AJD]]+TABL1234[[#This Row],[(T/B) AJD]]</f>
        <v>0</v>
      </c>
      <c r="U267" s="41"/>
      <c r="V267" s="41"/>
      <c r="W267" s="9">
        <f>TABL1234[[#This Row],[(A/B) AJD]]+TABL1234[[#This Row],[(A/S)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Row],[AJD_Evaporation]])</f>
        <v>0</v>
      </c>
      <c r="AE267" s="41"/>
      <c r="AF267" s="43"/>
      <c r="AG267" s="43"/>
      <c r="AH267" s="6"/>
      <c r="AI267" s="43"/>
      <c r="AJ267" s="43">
        <f>TABL1234[[#This Row],[(A/B) AJD]]-TABL1234[[#This Row],[BER_IN]]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Row],[(A/S) AJD]]-TABL1234[[#This Row],[SER_IN]]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 (T/B) SAR]]+TABL1234[[#This Row],[ (S/S) SAR]]</f>
        <v>0</v>
      </c>
      <c r="L268" s="45"/>
      <c r="M268" s="46"/>
      <c r="N268" s="46"/>
      <c r="O268" s="40"/>
      <c r="P268" s="9">
        <f>TABL1234[[#This Row],[ (S/S) SAR]]-TABL1234[[#This Row],[(S/S) AJD]]</f>
        <v>0</v>
      </c>
      <c r="Q268" s="40"/>
      <c r="R268" s="9">
        <f>TABL1234[[#This Row],[ (T/B) SAR]]-TABL1234[[#This Row],[(T/B) AJD]]</f>
        <v>0</v>
      </c>
      <c r="S268" s="9">
        <f>TABL1234[[#This Row],[T/B-CON.]]+TABL1234[[#This Row],[S/S_CON.]]</f>
        <v>0</v>
      </c>
      <c r="T268" s="9">
        <f>TABL1234[[#This Row],[(S/S) AJD]]+TABL1234[[#This Row],[(T/B) AJD]]</f>
        <v>0</v>
      </c>
      <c r="U268" s="44"/>
      <c r="V268" s="44"/>
      <c r="W268" s="9">
        <f>TABL1234[[#This Row],[(A/B) AJD]]+TABL1234[[#This Row],[(A/S)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Row],[AJD_Evaporation]])</f>
        <v>0</v>
      </c>
      <c r="AE268" s="44"/>
      <c r="AF268" s="45"/>
      <c r="AG268" s="45"/>
      <c r="AH268" s="6"/>
      <c r="AI268" s="45"/>
      <c r="AJ268" s="45">
        <f>TABL1234[[#This Row],[(A/B) AJD]]-TABL1234[[#This Row],[BER_IN]]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Row],[(A/S) AJD]]-TABL1234[[#This Row],[SER_IN]]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 (T/B) SAR]]+TABL1234[[#This Row],[ (S/S) SAR]]</f>
        <v>0</v>
      </c>
      <c r="L269" s="41"/>
      <c r="M269" s="42"/>
      <c r="N269" s="42"/>
      <c r="O269" s="39"/>
      <c r="P269" s="9">
        <f>TABL1234[[#This Row],[ (S/S) SAR]]-TABL1234[[#This Row],[(S/S) AJD]]</f>
        <v>0</v>
      </c>
      <c r="Q269" s="39"/>
      <c r="R269" s="9">
        <f>TABL1234[[#This Row],[ (T/B) SAR]]-TABL1234[[#This Row],[(T/B) AJD]]</f>
        <v>0</v>
      </c>
      <c r="S269" s="9">
        <f>TABL1234[[#This Row],[T/B-CON.]]+TABL1234[[#This Row],[S/S_CON.]]</f>
        <v>0</v>
      </c>
      <c r="T269" s="9">
        <f>TABL1234[[#This Row],[(S/S) AJD]]+TABL1234[[#This Row],[(T/B) AJD]]</f>
        <v>0</v>
      </c>
      <c r="U269" s="41"/>
      <c r="V269" s="41"/>
      <c r="W269" s="9">
        <f>TABL1234[[#This Row],[(A/B) AJD]]+TABL1234[[#This Row],[(A/S)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Row],[AJD_Evaporation]])</f>
        <v>0</v>
      </c>
      <c r="AE269" s="41"/>
      <c r="AF269" s="43"/>
      <c r="AG269" s="43"/>
      <c r="AH269" s="6"/>
      <c r="AI269" s="43"/>
      <c r="AJ269" s="43">
        <f>TABL1234[[#This Row],[(A/B) AJD]]-TABL1234[[#This Row],[BER_IN]]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Row],[(A/S) AJD]]-TABL1234[[#This Row],[SER_IN]]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 (T/B) SAR]]+TABL1234[[#This Row],[ (S/S) SAR]]</f>
        <v>0</v>
      </c>
      <c r="L270" s="45"/>
      <c r="M270" s="46"/>
      <c r="N270" s="46"/>
      <c r="O270" s="40"/>
      <c r="P270" s="9">
        <f>TABL1234[[#This Row],[ (S/S) SAR]]-TABL1234[[#This Row],[(S/S) AJD]]</f>
        <v>0</v>
      </c>
      <c r="Q270" s="40"/>
      <c r="R270" s="9">
        <f>TABL1234[[#This Row],[ (T/B) SAR]]-TABL1234[[#This Row],[(T/B) AJD]]</f>
        <v>0</v>
      </c>
      <c r="S270" s="9">
        <f>TABL1234[[#This Row],[T/B-CON.]]+TABL1234[[#This Row],[S/S_CON.]]</f>
        <v>0</v>
      </c>
      <c r="T270" s="9">
        <f>TABL1234[[#This Row],[(S/S) AJD]]+TABL1234[[#This Row],[(T/B) AJD]]</f>
        <v>0</v>
      </c>
      <c r="U270" s="44"/>
      <c r="V270" s="44"/>
      <c r="W270" s="9">
        <f>TABL1234[[#This Row],[(A/B) AJD]]+TABL1234[[#This Row],[(A/S)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Row],[AJD_Evaporation]])</f>
        <v>0</v>
      </c>
      <c r="AE270" s="44"/>
      <c r="AF270" s="45"/>
      <c r="AG270" s="45"/>
      <c r="AH270" s="6"/>
      <c r="AI270" s="45"/>
      <c r="AJ270" s="45">
        <f>TABL1234[[#This Row],[(A/B) AJD]]-TABL1234[[#This Row],[BER_IN]]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Row],[(A/S) AJD]]-TABL1234[[#This Row],[SER_IN]]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 (T/B) SAR]]+TABL1234[[#This Row],[ (S/S) SAR]]</f>
        <v>0</v>
      </c>
      <c r="L271" s="41"/>
      <c r="M271" s="42"/>
      <c r="N271" s="42"/>
      <c r="O271" s="39"/>
      <c r="P271" s="9">
        <f>TABL1234[[#This Row],[ (S/S) SAR]]-TABL1234[[#This Row],[(S/S) AJD]]</f>
        <v>0</v>
      </c>
      <c r="Q271" s="9"/>
      <c r="R271" s="9">
        <f>TABL1234[[#This Row],[ (T/B) SAR]]-TABL1234[[#This Row],[(T/B) AJD]]</f>
        <v>0</v>
      </c>
      <c r="S271" s="9">
        <f>TABL1234[[#This Row],[T/B-CON.]]+TABL1234[[#This Row],[S/S_CON.]]</f>
        <v>0</v>
      </c>
      <c r="T271" s="9">
        <f>TABL1234[[#This Row],[(S/S) AJD]]+TABL1234[[#This Row],[(T/B) AJD]]</f>
        <v>0</v>
      </c>
      <c r="U271" s="41"/>
      <c r="V271" s="41"/>
      <c r="W271" s="9">
        <f>TABL1234[[#This Row],[(A/B) AJD]]+TABL1234[[#This Row],[(A/S)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Row],[AJD_Evaporation]])</f>
        <v>0</v>
      </c>
      <c r="AE271" s="41"/>
      <c r="AF271" s="43"/>
      <c r="AG271" s="43"/>
      <c r="AH271" s="6"/>
      <c r="AI271" s="43"/>
      <c r="AJ271" s="43">
        <f>TABL1234[[#This Row],[(A/B) AJD]]-TABL1234[[#This Row],[BER_IN]]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Row],[(A/S) AJD]]-TABL1234[[#This Row],[SER_IN]]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 (T/B) SAR]]+TABL1234[[#This Row],[ (S/S) SAR]]</f>
        <v>0</v>
      </c>
      <c r="L272" s="45"/>
      <c r="M272" s="46"/>
      <c r="N272" s="46"/>
      <c r="O272" s="9"/>
      <c r="P272" s="9">
        <f>TABL1234[[#This Row],[ (S/S) SAR]]-TABL1234[[#This Row],[(S/S) AJD]]</f>
        <v>0</v>
      </c>
      <c r="Q272" s="9"/>
      <c r="R272" s="9">
        <f>TABL1234[[#This Row],[ (T/B) SAR]]-TABL1234[[#This Row],[(T/B) AJD]]</f>
        <v>0</v>
      </c>
      <c r="S272" s="9">
        <f>TABL1234[[#This Row],[T/B-CON.]]+TABL1234[[#This Row],[S/S_CON.]]</f>
        <v>0</v>
      </c>
      <c r="T272" s="9">
        <f>TABL1234[[#This Row],[(S/S) AJD]]+TABL1234[[#This Row],[(T/B) AJD]]</f>
        <v>0</v>
      </c>
      <c r="U272" s="9"/>
      <c r="V272" s="9"/>
      <c r="W272" s="9">
        <f>TABL1234[[#This Row],[(A/B) AJD]]+TABL1234[[#This Row],[(A/S)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Row],[AJD_Evaporation]])</f>
        <v>0</v>
      </c>
      <c r="AE272" s="44"/>
      <c r="AF272" s="45"/>
      <c r="AG272" s="45"/>
      <c r="AH272" s="6"/>
      <c r="AI272" s="6"/>
      <c r="AJ272" s="33">
        <f>TABL1234[[#This Row],[(A/B) AJD]]-TABL1234[[#This Row],[BER_IN]]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Row],[(A/S) AJD]]-TABL1234[[#This Row],[SER_IN]]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 (T/B) SAR]]+TABL1234[[#This Row],[ (S/S) SAR]]</f>
        <v>0</v>
      </c>
      <c r="L273" s="28"/>
      <c r="M273" s="29"/>
      <c r="N273" s="30"/>
      <c r="O273" s="9"/>
      <c r="P273" s="9">
        <f>TABL1234[[#This Row],[ (S/S) SAR]]-TABL1234[[#This Row],[(S/S) AJD]]</f>
        <v>0</v>
      </c>
      <c r="Q273" s="9"/>
      <c r="R273" s="9">
        <f>TABL1234[[#This Row],[ (T/B) SAR]]-TABL1234[[#This Row],[(T/B) AJD]]</f>
        <v>0</v>
      </c>
      <c r="S273" s="9">
        <f>TABL1234[[#This Row],[T/B-CON.]]+TABL1234[[#This Row],[S/S_CON.]]</f>
        <v>0</v>
      </c>
      <c r="T273" s="9">
        <f>TABL1234[[#This Row],[(S/S) AJD]]+TABL1234[[#This Row],[(T/B) AJD]]</f>
        <v>0</v>
      </c>
      <c r="U273" s="9"/>
      <c r="V273" s="9"/>
      <c r="W273" s="9">
        <f>TABL1234[[#This Row],[(A/B) AJD]]+TABL1234[[#This Row],[(A/S)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Row],[AJD_Evaporation]])</f>
        <v>0</v>
      </c>
      <c r="AE273" s="41"/>
      <c r="AF273" s="43"/>
      <c r="AG273" s="43"/>
      <c r="AH273" s="6"/>
      <c r="AI273" s="6"/>
      <c r="AJ273" s="33">
        <f>TABL1234[[#This Row],[(A/B) AJD]]-TABL1234[[#This Row],[BER_IN]]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Row],[(A/S) AJD]]-TABL1234[[#This Row],[SER_IN]]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 (T/B) SAR]]+TABL1234[[#This Row],[ (S/S) SAR]]</f>
        <v>0</v>
      </c>
      <c r="L274" s="28"/>
      <c r="M274" s="29"/>
      <c r="N274" s="30"/>
      <c r="O274" s="9"/>
      <c r="P274" s="9">
        <f>TABL1234[[#This Row],[ (S/S) SAR]]-TABL1234[[#This Row],[(S/S) AJD]]</f>
        <v>0</v>
      </c>
      <c r="Q274" s="9"/>
      <c r="R274" s="9">
        <f>TABL1234[[#This Row],[ (T/B) SAR]]-TABL1234[[#This Row],[(T/B) AJD]]</f>
        <v>0</v>
      </c>
      <c r="S274" s="9">
        <f>TABL1234[[#This Row],[T/B-CON.]]+TABL1234[[#This Row],[S/S_CON.]]</f>
        <v>0</v>
      </c>
      <c r="T274" s="9">
        <f>TABL1234[[#This Row],[(S/S) AJD]]+TABL1234[[#This Row],[(T/B) AJD]]</f>
        <v>0</v>
      </c>
      <c r="U274" s="9"/>
      <c r="V274" s="9"/>
      <c r="W274" s="9">
        <f>TABL1234[[#This Row],[(A/B) AJD]]+TABL1234[[#This Row],[(A/S)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Row],[AJD_Evaporation]])</f>
        <v>0</v>
      </c>
      <c r="AE274" s="33"/>
      <c r="AF274" s="6"/>
      <c r="AG274" s="6"/>
      <c r="AH274" s="6"/>
      <c r="AI274" s="6"/>
      <c r="AJ274" s="33">
        <f>TABL1234[[#This Row],[(A/B) AJD]]-TABL1234[[#This Row],[BER_IN]]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Row],[(A/S) AJD]]-TABL1234[[#This Row],[SER_IN]]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 (T/B) SAR]]+TABL1234[[#This Row],[ (S/S) SAR]]</f>
        <v>0</v>
      </c>
      <c r="L275" s="28"/>
      <c r="M275" s="29"/>
      <c r="N275" s="30"/>
      <c r="O275" s="14"/>
      <c r="P275" s="9">
        <f>TABL1234[[#This Row],[ (S/S) SAR]]-TABL1234[[#This Row],[(S/S) AJD]]</f>
        <v>0</v>
      </c>
      <c r="Q275" s="14"/>
      <c r="R275" s="9">
        <f>TABL1234[[#This Row],[ (T/B) SAR]]-TABL1234[[#This Row],[(T/B) AJD]]</f>
        <v>0</v>
      </c>
      <c r="S275" s="9">
        <f>TABL1234[[#This Row],[T/B-CON.]]+TABL1234[[#This Row],[S/S_CON.]]</f>
        <v>0</v>
      </c>
      <c r="T275" s="9">
        <f>TABL1234[[#This Row],[(S/S) AJD]]+TABL1234[[#This Row],[(T/B) AJD]]</f>
        <v>0</v>
      </c>
      <c r="U275" s="14"/>
      <c r="V275" s="14"/>
      <c r="W275" s="9">
        <f>TABL1234[[#This Row],[(A/B) AJD]]+TABL1234[[#This Row],[(A/S)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Row],[AJD_Evaporation]])</f>
        <v>0</v>
      </c>
      <c r="AE275" s="33"/>
      <c r="AF275" s="6"/>
      <c r="AG275" s="6"/>
      <c r="AH275" s="6"/>
      <c r="AI275" s="6"/>
      <c r="AJ275" s="33">
        <f>TABL1234[[#This Row],[(A/B) AJD]]-TABL1234[[#This Row],[BER_IN]]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Row],[(A/S) AJD]]-TABL1234[[#This Row],[SER_IN]]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 (T/B) SAR]]+TABL1234[[#This Row],[ (S/S) SAR]]</f>
        <v>0</v>
      </c>
      <c r="L276" s="28"/>
      <c r="M276" s="29"/>
      <c r="N276" s="30"/>
      <c r="O276" s="14"/>
      <c r="P276" s="9">
        <f>TABL1234[[#This Row],[ (S/S) SAR]]-TABL1234[[#This Row],[(S/S) AJD]]</f>
        <v>0</v>
      </c>
      <c r="Q276" s="14"/>
      <c r="R276" s="9">
        <f>TABL1234[[#This Row],[ (T/B) SAR]]-TABL1234[[#This Row],[(T/B) AJD]]</f>
        <v>0</v>
      </c>
      <c r="S276" s="9">
        <f>TABL1234[[#This Row],[T/B-CON.]]+TABL1234[[#This Row],[S/S_CON.]]</f>
        <v>0</v>
      </c>
      <c r="T276" s="9">
        <f>TABL1234[[#This Row],[(S/S) AJD]]+TABL1234[[#This Row],[(T/B) AJD]]</f>
        <v>0</v>
      </c>
      <c r="U276" s="14"/>
      <c r="V276" s="14"/>
      <c r="W276" s="9">
        <f>TABL1234[[#This Row],[(A/B) AJD]]+TABL1234[[#This Row],[(A/S)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Row],[AJD_Evaporation]])</f>
        <v>0</v>
      </c>
      <c r="AE276" s="33"/>
      <c r="AF276" s="6"/>
      <c r="AG276" s="6"/>
      <c r="AH276" s="6"/>
      <c r="AI276" s="6"/>
      <c r="AJ276" s="33">
        <f>TABL1234[[#This Row],[(A/B) AJD]]-TABL1234[[#This Row],[BER_IN]]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Row],[(A/S) AJD]]-TABL1234[[#This Row],[SER_IN]]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 (T/B) SAR]]+TABL1234[[#This Row],[ (S/S) SAR]]</f>
        <v>0</v>
      </c>
      <c r="L277" s="28"/>
      <c r="M277" s="29"/>
      <c r="N277" s="30"/>
      <c r="O277" s="14"/>
      <c r="P277" s="9">
        <f>TABL1234[[#This Row],[ (S/S) SAR]]-TABL1234[[#This Row],[(S/S) AJD]]</f>
        <v>0</v>
      </c>
      <c r="Q277" s="14"/>
      <c r="R277" s="9">
        <f>TABL1234[[#This Row],[ (T/B) SAR]]-TABL1234[[#This Row],[(T/B) AJD]]</f>
        <v>0</v>
      </c>
      <c r="S277" s="9">
        <f>TABL1234[[#This Row],[T/B-CON.]]+TABL1234[[#This Row],[S/S_CON.]]</f>
        <v>0</v>
      </c>
      <c r="T277" s="9">
        <f>TABL1234[[#This Row],[(S/S) AJD]]+TABL1234[[#This Row],[(T/B) AJD]]</f>
        <v>0</v>
      </c>
      <c r="U277" s="14"/>
      <c r="V277" s="14"/>
      <c r="W277" s="9">
        <f>TABL1234[[#This Row],[(A/B) AJD]]+TABL1234[[#This Row],[(A/S)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Row],[AJD_Evaporation]])</f>
        <v>0</v>
      </c>
      <c r="AE277" s="33"/>
      <c r="AF277" s="6"/>
      <c r="AG277" s="6"/>
      <c r="AH277" s="6"/>
      <c r="AI277" s="6"/>
      <c r="AJ277" s="33">
        <f>TABL1234[[#This Row],[(A/B) AJD]]-TABL1234[[#This Row],[BER_IN]]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Row],[(A/S) AJD]]-TABL1234[[#This Row],[SER_IN]]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 (T/B) SAR]]+TABL1234[[#This Row],[ (S/S) SAR]]</f>
        <v>0</v>
      </c>
      <c r="L278" s="28"/>
      <c r="M278" s="29"/>
      <c r="N278" s="30"/>
      <c r="O278" s="14"/>
      <c r="P278" s="9">
        <f>TABL1234[[#This Row],[ (S/S) SAR]]-TABL1234[[#This Row],[(S/S) AJD]]</f>
        <v>0</v>
      </c>
      <c r="Q278" s="14"/>
      <c r="R278" s="9">
        <f>TABL1234[[#This Row],[ (T/B) SAR]]-TABL1234[[#This Row],[(T/B) AJD]]</f>
        <v>0</v>
      </c>
      <c r="S278" s="9">
        <f>TABL1234[[#This Row],[T/B-CON.]]+TABL1234[[#This Row],[S/S_CON.]]</f>
        <v>0</v>
      </c>
      <c r="T278" s="9">
        <f>TABL1234[[#This Row],[(S/S) AJD]]+TABL1234[[#This Row],[(T/B) AJD]]</f>
        <v>0</v>
      </c>
      <c r="U278" s="14"/>
      <c r="V278" s="14"/>
      <c r="W278" s="9">
        <f>TABL1234[[#This Row],[(A/B) AJD]]+TABL1234[[#This Row],[(A/S)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Row],[AJD_Evaporation]])</f>
        <v>0</v>
      </c>
      <c r="AE278" s="33"/>
      <c r="AF278" s="6"/>
      <c r="AG278" s="6"/>
      <c r="AH278" s="6"/>
      <c r="AI278" s="6"/>
      <c r="AJ278" s="33">
        <f>TABL1234[[#This Row],[(A/B) AJD]]-TABL1234[[#This Row],[BER_IN]]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Row],[(A/S) AJD]]-TABL1234[[#This Row],[SER_IN]]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 (T/B) SAR]]+TABL1234[[#This Row],[ (S/S) SAR]]</f>
        <v>0</v>
      </c>
      <c r="L279" s="28"/>
      <c r="M279" s="29"/>
      <c r="N279" s="30"/>
      <c r="O279" s="14"/>
      <c r="P279" s="9">
        <f>TABL1234[[#This Row],[ (S/S) SAR]]-TABL1234[[#This Row],[(S/S) AJD]]</f>
        <v>0</v>
      </c>
      <c r="Q279" s="14"/>
      <c r="R279" s="9">
        <f>TABL1234[[#This Row],[ (T/B) SAR]]-TABL1234[[#This Row],[(T/B) AJD]]</f>
        <v>0</v>
      </c>
      <c r="S279" s="9">
        <f>TABL1234[[#This Row],[T/B-CON.]]+TABL1234[[#This Row],[S/S_CON.]]</f>
        <v>0</v>
      </c>
      <c r="T279" s="9">
        <f>TABL1234[[#This Row],[(S/S) AJD]]+TABL1234[[#This Row],[(T/B) AJD]]</f>
        <v>0</v>
      </c>
      <c r="U279" s="14"/>
      <c r="V279" s="14"/>
      <c r="W279" s="9">
        <f>TABL1234[[#This Row],[(A/B) AJD]]+TABL1234[[#This Row],[(A/S)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Row],[AJD_Evaporation]])</f>
        <v>0</v>
      </c>
      <c r="AE279" s="33"/>
      <c r="AF279" s="6"/>
      <c r="AG279" s="6"/>
      <c r="AH279" s="6"/>
      <c r="AI279" s="6"/>
      <c r="AJ279" s="33">
        <f>TABL1234[[#This Row],[(A/B) AJD]]-TABL1234[[#This Row],[BER_IN]]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Row],[(A/S) AJD]]-TABL1234[[#This Row],[SER_IN]]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 (T/B) SAR]]+TABL1234[[#This Row],[ (S/S) SAR]]</f>
        <v>0</v>
      </c>
      <c r="L280" s="28"/>
      <c r="M280" s="29"/>
      <c r="N280" s="30"/>
      <c r="O280" s="14"/>
      <c r="P280" s="9">
        <f>TABL1234[[#This Row],[ (S/S) SAR]]-TABL1234[[#This Row],[(S/S) AJD]]</f>
        <v>0</v>
      </c>
      <c r="Q280" s="14"/>
      <c r="R280" s="9">
        <f>TABL1234[[#This Row],[ (T/B) SAR]]-TABL1234[[#This Row],[(T/B) AJD]]</f>
        <v>0</v>
      </c>
      <c r="S280" s="9">
        <f>TABL1234[[#This Row],[T/B-CON.]]+TABL1234[[#This Row],[S/S_CON.]]</f>
        <v>0</v>
      </c>
      <c r="T280" s="9">
        <f>TABL1234[[#This Row],[(S/S) AJD]]+TABL1234[[#This Row],[(T/B) AJD]]</f>
        <v>0</v>
      </c>
      <c r="U280" s="14"/>
      <c r="V280" s="14"/>
      <c r="W280" s="9">
        <f>TABL1234[[#This Row],[(A/B) AJD]]+TABL1234[[#This Row],[(A/S)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Row],[AJD_Evaporation]])</f>
        <v>0</v>
      </c>
      <c r="AE280" s="33"/>
      <c r="AF280" s="6"/>
      <c r="AG280" s="6"/>
      <c r="AH280" s="6"/>
      <c r="AI280" s="6"/>
      <c r="AJ280" s="33">
        <f>TABL1234[[#This Row],[(A/B) AJD]]-TABL1234[[#This Row],[BER_IN]]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Row],[(A/S) AJD]]-TABL1234[[#This Row],[SER_IN]]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 (T/B) SAR]]+TABL1234[[#This Row],[ (S/S) SAR]]</f>
        <v>0</v>
      </c>
      <c r="L281" s="28"/>
      <c r="M281" s="29"/>
      <c r="N281" s="30"/>
      <c r="O281" s="14"/>
      <c r="P281" s="9">
        <f>TABL1234[[#This Row],[ (S/S) SAR]]-TABL1234[[#This Row],[(S/S) AJD]]</f>
        <v>0</v>
      </c>
      <c r="Q281" s="14"/>
      <c r="R281" s="9">
        <f>TABL1234[[#This Row],[ (T/B) SAR]]-TABL1234[[#This Row],[(T/B) AJD]]</f>
        <v>0</v>
      </c>
      <c r="S281" s="9">
        <f>TABL1234[[#This Row],[T/B-CON.]]+TABL1234[[#This Row],[S/S_CON.]]</f>
        <v>0</v>
      </c>
      <c r="T281" s="9">
        <f>TABL1234[[#This Row],[(S/S) AJD]]+TABL1234[[#This Row],[(T/B) AJD]]</f>
        <v>0</v>
      </c>
      <c r="U281" s="14"/>
      <c r="V281" s="14"/>
      <c r="W281" s="9">
        <f>TABL1234[[#This Row],[(A/B) AJD]]+TABL1234[[#This Row],[(A/S)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Row],[AJD_Evaporation]])</f>
        <v>0</v>
      </c>
      <c r="AE281" s="33"/>
      <c r="AF281" s="6"/>
      <c r="AG281" s="6"/>
      <c r="AH281" s="6"/>
      <c r="AI281" s="6"/>
      <c r="AJ281" s="33">
        <f>TABL1234[[#This Row],[(A/B) AJD]]-TABL1234[[#This Row],[BER_IN]]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Row],[(A/S) AJD]]-TABL1234[[#This Row],[SER_IN]]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 (T/B) SAR]]+TABL1234[[#This Row],[ (S/S) SAR]]</f>
        <v>0</v>
      </c>
      <c r="L282" s="28"/>
      <c r="M282" s="29"/>
      <c r="N282" s="30"/>
      <c r="O282" s="14"/>
      <c r="P282" s="9">
        <f>TABL1234[[#This Row],[ (S/S) SAR]]-TABL1234[[#This Row],[(S/S) AJD]]</f>
        <v>0</v>
      </c>
      <c r="Q282" s="14"/>
      <c r="R282" s="9">
        <f>TABL1234[[#This Row],[ (T/B) SAR]]-TABL1234[[#This Row],[(T/B) AJD]]</f>
        <v>0</v>
      </c>
      <c r="S282" s="9">
        <f>TABL1234[[#This Row],[T/B-CON.]]+TABL1234[[#This Row],[S/S_CON.]]</f>
        <v>0</v>
      </c>
      <c r="T282" s="9">
        <f>TABL1234[[#This Row],[(S/S) AJD]]+TABL1234[[#This Row],[(T/B) AJD]]</f>
        <v>0</v>
      </c>
      <c r="U282" s="14"/>
      <c r="V282" s="14"/>
      <c r="W282" s="9">
        <f>TABL1234[[#This Row],[(A/B) AJD]]+TABL1234[[#This Row],[(A/S)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Row],[AJD_Evaporation]])</f>
        <v>0</v>
      </c>
      <c r="AE282" s="33"/>
      <c r="AF282" s="6"/>
      <c r="AG282" s="6"/>
      <c r="AH282" s="6"/>
      <c r="AI282" s="6"/>
      <c r="AJ282" s="33">
        <f>TABL1234[[#This Row],[(A/B) AJD]]-TABL1234[[#This Row],[BER_IN]]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Row],[(A/S) AJD]]-TABL1234[[#This Row],[SER_IN]]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 (T/B) SAR]]+TABL1234[[#This Row],[ (S/S) SAR]]</f>
        <v>0</v>
      </c>
      <c r="L283" s="28"/>
      <c r="M283" s="29"/>
      <c r="N283" s="30"/>
      <c r="O283" s="14"/>
      <c r="P283" s="9">
        <f>TABL1234[[#This Row],[ (S/S) SAR]]-TABL1234[[#This Row],[(S/S) AJD]]</f>
        <v>0</v>
      </c>
      <c r="Q283" s="14"/>
      <c r="R283" s="9">
        <f>TABL1234[[#This Row],[ (T/B) SAR]]-TABL1234[[#This Row],[(T/B) AJD]]</f>
        <v>0</v>
      </c>
      <c r="S283" s="9">
        <f>TABL1234[[#This Row],[T/B-CON.]]+TABL1234[[#This Row],[S/S_CON.]]</f>
        <v>0</v>
      </c>
      <c r="T283" s="9">
        <f>TABL1234[[#This Row],[(S/S) AJD]]+TABL1234[[#This Row],[(T/B) AJD]]</f>
        <v>0</v>
      </c>
      <c r="U283" s="14"/>
      <c r="V283" s="14"/>
      <c r="W283" s="9">
        <f>TABL1234[[#This Row],[(A/B) AJD]]+TABL1234[[#This Row],[(A/S)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Row],[AJD_Evaporation]])</f>
        <v>0</v>
      </c>
      <c r="AE283" s="33"/>
      <c r="AF283" s="6"/>
      <c r="AG283" s="6"/>
      <c r="AH283" s="6"/>
      <c r="AI283" s="6"/>
      <c r="AJ283" s="33">
        <f>TABL1234[[#This Row],[(A/B) AJD]]-TABL1234[[#This Row],[BER_IN]]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Row],[(A/S) AJD]]-TABL1234[[#This Row],[SER_IN]]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 (T/B) SAR]]+TABL1234[[#This Row],[ (S/S) SAR]]</f>
        <v>0</v>
      </c>
      <c r="L284" s="28"/>
      <c r="M284" s="29"/>
      <c r="N284" s="30"/>
      <c r="O284" s="14"/>
      <c r="P284" s="9">
        <f>TABL1234[[#This Row],[ (S/S) SAR]]-TABL1234[[#This Row],[(S/S) AJD]]</f>
        <v>0</v>
      </c>
      <c r="Q284" s="14"/>
      <c r="R284" s="9">
        <f>TABL1234[[#This Row],[ (T/B) SAR]]-TABL1234[[#This Row],[(T/B) AJD]]</f>
        <v>0</v>
      </c>
      <c r="S284" s="9">
        <f>TABL1234[[#This Row],[T/B-CON.]]+TABL1234[[#This Row],[S/S_CON.]]</f>
        <v>0</v>
      </c>
      <c r="T284" s="9">
        <f>TABL1234[[#This Row],[(S/S) AJD]]+TABL1234[[#This Row],[(T/B) AJD]]</f>
        <v>0</v>
      </c>
      <c r="U284" s="14"/>
      <c r="V284" s="14"/>
      <c r="W284" s="9">
        <f>TABL1234[[#This Row],[(A/B) AJD]]+TABL1234[[#This Row],[(A/S)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Row],[AJD_Evaporation]])</f>
        <v>0</v>
      </c>
      <c r="AE284" s="33"/>
      <c r="AF284" s="6"/>
      <c r="AG284" s="6"/>
      <c r="AH284" s="6"/>
      <c r="AI284" s="6"/>
      <c r="AJ284" s="33">
        <f>TABL1234[[#This Row],[(A/B) AJD]]-TABL1234[[#This Row],[BER_IN]]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Row],[(A/S) AJD]]-TABL1234[[#This Row],[SER_IN]]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 (T/B) SAR]]+TABL1234[[#This Row],[ (S/S) SAR]]</f>
        <v>0</v>
      </c>
      <c r="L285" s="28"/>
      <c r="M285" s="29"/>
      <c r="N285" s="30"/>
      <c r="O285" s="14"/>
      <c r="P285" s="9">
        <f>TABL1234[[#This Row],[ (S/S) SAR]]-TABL1234[[#This Row],[(S/S) AJD]]</f>
        <v>0</v>
      </c>
      <c r="Q285" s="14"/>
      <c r="R285" s="9">
        <f>TABL1234[[#This Row],[ (T/B) SAR]]-TABL1234[[#This Row],[(T/B) AJD]]</f>
        <v>0</v>
      </c>
      <c r="S285" s="9">
        <f>TABL1234[[#This Row],[T/B-CON.]]+TABL1234[[#This Row],[S/S_CON.]]</f>
        <v>0</v>
      </c>
      <c r="T285" s="9">
        <f>TABL1234[[#This Row],[(S/S) AJD]]+TABL1234[[#This Row],[(T/B) AJD]]</f>
        <v>0</v>
      </c>
      <c r="U285" s="14"/>
      <c r="V285" s="14"/>
      <c r="W285" s="9">
        <f>TABL1234[[#This Row],[(A/B) AJD]]+TABL1234[[#This Row],[(A/S)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Row],[AJD_Evaporation]])</f>
        <v>0</v>
      </c>
      <c r="AE285" s="33"/>
      <c r="AF285" s="6"/>
      <c r="AG285" s="6"/>
      <c r="AH285" s="6"/>
      <c r="AI285" s="6"/>
      <c r="AJ285" s="33">
        <f>TABL1234[[#This Row],[(A/B) AJD]]-TABL1234[[#This Row],[BER_IN]]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Row],[(A/S) AJD]]-TABL1234[[#This Row],[SER_IN]]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 (T/B) SAR]]+TABL1234[[#This Row],[ (S/S) SAR]]</f>
        <v>0</v>
      </c>
      <c r="L286" s="28"/>
      <c r="M286" s="29"/>
      <c r="N286" s="30"/>
      <c r="O286" s="14"/>
      <c r="P286" s="9">
        <f>TABL1234[[#This Row],[ (S/S) SAR]]-TABL1234[[#This Row],[(S/S) AJD]]</f>
        <v>0</v>
      </c>
      <c r="Q286" s="14"/>
      <c r="R286" s="9">
        <f>TABL1234[[#This Row],[ (T/B) SAR]]-TABL1234[[#This Row],[(T/B) AJD]]</f>
        <v>0</v>
      </c>
      <c r="S286" s="9">
        <f>TABL1234[[#This Row],[T/B-CON.]]+TABL1234[[#This Row],[S/S_CON.]]</f>
        <v>0</v>
      </c>
      <c r="T286" s="9">
        <f>TABL1234[[#This Row],[(S/S) AJD]]+TABL1234[[#This Row],[(T/B) AJD]]</f>
        <v>0</v>
      </c>
      <c r="U286" s="14"/>
      <c r="V286" s="14"/>
      <c r="W286" s="9">
        <f>TABL1234[[#This Row],[(A/B) AJD]]+TABL1234[[#This Row],[(A/S)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Row],[AJD_Evaporation]])</f>
        <v>0</v>
      </c>
      <c r="AE286" s="33"/>
      <c r="AF286" s="6"/>
      <c r="AG286" s="6"/>
      <c r="AH286" s="6"/>
      <c r="AI286" s="6"/>
      <c r="AJ286" s="33">
        <f>TABL1234[[#This Row],[(A/B) AJD]]-TABL1234[[#This Row],[BER_IN]]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Row],[(A/S) AJD]]-TABL1234[[#This Row],[SER_IN]]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 (T/B) SAR]]+TABL1234[[#This Row],[ (S/S) SAR]]</f>
        <v>0</v>
      </c>
      <c r="L287" s="28"/>
      <c r="M287" s="29"/>
      <c r="N287" s="30"/>
      <c r="O287" s="14"/>
      <c r="P287" s="9">
        <f>TABL1234[[#This Row],[ (S/S) SAR]]-TABL1234[[#This Row],[(S/S) AJD]]</f>
        <v>0</v>
      </c>
      <c r="Q287" s="14"/>
      <c r="R287" s="9">
        <f>TABL1234[[#This Row],[ (T/B) SAR]]-TABL1234[[#This Row],[(T/B) AJD]]</f>
        <v>0</v>
      </c>
      <c r="S287" s="9">
        <f>TABL1234[[#This Row],[T/B-CON.]]+TABL1234[[#This Row],[S/S_CON.]]</f>
        <v>0</v>
      </c>
      <c r="T287" s="9">
        <f>TABL1234[[#This Row],[(S/S) AJD]]+TABL1234[[#This Row],[(T/B) AJD]]</f>
        <v>0</v>
      </c>
      <c r="U287" s="14"/>
      <c r="V287" s="14"/>
      <c r="W287" s="9">
        <f>TABL1234[[#This Row],[(A/B) AJD]]+TABL1234[[#This Row],[(A/S)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Row],[AJD_Evaporation]])</f>
        <v>0</v>
      </c>
      <c r="AE287" s="33"/>
      <c r="AF287" s="6"/>
      <c r="AG287" s="6"/>
      <c r="AH287" s="6"/>
      <c r="AI287" s="6"/>
      <c r="AJ287" s="33">
        <f>TABL1234[[#This Row],[(A/B) AJD]]-TABL1234[[#This Row],[BER_IN]]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Row],[(A/S) AJD]]-TABL1234[[#This Row],[SER_IN]]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 (T/B) SAR]]+TABL1234[[#This Row],[ (S/S) SAR]]</f>
        <v>0</v>
      </c>
      <c r="L288" s="28"/>
      <c r="M288" s="29"/>
      <c r="N288" s="30"/>
      <c r="O288" s="14"/>
      <c r="P288" s="9">
        <f>TABL1234[[#This Row],[ (S/S) SAR]]-TABL1234[[#This Row],[(S/S) AJD]]</f>
        <v>0</v>
      </c>
      <c r="Q288" s="14"/>
      <c r="R288" s="9">
        <f>TABL1234[[#This Row],[ (T/B) SAR]]-TABL1234[[#This Row],[(T/B) AJD]]</f>
        <v>0</v>
      </c>
      <c r="S288" s="9">
        <f>TABL1234[[#This Row],[T/B-CON.]]+TABL1234[[#This Row],[S/S_CON.]]</f>
        <v>0</v>
      </c>
      <c r="T288" s="9">
        <f>TABL1234[[#This Row],[(S/S) AJD]]+TABL1234[[#This Row],[(T/B) AJD]]</f>
        <v>0</v>
      </c>
      <c r="U288" s="14"/>
      <c r="V288" s="14"/>
      <c r="W288" s="9">
        <f>TABL1234[[#This Row],[(A/B) AJD]]+TABL1234[[#This Row],[(A/S)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Row],[AJD_Evaporation]])</f>
        <v>0</v>
      </c>
      <c r="AE288" s="33"/>
      <c r="AF288" s="6"/>
      <c r="AG288" s="6"/>
      <c r="AH288" s="6"/>
      <c r="AI288" s="6"/>
      <c r="AJ288" s="33">
        <f>TABL1234[[#This Row],[(A/B) AJD]]-TABL1234[[#This Row],[BER_IN]]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Row],[(A/S) AJD]]-TABL1234[[#This Row],[SER_IN]]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 (T/B) SAR]]+TABL1234[[#This Row],[ (S/S) SAR]]</f>
        <v>0</v>
      </c>
      <c r="L289" s="28"/>
      <c r="M289" s="29"/>
      <c r="N289" s="30"/>
      <c r="O289" s="14"/>
      <c r="P289" s="9">
        <f>TABL1234[[#This Row],[ (S/S) SAR]]-TABL1234[[#This Row],[(S/S) AJD]]</f>
        <v>0</v>
      </c>
      <c r="Q289" s="14"/>
      <c r="R289" s="9">
        <f>TABL1234[[#This Row],[ (T/B) SAR]]-TABL1234[[#This Row],[(T/B) AJD]]</f>
        <v>0</v>
      </c>
      <c r="S289" s="9">
        <f>TABL1234[[#This Row],[T/B-CON.]]+TABL1234[[#This Row],[S/S_CON.]]</f>
        <v>0</v>
      </c>
      <c r="T289" s="9">
        <f>TABL1234[[#This Row],[(S/S) AJD]]+TABL1234[[#This Row],[(T/B) AJD]]</f>
        <v>0</v>
      </c>
      <c r="U289" s="14"/>
      <c r="V289" s="14"/>
      <c r="W289" s="9">
        <f>TABL1234[[#This Row],[(A/B) AJD]]+TABL1234[[#This Row],[(A/S)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Row],[AJD_Evaporation]])</f>
        <v>0</v>
      </c>
      <c r="AE289" s="33"/>
      <c r="AF289" s="6"/>
      <c r="AG289" s="6"/>
      <c r="AH289" s="6"/>
      <c r="AI289" s="6"/>
      <c r="AJ289" s="33">
        <f>TABL1234[[#This Row],[(A/B) AJD]]-TABL1234[[#This Row],[BER_IN]]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Row],[(A/S) AJD]]-TABL1234[[#This Row],[SER_IN]]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 (T/B) SAR]]+TABL1234[[#This Row],[ (S/S) SAR]]</f>
        <v>0</v>
      </c>
      <c r="L290" s="28"/>
      <c r="M290" s="29"/>
      <c r="N290" s="30"/>
      <c r="O290" s="14"/>
      <c r="P290" s="9">
        <f>TABL1234[[#This Row],[ (S/S) SAR]]-TABL1234[[#This Row],[(S/S) AJD]]</f>
        <v>0</v>
      </c>
      <c r="Q290" s="14"/>
      <c r="R290" s="9">
        <f>TABL1234[[#This Row],[ (T/B) SAR]]-TABL1234[[#This Row],[(T/B) AJD]]</f>
        <v>0</v>
      </c>
      <c r="S290" s="9">
        <f>TABL1234[[#This Row],[T/B-CON.]]+TABL1234[[#This Row],[S/S_CON.]]</f>
        <v>0</v>
      </c>
      <c r="T290" s="9">
        <f>TABL1234[[#This Row],[(S/S) AJD]]+TABL1234[[#This Row],[(T/B) AJD]]</f>
        <v>0</v>
      </c>
      <c r="U290" s="14"/>
      <c r="V290" s="14"/>
      <c r="W290" s="9">
        <f>TABL1234[[#This Row],[(A/B) AJD]]+TABL1234[[#This Row],[(A/S)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Row],[AJD_Evaporation]])</f>
        <v>0</v>
      </c>
      <c r="AE290" s="33"/>
      <c r="AF290" s="6"/>
      <c r="AG290" s="6"/>
      <c r="AH290" s="6"/>
      <c r="AI290" s="6"/>
      <c r="AJ290" s="33">
        <f>TABL1234[[#This Row],[(A/B) AJD]]-TABL1234[[#This Row],[BER_IN]]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Row],[(A/S) AJD]]-TABL1234[[#This Row],[SER_IN]]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 (T/B) SAR]]+TABL1234[[#This Row],[ (S/S) SAR]]</f>
        <v>0</v>
      </c>
      <c r="L291" s="28"/>
      <c r="M291" s="29"/>
      <c r="N291" s="30"/>
      <c r="O291" s="14"/>
      <c r="P291" s="9">
        <f>TABL1234[[#This Row],[ (S/S) SAR]]-TABL1234[[#This Row],[(S/S) AJD]]</f>
        <v>0</v>
      </c>
      <c r="Q291" s="14"/>
      <c r="R291" s="9">
        <f>TABL1234[[#This Row],[ (T/B) SAR]]-TABL1234[[#This Row],[(T/B) AJD]]</f>
        <v>0</v>
      </c>
      <c r="S291" s="9">
        <f>TABL1234[[#This Row],[T/B-CON.]]+TABL1234[[#This Row],[S/S_CON.]]</f>
        <v>0</v>
      </c>
      <c r="T291" s="9">
        <f>TABL1234[[#This Row],[(S/S) AJD]]+TABL1234[[#This Row],[(T/B) AJD]]</f>
        <v>0</v>
      </c>
      <c r="U291" s="14"/>
      <c r="V291" s="14"/>
      <c r="W291" s="9">
        <f>TABL1234[[#This Row],[(A/B) AJD]]+TABL1234[[#This Row],[(A/S)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Row],[AJD_Evaporation]])</f>
        <v>0</v>
      </c>
      <c r="AE291" s="33"/>
      <c r="AF291" s="6"/>
      <c r="AG291" s="6"/>
      <c r="AH291" s="6"/>
      <c r="AI291" s="6"/>
      <c r="AJ291" s="33">
        <f>TABL1234[[#This Row],[(A/B) AJD]]-TABL1234[[#This Row],[BER_IN]]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Row],[(A/S) AJD]]-TABL1234[[#This Row],[SER_IN]]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 (T/B) SAR]]+TABL1234[[#This Row],[ (S/S) SAR]]</f>
        <v>0</v>
      </c>
      <c r="L292" s="28"/>
      <c r="M292" s="29"/>
      <c r="N292" s="30"/>
      <c r="O292" s="9"/>
      <c r="P292" s="9">
        <f>TABL1234[[#This Row],[ (S/S) SAR]]-TABL1234[[#This Row],[(S/S) AJD]]</f>
        <v>0</v>
      </c>
      <c r="Q292" s="9"/>
      <c r="R292" s="9">
        <f>TABL1234[[#This Row],[ (T/B) SAR]]-TABL1234[[#This Row],[(T/B) AJD]]</f>
        <v>0</v>
      </c>
      <c r="S292" s="9">
        <f>TABL1234[[#This Row],[T/B-CON.]]+TABL1234[[#This Row],[S/S_CON.]]</f>
        <v>0</v>
      </c>
      <c r="T292" s="9">
        <f>TABL1234[[#This Row],[(S/S) AJD]]+TABL1234[[#This Row],[(T/B) AJD]]</f>
        <v>0</v>
      </c>
      <c r="U292" s="9"/>
      <c r="V292" s="9"/>
      <c r="W292" s="9">
        <f>TABL1234[[#This Row],[(A/B) AJD]]+TABL1234[[#This Row],[(A/S)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Row],[AJD_Evaporation]])</f>
        <v>0</v>
      </c>
      <c r="AE292" s="33"/>
      <c r="AF292" s="6"/>
      <c r="AG292" s="6"/>
      <c r="AH292" s="6"/>
      <c r="AI292" s="6"/>
      <c r="AJ292" s="33">
        <f>TABL1234[[#This Row],[(A/B) AJD]]-TABL1234[[#This Row],[BER_IN]]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Row],[(A/S) AJD]]-TABL1234[[#This Row],[SER_IN]]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 (T/B) SAR]]+TABL1234[[#This Row],[ (S/S) SAR]]</f>
        <v>0</v>
      </c>
      <c r="L293" s="28"/>
      <c r="M293" s="29"/>
      <c r="N293" s="30"/>
      <c r="O293" s="9"/>
      <c r="P293" s="9">
        <f>TABL1234[[#This Row],[ (S/S) SAR]]-TABL1234[[#This Row],[(S/S) AJD]]</f>
        <v>0</v>
      </c>
      <c r="Q293" s="9"/>
      <c r="R293" s="9">
        <f>TABL1234[[#This Row],[ (T/B) SAR]]-TABL1234[[#This Row],[(T/B) AJD]]</f>
        <v>0</v>
      </c>
      <c r="S293" s="9">
        <f>TABL1234[[#This Row],[T/B-CON.]]+TABL1234[[#This Row],[S/S_CON.]]</f>
        <v>0</v>
      </c>
      <c r="T293" s="9">
        <f>TABL1234[[#This Row],[(S/S) AJD]]+TABL1234[[#This Row],[(T/B) AJD]]</f>
        <v>0</v>
      </c>
      <c r="U293" s="9"/>
      <c r="V293" s="9"/>
      <c r="W293" s="9">
        <f>TABL1234[[#This Row],[(A/B) AJD]]+TABL1234[[#This Row],[(A/S)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Row],[AJD_Evaporation]])</f>
        <v>0</v>
      </c>
      <c r="AE293" s="33"/>
      <c r="AF293" s="6"/>
      <c r="AG293" s="6"/>
      <c r="AH293" s="6"/>
      <c r="AI293" s="6"/>
      <c r="AJ293" s="33">
        <f>TABL1234[[#This Row],[(A/B) AJD]]-TABL1234[[#This Row],[BER_IN]]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Row],[(A/S) AJD]]-TABL1234[[#This Row],[SER_IN]]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 (T/B) SAR]]+TABL1234[[#This Row],[ (S/S) SAR]]</f>
        <v>0</v>
      </c>
      <c r="L294" s="28"/>
      <c r="M294" s="29"/>
      <c r="N294" s="30"/>
      <c r="O294" s="9"/>
      <c r="P294" s="9">
        <f>TABL1234[[#This Row],[ (S/S) SAR]]-TABL1234[[#This Row],[(S/S) AJD]]</f>
        <v>0</v>
      </c>
      <c r="Q294" s="9"/>
      <c r="R294" s="9">
        <f>TABL1234[[#This Row],[ (T/B) SAR]]-TABL1234[[#This Row],[(T/B) AJD]]</f>
        <v>0</v>
      </c>
      <c r="S294" s="9">
        <f>TABL1234[[#This Row],[T/B-CON.]]+TABL1234[[#This Row],[S/S_CON.]]</f>
        <v>0</v>
      </c>
      <c r="T294" s="9">
        <f>TABL1234[[#This Row],[(S/S) AJD]]+TABL1234[[#This Row],[(T/B) AJD]]</f>
        <v>0</v>
      </c>
      <c r="U294" s="9"/>
      <c r="V294" s="9"/>
      <c r="W294" s="9">
        <f>TABL1234[[#This Row],[(A/B) AJD]]+TABL1234[[#This Row],[(A/S)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Row],[AJD_Evaporation]])</f>
        <v>0</v>
      </c>
      <c r="AE294" s="33"/>
      <c r="AF294" s="6"/>
      <c r="AG294" s="6"/>
      <c r="AH294" s="6"/>
      <c r="AI294" s="6"/>
      <c r="AJ294" s="33">
        <f>TABL1234[[#This Row],[(A/B) AJD]]-TABL1234[[#This Row],[BER_IN]]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Row],[(A/S) AJD]]-TABL1234[[#This Row],[SER_IN]]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 (T/B) SAR]]+TABL1234[[#This Row],[ (S/S) SAR]]</f>
        <v>0</v>
      </c>
      <c r="L295" s="28"/>
      <c r="M295" s="29"/>
      <c r="N295" s="30"/>
      <c r="O295" s="9"/>
      <c r="P295" s="9">
        <f>TABL1234[[#This Row],[ (S/S) SAR]]-TABL1234[[#This Row],[(S/S) AJD]]</f>
        <v>0</v>
      </c>
      <c r="Q295" s="9"/>
      <c r="R295" s="9">
        <f>TABL1234[[#This Row],[ (T/B) SAR]]-TABL1234[[#This Row],[(T/B) AJD]]</f>
        <v>0</v>
      </c>
      <c r="S295" s="9">
        <f>TABL1234[[#This Row],[T/B-CON.]]+TABL1234[[#This Row],[S/S_CON.]]</f>
        <v>0</v>
      </c>
      <c r="T295" s="9">
        <f>TABL1234[[#This Row],[(S/S) AJD]]+TABL1234[[#This Row],[(T/B) AJD]]</f>
        <v>0</v>
      </c>
      <c r="U295" s="9"/>
      <c r="V295" s="9"/>
      <c r="W295" s="9">
        <f>TABL1234[[#This Row],[(A/B) AJD]]+TABL1234[[#This Row],[(A/S)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Row],[AJD_Evaporation]])</f>
        <v>0</v>
      </c>
      <c r="AE295" s="33"/>
      <c r="AF295" s="6"/>
      <c r="AG295" s="6"/>
      <c r="AH295" s="6"/>
      <c r="AI295" s="6"/>
      <c r="AJ295" s="33">
        <f>TABL1234[[#This Row],[(A/B) AJD]]-TABL1234[[#This Row],[BER_IN]]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Row],[(A/S) AJD]]-TABL1234[[#This Row],[SER_IN]]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 (T/B) SAR]]+TABL1234[[#This Row],[ (S/S) SAR]]</f>
        <v>0</v>
      </c>
      <c r="L296" s="28"/>
      <c r="M296" s="29"/>
      <c r="N296" s="30"/>
      <c r="O296" s="9"/>
      <c r="P296" s="9">
        <f>TABL1234[[#This Row],[ (S/S) SAR]]-TABL1234[[#This Row],[(S/S) AJD]]</f>
        <v>0</v>
      </c>
      <c r="Q296" s="9"/>
      <c r="R296" s="9">
        <f>TABL1234[[#This Row],[ (T/B) SAR]]-TABL1234[[#This Row],[(T/B) AJD]]</f>
        <v>0</v>
      </c>
      <c r="S296" s="9">
        <f>TABL1234[[#This Row],[T/B-CON.]]+TABL1234[[#This Row],[S/S_CON.]]</f>
        <v>0</v>
      </c>
      <c r="T296" s="9">
        <f>TABL1234[[#This Row],[(S/S) AJD]]+TABL1234[[#This Row],[(T/B) AJD]]</f>
        <v>0</v>
      </c>
      <c r="U296" s="9"/>
      <c r="V296" s="9"/>
      <c r="W296" s="9">
        <f>TABL1234[[#This Row],[(A/B) AJD]]+TABL1234[[#This Row],[(A/S)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Row],[AJD_Evaporation]])</f>
        <v>0</v>
      </c>
      <c r="AE296" s="33"/>
      <c r="AF296" s="6"/>
      <c r="AG296" s="6"/>
      <c r="AH296" s="6"/>
      <c r="AI296" s="6"/>
      <c r="AJ296" s="33">
        <f>TABL1234[[#This Row],[(A/B) AJD]]-TABL1234[[#This Row],[BER_IN]]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Row],[(A/S) AJD]]-TABL1234[[#This Row],[SER_IN]]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 (T/B) SAR]]+TABL1234[[#This Row],[ (S/S) SAR]]</f>
        <v>0</v>
      </c>
      <c r="L297" s="28"/>
      <c r="M297" s="29"/>
      <c r="N297" s="30"/>
      <c r="O297" s="9"/>
      <c r="P297" s="9">
        <f>TABL1234[[#This Row],[ (S/S) SAR]]-TABL1234[[#This Row],[(S/S) AJD]]</f>
        <v>0</v>
      </c>
      <c r="Q297" s="9"/>
      <c r="R297" s="9">
        <f>TABL1234[[#This Row],[ (T/B) SAR]]-TABL1234[[#This Row],[(T/B) AJD]]</f>
        <v>0</v>
      </c>
      <c r="S297" s="9">
        <f>TABL1234[[#This Row],[T/B-CON.]]+TABL1234[[#This Row],[S/S_CON.]]</f>
        <v>0</v>
      </c>
      <c r="T297" s="9">
        <f>TABL1234[[#This Row],[(S/S) AJD]]+TABL1234[[#This Row],[(T/B) AJD]]</f>
        <v>0</v>
      </c>
      <c r="U297" s="9"/>
      <c r="V297" s="9"/>
      <c r="W297" s="9">
        <f>TABL1234[[#This Row],[(A/B) AJD]]+TABL1234[[#This Row],[(A/S)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Row],[AJD_Evaporation]])</f>
        <v>0</v>
      </c>
      <c r="AE297" s="33"/>
      <c r="AF297" s="6"/>
      <c r="AG297" s="6"/>
      <c r="AH297" s="6"/>
      <c r="AI297" s="6"/>
      <c r="AJ297" s="33">
        <f>TABL1234[[#This Row],[(A/B) AJD]]-TABL1234[[#This Row],[BER_IN]]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Row],[(A/S) AJD]]-TABL1234[[#This Row],[SER_IN]]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 (T/B) SAR]]+TABL1234[[#This Row],[ (S/S) SAR]]</f>
        <v>0</v>
      </c>
      <c r="L298" s="28"/>
      <c r="M298" s="29"/>
      <c r="N298" s="30"/>
      <c r="O298" s="9"/>
      <c r="P298" s="9">
        <f>TABL1234[[#This Row],[ (S/S) SAR]]-TABL1234[[#This Row],[(S/S) AJD]]</f>
        <v>0</v>
      </c>
      <c r="Q298" s="9"/>
      <c r="R298" s="9">
        <f>TABL1234[[#This Row],[ (T/B) SAR]]-TABL1234[[#This Row],[(T/B) AJD]]</f>
        <v>0</v>
      </c>
      <c r="S298" s="9">
        <f>TABL1234[[#This Row],[T/B-CON.]]+TABL1234[[#This Row],[S/S_CON.]]</f>
        <v>0</v>
      </c>
      <c r="T298" s="9">
        <f>TABL1234[[#This Row],[(S/S) AJD]]+TABL1234[[#This Row],[(T/B) AJD]]</f>
        <v>0</v>
      </c>
      <c r="U298" s="9"/>
      <c r="V298" s="9"/>
      <c r="W298" s="9">
        <f>TABL1234[[#This Row],[(A/B) AJD]]+TABL1234[[#This Row],[(A/S)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Row],[AJD_Evaporation]])</f>
        <v>0</v>
      </c>
      <c r="AE298" s="33"/>
      <c r="AF298" s="6"/>
      <c r="AG298" s="6"/>
      <c r="AH298" s="6"/>
      <c r="AI298" s="6"/>
      <c r="AJ298" s="33">
        <f>TABL1234[[#This Row],[(A/B) AJD]]-TABL1234[[#This Row],[BER_IN]]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Row],[(A/S) AJD]]-TABL1234[[#This Row],[SER_IN]]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 (T/B) SAR]]+TABL1234[[#This Row],[ (S/S) SAR]]</f>
        <v>0</v>
      </c>
      <c r="L299" s="28"/>
      <c r="M299" s="29"/>
      <c r="N299" s="30"/>
      <c r="O299" s="9"/>
      <c r="P299" s="9">
        <f>TABL1234[[#This Row],[ (S/S) SAR]]-TABL1234[[#This Row],[(S/S) AJD]]</f>
        <v>0</v>
      </c>
      <c r="Q299" s="9"/>
      <c r="R299" s="9">
        <f>TABL1234[[#This Row],[ (T/B) SAR]]-TABL1234[[#This Row],[(T/B) AJD]]</f>
        <v>0</v>
      </c>
      <c r="S299" s="9">
        <f>TABL1234[[#This Row],[T/B-CON.]]+TABL1234[[#This Row],[S/S_CON.]]</f>
        <v>0</v>
      </c>
      <c r="T299" s="9">
        <f>TABL1234[[#This Row],[(S/S) AJD]]+TABL1234[[#This Row],[(T/B) AJD]]</f>
        <v>0</v>
      </c>
      <c r="U299" s="9"/>
      <c r="V299" s="9"/>
      <c r="W299" s="9">
        <f>TABL1234[[#This Row],[(A/B) AJD]]+TABL1234[[#This Row],[(A/S)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Row],[AJD_Evaporation]])</f>
        <v>0</v>
      </c>
      <c r="AE299" s="33"/>
      <c r="AF299" s="6"/>
      <c r="AG299" s="6"/>
      <c r="AH299" s="6"/>
      <c r="AI299" s="6"/>
      <c r="AJ299" s="33">
        <f>TABL1234[[#This Row],[(A/B) AJD]]-TABL1234[[#This Row],[BER_IN]]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Row],[(A/S) AJD]]-TABL1234[[#This Row],[SER_IN]]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 (T/B) SAR]]+TABL1234[[#This Row],[ (S/S) SAR]]</f>
        <v>0</v>
      </c>
      <c r="L300" s="28"/>
      <c r="M300" s="29"/>
      <c r="N300" s="30"/>
      <c r="O300" s="9"/>
      <c r="P300" s="9">
        <f>TABL1234[[#This Row],[ (S/S) SAR]]-TABL1234[[#This Row],[(S/S) AJD]]</f>
        <v>0</v>
      </c>
      <c r="Q300" s="9"/>
      <c r="R300" s="9">
        <f>TABL1234[[#This Row],[ (T/B) SAR]]-TABL1234[[#This Row],[(T/B) AJD]]</f>
        <v>0</v>
      </c>
      <c r="S300" s="9">
        <f>TABL1234[[#This Row],[T/B-CON.]]+TABL1234[[#This Row],[S/S_CON.]]</f>
        <v>0</v>
      </c>
      <c r="T300" s="9">
        <f>TABL1234[[#This Row],[(S/S) AJD]]+TABL1234[[#This Row],[(T/B) AJD]]</f>
        <v>0</v>
      </c>
      <c r="U300" s="9"/>
      <c r="V300" s="9"/>
      <c r="W300" s="9">
        <f>TABL1234[[#This Row],[(A/B) AJD]]+TABL1234[[#This Row],[(A/S)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Row],[AJD_Evaporation]])</f>
        <v>0</v>
      </c>
      <c r="AE300" s="33"/>
      <c r="AF300" s="6"/>
      <c r="AG300" s="6"/>
      <c r="AH300" s="6"/>
      <c r="AI300" s="6"/>
      <c r="AJ300" s="33">
        <f>TABL1234[[#This Row],[(A/B) AJD]]-TABL1234[[#This Row],[BER_IN]]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Row],[(A/S) AJD]]-TABL1234[[#This Row],[SER_IN]]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 (T/B) SAR]]+TABL1234[[#This Row],[ (S/S) SAR]]</f>
        <v>0</v>
      </c>
      <c r="L301" s="28"/>
      <c r="M301" s="29"/>
      <c r="N301" s="30"/>
      <c r="O301" s="9"/>
      <c r="P301" s="9">
        <f>TABL1234[[#This Row],[ (S/S) SAR]]-TABL1234[[#This Row],[(S/S) AJD]]</f>
        <v>0</v>
      </c>
      <c r="Q301" s="9"/>
      <c r="R301" s="9">
        <f>TABL1234[[#This Row],[ (T/B) SAR]]-TABL1234[[#This Row],[(T/B) AJD]]</f>
        <v>0</v>
      </c>
      <c r="S301" s="9">
        <f>TABL1234[[#This Row],[T/B-CON.]]+TABL1234[[#This Row],[S/S_CON.]]</f>
        <v>0</v>
      </c>
      <c r="T301" s="9">
        <f>TABL1234[[#This Row],[(S/S) AJD]]+TABL1234[[#This Row],[(T/B) AJD]]</f>
        <v>0</v>
      </c>
      <c r="U301" s="9"/>
      <c r="V301" s="9"/>
      <c r="W301" s="9">
        <f>TABL1234[[#This Row],[(A/B) AJD]]+TABL1234[[#This Row],[(A/S)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Row],[AJD_Evaporation]])</f>
        <v>0</v>
      </c>
      <c r="AE301" s="33"/>
      <c r="AF301" s="6"/>
      <c r="AG301" s="6"/>
      <c r="AH301" s="6"/>
      <c r="AI301" s="6"/>
      <c r="AJ301" s="33">
        <f>TABL1234[[#This Row],[(A/B) AJD]]-TABL1234[[#This Row],[BER_IN]]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Row],[(A/S) AJD]]-TABL1234[[#This Row],[SER_IN]]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 (T/B) SAR]]+TABL1234[[#This Row],[ (S/S) SAR]]</f>
        <v>0</v>
      </c>
      <c r="L302" s="28"/>
      <c r="M302" s="29"/>
      <c r="N302" s="30"/>
      <c r="O302" s="9"/>
      <c r="P302" s="9">
        <f>TABL1234[[#This Row],[ (S/S) SAR]]-TABL1234[[#This Row],[(S/S) AJD]]</f>
        <v>0</v>
      </c>
      <c r="Q302" s="9"/>
      <c r="R302" s="9">
        <f>TABL1234[[#This Row],[ (T/B) SAR]]-TABL1234[[#This Row],[(T/B) AJD]]</f>
        <v>0</v>
      </c>
      <c r="S302" s="9">
        <f>TABL1234[[#This Row],[T/B-CON.]]+TABL1234[[#This Row],[S/S_CON.]]</f>
        <v>0</v>
      </c>
      <c r="T302" s="9">
        <f>TABL1234[[#This Row],[(S/S) AJD]]+TABL1234[[#This Row],[(T/B) AJD]]</f>
        <v>0</v>
      </c>
      <c r="U302" s="9"/>
      <c r="V302" s="9"/>
      <c r="W302" s="9">
        <f>TABL1234[[#This Row],[(A/B) AJD]]+TABL1234[[#This Row],[(A/S)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Row],[AJD_Evaporation]])</f>
        <v>0</v>
      </c>
      <c r="AE302" s="33"/>
      <c r="AF302" s="6"/>
      <c r="AG302" s="6"/>
      <c r="AH302" s="6"/>
      <c r="AI302" s="6"/>
      <c r="AJ302" s="33">
        <f>TABL1234[[#This Row],[(A/B) AJD]]-TABL1234[[#This Row],[BER_IN]]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Row],[(A/S) AJD]]-TABL1234[[#This Row],[SER_IN]]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 (T/B) SAR]]+TABL1234[[#This Row],[ (S/S) SAR]]</f>
        <v>0</v>
      </c>
      <c r="L303" s="28"/>
      <c r="M303" s="29"/>
      <c r="N303" s="30"/>
      <c r="O303" s="9"/>
      <c r="P303" s="9">
        <f>TABL1234[[#This Row],[ (S/S) SAR]]-TABL1234[[#This Row],[(S/S) AJD]]</f>
        <v>0</v>
      </c>
      <c r="Q303" s="9"/>
      <c r="R303" s="9">
        <f>TABL1234[[#This Row],[ (T/B) SAR]]-TABL1234[[#This Row],[(T/B) AJD]]</f>
        <v>0</v>
      </c>
      <c r="S303" s="9">
        <f>TABL1234[[#This Row],[T/B-CON.]]+TABL1234[[#This Row],[S/S_CON.]]</f>
        <v>0</v>
      </c>
      <c r="T303" s="9">
        <f>TABL1234[[#This Row],[(S/S) AJD]]+TABL1234[[#This Row],[(T/B) AJD]]</f>
        <v>0</v>
      </c>
      <c r="U303" s="9"/>
      <c r="V303" s="9"/>
      <c r="W303" s="9">
        <f>TABL1234[[#This Row],[(A/B) AJD]]+TABL1234[[#This Row],[(A/S)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Row],[AJD_Evaporation]])</f>
        <v>0</v>
      </c>
      <c r="AE303" s="33"/>
      <c r="AF303" s="6"/>
      <c r="AG303" s="6"/>
      <c r="AH303" s="6"/>
      <c r="AI303" s="6"/>
      <c r="AJ303" s="33">
        <f>TABL1234[[#This Row],[(A/B) AJD]]-TABL1234[[#This Row],[BER_IN]]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Row],[(A/S) AJD]]-TABL1234[[#This Row],[SER_IN]]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 (T/B) SAR]]+TABL1234[[#This Row],[ (S/S) SAR]]</f>
        <v>0</v>
      </c>
      <c r="L304" s="28"/>
      <c r="M304" s="29"/>
      <c r="N304" s="30"/>
      <c r="O304" s="9"/>
      <c r="P304" s="9">
        <f>TABL1234[[#This Row],[ (S/S) SAR]]-TABL1234[[#This Row],[(S/S) AJD]]</f>
        <v>0</v>
      </c>
      <c r="Q304" s="9"/>
      <c r="R304" s="9">
        <f>TABL1234[[#This Row],[ (T/B) SAR]]-TABL1234[[#This Row],[(T/B) AJD]]</f>
        <v>0</v>
      </c>
      <c r="S304" s="9">
        <f>TABL1234[[#This Row],[T/B-CON.]]+TABL1234[[#This Row],[S/S_CON.]]</f>
        <v>0</v>
      </c>
      <c r="T304" s="9">
        <f>TABL1234[[#This Row],[(S/S) AJD]]+TABL1234[[#This Row],[(T/B) AJD]]</f>
        <v>0</v>
      </c>
      <c r="U304" s="9"/>
      <c r="V304" s="9"/>
      <c r="W304" s="9">
        <f>TABL1234[[#This Row],[(A/B) AJD]]+TABL1234[[#This Row],[(A/S)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Row],[AJD_Evaporation]])</f>
        <v>0</v>
      </c>
      <c r="AE304" s="33"/>
      <c r="AF304" s="6"/>
      <c r="AG304" s="6"/>
      <c r="AH304" s="6"/>
      <c r="AI304" s="6"/>
      <c r="AJ304" s="33">
        <f>TABL1234[[#This Row],[(A/B) AJD]]-TABL1234[[#This Row],[BER_IN]]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Row],[(A/S) AJD]]-TABL1234[[#This Row],[SER_IN]]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 (T/B) SAR]]+TABL1234[[#This Row],[ (S/S) SAR]]</f>
        <v>0</v>
      </c>
      <c r="L305" s="28"/>
      <c r="M305" s="29"/>
      <c r="N305" s="30"/>
      <c r="O305" s="9"/>
      <c r="P305" s="9">
        <f>TABL1234[[#This Row],[ (S/S) SAR]]-TABL1234[[#This Row],[(S/S) AJD]]</f>
        <v>0</v>
      </c>
      <c r="Q305" s="9"/>
      <c r="R305" s="9">
        <f>TABL1234[[#This Row],[ (T/B) SAR]]-TABL1234[[#This Row],[(T/B) AJD]]</f>
        <v>0</v>
      </c>
      <c r="S305" s="9">
        <f>TABL1234[[#This Row],[T/B-CON.]]+TABL1234[[#This Row],[S/S_CON.]]</f>
        <v>0</v>
      </c>
      <c r="T305" s="9">
        <f>TABL1234[[#This Row],[(S/S) AJD]]+TABL1234[[#This Row],[(T/B) AJD]]</f>
        <v>0</v>
      </c>
      <c r="U305" s="9"/>
      <c r="V305" s="9"/>
      <c r="W305" s="9">
        <f>TABL1234[[#This Row],[(A/B) AJD]]+TABL1234[[#This Row],[(A/S)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Row],[AJD_Evaporation]])</f>
        <v>0</v>
      </c>
      <c r="AE305" s="33"/>
      <c r="AF305" s="6"/>
      <c r="AG305" s="6"/>
      <c r="AH305" s="6"/>
      <c r="AI305" s="6"/>
      <c r="AJ305" s="33">
        <f>TABL1234[[#This Row],[(A/B) AJD]]-TABL1234[[#This Row],[BER_IN]]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Row],[(A/S) AJD]]-TABL1234[[#This Row],[SER_IN]]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 (T/B) SAR]]+TABL1234[[#This Row],[ (S/S) SAR]]</f>
        <v>0</v>
      </c>
      <c r="L306" s="28"/>
      <c r="M306" s="29"/>
      <c r="N306" s="30"/>
      <c r="O306" s="39"/>
      <c r="P306" s="9">
        <f>TABL1234[[#This Row],[ (S/S) SAR]]-TABL1234[[#This Row],[(S/S) AJD]]</f>
        <v>0</v>
      </c>
      <c r="Q306" s="9"/>
      <c r="R306" s="9">
        <f>TABL1234[[#This Row],[ (T/B) SAR]]-TABL1234[[#This Row],[(T/B) AJD]]</f>
        <v>0</v>
      </c>
      <c r="S306" s="9">
        <f>TABL1234[[#This Row],[T/B-CON.]]+TABL1234[[#This Row],[S/S_CON.]]</f>
        <v>0</v>
      </c>
      <c r="T306" s="9">
        <f>TABL1234[[#This Row],[(S/S) AJD]]+TABL1234[[#This Row],[(T/B) AJD]]</f>
        <v>0</v>
      </c>
      <c r="U306" s="9"/>
      <c r="V306" s="9"/>
      <c r="W306" s="9">
        <f>TABL1234[[#This Row],[(A/B) AJD]]+TABL1234[[#This Row],[(A/S)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Row],[AJD_Evaporation]])</f>
        <v>0</v>
      </c>
      <c r="AE306" s="33"/>
      <c r="AF306" s="6"/>
      <c r="AG306" s="6"/>
      <c r="AH306" s="6"/>
      <c r="AI306" s="6"/>
      <c r="AJ306" s="33">
        <f>TABL1234[[#This Row],[(A/B) AJD]]-TABL1234[[#This Row],[BER_IN]]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Row],[(A/S) AJD]]-TABL1234[[#This Row],[SER_IN]]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 (T/B) SAR]]+TABL1234[[#This Row],[ (S/S) SAR]]</f>
        <v>0</v>
      </c>
      <c r="L307" s="28"/>
      <c r="M307" s="29"/>
      <c r="N307" s="30"/>
      <c r="O307" s="40"/>
      <c r="P307" s="9">
        <f>TABL1234[[#This Row],[ (S/S) SAR]]-TABL1234[[#This Row],[(S/S) AJD]]</f>
        <v>0</v>
      </c>
      <c r="Q307" s="9"/>
      <c r="R307" s="9">
        <f>TABL1234[[#This Row],[ (T/B) SAR]]-TABL1234[[#This Row],[(T/B) AJD]]</f>
        <v>0</v>
      </c>
      <c r="S307" s="9">
        <f>TABL1234[[#This Row],[T/B-CON.]]+TABL1234[[#This Row],[S/S_CON.]]</f>
        <v>0</v>
      </c>
      <c r="T307" s="9">
        <f>TABL1234[[#This Row],[(S/S) AJD]]+TABL1234[[#This Row],[(T/B) AJD]]</f>
        <v>0</v>
      </c>
      <c r="U307" s="9"/>
      <c r="V307" s="9"/>
      <c r="W307" s="9">
        <f>TABL1234[[#This Row],[(A/B) AJD]]+TABL1234[[#This Row],[(A/S)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Row],[AJD_Evaporation]])</f>
        <v>0</v>
      </c>
      <c r="AE307" s="33"/>
      <c r="AF307" s="6"/>
      <c r="AG307" s="6"/>
      <c r="AH307" s="6"/>
      <c r="AI307" s="6"/>
      <c r="AJ307" s="33">
        <f>TABL1234[[#This Row],[(A/B) AJD]]-TABL1234[[#This Row],[BER_IN]]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Row],[(A/S) AJD]]-TABL1234[[#This Row],[SER_IN]]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 (T/B) SAR]]+TABL1234[[#This Row],[ (S/S) SAR]]</f>
        <v>0</v>
      </c>
      <c r="L308" s="28"/>
      <c r="M308" s="29"/>
      <c r="N308" s="30"/>
      <c r="O308" s="39"/>
      <c r="P308" s="9">
        <f>TABL1234[[#This Row],[ (S/S) SAR]]-TABL1234[[#This Row],[(S/S) AJD]]</f>
        <v>0</v>
      </c>
      <c r="Q308" s="9"/>
      <c r="R308" s="9">
        <f>TABL1234[[#This Row],[ (T/B) SAR]]-TABL1234[[#This Row],[(T/B) AJD]]</f>
        <v>0</v>
      </c>
      <c r="S308" s="9">
        <f>TABL1234[[#This Row],[T/B-CON.]]+TABL1234[[#This Row],[S/S_CON.]]</f>
        <v>0</v>
      </c>
      <c r="T308" s="9">
        <f>TABL1234[[#This Row],[(S/S) AJD]]+TABL1234[[#This Row],[(T/B) AJD]]</f>
        <v>0</v>
      </c>
      <c r="U308" s="9"/>
      <c r="V308" s="9"/>
      <c r="W308" s="9">
        <f>TABL1234[[#This Row],[(A/B) AJD]]+TABL1234[[#This Row],[(A/S)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Row],[AJD_Evaporation]])</f>
        <v>0</v>
      </c>
      <c r="AE308" s="33"/>
      <c r="AF308" s="6"/>
      <c r="AG308" s="6"/>
      <c r="AH308" s="6"/>
      <c r="AI308" s="6"/>
      <c r="AJ308" s="33">
        <f>TABL1234[[#This Row],[(A/B) AJD]]-TABL1234[[#This Row],[BER_IN]]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Row],[(A/S) AJD]]-TABL1234[[#This Row],[SER_IN]]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 (T/B) SAR]]+TABL1234[[#This Row],[ (S/S) SAR]]</f>
        <v>0</v>
      </c>
      <c r="L309" s="28"/>
      <c r="M309" s="29"/>
      <c r="N309" s="30"/>
      <c r="O309" s="40"/>
      <c r="P309" s="9">
        <f>TABL1234[[#This Row],[ (S/S) SAR]]-TABL1234[[#This Row],[(S/S) AJD]]</f>
        <v>0</v>
      </c>
      <c r="Q309" s="9"/>
      <c r="R309" s="9">
        <f>TABL1234[[#This Row],[ (T/B) SAR]]-TABL1234[[#This Row],[(T/B) AJD]]</f>
        <v>0</v>
      </c>
      <c r="S309" s="9">
        <f>TABL1234[[#This Row],[T/B-CON.]]+TABL1234[[#This Row],[S/S_CON.]]</f>
        <v>0</v>
      </c>
      <c r="T309" s="9">
        <f>TABL1234[[#This Row],[(S/S) AJD]]+TABL1234[[#This Row],[(T/B) AJD]]</f>
        <v>0</v>
      </c>
      <c r="U309" s="9"/>
      <c r="V309" s="9"/>
      <c r="W309" s="9">
        <f>TABL1234[[#This Row],[(A/B) AJD]]+TABL1234[[#This Row],[(A/S)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Row],[AJD_Evaporation]])</f>
        <v>0</v>
      </c>
      <c r="AE309" s="33"/>
      <c r="AF309" s="6"/>
      <c r="AG309" s="6"/>
      <c r="AH309" s="6"/>
      <c r="AI309" s="6"/>
      <c r="AJ309" s="33">
        <f>TABL1234[[#This Row],[(A/B) AJD]]-TABL1234[[#This Row],[BER_IN]]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Row],[(A/S) AJD]]-TABL1234[[#This Row],[SER_IN]]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 (T/B) SAR]]+TABL1234[[#This Row],[ (S/S) SAR]]</f>
        <v>0</v>
      </c>
      <c r="L310" s="28"/>
      <c r="M310" s="29"/>
      <c r="N310" s="30"/>
      <c r="O310" s="39"/>
      <c r="P310" s="9">
        <f>TABL1234[[#This Row],[ (S/S) SAR]]-TABL1234[[#This Row],[(S/S) AJD]]</f>
        <v>0</v>
      </c>
      <c r="Q310" s="9"/>
      <c r="R310" s="9">
        <f>TABL1234[[#This Row],[ (T/B) SAR]]-TABL1234[[#This Row],[(T/B) AJD]]</f>
        <v>0</v>
      </c>
      <c r="S310" s="9">
        <f>TABL1234[[#This Row],[T/B-CON.]]+TABL1234[[#This Row],[S/S_CON.]]</f>
        <v>0</v>
      </c>
      <c r="T310" s="9">
        <f>TABL1234[[#This Row],[(S/S) AJD]]+TABL1234[[#This Row],[(T/B) AJD]]</f>
        <v>0</v>
      </c>
      <c r="U310" s="9"/>
      <c r="V310" s="9"/>
      <c r="W310" s="9">
        <f>TABL1234[[#This Row],[(A/B) AJD]]+TABL1234[[#This Row],[(A/S)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Row],[AJD_Evaporation]])</f>
        <v>0</v>
      </c>
      <c r="AE310" s="33"/>
      <c r="AF310" s="6"/>
      <c r="AG310" s="6"/>
      <c r="AH310" s="6"/>
      <c r="AI310" s="6"/>
      <c r="AJ310" s="33">
        <f>TABL1234[[#This Row],[(A/B) AJD]]-TABL1234[[#This Row],[BER_IN]]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Row],[(A/S) AJD]]-TABL1234[[#This Row],[SER_IN]]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 (T/B) SAR]]+TABL1234[[#This Row],[ (S/S) SAR]]</f>
        <v>0</v>
      </c>
      <c r="L311" s="28"/>
      <c r="M311" s="29"/>
      <c r="N311" s="30"/>
      <c r="O311" s="40"/>
      <c r="P311" s="9">
        <f>TABL1234[[#This Row],[ (S/S) SAR]]-TABL1234[[#This Row],[(S/S) AJD]]</f>
        <v>0</v>
      </c>
      <c r="Q311" s="9"/>
      <c r="R311" s="9">
        <f>TABL1234[[#This Row],[ (T/B) SAR]]-TABL1234[[#This Row],[(T/B) AJD]]</f>
        <v>0</v>
      </c>
      <c r="S311" s="9">
        <f>TABL1234[[#This Row],[T/B-CON.]]+TABL1234[[#This Row],[S/S_CON.]]</f>
        <v>0</v>
      </c>
      <c r="T311" s="9">
        <f>TABL1234[[#This Row],[(S/S) AJD]]+TABL1234[[#This Row],[(T/B) AJD]]</f>
        <v>0</v>
      </c>
      <c r="U311" s="9"/>
      <c r="V311" s="9"/>
      <c r="W311" s="9">
        <f>TABL1234[[#This Row],[(A/B) AJD]]+TABL1234[[#This Row],[(A/S)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Row],[AJD_Evaporation]])</f>
        <v>0</v>
      </c>
      <c r="AE311" s="33"/>
      <c r="AF311" s="6"/>
      <c r="AG311" s="6"/>
      <c r="AH311" s="6"/>
      <c r="AI311" s="6"/>
      <c r="AJ311" s="33">
        <f>TABL1234[[#This Row],[(A/B) AJD]]-TABL1234[[#This Row],[BER_IN]]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Row],[(A/S) AJD]]-TABL1234[[#This Row],[SER_IN]]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 (T/B) SAR]]+TABL1234[[#This Row],[ (S/S) SAR]]</f>
        <v>0</v>
      </c>
      <c r="L312" s="28"/>
      <c r="M312" s="29"/>
      <c r="N312" s="30"/>
      <c r="O312" s="39"/>
      <c r="P312" s="9">
        <f>TABL1234[[#This Row],[ (S/S) SAR]]-TABL1234[[#This Row],[(S/S) AJD]]</f>
        <v>0</v>
      </c>
      <c r="Q312" s="9"/>
      <c r="R312" s="9">
        <f>TABL1234[[#This Row],[ (T/B) SAR]]-TABL1234[[#This Row],[(T/B) AJD]]</f>
        <v>0</v>
      </c>
      <c r="S312" s="9">
        <f>TABL1234[[#This Row],[T/B-CON.]]+TABL1234[[#This Row],[S/S_CON.]]</f>
        <v>0</v>
      </c>
      <c r="T312" s="9">
        <f>TABL1234[[#This Row],[(S/S) AJD]]+TABL1234[[#This Row],[(T/B) AJD]]</f>
        <v>0</v>
      </c>
      <c r="U312" s="9"/>
      <c r="V312" s="9"/>
      <c r="W312" s="9">
        <f>TABL1234[[#This Row],[(A/B) AJD]]+TABL1234[[#This Row],[(A/S)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Row],[AJD_Evaporation]])</f>
        <v>0</v>
      </c>
      <c r="AE312" s="33"/>
      <c r="AF312" s="6"/>
      <c r="AG312" s="6"/>
      <c r="AH312" s="6"/>
      <c r="AI312" s="6"/>
      <c r="AJ312" s="33">
        <f>TABL1234[[#This Row],[(A/B) AJD]]-TABL1234[[#This Row],[BER_IN]]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Row],[(A/S) AJD]]-TABL1234[[#This Row],[SER_IN]]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 (T/B) SAR]]+TABL1234[[#This Row],[ (S/S) SAR]]</f>
        <v>0</v>
      </c>
      <c r="L313" s="28"/>
      <c r="M313" s="29"/>
      <c r="N313" s="30"/>
      <c r="O313" s="40"/>
      <c r="P313" s="9">
        <f>TABL1234[[#This Row],[ (S/S) SAR]]-TABL1234[[#This Row],[(S/S) AJD]]</f>
        <v>0</v>
      </c>
      <c r="Q313" s="9"/>
      <c r="R313" s="9">
        <f>TABL1234[[#This Row],[ (T/B) SAR]]-TABL1234[[#This Row],[(T/B) AJD]]</f>
        <v>0</v>
      </c>
      <c r="S313" s="9">
        <f>TABL1234[[#This Row],[T/B-CON.]]+TABL1234[[#This Row],[S/S_CON.]]</f>
        <v>0</v>
      </c>
      <c r="T313" s="9">
        <f>TABL1234[[#This Row],[(S/S) AJD]]+TABL1234[[#This Row],[(T/B) AJD]]</f>
        <v>0</v>
      </c>
      <c r="U313" s="9"/>
      <c r="V313" s="9"/>
      <c r="W313" s="9">
        <f>TABL1234[[#This Row],[(A/B) AJD]]+TABL1234[[#This Row],[(A/S)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Row],[AJD_Evaporation]])</f>
        <v>0</v>
      </c>
      <c r="AE313" s="33"/>
      <c r="AF313" s="6"/>
      <c r="AG313" s="6"/>
      <c r="AH313" s="6"/>
      <c r="AI313" s="6"/>
      <c r="AJ313" s="33">
        <f>TABL1234[[#This Row],[(A/B) AJD]]-TABL1234[[#This Row],[BER_IN]]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Row],[(A/S) AJD]]-TABL1234[[#This Row],[SER_IN]]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 (T/B) SAR]]+TABL1234[[#This Row],[ (S/S) SAR]]</f>
        <v>0</v>
      </c>
      <c r="L314" s="28"/>
      <c r="M314" s="29"/>
      <c r="N314" s="30"/>
      <c r="O314" s="39"/>
      <c r="P314" s="9">
        <f>TABL1234[[#This Row],[ (S/S) SAR]]-TABL1234[[#This Row],[(S/S) AJD]]</f>
        <v>0</v>
      </c>
      <c r="Q314" s="9"/>
      <c r="R314" s="9">
        <f>TABL1234[[#This Row],[ (T/B) SAR]]-TABL1234[[#This Row],[(T/B) AJD]]</f>
        <v>0</v>
      </c>
      <c r="S314" s="9">
        <f>TABL1234[[#This Row],[T/B-CON.]]+TABL1234[[#This Row],[S/S_CON.]]</f>
        <v>0</v>
      </c>
      <c r="T314" s="9">
        <f>TABL1234[[#This Row],[(S/S) AJD]]+TABL1234[[#This Row],[(T/B) AJD]]</f>
        <v>0</v>
      </c>
      <c r="U314" s="9"/>
      <c r="V314" s="9"/>
      <c r="W314" s="9">
        <f>TABL1234[[#This Row],[(A/B) AJD]]+TABL1234[[#This Row],[(A/S)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Row],[AJD_Evaporation]])</f>
        <v>0</v>
      </c>
      <c r="AE314" s="33"/>
      <c r="AF314" s="6"/>
      <c r="AG314" s="6"/>
      <c r="AH314" s="6"/>
      <c r="AI314" s="6"/>
      <c r="AJ314" s="33">
        <f>TABL1234[[#This Row],[(A/B) AJD]]-TABL1234[[#This Row],[BER_IN]]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Row],[(A/S) AJD]]-TABL1234[[#This Row],[SER_IN]]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 (T/B) SAR]]+TABL1234[[#This Row],[ (S/S) SAR]]</f>
        <v>0</v>
      </c>
      <c r="L315" s="28"/>
      <c r="M315" s="29"/>
      <c r="N315" s="30"/>
      <c r="O315" s="40"/>
      <c r="P315" s="9">
        <f>TABL1234[[#This Row],[ (S/S) SAR]]-TABL1234[[#This Row],[(S/S) AJD]]</f>
        <v>0</v>
      </c>
      <c r="Q315" s="9"/>
      <c r="R315" s="9">
        <f>TABL1234[[#This Row],[ (T/B) SAR]]-TABL1234[[#This Row],[(T/B) AJD]]</f>
        <v>0</v>
      </c>
      <c r="S315" s="9">
        <f>TABL1234[[#This Row],[T/B-CON.]]+TABL1234[[#This Row],[S/S_CON.]]</f>
        <v>0</v>
      </c>
      <c r="T315" s="9">
        <f>TABL1234[[#This Row],[(S/S) AJD]]+TABL1234[[#This Row],[(T/B) AJD]]</f>
        <v>0</v>
      </c>
      <c r="U315" s="9"/>
      <c r="V315" s="9"/>
      <c r="W315" s="9">
        <f>TABL1234[[#This Row],[(A/B) AJD]]+TABL1234[[#This Row],[(A/S)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Row],[AJD_Evaporation]])</f>
        <v>0</v>
      </c>
      <c r="AE315" s="33"/>
      <c r="AF315" s="6"/>
      <c r="AG315" s="6"/>
      <c r="AH315" s="6"/>
      <c r="AI315" s="6"/>
      <c r="AJ315" s="33">
        <f>TABL1234[[#This Row],[(A/B) AJD]]-TABL1234[[#This Row],[BER_IN]]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Row],[(A/S) AJD]]-TABL1234[[#This Row],[SER_IN]]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 (T/B) SAR]]+TABL1234[[#This Row],[ (S/S) SAR]]</f>
        <v>0</v>
      </c>
      <c r="L316" s="28"/>
      <c r="M316" s="29"/>
      <c r="N316" s="30"/>
      <c r="O316" s="39"/>
      <c r="P316" s="9">
        <f>TABL1234[[#This Row],[ (S/S) SAR]]-TABL1234[[#This Row],[(S/S) AJD]]</f>
        <v>0</v>
      </c>
      <c r="Q316" s="9"/>
      <c r="R316" s="9">
        <f>TABL1234[[#This Row],[ (T/B) SAR]]-TABL1234[[#This Row],[(T/B) AJD]]</f>
        <v>0</v>
      </c>
      <c r="S316" s="9">
        <f>TABL1234[[#This Row],[T/B-CON.]]+TABL1234[[#This Row],[S/S_CON.]]</f>
        <v>0</v>
      </c>
      <c r="T316" s="9">
        <f>TABL1234[[#This Row],[(S/S) AJD]]+TABL1234[[#This Row],[(T/B) AJD]]</f>
        <v>0</v>
      </c>
      <c r="U316" s="9"/>
      <c r="V316" s="9"/>
      <c r="W316" s="9">
        <f>TABL1234[[#This Row],[(A/B) AJD]]+TABL1234[[#This Row],[(A/S)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Row],[AJD_Evaporation]])</f>
        <v>0</v>
      </c>
      <c r="AE316" s="33"/>
      <c r="AF316" s="6"/>
      <c r="AG316" s="6"/>
      <c r="AH316" s="6"/>
      <c r="AI316" s="6"/>
      <c r="AJ316" s="33">
        <f>TABL1234[[#This Row],[(A/B) AJD]]-TABL1234[[#This Row],[BER_IN]]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Row],[(A/S) AJD]]-TABL1234[[#This Row],[SER_IN]]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 (T/B) SAR]]+TABL1234[[#This Row],[ (S/S) SAR]]</f>
        <v>0</v>
      </c>
      <c r="L317" s="28"/>
      <c r="M317" s="29"/>
      <c r="N317" s="30"/>
      <c r="O317" s="40"/>
      <c r="P317" s="9">
        <f>TABL1234[[#This Row],[ (S/S) SAR]]-TABL1234[[#This Row],[(S/S) AJD]]</f>
        <v>0</v>
      </c>
      <c r="Q317" s="9"/>
      <c r="R317" s="9">
        <f>TABL1234[[#This Row],[ (T/B) SAR]]-TABL1234[[#This Row],[(T/B) AJD]]</f>
        <v>0</v>
      </c>
      <c r="S317" s="9">
        <f>TABL1234[[#This Row],[T/B-CON.]]+TABL1234[[#This Row],[S/S_CON.]]</f>
        <v>0</v>
      </c>
      <c r="T317" s="9">
        <f>TABL1234[[#This Row],[(S/S) AJD]]+TABL1234[[#This Row],[(T/B) AJD]]</f>
        <v>0</v>
      </c>
      <c r="U317" s="9"/>
      <c r="V317" s="9"/>
      <c r="W317" s="9">
        <f>TABL1234[[#This Row],[(A/B) AJD]]+TABL1234[[#This Row],[(A/S)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Row],[AJD_Evaporation]])</f>
        <v>0</v>
      </c>
      <c r="AE317" s="33"/>
      <c r="AF317" s="6"/>
      <c r="AG317" s="6"/>
      <c r="AH317" s="6"/>
      <c r="AI317" s="6"/>
      <c r="AJ317" s="33">
        <f>TABL1234[[#This Row],[(A/B) AJD]]-TABL1234[[#This Row],[BER_IN]]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Row],[(A/S) AJD]]-TABL1234[[#This Row],[SER_IN]]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 (T/B) SAR]]+TABL1234[[#This Row],[ (S/S) SAR]]</f>
        <v>0</v>
      </c>
      <c r="L318" s="28"/>
      <c r="M318" s="29"/>
      <c r="N318" s="30"/>
      <c r="O318" s="39"/>
      <c r="P318" s="9">
        <f>TABL1234[[#This Row],[ (S/S) SAR]]-TABL1234[[#This Row],[(S/S) AJD]]</f>
        <v>0</v>
      </c>
      <c r="Q318" s="9"/>
      <c r="R318" s="9">
        <f>TABL1234[[#This Row],[ (T/B) SAR]]-TABL1234[[#This Row],[(T/B) AJD]]</f>
        <v>0</v>
      </c>
      <c r="S318" s="9">
        <f>TABL1234[[#This Row],[T/B-CON.]]+TABL1234[[#This Row],[S/S_CON.]]</f>
        <v>0</v>
      </c>
      <c r="T318" s="9">
        <f>TABL1234[[#This Row],[(S/S) AJD]]+TABL1234[[#This Row],[(T/B) AJD]]</f>
        <v>0</v>
      </c>
      <c r="U318" s="9"/>
      <c r="V318" s="9"/>
      <c r="W318" s="9">
        <f>TABL1234[[#This Row],[(A/B) AJD]]+TABL1234[[#This Row],[(A/S)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Row],[AJD_Evaporation]])</f>
        <v>0</v>
      </c>
      <c r="AE318" s="33"/>
      <c r="AF318" s="6"/>
      <c r="AG318" s="6"/>
      <c r="AH318" s="6"/>
      <c r="AI318" s="6"/>
      <c r="AJ318" s="33">
        <f>TABL1234[[#This Row],[(A/B) AJD]]-TABL1234[[#This Row],[BER_IN]]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Row],[(A/S) AJD]]-TABL1234[[#This Row],[SER_IN]]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 (T/B) SAR]]+TABL1234[[#This Row],[ (S/S) SAR]]</f>
        <v>0</v>
      </c>
      <c r="L319" s="28"/>
      <c r="M319" s="29"/>
      <c r="N319" s="30"/>
      <c r="O319" s="40"/>
      <c r="P319" s="9">
        <f>TABL1234[[#This Row],[ (S/S) SAR]]-TABL1234[[#This Row],[(S/S) AJD]]</f>
        <v>0</v>
      </c>
      <c r="Q319" s="9"/>
      <c r="R319" s="9">
        <f>TABL1234[[#This Row],[ (T/B) SAR]]-TABL1234[[#This Row],[(T/B) AJD]]</f>
        <v>0</v>
      </c>
      <c r="S319" s="9">
        <f>TABL1234[[#This Row],[T/B-CON.]]+TABL1234[[#This Row],[S/S_CON.]]</f>
        <v>0</v>
      </c>
      <c r="T319" s="9">
        <f>TABL1234[[#This Row],[(S/S) AJD]]+TABL1234[[#This Row],[(T/B) AJD]]</f>
        <v>0</v>
      </c>
      <c r="U319" s="9"/>
      <c r="V319" s="9"/>
      <c r="W319" s="9">
        <f>TABL1234[[#This Row],[(A/B) AJD]]+TABL1234[[#This Row],[(A/S)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Row],[AJD_Evaporation]])</f>
        <v>0</v>
      </c>
      <c r="AE319" s="33"/>
      <c r="AF319" s="6"/>
      <c r="AG319" s="6"/>
      <c r="AH319" s="6"/>
      <c r="AI319" s="6"/>
      <c r="AJ319" s="33">
        <f>TABL1234[[#This Row],[(A/B) AJD]]-TABL1234[[#This Row],[BER_IN]]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Row],[(A/S) AJD]]-TABL1234[[#This Row],[SER_IN]]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 (T/B) SAR]]+TABL1234[[#This Row],[ (S/S) SAR]]</f>
        <v>0</v>
      </c>
      <c r="L320" s="28"/>
      <c r="M320" s="29"/>
      <c r="N320" s="30"/>
      <c r="O320" s="39"/>
      <c r="P320" s="9">
        <f>TABL1234[[#This Row],[ (S/S) SAR]]-TABL1234[[#This Row],[(S/S) AJD]]</f>
        <v>0</v>
      </c>
      <c r="Q320" s="9"/>
      <c r="R320" s="9">
        <f>TABL1234[[#This Row],[ (T/B) SAR]]-TABL1234[[#This Row],[(T/B) AJD]]</f>
        <v>0</v>
      </c>
      <c r="S320" s="9">
        <f>TABL1234[[#This Row],[T/B-CON.]]+TABL1234[[#This Row],[S/S_CON.]]</f>
        <v>0</v>
      </c>
      <c r="T320" s="9">
        <f>TABL1234[[#This Row],[(S/S) AJD]]+TABL1234[[#This Row],[(T/B) AJD]]</f>
        <v>0</v>
      </c>
      <c r="U320" s="9"/>
      <c r="V320" s="9"/>
      <c r="W320" s="9">
        <f>TABL1234[[#This Row],[(A/B) AJD]]+TABL1234[[#This Row],[(A/S)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Row],[AJD_Evaporation]])</f>
        <v>0</v>
      </c>
      <c r="AE320" s="33"/>
      <c r="AF320" s="6"/>
      <c r="AG320" s="6"/>
      <c r="AH320" s="6"/>
      <c r="AI320" s="6"/>
      <c r="AJ320" s="33">
        <f>TABL1234[[#This Row],[(A/B) AJD]]-TABL1234[[#This Row],[BER_IN]]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Row],[(A/S) AJD]]-TABL1234[[#This Row],[SER_IN]]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 (T/B) SAR]]+TABL1234[[#This Row],[ (S/S) SAR]]</f>
        <v>0</v>
      </c>
      <c r="L321" s="28"/>
      <c r="M321" s="29"/>
      <c r="N321" s="30"/>
      <c r="O321" s="40"/>
      <c r="P321" s="9">
        <f>TABL1234[[#This Row],[ (S/S) SAR]]-TABL1234[[#This Row],[(S/S) AJD]]</f>
        <v>0</v>
      </c>
      <c r="Q321" s="9"/>
      <c r="R321" s="9">
        <f>TABL1234[[#This Row],[ (T/B) SAR]]-TABL1234[[#This Row],[(T/B) AJD]]</f>
        <v>0</v>
      </c>
      <c r="S321" s="9">
        <f>TABL1234[[#This Row],[T/B-CON.]]+TABL1234[[#This Row],[S/S_CON.]]</f>
        <v>0</v>
      </c>
      <c r="T321" s="9">
        <f>TABL1234[[#This Row],[(S/S) AJD]]+TABL1234[[#This Row],[(T/B) AJD]]</f>
        <v>0</v>
      </c>
      <c r="U321" s="9"/>
      <c r="V321" s="9"/>
      <c r="W321" s="9">
        <f>TABL1234[[#This Row],[(A/B) AJD]]+TABL1234[[#This Row],[(A/S)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Row],[AJD_Evaporation]])</f>
        <v>0</v>
      </c>
      <c r="AE321" s="33"/>
      <c r="AF321" s="6"/>
      <c r="AG321" s="6"/>
      <c r="AH321" s="6"/>
      <c r="AI321" s="6"/>
      <c r="AJ321" s="33">
        <f>TABL1234[[#This Row],[(A/B) AJD]]-TABL1234[[#This Row],[BER_IN]]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Row],[(A/S) AJD]]-TABL1234[[#This Row],[SER_IN]]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 (T/B) SAR]]+TABL1234[[#This Row],[ (S/S) SAR]]</f>
        <v>0</v>
      </c>
      <c r="L322" s="28"/>
      <c r="M322" s="29"/>
      <c r="N322" s="30"/>
      <c r="O322" s="39"/>
      <c r="P322" s="9">
        <f>TABL1234[[#This Row],[ (S/S) SAR]]-TABL1234[[#This Row],[(S/S) AJD]]</f>
        <v>0</v>
      </c>
      <c r="Q322" s="9"/>
      <c r="R322" s="9">
        <f>TABL1234[[#This Row],[ (T/B) SAR]]-TABL1234[[#This Row],[(T/B) AJD]]</f>
        <v>0</v>
      </c>
      <c r="S322" s="9">
        <f>TABL1234[[#This Row],[T/B-CON.]]+TABL1234[[#This Row],[S/S_CON.]]</f>
        <v>0</v>
      </c>
      <c r="T322" s="9">
        <f>TABL1234[[#This Row],[(S/S) AJD]]+TABL1234[[#This Row],[(T/B) AJD]]</f>
        <v>0</v>
      </c>
      <c r="U322" s="9"/>
      <c r="V322" s="9"/>
      <c r="W322" s="9">
        <f>TABL1234[[#This Row],[(A/B) AJD]]+TABL1234[[#This Row],[(A/S)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Row],[AJD_Evaporation]])</f>
        <v>0</v>
      </c>
      <c r="AE322" s="33"/>
      <c r="AF322" s="6"/>
      <c r="AG322" s="6"/>
      <c r="AH322" s="6"/>
      <c r="AI322" s="6"/>
      <c r="AJ322" s="33">
        <f>TABL1234[[#This Row],[(A/B) AJD]]-TABL1234[[#This Row],[BER_IN]]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Row],[(A/S) AJD]]-TABL1234[[#This Row],[SER_IN]]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 (T/B) SAR]]+TABL1234[[#This Row],[ (S/S) SAR]]</f>
        <v>0</v>
      </c>
      <c r="L323" s="28"/>
      <c r="M323" s="29"/>
      <c r="N323" s="30"/>
      <c r="O323" s="40"/>
      <c r="P323" s="9">
        <f>TABL1234[[#This Row],[ (S/S) SAR]]-TABL1234[[#This Row],[(S/S) AJD]]</f>
        <v>0</v>
      </c>
      <c r="Q323" s="9"/>
      <c r="R323" s="9">
        <f>TABL1234[[#This Row],[ (T/B) SAR]]-TABL1234[[#This Row],[(T/B) AJD]]</f>
        <v>0</v>
      </c>
      <c r="S323" s="9">
        <f>TABL1234[[#This Row],[T/B-CON.]]+TABL1234[[#This Row],[S/S_CON.]]</f>
        <v>0</v>
      </c>
      <c r="T323" s="9">
        <f>TABL1234[[#This Row],[(S/S) AJD]]+TABL1234[[#This Row],[(T/B) AJD]]</f>
        <v>0</v>
      </c>
      <c r="U323" s="9"/>
      <c r="V323" s="9"/>
      <c r="W323" s="9">
        <f>TABL1234[[#This Row],[(A/B) AJD]]+TABL1234[[#This Row],[(A/S)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Row],[AJD_Evaporation]])</f>
        <v>0</v>
      </c>
      <c r="AE323" s="33"/>
      <c r="AF323" s="6"/>
      <c r="AG323" s="6"/>
      <c r="AH323" s="6"/>
      <c r="AI323" s="6"/>
      <c r="AJ323" s="33">
        <f>TABL1234[[#This Row],[(A/B) AJD]]-TABL1234[[#This Row],[BER_IN]]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Row],[(A/S) AJD]]-TABL1234[[#This Row],[SER_IN]]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 (T/B) SAR]]+TABL1234[[#This Row],[ (S/S) SAR]]</f>
        <v>0</v>
      </c>
      <c r="L324" s="28"/>
      <c r="M324" s="29"/>
      <c r="N324" s="30"/>
      <c r="O324" s="39"/>
      <c r="P324" s="9">
        <f>TABL1234[[#This Row],[ (S/S) SAR]]-TABL1234[[#This Row],[(S/S) AJD]]</f>
        <v>0</v>
      </c>
      <c r="Q324" s="9"/>
      <c r="R324" s="9">
        <f>TABL1234[[#This Row],[ (T/B) SAR]]-TABL1234[[#This Row],[(T/B) AJD]]</f>
        <v>0</v>
      </c>
      <c r="S324" s="9">
        <f>TABL1234[[#This Row],[T/B-CON.]]+TABL1234[[#This Row],[S/S_CON.]]</f>
        <v>0</v>
      </c>
      <c r="T324" s="9">
        <f>TABL1234[[#This Row],[(S/S) AJD]]+TABL1234[[#This Row],[(T/B) AJD]]</f>
        <v>0</v>
      </c>
      <c r="U324" s="9"/>
      <c r="V324" s="9"/>
      <c r="W324" s="9">
        <f>TABL1234[[#This Row],[(A/B) AJD]]+TABL1234[[#This Row],[(A/S)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IF(TRIM(Z324)="",,(Z324-Z323)/1000)</f>
        <v>0</v>
      </c>
      <c r="AC324" s="5"/>
      <c r="AD324" s="6">
        <f>TABL1234[[#This Row],[( S/S+T/B) AJD]]-(TABL1234[[#This Row],[(A/B + A/S) AJD]]+(TABL1234[[#This Row],[(STORGE DIFF.) AJD]]*1000)+TABL1234[[#This Row],[AJD_Evaporation]])</f>
        <v>0</v>
      </c>
      <c r="AE324" s="33"/>
      <c r="AF324" s="6"/>
      <c r="AG324" s="6"/>
      <c r="AH324" s="6"/>
      <c r="AI324" s="6"/>
      <c r="AJ324" s="33">
        <f>TABL1234[[#This Row],[(A/B) AJD]]-TABL1234[[#This Row],[BER_IN]]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Row],[(A/S) AJD]]-TABL1234[[#This Row],[SER_IN]]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 (T/B) SAR]]+TABL1234[[#This Row],[ (S/S) SAR]]</f>
        <v>0</v>
      </c>
      <c r="L325" s="28"/>
      <c r="M325" s="29"/>
      <c r="N325" s="30"/>
      <c r="O325" s="40"/>
      <c r="P325" s="9">
        <f>TABL1234[[#This Row],[ (S/S) SAR]]-TABL1234[[#This Row],[(S/S) AJD]]</f>
        <v>0</v>
      </c>
      <c r="Q325" s="9"/>
      <c r="R325" s="9">
        <f>TABL1234[[#This Row],[ (T/B) SAR]]-TABL1234[[#This Row],[(T/B) AJD]]</f>
        <v>0</v>
      </c>
      <c r="S325" s="9">
        <f>TABL1234[[#This Row],[T/B-CON.]]+TABL1234[[#This Row],[S/S_CON.]]</f>
        <v>0</v>
      </c>
      <c r="T325" s="9">
        <f>TABL1234[[#This Row],[(S/S) AJD]]+TABL1234[[#This Row],[(T/B) AJD]]</f>
        <v>0</v>
      </c>
      <c r="U325" s="9"/>
      <c r="V325" s="9"/>
      <c r="W325" s="9">
        <f>TABL1234[[#This Row],[(A/B) AJD]]+TABL1234[[#This Row],[(A/S)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Row],[AJD_Evaporation]])</f>
        <v>0</v>
      </c>
      <c r="AE325" s="33"/>
      <c r="AF325" s="6"/>
      <c r="AG325" s="6"/>
      <c r="AH325" s="6"/>
      <c r="AI325" s="6"/>
      <c r="AJ325" s="33">
        <f>TABL1234[[#This Row],[(A/B) AJD]]-TABL1234[[#This Row],[BER_IN]]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Row],[(A/S) AJD]]-TABL1234[[#This Row],[SER_IN]]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 (T/B) SAR]]+TABL1234[[#This Row],[ (S/S) SAR]]</f>
        <v>0</v>
      </c>
      <c r="L326" s="28"/>
      <c r="M326" s="29"/>
      <c r="N326" s="30"/>
      <c r="O326" s="39"/>
      <c r="P326" s="9">
        <f>TABL1234[[#This Row],[ (S/S) SAR]]-TABL1234[[#This Row],[(S/S) AJD]]</f>
        <v>0</v>
      </c>
      <c r="Q326" s="9"/>
      <c r="R326" s="9">
        <f>TABL1234[[#This Row],[ (T/B) SAR]]-TABL1234[[#This Row],[(T/B) AJD]]</f>
        <v>0</v>
      </c>
      <c r="S326" s="9">
        <f>TABL1234[[#This Row],[T/B-CON.]]+TABL1234[[#This Row],[S/S_CON.]]</f>
        <v>0</v>
      </c>
      <c r="T326" s="9">
        <f>TABL1234[[#This Row],[(S/S) AJD]]+TABL1234[[#This Row],[(T/B) AJD]]</f>
        <v>0</v>
      </c>
      <c r="U326" s="9"/>
      <c r="V326" s="9"/>
      <c r="W326" s="9">
        <f>TABL1234[[#This Row],[(A/B) AJD]]+TABL1234[[#This Row],[(A/S)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Row],[AJD_Evaporation]])</f>
        <v>0</v>
      </c>
      <c r="AE326" s="33"/>
      <c r="AF326" s="6"/>
      <c r="AG326" s="6"/>
      <c r="AH326" s="6"/>
      <c r="AI326" s="6"/>
      <c r="AJ326" s="33">
        <f>TABL1234[[#This Row],[(A/B) AJD]]-TABL1234[[#This Row],[BER_IN]]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Row],[(A/S) AJD]]-TABL1234[[#This Row],[SER_IN]]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 (T/B) SAR]]+TABL1234[[#This Row],[ (S/S) SAR]]</f>
        <v>0</v>
      </c>
      <c r="L327" s="28"/>
      <c r="M327" s="29"/>
      <c r="N327" s="30"/>
      <c r="O327" s="40"/>
      <c r="P327" s="9">
        <f>TABL1234[[#This Row],[ (S/S) SAR]]-TABL1234[[#This Row],[(S/S) AJD]]</f>
        <v>0</v>
      </c>
      <c r="Q327" s="9"/>
      <c r="R327" s="9">
        <f>TABL1234[[#This Row],[ (T/B) SAR]]-TABL1234[[#This Row],[(T/B) AJD]]</f>
        <v>0</v>
      </c>
      <c r="S327" s="9">
        <f>TABL1234[[#This Row],[T/B-CON.]]+TABL1234[[#This Row],[S/S_CON.]]</f>
        <v>0</v>
      </c>
      <c r="T327" s="9">
        <f>TABL1234[[#This Row],[(S/S) AJD]]+TABL1234[[#This Row],[(T/B) AJD]]</f>
        <v>0</v>
      </c>
      <c r="U327" s="9"/>
      <c r="V327" s="9"/>
      <c r="W327" s="9">
        <f>TABL1234[[#This Row],[(A/B) AJD]]+TABL1234[[#This Row],[(A/S)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Row],[AJD_Evaporation]])</f>
        <v>0</v>
      </c>
      <c r="AE327" s="33"/>
      <c r="AF327" s="6"/>
      <c r="AG327" s="6"/>
      <c r="AH327" s="6"/>
      <c r="AI327" s="6"/>
      <c r="AJ327" s="33">
        <f>TABL1234[[#This Row],[(A/B) AJD]]-TABL1234[[#This Row],[BER_IN]]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Row],[(A/S) AJD]]-TABL1234[[#This Row],[SER_IN]]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 (T/B) SAR]]+TABL1234[[#This Row],[ (S/S) SAR]]</f>
        <v>0</v>
      </c>
      <c r="L328" s="28"/>
      <c r="M328" s="29"/>
      <c r="N328" s="30"/>
      <c r="O328" s="39"/>
      <c r="P328" s="9">
        <f>TABL1234[[#This Row],[ (S/S) SAR]]-TABL1234[[#This Row],[(S/S) AJD]]</f>
        <v>0</v>
      </c>
      <c r="Q328" s="9"/>
      <c r="R328" s="9">
        <f>TABL1234[[#This Row],[ (T/B) SAR]]-TABL1234[[#This Row],[(T/B) AJD]]</f>
        <v>0</v>
      </c>
      <c r="S328" s="9">
        <f>TABL1234[[#This Row],[T/B-CON.]]+TABL1234[[#This Row],[S/S_CON.]]</f>
        <v>0</v>
      </c>
      <c r="T328" s="9">
        <f>TABL1234[[#This Row],[(S/S) AJD]]+TABL1234[[#This Row],[(T/B) AJD]]</f>
        <v>0</v>
      </c>
      <c r="U328" s="9"/>
      <c r="V328" s="9"/>
      <c r="W328" s="9">
        <f>TABL1234[[#This Row],[(A/B) AJD]]+TABL1234[[#This Row],[(A/S)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Row],[AJD_Evaporation]])</f>
        <v>0</v>
      </c>
      <c r="AE328" s="33"/>
      <c r="AF328" s="6"/>
      <c r="AG328" s="6"/>
      <c r="AH328" s="6"/>
      <c r="AI328" s="6"/>
      <c r="AJ328" s="33">
        <f>TABL1234[[#This Row],[(A/B) AJD]]-TABL1234[[#This Row],[BER_IN]]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Row],[(A/S) AJD]]-TABL1234[[#This Row],[SER_IN]]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 (T/B) SAR]]+TABL1234[[#This Row],[ (S/S) SAR]]</f>
        <v>0</v>
      </c>
      <c r="L329" s="28"/>
      <c r="M329" s="29"/>
      <c r="N329" s="30"/>
      <c r="O329" s="40"/>
      <c r="P329" s="9">
        <f>TABL1234[[#This Row],[ (S/S) SAR]]-TABL1234[[#This Row],[(S/S) AJD]]</f>
        <v>0</v>
      </c>
      <c r="Q329" s="9"/>
      <c r="R329" s="9">
        <f>TABL1234[[#This Row],[ (T/B) SAR]]-TABL1234[[#This Row],[(T/B) AJD]]</f>
        <v>0</v>
      </c>
      <c r="S329" s="9">
        <f>TABL1234[[#This Row],[T/B-CON.]]+TABL1234[[#This Row],[S/S_CON.]]</f>
        <v>0</v>
      </c>
      <c r="T329" s="9">
        <f>TABL1234[[#This Row],[(S/S) AJD]]+TABL1234[[#This Row],[(T/B) AJD]]</f>
        <v>0</v>
      </c>
      <c r="U329" s="9"/>
      <c r="V329" s="9"/>
      <c r="W329" s="9">
        <f>TABL1234[[#This Row],[(A/B) AJD]]+TABL1234[[#This Row],[(A/S)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Row],[AJD_Evaporation]])</f>
        <v>0</v>
      </c>
      <c r="AE329" s="33"/>
      <c r="AF329" s="6"/>
      <c r="AG329" s="6"/>
      <c r="AH329" s="6"/>
      <c r="AI329" s="6"/>
      <c r="AJ329" s="33">
        <f>TABL1234[[#This Row],[(A/B) AJD]]-TABL1234[[#This Row],[BER_IN]]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Row],[(A/S) AJD]]-TABL1234[[#This Row],[SER_IN]]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 (T/B) SAR]]+TABL1234[[#This Row],[ (S/S) SAR]]</f>
        <v>0</v>
      </c>
      <c r="L330" s="28"/>
      <c r="M330" s="29"/>
      <c r="N330" s="30"/>
      <c r="O330" s="39"/>
      <c r="P330" s="9">
        <f>TABL1234[[#This Row],[ (S/S) SAR]]-TABL1234[[#This Row],[(S/S) AJD]]</f>
        <v>0</v>
      </c>
      <c r="Q330" s="9"/>
      <c r="R330" s="9">
        <f>TABL1234[[#This Row],[ (T/B) SAR]]-TABL1234[[#This Row],[(T/B) AJD]]</f>
        <v>0</v>
      </c>
      <c r="S330" s="9">
        <f>TABL1234[[#This Row],[T/B-CON.]]+TABL1234[[#This Row],[S/S_CON.]]</f>
        <v>0</v>
      </c>
      <c r="T330" s="9">
        <f>TABL1234[[#This Row],[(S/S) AJD]]+TABL1234[[#This Row],[(T/B) AJD]]</f>
        <v>0</v>
      </c>
      <c r="U330" s="9"/>
      <c r="V330" s="9"/>
      <c r="W330" s="9">
        <f>TABL1234[[#This Row],[(A/B) AJD]]+TABL1234[[#This Row],[(A/S)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Row],[AJD_Evaporation]])</f>
        <v>0</v>
      </c>
      <c r="AE330" s="33"/>
      <c r="AF330" s="6"/>
      <c r="AG330" s="6"/>
      <c r="AH330" s="6"/>
      <c r="AI330" s="6"/>
      <c r="AJ330" s="33">
        <f>TABL1234[[#This Row],[(A/B) AJD]]-TABL1234[[#This Row],[BER_IN]]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Row],[(A/S) AJD]]-TABL1234[[#This Row],[SER_IN]]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 (T/B) SAR]]+TABL1234[[#This Row],[ (S/S) SAR]]</f>
        <v>0</v>
      </c>
      <c r="L331" s="28"/>
      <c r="M331" s="29"/>
      <c r="N331" s="30"/>
      <c r="O331" s="40"/>
      <c r="P331" s="9">
        <f>TABL1234[[#This Row],[ (S/S) SAR]]-TABL1234[[#This Row],[(S/S) AJD]]</f>
        <v>0</v>
      </c>
      <c r="Q331" s="9"/>
      <c r="R331" s="9">
        <f>TABL1234[[#This Row],[ (T/B) SAR]]-TABL1234[[#This Row],[(T/B) AJD]]</f>
        <v>0</v>
      </c>
      <c r="S331" s="9">
        <f>TABL1234[[#This Row],[T/B-CON.]]+TABL1234[[#This Row],[S/S_CON.]]</f>
        <v>0</v>
      </c>
      <c r="T331" s="9">
        <f>TABL1234[[#This Row],[(S/S) AJD]]+TABL1234[[#This Row],[(T/B) AJD]]</f>
        <v>0</v>
      </c>
      <c r="U331" s="9"/>
      <c r="V331" s="9"/>
      <c r="W331" s="9">
        <f>TABL1234[[#This Row],[(A/B) AJD]]+TABL1234[[#This Row],[(A/S)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Row],[AJD_Evaporation]])</f>
        <v>0</v>
      </c>
      <c r="AE331" s="33"/>
      <c r="AF331" s="6"/>
      <c r="AG331" s="6"/>
      <c r="AH331" s="6"/>
      <c r="AI331" s="6"/>
      <c r="AJ331" s="33">
        <f>TABL1234[[#This Row],[(A/B) AJD]]-TABL1234[[#This Row],[BER_IN]]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Row],[(A/S) AJD]]-TABL1234[[#This Row],[SER_IN]]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 (T/B) SAR]]+TABL1234[[#This Row],[ (S/S) SAR]]</f>
        <v>0</v>
      </c>
      <c r="L332" s="28"/>
      <c r="M332" s="29"/>
      <c r="N332" s="30"/>
      <c r="O332" s="39"/>
      <c r="P332" s="9">
        <f>TABL1234[[#This Row],[ (S/S) SAR]]-TABL1234[[#This Row],[(S/S) AJD]]</f>
        <v>0</v>
      </c>
      <c r="Q332" s="9"/>
      <c r="R332" s="9">
        <f>TABL1234[[#This Row],[ (T/B) SAR]]-TABL1234[[#This Row],[(T/B) AJD]]</f>
        <v>0</v>
      </c>
      <c r="S332" s="9">
        <f>TABL1234[[#This Row],[T/B-CON.]]+TABL1234[[#This Row],[S/S_CON.]]</f>
        <v>0</v>
      </c>
      <c r="T332" s="9">
        <f>TABL1234[[#This Row],[(S/S) AJD]]+TABL1234[[#This Row],[(T/B) AJD]]</f>
        <v>0</v>
      </c>
      <c r="U332" s="9"/>
      <c r="V332" s="9"/>
      <c r="W332" s="9">
        <f>TABL1234[[#This Row],[(A/B) AJD]]+TABL1234[[#This Row],[(A/S)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Row],[AJD_Evaporation]])</f>
        <v>0</v>
      </c>
      <c r="AE332" s="33"/>
      <c r="AF332" s="6"/>
      <c r="AG332" s="6"/>
      <c r="AH332" s="6"/>
      <c r="AI332" s="6"/>
      <c r="AJ332" s="33">
        <f>TABL1234[[#This Row],[(A/B) AJD]]-TABL1234[[#This Row],[BER_IN]]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Row],[(A/S) AJD]]-TABL1234[[#This Row],[SER_IN]]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 (T/B) SAR]]+TABL1234[[#This Row],[ (S/S) SAR]]</f>
        <v>0</v>
      </c>
      <c r="L333" s="28"/>
      <c r="M333" s="29"/>
      <c r="N333" s="30"/>
      <c r="O333" s="40"/>
      <c r="P333" s="9">
        <f>TABL1234[[#This Row],[ (S/S) SAR]]-TABL1234[[#This Row],[(S/S) AJD]]</f>
        <v>0</v>
      </c>
      <c r="Q333" s="9"/>
      <c r="R333" s="9">
        <f>TABL1234[[#This Row],[ (T/B) SAR]]-TABL1234[[#This Row],[(T/B) AJD]]</f>
        <v>0</v>
      </c>
      <c r="S333" s="9">
        <f>TABL1234[[#This Row],[T/B-CON.]]+TABL1234[[#This Row],[S/S_CON.]]</f>
        <v>0</v>
      </c>
      <c r="T333" s="9">
        <f>TABL1234[[#This Row],[(S/S) AJD]]+TABL1234[[#This Row],[(T/B) AJD]]</f>
        <v>0</v>
      </c>
      <c r="U333" s="9"/>
      <c r="V333" s="9"/>
      <c r="W333" s="9">
        <f>TABL1234[[#This Row],[(A/B) AJD]]+TABL1234[[#This Row],[(A/S)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Row],[AJD_Evaporation]])</f>
        <v>0</v>
      </c>
      <c r="AE333" s="33"/>
      <c r="AF333" s="6"/>
      <c r="AG333" s="6"/>
      <c r="AH333" s="6"/>
      <c r="AI333" s="6"/>
      <c r="AJ333" s="33">
        <f>TABL1234[[#This Row],[(A/B) AJD]]-TABL1234[[#This Row],[BER_IN]]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Row],[(A/S) AJD]]-TABL1234[[#This Row],[SER_IN]]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 (T/B) SAR]]+TABL1234[[#This Row],[ (S/S) SAR]]</f>
        <v>0</v>
      </c>
      <c r="L334" s="28"/>
      <c r="M334" s="29"/>
      <c r="N334" s="30"/>
      <c r="O334" s="39"/>
      <c r="P334" s="9">
        <f>TABL1234[[#This Row],[ (S/S) SAR]]-TABL1234[[#This Row],[(S/S) AJD]]</f>
        <v>0</v>
      </c>
      <c r="Q334" s="9"/>
      <c r="R334" s="9">
        <f>TABL1234[[#This Row],[ (T/B) SAR]]-TABL1234[[#This Row],[(T/B) AJD]]</f>
        <v>0</v>
      </c>
      <c r="S334" s="9">
        <f>TABL1234[[#This Row],[T/B-CON.]]+TABL1234[[#This Row],[S/S_CON.]]</f>
        <v>0</v>
      </c>
      <c r="T334" s="9">
        <f>TABL1234[[#This Row],[(S/S) AJD]]+TABL1234[[#This Row],[(T/B) AJD]]</f>
        <v>0</v>
      </c>
      <c r="U334" s="9"/>
      <c r="V334" s="9"/>
      <c r="W334" s="9">
        <f>TABL1234[[#This Row],[(A/B) AJD]]+TABL1234[[#This Row],[(A/S)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Row],[AJD_Evaporation]])</f>
        <v>0</v>
      </c>
      <c r="AE334" s="33"/>
      <c r="AF334" s="6"/>
      <c r="AG334" s="6"/>
      <c r="AH334" s="6"/>
      <c r="AI334" s="6"/>
      <c r="AJ334" s="33">
        <f>TABL1234[[#This Row],[(A/B) AJD]]-TABL1234[[#This Row],[BER_IN]]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Row],[(A/S) AJD]]-TABL1234[[#This Row],[SER_IN]]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 (T/B) SAR]]+TABL1234[[#This Row],[ (S/S) SAR]]</f>
        <v>0</v>
      </c>
      <c r="L335" s="28"/>
      <c r="M335" s="29"/>
      <c r="N335" s="30"/>
      <c r="O335" s="40"/>
      <c r="P335" s="9">
        <f>TABL1234[[#This Row],[ (S/S) SAR]]-TABL1234[[#This Row],[(S/S) AJD]]</f>
        <v>0</v>
      </c>
      <c r="Q335" s="9"/>
      <c r="R335" s="9">
        <f>TABL1234[[#This Row],[ (T/B) SAR]]-TABL1234[[#This Row],[(T/B) AJD]]</f>
        <v>0</v>
      </c>
      <c r="S335" s="9">
        <f>TABL1234[[#This Row],[T/B-CON.]]+TABL1234[[#This Row],[S/S_CON.]]</f>
        <v>0</v>
      </c>
      <c r="T335" s="9">
        <f>TABL1234[[#This Row],[(S/S) AJD]]+TABL1234[[#This Row],[(T/B) AJD]]</f>
        <v>0</v>
      </c>
      <c r="U335" s="9"/>
      <c r="V335" s="9"/>
      <c r="W335" s="9">
        <f>TABL1234[[#This Row],[(A/B) AJD]]+TABL1234[[#This Row],[(A/S)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Row],[AJD_Evaporation]])</f>
        <v>0</v>
      </c>
      <c r="AE335" s="33"/>
      <c r="AF335" s="6"/>
      <c r="AG335" s="6"/>
      <c r="AH335" s="6"/>
      <c r="AI335" s="6"/>
      <c r="AJ335" s="33">
        <f>TABL1234[[#This Row],[(A/B) AJD]]-TABL1234[[#This Row],[BER_IN]]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Row],[(A/S) AJD]]-TABL1234[[#This Row],[SER_IN]]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 (T/B) SAR]]+TABL1234[[#This Row],[ (S/S) SAR]]</f>
        <v>0</v>
      </c>
      <c r="L336" s="41"/>
      <c r="M336" s="42"/>
      <c r="N336" s="42"/>
      <c r="O336" s="39"/>
      <c r="P336" s="9">
        <f>TABL1234[[#This Row],[ (S/S) SAR]]-TABL1234[[#This Row],[(S/S) AJD]]</f>
        <v>0</v>
      </c>
      <c r="Q336" s="39"/>
      <c r="R336" s="9">
        <f>TABL1234[[#This Row],[ (T/B) SAR]]-TABL1234[[#This Row],[(T/B) AJD]]</f>
        <v>0</v>
      </c>
      <c r="S336" s="9">
        <f>TABL1234[[#This Row],[T/B-CON.]]+TABL1234[[#This Row],[S/S_CON.]]</f>
        <v>0</v>
      </c>
      <c r="T336" s="9">
        <f>TABL1234[[#This Row],[(S/S) AJD]]+TABL1234[[#This Row],[(T/B) AJD]]</f>
        <v>0</v>
      </c>
      <c r="U336" s="41"/>
      <c r="V336" s="41"/>
      <c r="W336" s="9">
        <f>TABL1234[[#This Row],[(A/B) AJD]]+TABL1234[[#This Row],[(A/S)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Row],[AJD_Evaporation]])</f>
        <v>0</v>
      </c>
      <c r="AE336" s="41"/>
      <c r="AF336" s="43"/>
      <c r="AG336" s="43"/>
      <c r="AH336" s="6"/>
      <c r="AI336" s="43"/>
      <c r="AJ336" s="43">
        <f>TABL1234[[#This Row],[(A/B) AJD]]-TABL1234[[#This Row],[BER_IN]]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Row],[(A/S) AJD]]-TABL1234[[#This Row],[SER_IN]]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 (T/B) SAR]]+TABL1234[[#This Row],[ (S/S) SAR]]</f>
        <v>0</v>
      </c>
      <c r="L337" s="45"/>
      <c r="M337" s="46"/>
      <c r="N337" s="46"/>
      <c r="O337" s="40"/>
      <c r="P337" s="9">
        <f>TABL1234[[#This Row],[ (S/S) SAR]]-TABL1234[[#This Row],[(S/S) AJD]]</f>
        <v>0</v>
      </c>
      <c r="Q337" s="40"/>
      <c r="R337" s="9">
        <f>TABL1234[[#This Row],[ (T/B) SAR]]-TABL1234[[#This Row],[(T/B) AJD]]</f>
        <v>0</v>
      </c>
      <c r="S337" s="9">
        <f>TABL1234[[#This Row],[T/B-CON.]]+TABL1234[[#This Row],[S/S_CON.]]</f>
        <v>0</v>
      </c>
      <c r="T337" s="9">
        <f>TABL1234[[#This Row],[(S/S) AJD]]+TABL1234[[#This Row],[(T/B) AJD]]</f>
        <v>0</v>
      </c>
      <c r="U337" s="44"/>
      <c r="V337" s="44"/>
      <c r="W337" s="9">
        <f>TABL1234[[#This Row],[(A/B) AJD]]+TABL1234[[#This Row],[(A/S)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Row],[AJD_Evaporation]])</f>
        <v>0</v>
      </c>
      <c r="AE337" s="44"/>
      <c r="AF337" s="45"/>
      <c r="AG337" s="45"/>
      <c r="AH337" s="6"/>
      <c r="AI337" s="45"/>
      <c r="AJ337" s="45">
        <f>TABL1234[[#This Row],[(A/B) AJD]]-TABL1234[[#This Row],[BER_IN]]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Row],[(A/S) AJD]]-TABL1234[[#This Row],[SER_IN]]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 (T/B) SAR]]+TABL1234[[#This Row],[ (S/S) SAR]]</f>
        <v>0</v>
      </c>
      <c r="L338" s="41"/>
      <c r="M338" s="42"/>
      <c r="N338" s="42"/>
      <c r="O338" s="39"/>
      <c r="P338" s="9">
        <f>TABL1234[[#This Row],[ (S/S) SAR]]-TABL1234[[#This Row],[(S/S) AJD]]</f>
        <v>0</v>
      </c>
      <c r="Q338" s="39"/>
      <c r="R338" s="9">
        <f>TABL1234[[#This Row],[ (T/B) SAR]]-TABL1234[[#This Row],[(T/B) AJD]]</f>
        <v>0</v>
      </c>
      <c r="S338" s="9">
        <f>TABL1234[[#This Row],[T/B-CON.]]+TABL1234[[#This Row],[S/S_CON.]]</f>
        <v>0</v>
      </c>
      <c r="T338" s="9">
        <f>TABL1234[[#This Row],[(S/S) AJD]]+TABL1234[[#This Row],[(T/B) AJD]]</f>
        <v>0</v>
      </c>
      <c r="U338" s="41"/>
      <c r="V338" s="41"/>
      <c r="W338" s="9">
        <f>TABL1234[[#This Row],[(A/B) AJD]]+TABL1234[[#This Row],[(A/S)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Row],[AJD_Evaporation]])</f>
        <v>0</v>
      </c>
      <c r="AE338" s="41"/>
      <c r="AF338" s="43"/>
      <c r="AG338" s="43"/>
      <c r="AH338" s="6"/>
      <c r="AI338" s="43"/>
      <c r="AJ338" s="43">
        <f>TABL1234[[#This Row],[(A/B) AJD]]-TABL1234[[#This Row],[BER_IN]]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Row],[(A/S) AJD]]-TABL1234[[#This Row],[SER_IN]]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 (T/B) SAR]]+TABL1234[[#This Row],[ (S/S) SAR]]</f>
        <v>0</v>
      </c>
      <c r="L339" s="45"/>
      <c r="M339" s="46"/>
      <c r="N339" s="46"/>
      <c r="O339" s="40"/>
      <c r="P339" s="9">
        <f>TABL1234[[#This Row],[ (S/S) SAR]]-TABL1234[[#This Row],[(S/S) AJD]]</f>
        <v>0</v>
      </c>
      <c r="Q339" s="40"/>
      <c r="R339" s="9">
        <f>TABL1234[[#This Row],[ (T/B) SAR]]-TABL1234[[#This Row],[(T/B) AJD]]</f>
        <v>0</v>
      </c>
      <c r="S339" s="9">
        <f>TABL1234[[#This Row],[T/B-CON.]]+TABL1234[[#This Row],[S/S_CON.]]</f>
        <v>0</v>
      </c>
      <c r="T339" s="9">
        <f>TABL1234[[#This Row],[(S/S) AJD]]+TABL1234[[#This Row],[(T/B) AJD]]</f>
        <v>0</v>
      </c>
      <c r="U339" s="44"/>
      <c r="V339" s="47"/>
      <c r="W339" s="9">
        <f>TABL1234[[#This Row],[(A/B) AJD]]+TABL1234[[#This Row],[(A/S)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Row],[AJD_Evaporation]])</f>
        <v>0</v>
      </c>
      <c r="AE339" s="44"/>
      <c r="AF339" s="45"/>
      <c r="AG339" s="45"/>
      <c r="AH339" s="6"/>
      <c r="AI339" s="45"/>
      <c r="AJ339" s="45">
        <f>TABL1234[[#This Row],[(A/B) AJD]]-TABL1234[[#This Row],[BER_IN]]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Row],[(A/S) AJD]]-TABL1234[[#This Row],[SER_IN]]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 (T/B) SAR]]+TABL1234[[#This Row],[ (S/S) SAR]]</f>
        <v>0</v>
      </c>
      <c r="L340" s="41"/>
      <c r="M340" s="42"/>
      <c r="N340" s="42"/>
      <c r="O340" s="39"/>
      <c r="P340" s="9">
        <f>TABL1234[[#This Row],[ (S/S) SAR]]-TABL1234[[#This Row],[(S/S) AJD]]</f>
        <v>0</v>
      </c>
      <c r="Q340" s="39"/>
      <c r="R340" s="9">
        <f>TABL1234[[#This Row],[ (T/B) SAR]]-TABL1234[[#This Row],[(T/B) AJD]]</f>
        <v>0</v>
      </c>
      <c r="S340" s="9">
        <f>TABL1234[[#This Row],[T/B-CON.]]+TABL1234[[#This Row],[S/S_CON.]]</f>
        <v>0</v>
      </c>
      <c r="T340" s="9">
        <f>TABL1234[[#This Row],[(S/S) AJD]]+TABL1234[[#This Row],[(T/B) AJD]]</f>
        <v>0</v>
      </c>
      <c r="U340" s="41"/>
      <c r="V340" s="41"/>
      <c r="W340" s="9">
        <f>TABL1234[[#This Row],[(A/B) AJD]]+TABL1234[[#This Row],[(A/S)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Row],[AJD_Evaporation]])</f>
        <v>0</v>
      </c>
      <c r="AE340" s="41"/>
      <c r="AF340" s="43"/>
      <c r="AG340" s="43"/>
      <c r="AH340" s="6"/>
      <c r="AI340" s="43"/>
      <c r="AJ340" s="43">
        <f>TABL1234[[#This Row],[(A/B) AJD]]-TABL1234[[#This Row],[BER_IN]]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Row],[(A/S) AJD]]-TABL1234[[#This Row],[SER_IN]]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 (T/B) SAR]]+TABL1234[[#This Row],[ (S/S) SAR]]</f>
        <v>0</v>
      </c>
      <c r="L341" s="45"/>
      <c r="M341" s="46"/>
      <c r="N341" s="46"/>
      <c r="O341" s="40"/>
      <c r="P341" s="9">
        <f>TABL1234[[#This Row],[ (S/S) SAR]]-TABL1234[[#This Row],[(S/S) AJD]]</f>
        <v>0</v>
      </c>
      <c r="Q341" s="40"/>
      <c r="R341" s="9">
        <f>TABL1234[[#This Row],[ (T/B) SAR]]-TABL1234[[#This Row],[(T/B) AJD]]</f>
        <v>0</v>
      </c>
      <c r="S341" s="9">
        <f>TABL1234[[#This Row],[T/B-CON.]]+TABL1234[[#This Row],[S/S_CON.]]</f>
        <v>0</v>
      </c>
      <c r="T341" s="9">
        <f>TABL1234[[#This Row],[(S/S) AJD]]+TABL1234[[#This Row],[(T/B) AJD]]</f>
        <v>0</v>
      </c>
      <c r="U341" s="44"/>
      <c r="V341" s="44"/>
      <c r="W341" s="9">
        <f>TABL1234[[#This Row],[(A/B) AJD]]+TABL1234[[#This Row],[(A/S)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Row],[AJD_Evaporation]])</f>
        <v>0</v>
      </c>
      <c r="AE341" s="44"/>
      <c r="AF341" s="45"/>
      <c r="AG341" s="45"/>
      <c r="AH341" s="6"/>
      <c r="AI341" s="45"/>
      <c r="AJ341" s="45">
        <f>TABL1234[[#This Row],[(A/B) AJD]]-TABL1234[[#This Row],[BER_IN]]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Row],[(A/S) AJD]]-TABL1234[[#This Row],[SER_IN]]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 (T/B) SAR]]+TABL1234[[#This Row],[ (S/S) SAR]]</f>
        <v>0</v>
      </c>
      <c r="L342" s="41"/>
      <c r="M342" s="42"/>
      <c r="N342" s="42"/>
      <c r="O342" s="39"/>
      <c r="P342" s="9">
        <f>TABL1234[[#This Row],[ (S/S) SAR]]-TABL1234[[#This Row],[(S/S) AJD]]</f>
        <v>0</v>
      </c>
      <c r="Q342" s="39"/>
      <c r="R342" s="9">
        <f>TABL1234[[#This Row],[ (T/B) SAR]]-TABL1234[[#This Row],[(T/B) AJD]]</f>
        <v>0</v>
      </c>
      <c r="S342" s="9">
        <f>TABL1234[[#This Row],[T/B-CON.]]+TABL1234[[#This Row],[S/S_CON.]]</f>
        <v>0</v>
      </c>
      <c r="T342" s="9">
        <f>TABL1234[[#This Row],[(S/S) AJD]]+TABL1234[[#This Row],[(T/B) AJD]]</f>
        <v>0</v>
      </c>
      <c r="U342" s="41"/>
      <c r="V342" s="41"/>
      <c r="W342" s="9">
        <f>TABL1234[[#This Row],[(A/B) AJD]]+TABL1234[[#This Row],[(A/S)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Row],[AJD_Evaporation]])</f>
        <v>0</v>
      </c>
      <c r="AE342" s="41"/>
      <c r="AF342" s="43"/>
      <c r="AG342" s="43"/>
      <c r="AH342" s="6"/>
      <c r="AI342" s="43"/>
      <c r="AJ342" s="43">
        <f>TABL1234[[#This Row],[(A/B) AJD]]-TABL1234[[#This Row],[BER_IN]]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Row],[(A/S) AJD]]-TABL1234[[#This Row],[SER_IN]]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 (T/B) SAR]]+TABL1234[[#This Row],[ (S/S) SAR]]</f>
        <v>0</v>
      </c>
      <c r="L343" s="45"/>
      <c r="M343" s="46"/>
      <c r="N343" s="46"/>
      <c r="O343" s="40"/>
      <c r="P343" s="9">
        <f>TABL1234[[#This Row],[ (S/S) SAR]]-TABL1234[[#This Row],[(S/S) AJD]]</f>
        <v>0</v>
      </c>
      <c r="Q343" s="40"/>
      <c r="R343" s="9">
        <f>TABL1234[[#This Row],[ (T/B) SAR]]-TABL1234[[#This Row],[(T/B) AJD]]</f>
        <v>0</v>
      </c>
      <c r="S343" s="9">
        <f>TABL1234[[#This Row],[T/B-CON.]]+TABL1234[[#This Row],[S/S_CON.]]</f>
        <v>0</v>
      </c>
      <c r="T343" s="9">
        <f>TABL1234[[#This Row],[(S/S) AJD]]+TABL1234[[#This Row],[(T/B) AJD]]</f>
        <v>0</v>
      </c>
      <c r="U343" s="44"/>
      <c r="V343" s="44"/>
      <c r="W343" s="9">
        <f>TABL1234[[#This Row],[(A/B) AJD]]+TABL1234[[#This Row],[(A/S)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Row],[AJD_Evaporation]])</f>
        <v>0</v>
      </c>
      <c r="AE343" s="44"/>
      <c r="AF343" s="45"/>
      <c r="AG343" s="45"/>
      <c r="AH343" s="6"/>
      <c r="AI343" s="45"/>
      <c r="AJ343" s="45">
        <f>TABL1234[[#This Row],[(A/B) AJD]]-TABL1234[[#This Row],[BER_IN]]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Row],[(A/S) AJD]]-TABL1234[[#This Row],[SER_IN]]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 (T/B) SAR]]+TABL1234[[#This Row],[ (S/S) SAR]]</f>
        <v>0</v>
      </c>
      <c r="L344" s="41"/>
      <c r="M344" s="42"/>
      <c r="N344" s="42"/>
      <c r="O344" s="39"/>
      <c r="P344" s="9">
        <f>TABL1234[[#This Row],[ (S/S) SAR]]-TABL1234[[#This Row],[(S/S) AJD]]</f>
        <v>0</v>
      </c>
      <c r="Q344" s="39"/>
      <c r="R344" s="9">
        <f>TABL1234[[#This Row],[ (T/B) SAR]]-TABL1234[[#This Row],[(T/B) AJD]]</f>
        <v>0</v>
      </c>
      <c r="S344" s="9">
        <f>TABL1234[[#This Row],[T/B-CON.]]+TABL1234[[#This Row],[S/S_CON.]]</f>
        <v>0</v>
      </c>
      <c r="T344" s="9">
        <f>TABL1234[[#This Row],[(S/S) AJD]]+TABL1234[[#This Row],[(T/B) AJD]]</f>
        <v>0</v>
      </c>
      <c r="U344" s="41"/>
      <c r="V344" s="41"/>
      <c r="W344" s="9">
        <f>TABL1234[[#This Row],[(A/B) AJD]]+TABL1234[[#This Row],[(A/S)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Row],[AJD_Evaporation]])</f>
        <v>0</v>
      </c>
      <c r="AE344" s="41"/>
      <c r="AF344" s="43"/>
      <c r="AG344" s="43"/>
      <c r="AH344" s="6"/>
      <c r="AI344" s="43"/>
      <c r="AJ344" s="43">
        <f>TABL1234[[#This Row],[(A/B) AJD]]-TABL1234[[#This Row],[BER_IN]]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Row],[(A/S) AJD]]-TABL1234[[#This Row],[SER_IN]]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 (T/B) SAR]]+TABL1234[[#This Row],[ (S/S) SAR]]</f>
        <v>0</v>
      </c>
      <c r="L345" s="45"/>
      <c r="M345" s="46"/>
      <c r="N345" s="46"/>
      <c r="O345" s="40"/>
      <c r="P345" s="9">
        <f>TABL1234[[#This Row],[ (S/S) SAR]]-TABL1234[[#This Row],[(S/S) AJD]]</f>
        <v>0</v>
      </c>
      <c r="Q345" s="40"/>
      <c r="R345" s="9">
        <f>TABL1234[[#This Row],[ (T/B) SAR]]-TABL1234[[#This Row],[(T/B) AJD]]</f>
        <v>0</v>
      </c>
      <c r="S345" s="9">
        <f>TABL1234[[#This Row],[T/B-CON.]]+TABL1234[[#This Row],[S/S_CON.]]</f>
        <v>0</v>
      </c>
      <c r="T345" s="9">
        <f>TABL1234[[#This Row],[(S/S) AJD]]+TABL1234[[#This Row],[(T/B) AJD]]</f>
        <v>0</v>
      </c>
      <c r="U345" s="44"/>
      <c r="V345" s="44"/>
      <c r="W345" s="9">
        <f>TABL1234[[#This Row],[(A/B) AJD]]+TABL1234[[#This Row],[(A/S)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Row],[AJD_Evaporation]])</f>
        <v>0</v>
      </c>
      <c r="AE345" s="44"/>
      <c r="AF345" s="45"/>
      <c r="AG345" s="45"/>
      <c r="AH345" s="6"/>
      <c r="AI345" s="45"/>
      <c r="AJ345" s="45">
        <f>TABL1234[[#This Row],[(A/B) AJD]]-TABL1234[[#This Row],[BER_IN]]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Row],[(A/S) AJD]]-TABL1234[[#This Row],[SER_IN]]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 (T/B) SAR]]+TABL1234[[#This Row],[ (S/S) SAR]]</f>
        <v>0</v>
      </c>
      <c r="L346" s="41"/>
      <c r="M346" s="42"/>
      <c r="N346" s="42"/>
      <c r="O346" s="39"/>
      <c r="P346" s="9">
        <f>TABL1234[[#This Row],[ (S/S) SAR]]-TABL1234[[#This Row],[(S/S) AJD]]</f>
        <v>0</v>
      </c>
      <c r="Q346" s="39"/>
      <c r="R346" s="9">
        <f>TABL1234[[#This Row],[ (T/B) SAR]]-TABL1234[[#This Row],[(T/B) AJD]]</f>
        <v>0</v>
      </c>
      <c r="S346" s="9">
        <f>TABL1234[[#This Row],[T/B-CON.]]+TABL1234[[#This Row],[S/S_CON.]]</f>
        <v>0</v>
      </c>
      <c r="T346" s="9">
        <f>TABL1234[[#This Row],[(S/S) AJD]]+TABL1234[[#This Row],[(T/B) AJD]]</f>
        <v>0</v>
      </c>
      <c r="U346" s="41"/>
      <c r="V346" s="41"/>
      <c r="W346" s="9">
        <f>TABL1234[[#This Row],[(A/B) AJD]]+TABL1234[[#This Row],[(A/S)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Row],[AJD_Evaporation]])</f>
        <v>0</v>
      </c>
      <c r="AE346" s="41"/>
      <c r="AF346" s="43"/>
      <c r="AG346" s="48"/>
      <c r="AH346" s="6"/>
      <c r="AI346" s="43"/>
      <c r="AJ346" s="48">
        <f>TABL1234[[#This Row],[(A/B) AJD]]-TABL1234[[#This Row],[BER_IN]]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Row],[(A/S) AJD]]-TABL1234[[#This Row],[SER_IN]]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 (T/B) SAR]]+TABL1234[[#This Row],[ (S/S) SAR]]</f>
        <v>0</v>
      </c>
      <c r="L347" s="45"/>
      <c r="M347" s="46"/>
      <c r="N347" s="46"/>
      <c r="O347" s="40"/>
      <c r="P347" s="9">
        <f>TABL1234[[#This Row],[ (S/S) SAR]]-TABL1234[[#This Row],[(S/S) AJD]]</f>
        <v>0</v>
      </c>
      <c r="Q347" s="40"/>
      <c r="R347" s="9">
        <f>TABL1234[[#This Row],[ (T/B) SAR]]-TABL1234[[#This Row],[(T/B) AJD]]</f>
        <v>0</v>
      </c>
      <c r="S347" s="9">
        <f>TABL1234[[#This Row],[T/B-CON.]]+TABL1234[[#This Row],[S/S_CON.]]</f>
        <v>0</v>
      </c>
      <c r="T347" s="9">
        <f>TABL1234[[#This Row],[(S/S) AJD]]+TABL1234[[#This Row],[(T/B) AJD]]</f>
        <v>0</v>
      </c>
      <c r="U347" s="44"/>
      <c r="V347" s="44"/>
      <c r="W347" s="9">
        <f>TABL1234[[#This Row],[(A/B) AJD]]+TABL1234[[#This Row],[(A/S)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Row],[AJD_Evaporation]])</f>
        <v>0</v>
      </c>
      <c r="AE347" s="44"/>
      <c r="AF347" s="45"/>
      <c r="AG347" s="45"/>
      <c r="AH347" s="6"/>
      <c r="AI347" s="45"/>
      <c r="AJ347" s="45">
        <f>TABL1234[[#This Row],[(A/B) AJD]]-TABL1234[[#This Row],[BER_IN]]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Row],[(A/S) AJD]]-TABL1234[[#This Row],[SER_IN]]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 (T/B) SAR]]+TABL1234[[#This Row],[ (S/S) SAR]]</f>
        <v>0</v>
      </c>
      <c r="L348" s="41"/>
      <c r="M348" s="42"/>
      <c r="N348" s="42"/>
      <c r="O348" s="39"/>
      <c r="P348" s="9">
        <f>TABL1234[[#This Row],[ (S/S) SAR]]-TABL1234[[#This Row],[(S/S) AJD]]</f>
        <v>0</v>
      </c>
      <c r="Q348" s="39"/>
      <c r="R348" s="9">
        <f>TABL1234[[#This Row],[ (T/B) SAR]]-TABL1234[[#This Row],[(T/B) AJD]]</f>
        <v>0</v>
      </c>
      <c r="S348" s="9">
        <f>TABL1234[[#This Row],[T/B-CON.]]+TABL1234[[#This Row],[S/S_CON.]]</f>
        <v>0</v>
      </c>
      <c r="T348" s="9">
        <f>TABL1234[[#This Row],[(S/S) AJD]]+TABL1234[[#This Row],[(T/B) AJD]]</f>
        <v>0</v>
      </c>
      <c r="U348" s="41"/>
      <c r="V348" s="41"/>
      <c r="W348" s="9">
        <f>TABL1234[[#This Row],[(A/B) AJD]]+TABL1234[[#This Row],[(A/S)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Row],[AJD_Evaporation]])</f>
        <v>0</v>
      </c>
      <c r="AE348" s="41"/>
      <c r="AF348" s="43"/>
      <c r="AG348" s="43"/>
      <c r="AH348" s="6"/>
      <c r="AI348" s="43"/>
      <c r="AJ348" s="43">
        <f>TABL1234[[#This Row],[(A/B) AJD]]-TABL1234[[#This Row],[BER_IN]]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Row],[(A/S) AJD]]-TABL1234[[#This Row],[SER_IN]]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 (T/B) SAR]]+TABL1234[[#This Row],[ (S/S) SAR]]</f>
        <v>0</v>
      </c>
      <c r="L349" s="45"/>
      <c r="M349" s="46"/>
      <c r="N349" s="46"/>
      <c r="O349" s="40"/>
      <c r="P349" s="9">
        <f>TABL1234[[#This Row],[ (S/S) SAR]]-TABL1234[[#This Row],[(S/S) AJD]]</f>
        <v>0</v>
      </c>
      <c r="Q349" s="40"/>
      <c r="R349" s="9">
        <f>TABL1234[[#This Row],[ (T/B) SAR]]-TABL1234[[#This Row],[(T/B) AJD]]</f>
        <v>0</v>
      </c>
      <c r="S349" s="9">
        <f>TABL1234[[#This Row],[T/B-CON.]]+TABL1234[[#This Row],[S/S_CON.]]</f>
        <v>0</v>
      </c>
      <c r="T349" s="9">
        <f>TABL1234[[#This Row],[(S/S) AJD]]+TABL1234[[#This Row],[(T/B) AJD]]</f>
        <v>0</v>
      </c>
      <c r="U349" s="44"/>
      <c r="V349" s="44"/>
      <c r="W349" s="9">
        <f>TABL1234[[#This Row],[(A/B) AJD]]+TABL1234[[#This Row],[(A/S)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Row],[AJD_Evaporation]])</f>
        <v>0</v>
      </c>
      <c r="AE349" s="44"/>
      <c r="AF349" s="45"/>
      <c r="AG349" s="45"/>
      <c r="AH349" s="6"/>
      <c r="AI349" s="45"/>
      <c r="AJ349" s="45">
        <f>TABL1234[[#This Row],[(A/B) AJD]]-TABL1234[[#This Row],[BER_IN]]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Row],[(A/S) AJD]]-TABL1234[[#This Row],[SER_IN]]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 (T/B) SAR]]+TABL1234[[#This Row],[ (S/S) SAR]]</f>
        <v>0</v>
      </c>
      <c r="L350" s="41"/>
      <c r="M350" s="42"/>
      <c r="N350" s="42"/>
      <c r="O350" s="39"/>
      <c r="P350" s="9">
        <f>TABL1234[[#This Row],[ (S/S) SAR]]-TABL1234[[#This Row],[(S/S) AJD]]</f>
        <v>0</v>
      </c>
      <c r="Q350" s="39"/>
      <c r="R350" s="9">
        <f>TABL1234[[#This Row],[ (T/B) SAR]]-TABL1234[[#This Row],[(T/B) AJD]]</f>
        <v>0</v>
      </c>
      <c r="S350" s="9">
        <f>TABL1234[[#This Row],[T/B-CON.]]+TABL1234[[#This Row],[S/S_CON.]]</f>
        <v>0</v>
      </c>
      <c r="T350" s="9">
        <f>TABL1234[[#This Row],[(S/S) AJD]]+TABL1234[[#This Row],[(T/B) AJD]]</f>
        <v>0</v>
      </c>
      <c r="U350" s="41"/>
      <c r="V350" s="41"/>
      <c r="W350" s="9">
        <f>TABL1234[[#This Row],[(A/B) AJD]]+TABL1234[[#This Row],[(A/S)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Row],[AJD_Evaporation]])</f>
        <v>0</v>
      </c>
      <c r="AE350" s="41"/>
      <c r="AF350" s="43"/>
      <c r="AG350" s="43"/>
      <c r="AH350" s="6"/>
      <c r="AI350" s="43"/>
      <c r="AJ350" s="43">
        <f>TABL1234[[#This Row],[(A/B) AJD]]-TABL1234[[#This Row],[BER_IN]]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Row],[(A/S) AJD]]-TABL1234[[#This Row],[SER_IN]]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 (T/B) SAR]]+TABL1234[[#This Row],[ (S/S) SAR]]</f>
        <v>0</v>
      </c>
      <c r="L351" s="45"/>
      <c r="M351" s="46"/>
      <c r="N351" s="46"/>
      <c r="O351" s="40"/>
      <c r="P351" s="9">
        <f>TABL1234[[#This Row],[ (S/S) SAR]]-TABL1234[[#This Row],[(S/S) AJD]]</f>
        <v>0</v>
      </c>
      <c r="Q351" s="40"/>
      <c r="R351" s="9">
        <f>TABL1234[[#This Row],[ (T/B) SAR]]-TABL1234[[#This Row],[(T/B) AJD]]</f>
        <v>0</v>
      </c>
      <c r="S351" s="9">
        <f>TABL1234[[#This Row],[T/B-CON.]]+TABL1234[[#This Row],[S/S_CON.]]</f>
        <v>0</v>
      </c>
      <c r="T351" s="9">
        <f>TABL1234[[#This Row],[(S/S) AJD]]+TABL1234[[#This Row],[(T/B) AJD]]</f>
        <v>0</v>
      </c>
      <c r="U351" s="44"/>
      <c r="V351" s="44"/>
      <c r="W351" s="9">
        <f>TABL1234[[#This Row],[(A/B) AJD]]+TABL1234[[#This Row],[(A/S)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Row],[AJD_Evaporation]])</f>
        <v>0</v>
      </c>
      <c r="AE351" s="44"/>
      <c r="AF351" s="45"/>
      <c r="AG351" s="45"/>
      <c r="AH351" s="6"/>
      <c r="AI351" s="45"/>
      <c r="AJ351" s="45">
        <f>TABL1234[[#This Row],[(A/B) AJD]]-TABL1234[[#This Row],[BER_IN]]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Row],[(A/S) AJD]]-TABL1234[[#This Row],[SER_IN]]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 (T/B) SAR]]+TABL1234[[#This Row],[ (S/S) SAR]]</f>
        <v>0</v>
      </c>
      <c r="L352" s="41"/>
      <c r="M352" s="42"/>
      <c r="N352" s="42"/>
      <c r="O352" s="39"/>
      <c r="P352" s="9">
        <f>TABL1234[[#This Row],[ (S/S) SAR]]-TABL1234[[#This Row],[(S/S) AJD]]</f>
        <v>0</v>
      </c>
      <c r="Q352" s="39"/>
      <c r="R352" s="9">
        <f>TABL1234[[#This Row],[ (T/B) SAR]]-TABL1234[[#This Row],[(T/B) AJD]]</f>
        <v>0</v>
      </c>
      <c r="S352" s="9">
        <f>TABL1234[[#This Row],[T/B-CON.]]+TABL1234[[#This Row],[S/S_CON.]]</f>
        <v>0</v>
      </c>
      <c r="T352" s="9">
        <f>TABL1234[[#This Row],[(S/S) AJD]]+TABL1234[[#This Row],[(T/B) AJD]]</f>
        <v>0</v>
      </c>
      <c r="U352" s="41"/>
      <c r="V352" s="41"/>
      <c r="W352" s="9">
        <f>TABL1234[[#This Row],[(A/B) AJD]]+TABL1234[[#This Row],[(A/S)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Row],[AJD_Evaporation]])</f>
        <v>0</v>
      </c>
      <c r="AE352" s="41"/>
      <c r="AF352" s="43"/>
      <c r="AG352" s="43"/>
      <c r="AH352" s="6"/>
      <c r="AI352" s="43"/>
      <c r="AJ352" s="43">
        <f>TABL1234[[#This Row],[(A/B) AJD]]-TABL1234[[#This Row],[BER_IN]]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Row],[(A/S) AJD]]-TABL1234[[#This Row],[SER_IN]]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 (T/B) SAR]]+TABL1234[[#This Row],[ (S/S) SAR]]</f>
        <v>0</v>
      </c>
      <c r="L353" s="45"/>
      <c r="M353" s="46"/>
      <c r="N353" s="46"/>
      <c r="O353" s="40"/>
      <c r="P353" s="9">
        <f>TABL1234[[#This Row],[ (S/S) SAR]]-TABL1234[[#This Row],[(S/S) AJD]]</f>
        <v>0</v>
      </c>
      <c r="Q353" s="40"/>
      <c r="R353" s="9">
        <f>TABL1234[[#This Row],[ (T/B) SAR]]-TABL1234[[#This Row],[(T/B) AJD]]</f>
        <v>0</v>
      </c>
      <c r="S353" s="9">
        <f>TABL1234[[#This Row],[T/B-CON.]]+TABL1234[[#This Row],[S/S_CON.]]</f>
        <v>0</v>
      </c>
      <c r="T353" s="9">
        <f>TABL1234[[#This Row],[(S/S) AJD]]+TABL1234[[#This Row],[(T/B) AJD]]</f>
        <v>0</v>
      </c>
      <c r="U353" s="44"/>
      <c r="V353" s="44"/>
      <c r="W353" s="9">
        <f>TABL1234[[#This Row],[(A/B) AJD]]+TABL1234[[#This Row],[(A/S)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Row],[AJD_Evaporation]])</f>
        <v>0</v>
      </c>
      <c r="AE353" s="44"/>
      <c r="AF353" s="45"/>
      <c r="AG353" s="45"/>
      <c r="AH353" s="6"/>
      <c r="AI353" s="45"/>
      <c r="AJ353" s="45">
        <f>TABL1234[[#This Row],[(A/B) AJD]]-TABL1234[[#This Row],[BER_IN]]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Row],[(A/S) AJD]]-TABL1234[[#This Row],[SER_IN]]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 (T/B) SAR]]+TABL1234[[#This Row],[ (S/S) SAR]]</f>
        <v>0</v>
      </c>
      <c r="L354" s="41"/>
      <c r="M354" s="42"/>
      <c r="N354" s="42"/>
      <c r="O354" s="39"/>
      <c r="P354" s="9">
        <f>TABL1234[[#This Row],[ (S/S) SAR]]-TABL1234[[#This Row],[(S/S) AJD]]</f>
        <v>0</v>
      </c>
      <c r="Q354" s="39"/>
      <c r="R354" s="9">
        <f>TABL1234[[#This Row],[ (T/B) SAR]]-TABL1234[[#This Row],[(T/B) AJD]]</f>
        <v>0</v>
      </c>
      <c r="S354" s="9">
        <f>TABL1234[[#This Row],[T/B-CON.]]+TABL1234[[#This Row],[S/S_CON.]]</f>
        <v>0</v>
      </c>
      <c r="T354" s="9">
        <f>TABL1234[[#This Row],[(S/S) AJD]]+TABL1234[[#This Row],[(T/B) AJD]]</f>
        <v>0</v>
      </c>
      <c r="U354" s="41"/>
      <c r="V354" s="41"/>
      <c r="W354" s="9">
        <f>TABL1234[[#This Row],[(A/B) AJD]]+TABL1234[[#This Row],[(A/S)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Row],[AJD_Evaporation]])</f>
        <v>0</v>
      </c>
      <c r="AE354" s="41"/>
      <c r="AF354" s="43"/>
      <c r="AG354" s="43"/>
      <c r="AH354" s="6"/>
      <c r="AI354" s="43"/>
      <c r="AJ354" s="43">
        <f>TABL1234[[#This Row],[(A/B) AJD]]-TABL1234[[#This Row],[BER_IN]]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Row],[(A/S) AJD]]-TABL1234[[#This Row],[SER_IN]]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 (T/B) SAR]]+TABL1234[[#This Row],[ (S/S) SAR]]</f>
        <v>0</v>
      </c>
      <c r="L355" s="45"/>
      <c r="M355" s="46"/>
      <c r="N355" s="46"/>
      <c r="O355" s="40"/>
      <c r="P355" s="9">
        <f>TABL1234[[#This Row],[ (S/S) SAR]]-TABL1234[[#This Row],[(S/S) AJD]]</f>
        <v>0</v>
      </c>
      <c r="Q355" s="40"/>
      <c r="R355" s="9">
        <f>TABL1234[[#This Row],[ (T/B) SAR]]-TABL1234[[#This Row],[(T/B) AJD]]</f>
        <v>0</v>
      </c>
      <c r="S355" s="9">
        <f>TABL1234[[#This Row],[T/B-CON.]]+TABL1234[[#This Row],[S/S_CON.]]</f>
        <v>0</v>
      </c>
      <c r="T355" s="9">
        <f>TABL1234[[#This Row],[(S/S) AJD]]+TABL1234[[#This Row],[(T/B) AJD]]</f>
        <v>0</v>
      </c>
      <c r="U355" s="44"/>
      <c r="V355" s="44"/>
      <c r="W355" s="9">
        <f>TABL1234[[#This Row],[(A/B) AJD]]+TABL1234[[#This Row],[(A/S)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Row],[AJD_Evaporation]])</f>
        <v>0</v>
      </c>
      <c r="AE355" s="44"/>
      <c r="AF355" s="45"/>
      <c r="AG355" s="45"/>
      <c r="AH355" s="6"/>
      <c r="AI355" s="45"/>
      <c r="AJ355" s="45">
        <f>TABL1234[[#This Row],[(A/B) AJD]]-TABL1234[[#This Row],[BER_IN]]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Row],[(A/S) AJD]]-TABL1234[[#This Row],[SER_IN]]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 (T/B) SAR]]+TABL1234[[#This Row],[ (S/S) SAR]]</f>
        <v>0</v>
      </c>
      <c r="L356" s="41"/>
      <c r="M356" s="42"/>
      <c r="N356" s="42"/>
      <c r="O356" s="39"/>
      <c r="P356" s="9">
        <f>TABL1234[[#This Row],[ (S/S) SAR]]-TABL1234[[#This Row],[(S/S) AJD]]</f>
        <v>0</v>
      </c>
      <c r="Q356" s="39"/>
      <c r="R356" s="9">
        <f>TABL1234[[#This Row],[ (T/B) SAR]]-TABL1234[[#This Row],[(T/B) AJD]]</f>
        <v>0</v>
      </c>
      <c r="S356" s="9">
        <f>TABL1234[[#This Row],[T/B-CON.]]+TABL1234[[#This Row],[S/S_CON.]]</f>
        <v>0</v>
      </c>
      <c r="T356" s="9">
        <f>TABL1234[[#This Row],[(S/S) AJD]]+TABL1234[[#This Row],[(T/B) AJD]]</f>
        <v>0</v>
      </c>
      <c r="U356" s="41"/>
      <c r="V356" s="41"/>
      <c r="W356" s="9">
        <f>TABL1234[[#This Row],[(A/B) AJD]]+TABL1234[[#This Row],[(A/S)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Row],[AJD_Evaporation]])</f>
        <v>0</v>
      </c>
      <c r="AE356" s="41"/>
      <c r="AF356" s="43"/>
      <c r="AG356" s="43"/>
      <c r="AH356" s="6"/>
      <c r="AI356" s="43"/>
      <c r="AJ356" s="43">
        <f>TABL1234[[#This Row],[(A/B) AJD]]-TABL1234[[#This Row],[BER_IN]]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Row],[(A/S) AJD]]-TABL1234[[#This Row],[SER_IN]]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 (T/B) SAR]]+TABL1234[[#This Row],[ (S/S) SAR]]</f>
        <v>0</v>
      </c>
      <c r="L357" s="45"/>
      <c r="M357" s="46"/>
      <c r="N357" s="46"/>
      <c r="O357" s="40"/>
      <c r="P357" s="9">
        <f>TABL1234[[#This Row],[ (S/S) SAR]]-TABL1234[[#This Row],[(S/S) AJD]]</f>
        <v>0</v>
      </c>
      <c r="Q357" s="40"/>
      <c r="R357" s="9">
        <f>TABL1234[[#This Row],[ (T/B) SAR]]-TABL1234[[#This Row],[(T/B) AJD]]</f>
        <v>0</v>
      </c>
      <c r="S357" s="9">
        <f>TABL1234[[#This Row],[T/B-CON.]]+TABL1234[[#This Row],[S/S_CON.]]</f>
        <v>0</v>
      </c>
      <c r="T357" s="9">
        <f>TABL1234[[#This Row],[(S/S) AJD]]+TABL1234[[#This Row],[(T/B) AJD]]</f>
        <v>0</v>
      </c>
      <c r="U357" s="44"/>
      <c r="V357" s="44"/>
      <c r="W357" s="9">
        <f>TABL1234[[#This Row],[(A/B) AJD]]+TABL1234[[#This Row],[(A/S)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Row],[AJD_Evaporation]])</f>
        <v>0</v>
      </c>
      <c r="AE357" s="44"/>
      <c r="AF357" s="45"/>
      <c r="AG357" s="45"/>
      <c r="AH357" s="6"/>
      <c r="AI357" s="45"/>
      <c r="AJ357" s="45">
        <f>TABL1234[[#This Row],[(A/B) AJD]]-TABL1234[[#This Row],[BER_IN]]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Row],[(A/S) AJD]]-TABL1234[[#This Row],[SER_IN]]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 (T/B) SAR]]+TABL1234[[#This Row],[ (S/S) SAR]]</f>
        <v>0</v>
      </c>
      <c r="L358" s="41"/>
      <c r="M358" s="42"/>
      <c r="N358" s="42"/>
      <c r="O358" s="39"/>
      <c r="P358" s="9">
        <f>TABL1234[[#This Row],[ (S/S) SAR]]-TABL1234[[#This Row],[(S/S) AJD]]</f>
        <v>0</v>
      </c>
      <c r="Q358" s="39"/>
      <c r="R358" s="9">
        <f>TABL1234[[#This Row],[ (T/B) SAR]]-TABL1234[[#This Row],[(T/B) AJD]]</f>
        <v>0</v>
      </c>
      <c r="S358" s="9">
        <f>TABL1234[[#This Row],[T/B-CON.]]+TABL1234[[#This Row],[S/S_CON.]]</f>
        <v>0</v>
      </c>
      <c r="T358" s="9">
        <f>TABL1234[[#This Row],[(S/S) AJD]]+TABL1234[[#This Row],[(T/B) AJD]]</f>
        <v>0</v>
      </c>
      <c r="U358" s="41"/>
      <c r="V358" s="41"/>
      <c r="W358" s="9">
        <f>TABL1234[[#This Row],[(A/B) AJD]]+TABL1234[[#This Row],[(A/S)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Row],[AJD_Evaporation]])</f>
        <v>0</v>
      </c>
      <c r="AE358" s="41"/>
      <c r="AF358" s="43"/>
      <c r="AG358" s="43"/>
      <c r="AH358" s="6"/>
      <c r="AI358" s="43"/>
      <c r="AJ358" s="43">
        <f>TABL1234[[#This Row],[(A/B) AJD]]-TABL1234[[#This Row],[BER_IN]]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Row],[(A/S) AJD]]-TABL1234[[#This Row],[SER_IN]]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 (T/B) SAR]]+TABL1234[[#This Row],[ (S/S) SAR]]</f>
        <v>0</v>
      </c>
      <c r="L359" s="45"/>
      <c r="M359" s="46"/>
      <c r="N359" s="46"/>
      <c r="O359" s="40"/>
      <c r="P359" s="9">
        <f>TABL1234[[#This Row],[ (S/S) SAR]]-TABL1234[[#This Row],[(S/S) AJD]]</f>
        <v>0</v>
      </c>
      <c r="Q359" s="40"/>
      <c r="R359" s="9">
        <f>TABL1234[[#This Row],[ (T/B) SAR]]-TABL1234[[#This Row],[(T/B) AJD]]</f>
        <v>0</v>
      </c>
      <c r="S359" s="9">
        <f>TABL1234[[#This Row],[T/B-CON.]]+TABL1234[[#This Row],[S/S_CON.]]</f>
        <v>0</v>
      </c>
      <c r="T359" s="9">
        <f>TABL1234[[#This Row],[(S/S) AJD]]+TABL1234[[#This Row],[(T/B) AJD]]</f>
        <v>0</v>
      </c>
      <c r="U359" s="44"/>
      <c r="V359" s="44"/>
      <c r="W359" s="9">
        <f>TABL1234[[#This Row],[(A/B) AJD]]+TABL1234[[#This Row],[(A/S)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Row],[AJD_Evaporation]])</f>
        <v>0</v>
      </c>
      <c r="AE359" s="44"/>
      <c r="AF359" s="45"/>
      <c r="AG359" s="45"/>
      <c r="AH359" s="6"/>
      <c r="AI359" s="45"/>
      <c r="AJ359" s="45">
        <f>TABL1234[[#This Row],[(A/B) AJD]]-TABL1234[[#This Row],[BER_IN]]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Row],[(A/S) AJD]]-TABL1234[[#This Row],[SER_IN]]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 (T/B) SAR]]+TABL1234[[#This Row],[ (S/S) SAR]]</f>
        <v>0</v>
      </c>
      <c r="L360" s="41"/>
      <c r="M360" s="42"/>
      <c r="N360" s="42"/>
      <c r="O360" s="39"/>
      <c r="P360" s="9">
        <f>TABL1234[[#This Row],[ (S/S) SAR]]-TABL1234[[#This Row],[(S/S) AJD]]</f>
        <v>0</v>
      </c>
      <c r="Q360" s="39"/>
      <c r="R360" s="9">
        <f>TABL1234[[#This Row],[ (T/B) SAR]]-TABL1234[[#This Row],[(T/B) AJD]]</f>
        <v>0</v>
      </c>
      <c r="S360" s="9">
        <f>TABL1234[[#This Row],[T/B-CON.]]+TABL1234[[#This Row],[S/S_CON.]]</f>
        <v>0</v>
      </c>
      <c r="T360" s="9">
        <f>TABL1234[[#This Row],[(S/S) AJD]]+TABL1234[[#This Row],[(T/B) AJD]]</f>
        <v>0</v>
      </c>
      <c r="U360" s="41"/>
      <c r="V360" s="41"/>
      <c r="W360" s="9">
        <f>TABL1234[[#This Row],[(A/B) AJD]]+TABL1234[[#This Row],[(A/S)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Row],[AJD_Evaporation]])</f>
        <v>0</v>
      </c>
      <c r="AE360" s="41"/>
      <c r="AF360" s="43"/>
      <c r="AG360" s="43"/>
      <c r="AH360" s="6"/>
      <c r="AI360" s="43"/>
      <c r="AJ360" s="43">
        <f>TABL1234[[#This Row],[(A/B) AJD]]-TABL1234[[#This Row],[BER_IN]]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Row],[(A/S) AJD]]-TABL1234[[#This Row],[SER_IN]]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 (T/B) SAR]]+TABL1234[[#This Row],[ (S/S) SAR]]</f>
        <v>0</v>
      </c>
      <c r="L361" s="45"/>
      <c r="M361" s="46"/>
      <c r="N361" s="46"/>
      <c r="O361" s="40"/>
      <c r="P361" s="9">
        <f>TABL1234[[#This Row],[ (S/S) SAR]]-TABL1234[[#This Row],[(S/S) AJD]]</f>
        <v>0</v>
      </c>
      <c r="Q361" s="40"/>
      <c r="R361" s="9">
        <f>TABL1234[[#This Row],[ (T/B) SAR]]-TABL1234[[#This Row],[(T/B) AJD]]</f>
        <v>0</v>
      </c>
      <c r="S361" s="9">
        <f>TABL1234[[#This Row],[T/B-CON.]]+TABL1234[[#This Row],[S/S_CON.]]</f>
        <v>0</v>
      </c>
      <c r="T361" s="9">
        <f>TABL1234[[#This Row],[(S/S) AJD]]+TABL1234[[#This Row],[(T/B) AJD]]</f>
        <v>0</v>
      </c>
      <c r="U361" s="44"/>
      <c r="V361" s="44"/>
      <c r="W361" s="9">
        <f>TABL1234[[#This Row],[(A/B) AJD]]+TABL1234[[#This Row],[(A/S)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Row],[AJD_Evaporation]])</f>
        <v>0</v>
      </c>
      <c r="AE361" s="44"/>
      <c r="AF361" s="45"/>
      <c r="AG361" s="45"/>
      <c r="AH361" s="6"/>
      <c r="AI361" s="45"/>
      <c r="AJ361" s="45">
        <f>TABL1234[[#This Row],[(A/B) AJD]]-TABL1234[[#This Row],[BER_IN]]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Row],[(A/S) AJD]]-TABL1234[[#This Row],[SER_IN]]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 (T/B) SAR]]+TABL1234[[#This Row],[ (S/S) SAR]]</f>
        <v>0</v>
      </c>
      <c r="L362" s="41"/>
      <c r="M362" s="42"/>
      <c r="N362" s="42"/>
      <c r="O362" s="39"/>
      <c r="P362" s="9">
        <f>TABL1234[[#This Row],[ (S/S) SAR]]-TABL1234[[#This Row],[(S/S) AJD]]</f>
        <v>0</v>
      </c>
      <c r="Q362" s="39"/>
      <c r="R362" s="9">
        <f>TABL1234[[#This Row],[ (T/B) SAR]]-TABL1234[[#This Row],[(T/B) AJD]]</f>
        <v>0</v>
      </c>
      <c r="S362" s="9">
        <f>TABL1234[[#This Row],[T/B-CON.]]+TABL1234[[#This Row],[S/S_CON.]]</f>
        <v>0</v>
      </c>
      <c r="T362" s="9">
        <f>TABL1234[[#This Row],[(S/S) AJD]]+TABL1234[[#This Row],[(T/B) AJD]]</f>
        <v>0</v>
      </c>
      <c r="U362" s="41"/>
      <c r="V362" s="41"/>
      <c r="W362" s="9">
        <f>TABL1234[[#This Row],[(A/B) AJD]]+TABL1234[[#This Row],[(A/S)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Row],[AJD_Evaporation]])</f>
        <v>0</v>
      </c>
      <c r="AE362" s="41"/>
      <c r="AF362" s="43"/>
      <c r="AG362" s="43"/>
      <c r="AH362" s="6"/>
      <c r="AI362" s="43"/>
      <c r="AJ362" s="43">
        <f>TABL1234[[#This Row],[(A/B) AJD]]-TABL1234[[#This Row],[BER_IN]]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Row],[(A/S) AJD]]-TABL1234[[#This Row],[SER_IN]]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 (T/B) SAR]]+TABL1234[[#This Row],[ (S/S) SAR]]</f>
        <v>0</v>
      </c>
      <c r="L363" s="45"/>
      <c r="M363" s="46"/>
      <c r="N363" s="46"/>
      <c r="O363" s="40"/>
      <c r="P363" s="9">
        <f>TABL1234[[#This Row],[ (S/S) SAR]]-TABL1234[[#This Row],[(S/S) AJD]]</f>
        <v>0</v>
      </c>
      <c r="Q363" s="40"/>
      <c r="R363" s="9">
        <f>TABL1234[[#This Row],[ (T/B) SAR]]-TABL1234[[#This Row],[(T/B) AJD]]</f>
        <v>0</v>
      </c>
      <c r="S363" s="9">
        <f>TABL1234[[#This Row],[T/B-CON.]]+TABL1234[[#This Row],[S/S_CON.]]</f>
        <v>0</v>
      </c>
      <c r="T363" s="9">
        <f>TABL1234[[#This Row],[(S/S) AJD]]+TABL1234[[#This Row],[(T/B) AJD]]</f>
        <v>0</v>
      </c>
      <c r="U363" s="44"/>
      <c r="V363" s="44"/>
      <c r="W363" s="9">
        <f>TABL1234[[#This Row],[(A/B) AJD]]+TABL1234[[#This Row],[(A/S)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Row],[AJD_Evaporation]])</f>
        <v>0</v>
      </c>
      <c r="AE363" s="44"/>
      <c r="AF363" s="45"/>
      <c r="AG363" s="45"/>
      <c r="AH363" s="6"/>
      <c r="AI363" s="45"/>
      <c r="AJ363" s="45">
        <f>TABL1234[[#This Row],[(A/B) AJD]]-TABL1234[[#This Row],[BER_IN]]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Row],[(A/S) AJD]]-TABL1234[[#This Row],[SER_IN]]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 (T/B) SAR]]+TABL1234[[#This Row],[ (S/S) SAR]]</f>
        <v>0</v>
      </c>
      <c r="L364" s="41"/>
      <c r="M364" s="42"/>
      <c r="N364" s="42"/>
      <c r="O364" s="39"/>
      <c r="P364" s="9">
        <f>TABL1234[[#This Row],[ (S/S) SAR]]-TABL1234[[#This Row],[(S/S) AJD]]</f>
        <v>0</v>
      </c>
      <c r="Q364" s="39"/>
      <c r="R364" s="9">
        <f>TABL1234[[#This Row],[ (T/B) SAR]]-TABL1234[[#This Row],[(T/B) AJD]]</f>
        <v>0</v>
      </c>
      <c r="S364" s="9">
        <f>TABL1234[[#This Row],[T/B-CON.]]+TABL1234[[#This Row],[S/S_CON.]]</f>
        <v>0</v>
      </c>
      <c r="T364" s="9">
        <f>TABL1234[[#This Row],[(S/S) AJD]]+TABL1234[[#This Row],[(T/B) AJD]]</f>
        <v>0</v>
      </c>
      <c r="U364" s="41"/>
      <c r="V364" s="41"/>
      <c r="W364" s="9">
        <f>TABL1234[[#This Row],[(A/B) AJD]]+TABL1234[[#This Row],[(A/S)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Row],[AJD_Evaporation]])</f>
        <v>0</v>
      </c>
      <c r="AE364" s="41"/>
      <c r="AF364" s="43"/>
      <c r="AG364" s="43"/>
      <c r="AH364" s="6"/>
      <c r="AI364" s="43"/>
      <c r="AJ364" s="43">
        <f>TABL1234[[#This Row],[(A/B) AJD]]-TABL1234[[#This Row],[BER_IN]]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Row],[(A/S) AJD]]-TABL1234[[#This Row],[SER_IN]]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 (T/B) SAR]]+TABL1234[[#This Row],[ (S/S) SAR]]</f>
        <v>0</v>
      </c>
      <c r="L365" s="45"/>
      <c r="M365" s="46"/>
      <c r="N365" s="46"/>
      <c r="O365" s="40"/>
      <c r="P365" s="9">
        <f>TABL1234[[#This Row],[ (S/S) SAR]]-TABL1234[[#This Row],[(S/S) AJD]]</f>
        <v>0</v>
      </c>
      <c r="Q365" s="40"/>
      <c r="R365" s="9">
        <f>TABL1234[[#This Row],[ (T/B) SAR]]-TABL1234[[#This Row],[(T/B) AJD]]</f>
        <v>0</v>
      </c>
      <c r="S365" s="9">
        <f>TABL1234[[#This Row],[T/B-CON.]]+TABL1234[[#This Row],[S/S_CON.]]</f>
        <v>0</v>
      </c>
      <c r="T365" s="9">
        <f>TABL1234[[#This Row],[(S/S) AJD]]+TABL1234[[#This Row],[(T/B) AJD]]</f>
        <v>0</v>
      </c>
      <c r="U365" s="44"/>
      <c r="V365" s="44"/>
      <c r="W365" s="9">
        <f>TABL1234[[#This Row],[(A/B) AJD]]+TABL1234[[#This Row],[(A/S)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Row],[AJD_Evaporation]])</f>
        <v>0</v>
      </c>
      <c r="AE365" s="44"/>
      <c r="AF365" s="45"/>
      <c r="AG365" s="45"/>
      <c r="AH365" s="6"/>
      <c r="AI365" s="45"/>
      <c r="AJ365" s="91">
        <f>TABL1234[[#This Row],[(A/B) AJD]]-TABL1234[[#This Row],[BER_IN]]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Row],[(A/S) AJD]]-TABL1234[[#This Row],[SER_IN]]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 (T/B) SAR]]+TABL1234[[#This Row],[ (S/S) SAR]]</f>
        <v>0</v>
      </c>
      <c r="L366" s="41"/>
      <c r="M366" s="42"/>
      <c r="N366" s="42"/>
      <c r="O366" s="39"/>
      <c r="P366" s="19">
        <f>TABL1234[[#This Row],[ (S/S) SAR]]-TABL1234[[#This Row],[(S/S) AJD]]</f>
        <v>0</v>
      </c>
      <c r="Q366" s="39"/>
      <c r="R366" s="19">
        <f>TABL1234[[#This Row],[ (T/B) SAR]]-TABL1234[[#This Row],[(T/B) AJD]]</f>
        <v>0</v>
      </c>
      <c r="S366" s="19">
        <f>TABL1234[[#This Row],[T/B-CON.]]+TABL1234[[#This Row],[S/S_CON.]]</f>
        <v>0</v>
      </c>
      <c r="T366" s="19">
        <f>TABL1234[[#This Row],[(S/S) AJD]]+TABL1234[[#This Row],[(T/B) AJD]]</f>
        <v>0</v>
      </c>
      <c r="U366" s="41"/>
      <c r="V366" s="41"/>
      <c r="W366" s="19">
        <f>TABL1234[[#This Row],[(A/B) AJD]]+TABL1234[[#This Row],[(A/S)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Row],[AJD_Evaporation]])</f>
        <v>0</v>
      </c>
      <c r="AE366" s="41"/>
      <c r="AF366" s="43"/>
      <c r="AG366" s="43"/>
      <c r="AH366" s="21"/>
      <c r="AI366" s="43"/>
      <c r="AJ366" s="43">
        <f>TABL1234[[#This Row],[(A/B) AJD]]-TABL1234[[#This Row],[BER_IN]]</f>
        <v>0</v>
      </c>
      <c r="AK366" s="43"/>
      <c r="AL366" s="43"/>
      <c r="AM366" s="32"/>
      <c r="AN366" s="32">
        <f>TABL1234[[#This Row],[ (RESV. STORGE) SER]]/10</f>
        <v>0</v>
      </c>
      <c r="AO366" s="82"/>
      <c r="AP366" s="82">
        <f>TABL1234[[#This Row],[(A/S) AJD]]-TABL1234[[#This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8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1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 (T/B) SAR]]+TABL12345[[#This Row],[ (S/S) SAR]]</f>
        <v>0</v>
      </c>
      <c r="L2" s="28"/>
      <c r="M2" s="29"/>
      <c r="N2" s="30"/>
      <c r="O2" s="3"/>
      <c r="P2" s="3">
        <f>TABL12345[[#This Row],[ (S/S) SAR]]-TABL12345[[#This Row],[(S/S) AJD]]</f>
        <v>0</v>
      </c>
      <c r="Q2" s="3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f>(Z2-'my_job - 2027'!Z366)/1000</f>
        <v>0</v>
      </c>
      <c r="AC2" s="5"/>
      <c r="AD2" s="5">
        <f>(TABL12345[[#This Row],[( S/S+T/B) AJD]]*1000)-((TABL12345[[#This Row],[(STORGE DIFF.) AJD]]*1000)+TABL12345[[#This Row],[AJD_Evaporation]]+(TABL12345[[#This Row],[(A/B + A/S) AJD]]*1000))</f>
        <v>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Row],[(A/B) AJD]]-TABL12345[[#This Row],[BER_IN]]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Row],[(A/S) AJD]]-TABL12345[[#This Row],[SER_IN]]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3">
        <f>IF(TRIM(Z3)="",,(Z3-Z2)/1000)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3">
        <f t="shared" ref="AB4:AB67" si="3">IF(TRIM(Z4)="",,(Z4-Z3)/1000)</f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3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3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3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3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3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3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3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3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3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3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3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3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3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3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0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3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3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3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3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3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3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3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3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3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3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3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3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3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3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3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3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3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3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3">
        <f t="shared" si="3"/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3">
        <f t="shared" ref="AB68:AB131" si="7">IF(TRIM(Z68)="",,(Z68-Z67)/1000)</f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3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3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3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3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3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3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3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3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3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3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3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0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3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3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3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3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3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3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3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3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3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3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3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3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3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3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3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3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3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3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3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3">
        <f t="shared" si="7"/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3">
        <f t="shared" ref="AB132:AB195" si="11">IF(TRIM(Z132)="",,(Z132-Z131)/1000)</f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3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3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3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3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3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3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3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3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3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3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0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3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3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3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3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3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3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3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3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3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3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3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3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3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3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3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3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3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3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3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3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3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3">
        <f t="shared" si="11"/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3">
        <f t="shared" ref="AB196:AB259" si="15">IF(TRIM(Z196)="",,(Z196-Z195)/1000)</f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3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3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3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3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3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3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3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3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0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3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3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3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3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3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3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3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3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3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3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3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3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3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3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3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0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3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3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3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3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3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3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3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3">
        <f t="shared" si="15"/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3">
        <f t="shared" ref="AB260:AB323" si="19">IF(TRIM(Z260)="",,(Z260-Z259)/1000)</f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3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3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3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3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3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3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3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3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3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3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3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3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3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3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3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3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3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3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3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3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3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3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3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3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3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3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3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3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3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3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3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3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3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3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3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3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3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3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3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3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3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3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3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3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3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3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3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3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3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3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3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3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3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3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3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3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3">
        <f t="shared" si="19"/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3">
        <f t="shared" ref="AB324:AB366" si="23">IF(TRIM(Z324)="",,(Z324-Z323)/1000)</f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3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3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3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3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3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3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3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3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3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3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3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3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3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3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3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3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3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3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3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3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3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3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3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3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3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3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1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2"/>
      <c r="AP366" s="82">
        <f>TABL12345[[#This Row],[(A/S) AJD]]-TABL12345[[#This Row],[SER_IN]]</f>
        <v>0</v>
      </c>
    </row>
    <row r="367" spans="1:42" ht="18.75" x14ac:dyDescent="0.25">
      <c r="A367" s="2">
        <v>47118</v>
      </c>
      <c r="B367" s="93"/>
      <c r="C367" s="93"/>
      <c r="D367" s="93"/>
      <c r="E367" s="93"/>
      <c r="F367" s="93"/>
      <c r="G367" s="93"/>
      <c r="H367" s="93"/>
      <c r="I367" s="93"/>
      <c r="J367" s="93"/>
      <c r="K367" s="94">
        <f>TABL12345[[#This Row],[ (T/B) SAR]]+TABL12345[[#This Row],[ (S/S) SAR]]</f>
        <v>0</v>
      </c>
      <c r="L367" s="93"/>
      <c r="M367" s="95"/>
      <c r="N367" s="95"/>
      <c r="O367" s="71"/>
      <c r="P367" s="9">
        <f>TABL12345[[#This Row],[ (S/S) SAR]]-TABL12345[[#This Row],[(S/S) AJD]]</f>
        <v>0</v>
      </c>
      <c r="Q367" s="71"/>
      <c r="R367" s="9">
        <f>TABL12345[[#This Row],[ (T/B) SAR]]-TABL12345[[#This Row],[(T/B) AJD]]</f>
        <v>0</v>
      </c>
      <c r="S367" s="9">
        <f>TABL12345[[#This Row],[S/S_CON.]]+TABL12345[[#This Row],[T/B-CON.]]</f>
        <v>0</v>
      </c>
      <c r="T367" s="96">
        <f>O367+Q367</f>
        <v>0</v>
      </c>
      <c r="U367" s="68"/>
      <c r="V367" s="68"/>
      <c r="W367" s="96">
        <f>U367+V367</f>
        <v>0</v>
      </c>
      <c r="X367" s="96">
        <f>T367-W367</f>
        <v>0</v>
      </c>
      <c r="Y367" s="97"/>
      <c r="Z367" s="68"/>
      <c r="AA367" s="98">
        <f>TABL12345[[#This Row],[(RESV. STORGE) AJD]]/10</f>
        <v>0</v>
      </c>
      <c r="AB367" s="68"/>
      <c r="AC367" s="99"/>
      <c r="AD367" s="6">
        <f>(TABL12345[[#This Row],[( S/S+T/B) AJD]]*1000)-((TABL12345[[#This Row],[(STORGE DIFF.) AJD]]*1000)+TABL12345[[#This Row],[AJD_Evaporation]]+(TABL12345[[#This Row],[(A/B + A/S) AJD]]*1000))</f>
        <v>0</v>
      </c>
      <c r="AE367" s="68"/>
      <c r="AF367" s="68"/>
      <c r="AG367" s="68"/>
      <c r="AH367" s="6">
        <f>TABL12345[[#This Row],[ (RESV. STORGE) BER]]/10</f>
        <v>0</v>
      </c>
      <c r="AI367" s="68"/>
      <c r="AJ367" s="68">
        <f>TABL12345[[#This Row],[(A/B) AJD]]-TABL12345[[#This Row],[BER_IN]]</f>
        <v>0</v>
      </c>
      <c r="AK367" s="68"/>
      <c r="AL367" s="68"/>
      <c r="AM367" s="100"/>
      <c r="AN367" s="101">
        <f>TABL12345[[#This Row],[ (RESV. STORGE) SER]]/10</f>
        <v>0</v>
      </c>
      <c r="AO367" s="68"/>
      <c r="AP367" s="68">
        <f>TABL12345[[#This Row],[(A/S) AJD]]-TABL12345[[#This Row],[SER_IN]]</f>
        <v>0</v>
      </c>
    </row>
    <row r="368" spans="1:42" x14ac:dyDescent="0.25">
      <c r="A368" s="72"/>
      <c r="B368" s="73"/>
      <c r="C368" s="61"/>
      <c r="D368" s="61"/>
      <c r="E368" s="61"/>
      <c r="F368" s="61"/>
      <c r="G368" s="61"/>
      <c r="H368" s="61"/>
      <c r="I368" s="62"/>
      <c r="J368" s="61"/>
      <c r="K368" s="62"/>
      <c r="L368" s="61"/>
      <c r="M368" s="63"/>
      <c r="N368" s="74"/>
      <c r="O368" s="52"/>
      <c r="P368" s="19"/>
      <c r="Q368" s="52"/>
      <c r="R368" s="19"/>
      <c r="S368" s="19"/>
      <c r="T368" s="19"/>
      <c r="U368" s="52"/>
      <c r="V368" s="52"/>
      <c r="W368" s="19"/>
      <c r="X368" s="19"/>
      <c r="Y368" s="53"/>
      <c r="Z368" s="52"/>
      <c r="AA368" s="19"/>
      <c r="AB368" s="19"/>
      <c r="AC368" s="65"/>
      <c r="AD368" s="21"/>
      <c r="AE368" s="52"/>
      <c r="AF368" s="20"/>
      <c r="AG368" s="19"/>
      <c r="AH368" s="19"/>
      <c r="AI368" s="19"/>
      <c r="AJ368" s="54"/>
      <c r="AK368" s="75"/>
      <c r="AL368" s="19"/>
      <c r="AM368" s="21"/>
      <c r="AN368" s="76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topLeftCell="AI1" workbookViewId="0">
      <selection activeCell="AN5" sqref="AN5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6" t="s">
        <v>0</v>
      </c>
      <c r="B1" s="107" t="s">
        <v>6</v>
      </c>
      <c r="C1" s="107" t="s">
        <v>7</v>
      </c>
      <c r="D1" s="107" t="s">
        <v>8</v>
      </c>
      <c r="E1" s="107" t="s">
        <v>9</v>
      </c>
      <c r="F1" s="108" t="s">
        <v>10</v>
      </c>
      <c r="G1" s="108" t="s">
        <v>11</v>
      </c>
      <c r="H1" s="108" t="s">
        <v>12</v>
      </c>
      <c r="I1" s="108" t="s">
        <v>41</v>
      </c>
      <c r="J1" s="108" t="s">
        <v>40</v>
      </c>
      <c r="K1" s="108" t="s">
        <v>13</v>
      </c>
      <c r="L1" s="109" t="s">
        <v>39</v>
      </c>
      <c r="M1" s="109" t="s">
        <v>14</v>
      </c>
      <c r="N1" s="109" t="s">
        <v>38</v>
      </c>
      <c r="O1" s="110" t="s">
        <v>37</v>
      </c>
      <c r="P1" s="110" t="s">
        <v>36</v>
      </c>
      <c r="Q1" s="110" t="s">
        <v>35</v>
      </c>
      <c r="R1" s="110" t="s">
        <v>19</v>
      </c>
      <c r="S1" s="110" t="s">
        <v>20</v>
      </c>
      <c r="T1" s="110" t="s">
        <v>5</v>
      </c>
      <c r="U1" s="110" t="s">
        <v>34</v>
      </c>
      <c r="V1" s="110" t="s">
        <v>33</v>
      </c>
      <c r="W1" s="110" t="s">
        <v>1</v>
      </c>
      <c r="X1" s="110" t="s">
        <v>32</v>
      </c>
      <c r="Y1" s="110" t="s">
        <v>2</v>
      </c>
      <c r="Z1" s="110" t="s">
        <v>3</v>
      </c>
      <c r="AA1" s="110" t="s">
        <v>24</v>
      </c>
      <c r="AB1" s="110" t="s">
        <v>4</v>
      </c>
      <c r="AC1" s="110" t="s">
        <v>22</v>
      </c>
      <c r="AD1" s="110" t="s">
        <v>31</v>
      </c>
      <c r="AE1" s="111" t="s">
        <v>30</v>
      </c>
      <c r="AF1" s="111" t="s">
        <v>15</v>
      </c>
      <c r="AG1" s="111" t="s">
        <v>16</v>
      </c>
      <c r="AH1" s="111" t="s">
        <v>21</v>
      </c>
      <c r="AI1" s="111" t="s">
        <v>29</v>
      </c>
      <c r="AJ1" s="111" t="s">
        <v>23</v>
      </c>
      <c r="AK1" s="110" t="s">
        <v>28</v>
      </c>
      <c r="AL1" s="110" t="s">
        <v>17</v>
      </c>
      <c r="AM1" s="110" t="s">
        <v>18</v>
      </c>
      <c r="AN1" s="110" t="s">
        <v>25</v>
      </c>
      <c r="AO1" s="110" t="s">
        <v>26</v>
      </c>
      <c r="AP1" s="112" t="s">
        <v>27</v>
      </c>
    </row>
    <row r="2" spans="1:42" ht="18.75" x14ac:dyDescent="0.25">
      <c r="A2" s="10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Table5[[#This Row],[ (T/B) SAR]]+Table5[[#This Row],[ (S/S) SAR]]</f>
        <v>0</v>
      </c>
      <c r="L2" s="41"/>
      <c r="M2" s="42"/>
      <c r="N2" s="42"/>
      <c r="O2" s="39"/>
      <c r="P2" s="3">
        <f>Table5[[#This Row],[ (S/S) SAR]]-Table5[[#This Row],[(S/S) AJD]]</f>
        <v>0</v>
      </c>
      <c r="Q2" s="39"/>
      <c r="R2" s="3">
        <f>Table5[[#This Row],[ (T/B) SAR]]-Table5[[#This Row],[(T/B) AJD]]</f>
        <v>0</v>
      </c>
      <c r="S2" s="3">
        <f>Table5[[#This Row],[S/S_CON.]]+Table5[[#This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Table5[[#This Row],[(RESV. STORGE) AJD]]/10</f>
        <v>0</v>
      </c>
      <c r="AB2" s="92">
        <f>(Z2-'my_job - 2028'!Z367)/1000</f>
        <v>0</v>
      </c>
      <c r="AC2" s="5"/>
      <c r="AD2" s="39">
        <f>(Table5[[#This Row],[( S/S+T/B) AJD]]*1000)-((Table5[[#This Row],[(STORGE DIFF.) AJD]]*1000)+Table5[[#This Row],[AJD_Evaporation]]+(Table5[[#This Row],[(A/B + A/S) AJD]]*1000))</f>
        <v>0</v>
      </c>
      <c r="AE2" s="41"/>
      <c r="AF2" s="43"/>
      <c r="AG2" s="43"/>
      <c r="AH2" s="5">
        <f>Table5[[#This Row],[ (RESV. STORGE) BER]]/10</f>
        <v>0</v>
      </c>
      <c r="AI2" s="41"/>
      <c r="AJ2" s="41">
        <f>Table5[[#This Row],[(A/B) AJD]]-Table5[[#This Row],[BER_IN]]</f>
        <v>0</v>
      </c>
      <c r="AK2" s="43"/>
      <c r="AL2" s="43"/>
      <c r="AM2" s="32"/>
      <c r="AN2" s="32">
        <f>Table5[[#This Row],[ (RESV. STORGE) SER]]/10</f>
        <v>0</v>
      </c>
      <c r="AO2" s="81"/>
      <c r="AP2" s="103">
        <f>Table5[[#This Row],[(A/S) AJD]]-Table5[[#This Row],[SER_IN]]</f>
        <v>0</v>
      </c>
    </row>
    <row r="3" spans="1:42" ht="18.75" x14ac:dyDescent="0.25">
      <c r="A3" s="10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Table5[[#This Row],[ (T/B) SAR]]+Table5[[#This Row],[ (S/S) SAR]]</f>
        <v>0</v>
      </c>
      <c r="L3" s="45"/>
      <c r="M3" s="46"/>
      <c r="N3" s="46"/>
      <c r="O3" s="40"/>
      <c r="P3" s="3">
        <f>Table5[[#This Row],[ (S/S) SAR]]-Table5[[#This Row],[(S/S) AJD]]</f>
        <v>0</v>
      </c>
      <c r="Q3" s="40"/>
      <c r="R3" s="3">
        <f>Table5[[#This Row],[ (T/B) SAR]]-Table5[[#This Row],[(T/B) AJD]]</f>
        <v>0</v>
      </c>
      <c r="S3" s="3">
        <f>Table5[[#This Row],[S/S_CON.]]+Table5[[#This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Table5[[#This Row],[(RESV. STORGE) AJD]]/10</f>
        <v>0</v>
      </c>
      <c r="AB3" s="3">
        <f>IF(TRIM(Z3)="",,(Z3-Z2)/1000)</f>
        <v>0</v>
      </c>
      <c r="AC3" s="5"/>
      <c r="AD3" s="40">
        <f>(Table5[[#This Row],[( S/S+T/B) AJD]]*1000)-((Table5[[#This Row],[(STORGE DIFF.) AJD]]*1000)+Table5[[#This Row],[AJD_Evaporation]]+(Table5[[#This Row],[(A/B + A/S) AJD]]*1000))</f>
        <v>0</v>
      </c>
      <c r="AE3" s="44"/>
      <c r="AF3" s="45"/>
      <c r="AG3" s="45"/>
      <c r="AH3" s="6">
        <f>Table5[[#This Row],[ (RESV. STORGE) BER]]/10</f>
        <v>0</v>
      </c>
      <c r="AI3" s="44"/>
      <c r="AJ3" s="44">
        <f>Table5[[#This Row],[(A/B) AJD]]-Table5[[#This Row],[BER_IN]]</f>
        <v>0</v>
      </c>
      <c r="AK3" s="45"/>
      <c r="AL3" s="45"/>
      <c r="AM3" s="32"/>
      <c r="AN3" s="32">
        <f>Table5[[#This Row],[ (RESV. STORGE) SER]]/10</f>
        <v>0</v>
      </c>
      <c r="AO3" s="68"/>
      <c r="AP3" s="104">
        <f>Table5[[#This Row],[(A/S) AJD]]-Table5[[#This Row],[SER_IN]]</f>
        <v>0</v>
      </c>
    </row>
    <row r="4" spans="1:42" ht="18.75" x14ac:dyDescent="0.25">
      <c r="A4" s="10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Table5[[#This Row],[ (T/B) SAR]]+Table5[[#This Row],[ (S/S) SAR]]</f>
        <v>0</v>
      </c>
      <c r="L4" s="41"/>
      <c r="M4" s="42"/>
      <c r="N4" s="42"/>
      <c r="O4" s="39"/>
      <c r="P4" s="3">
        <f>Table5[[#This Row],[ (S/S) SAR]]-Table5[[#This Row],[(S/S) AJD]]</f>
        <v>0</v>
      </c>
      <c r="Q4" s="39"/>
      <c r="R4" s="3">
        <f>Table5[[#This Row],[ (T/B) SAR]]-Table5[[#This Row],[(T/B) AJD]]</f>
        <v>0</v>
      </c>
      <c r="S4" s="3">
        <f>Table5[[#This Row],[S/S_CON.]]+Table5[[#This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Table5[[#This Row],[(RESV. STORGE) AJD]]/10</f>
        <v>0</v>
      </c>
      <c r="AB4" s="3">
        <f t="shared" ref="AB4:AB67" si="3">IF(TRIM(Z4)="",,(Z4-Z3)/1000)</f>
        <v>0</v>
      </c>
      <c r="AC4" s="5"/>
      <c r="AD4" s="39">
        <f>(Table5[[#This Row],[( S/S+T/B) AJD]]*1000)-((Table5[[#This Row],[(STORGE DIFF.) AJD]]*1000)+Table5[[#This Row],[AJD_Evaporation]]+(Table5[[#This Row],[(A/B + A/S) AJD]]*1000))</f>
        <v>0</v>
      </c>
      <c r="AE4" s="41"/>
      <c r="AF4" s="43"/>
      <c r="AG4" s="43"/>
      <c r="AH4" s="6">
        <f>Table5[[#This Row],[ (RESV. STORGE) BER]]/10</f>
        <v>0</v>
      </c>
      <c r="AI4" s="41"/>
      <c r="AJ4" s="41">
        <f>Table5[[#This Row],[(A/B) AJD]]-Table5[[#This Row],[BER_IN]]</f>
        <v>0</v>
      </c>
      <c r="AK4" s="43"/>
      <c r="AL4" s="43"/>
      <c r="AM4" s="32"/>
      <c r="AN4" s="32">
        <f>Table5[[#This Row],[ (RESV. STORGE) SER]]/10</f>
        <v>0</v>
      </c>
      <c r="AO4" s="68"/>
      <c r="AP4" s="104">
        <f>Table5[[#This Row],[(A/S) AJD]]-Table5[[#This Row],[SER_IN]]</f>
        <v>0</v>
      </c>
    </row>
    <row r="5" spans="1:42" ht="18.75" x14ac:dyDescent="0.25">
      <c r="A5" s="10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Table5[[#This Row],[ (T/B) SAR]]+Table5[[#This Row],[ (S/S) SAR]]</f>
        <v>0</v>
      </c>
      <c r="L5" s="45"/>
      <c r="M5" s="46"/>
      <c r="N5" s="46"/>
      <c r="O5" s="40"/>
      <c r="P5" s="3">
        <f>Table5[[#This Row],[ (S/S) SAR]]-Table5[[#This Row],[(S/S) AJD]]</f>
        <v>0</v>
      </c>
      <c r="Q5" s="40"/>
      <c r="R5" s="3">
        <f>Table5[[#This Row],[ (T/B) SAR]]-Table5[[#This Row],[(T/B) AJD]]</f>
        <v>0</v>
      </c>
      <c r="S5" s="3">
        <f>Table5[[#This Row],[S/S_CON.]]+Table5[[#This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Table5[[#This Row],[(RESV. STORGE) AJD]]/10</f>
        <v>0</v>
      </c>
      <c r="AB5" s="3">
        <f t="shared" si="3"/>
        <v>0</v>
      </c>
      <c r="AC5" s="5"/>
      <c r="AD5" s="40">
        <f>(Table5[[#This Row],[( S/S+T/B) AJD]]*1000)-((Table5[[#This Row],[(STORGE DIFF.) AJD]]*1000)+Table5[[#This Row],[AJD_Evaporation]]+(Table5[[#This Row],[(A/B + A/S) AJD]]*1000))</f>
        <v>0</v>
      </c>
      <c r="AE5" s="44"/>
      <c r="AF5" s="45"/>
      <c r="AG5" s="45"/>
      <c r="AH5" s="6">
        <f>Table5[[#This Row],[ (RESV. STORGE) BER]]/10</f>
        <v>0</v>
      </c>
      <c r="AI5" s="44"/>
      <c r="AJ5" s="44">
        <f>Table5[[#This Row],[(A/B) AJD]]-Table5[[#This Row],[BER_IN]]</f>
        <v>0</v>
      </c>
      <c r="AK5" s="45"/>
      <c r="AL5" s="45"/>
      <c r="AM5" s="32"/>
      <c r="AN5" s="32">
        <f>Table5[[#This Row],[ (RESV. STORGE) SER]]/10</f>
        <v>0</v>
      </c>
      <c r="AO5" s="68"/>
      <c r="AP5" s="104">
        <f>Table5[[#This Row],[(A/S) AJD]]-Table5[[#This Row],[SER_IN]]</f>
        <v>0</v>
      </c>
    </row>
    <row r="6" spans="1:42" ht="18.75" x14ac:dyDescent="0.25">
      <c r="A6" s="10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Table5[[#This Row],[ (T/B) SAR]]+Table5[[#This Row],[ (S/S) SAR]]</f>
        <v>0</v>
      </c>
      <c r="L6" s="41"/>
      <c r="M6" s="42"/>
      <c r="N6" s="42"/>
      <c r="O6" s="39"/>
      <c r="P6" s="3">
        <f>Table5[[#This Row],[ (S/S) SAR]]-Table5[[#This Row],[(S/S) AJD]]</f>
        <v>0</v>
      </c>
      <c r="Q6" s="39"/>
      <c r="R6" s="3">
        <f>Table5[[#This Row],[ (T/B) SAR]]-Table5[[#This Row],[(T/B) AJD]]</f>
        <v>0</v>
      </c>
      <c r="S6" s="3">
        <f>Table5[[#This Row],[S/S_CON.]]+Table5[[#This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Table5[[#This Row],[(RESV. STORGE) AJD]]/10</f>
        <v>0</v>
      </c>
      <c r="AB6" s="3">
        <f t="shared" si="3"/>
        <v>0</v>
      </c>
      <c r="AC6" s="5"/>
      <c r="AD6" s="39">
        <f>(Table5[[#This Row],[( S/S+T/B) AJD]]*1000)-((Table5[[#This Row],[(STORGE DIFF.) AJD]]*1000)+Table5[[#This Row],[AJD_Evaporation]]+(Table5[[#This Row],[(A/B + A/S) AJD]]*1000))</f>
        <v>0</v>
      </c>
      <c r="AE6" s="41"/>
      <c r="AF6" s="43"/>
      <c r="AG6" s="43"/>
      <c r="AH6" s="6">
        <f>Table5[[#This Row],[ (RESV. STORGE) BER]]/10</f>
        <v>0</v>
      </c>
      <c r="AI6" s="41"/>
      <c r="AJ6" s="41">
        <f>Table5[[#This Row],[(A/B) AJD]]-Table5[[#This Row],[BER_IN]]</f>
        <v>0</v>
      </c>
      <c r="AK6" s="43"/>
      <c r="AL6" s="43"/>
      <c r="AM6" s="32"/>
      <c r="AN6" s="32">
        <f>Table5[[#This Row],[ (RESV. STORGE) SER]]/10</f>
        <v>0</v>
      </c>
      <c r="AO6" s="68"/>
      <c r="AP6" s="104">
        <f>Table5[[#This Row],[(A/S) AJD]]-Table5[[#This Row],[SER_IN]]</f>
        <v>0</v>
      </c>
    </row>
    <row r="7" spans="1:42" ht="18.75" x14ac:dyDescent="0.25">
      <c r="A7" s="10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Table5[[#This Row],[ (T/B) SAR]]+Table5[[#This Row],[ (S/S) SAR]]</f>
        <v>0</v>
      </c>
      <c r="L7" s="45"/>
      <c r="M7" s="46"/>
      <c r="N7" s="46"/>
      <c r="O7" s="40"/>
      <c r="P7" s="3">
        <f>Table5[[#This Row],[ (S/S) SAR]]-Table5[[#This Row],[(S/S) AJD]]</f>
        <v>0</v>
      </c>
      <c r="Q7" s="40"/>
      <c r="R7" s="3">
        <f>Table5[[#This Row],[ (T/B) SAR]]-Table5[[#This Row],[(T/B) AJD]]</f>
        <v>0</v>
      </c>
      <c r="S7" s="3">
        <f>Table5[[#This Row],[S/S_CON.]]+Table5[[#This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Table5[[#This Row],[(RESV. STORGE) AJD]]/10</f>
        <v>0</v>
      </c>
      <c r="AB7" s="3">
        <f t="shared" si="3"/>
        <v>0</v>
      </c>
      <c r="AC7" s="5"/>
      <c r="AD7" s="40">
        <f>(Table5[[#This Row],[( S/S+T/B) AJD]]*1000)-((Table5[[#This Row],[(STORGE DIFF.) AJD]]*1000)+Table5[[#This Row],[AJD_Evaporation]]+(Table5[[#This Row],[(A/B + A/S) AJD]]*1000))</f>
        <v>0</v>
      </c>
      <c r="AE7" s="44"/>
      <c r="AF7" s="45"/>
      <c r="AG7" s="45"/>
      <c r="AH7" s="6">
        <f>Table5[[#This Row],[ (RESV. STORGE) BER]]/10</f>
        <v>0</v>
      </c>
      <c r="AI7" s="44"/>
      <c r="AJ7" s="44">
        <f>Table5[[#This Row],[(A/B) AJD]]-Table5[[#This Row],[BER_IN]]</f>
        <v>0</v>
      </c>
      <c r="AK7" s="45"/>
      <c r="AL7" s="45"/>
      <c r="AM7" s="32"/>
      <c r="AN7" s="32">
        <f>Table5[[#This Row],[ (RESV. STORGE) SER]]/10</f>
        <v>0</v>
      </c>
      <c r="AO7" s="68"/>
      <c r="AP7" s="104">
        <f>Table5[[#This Row],[(A/S) AJD]]-Table5[[#This Row],[SER_IN]]</f>
        <v>0</v>
      </c>
    </row>
    <row r="8" spans="1:42" ht="18.75" x14ac:dyDescent="0.25">
      <c r="A8" s="10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Table5[[#This Row],[ (T/B) SAR]]+Table5[[#This Row],[ (S/S) SAR]]</f>
        <v>0</v>
      </c>
      <c r="L8" s="41"/>
      <c r="M8" s="42"/>
      <c r="N8" s="42"/>
      <c r="O8" s="39"/>
      <c r="P8" s="3">
        <f>Table5[[#This Row],[ (S/S) SAR]]-Table5[[#This Row],[(S/S) AJD]]</f>
        <v>0</v>
      </c>
      <c r="Q8" s="39"/>
      <c r="R8" s="3">
        <f>Table5[[#This Row],[ (T/B) SAR]]-Table5[[#This Row],[(T/B) AJD]]</f>
        <v>0</v>
      </c>
      <c r="S8" s="3">
        <f>Table5[[#This Row],[S/S_CON.]]+Table5[[#This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Table5[[#This Row],[(RESV. STORGE) AJD]]/10</f>
        <v>0</v>
      </c>
      <c r="AB8" s="3">
        <f t="shared" si="3"/>
        <v>0</v>
      </c>
      <c r="AC8" s="5"/>
      <c r="AD8" s="39">
        <f>(Table5[[#This Row],[( S/S+T/B) AJD]]*1000)-((Table5[[#This Row],[(STORGE DIFF.) AJD]]*1000)+Table5[[#This Row],[AJD_Evaporation]]+(Table5[[#This Row],[(A/B + A/S) AJD]]*1000))</f>
        <v>0</v>
      </c>
      <c r="AE8" s="41"/>
      <c r="AF8" s="43"/>
      <c r="AG8" s="43"/>
      <c r="AH8" s="6">
        <f>Table5[[#This Row],[ (RESV. STORGE) BER]]/10</f>
        <v>0</v>
      </c>
      <c r="AI8" s="41"/>
      <c r="AJ8" s="41">
        <f>Table5[[#This Row],[(A/B) AJD]]-Table5[[#This Row],[BER_IN]]</f>
        <v>0</v>
      </c>
      <c r="AK8" s="43"/>
      <c r="AL8" s="43"/>
      <c r="AM8" s="32"/>
      <c r="AN8" s="32">
        <f>Table5[[#This Row],[ (RESV. STORGE) SER]]/10</f>
        <v>0</v>
      </c>
      <c r="AO8" s="68"/>
      <c r="AP8" s="104">
        <f>Table5[[#This Row],[(A/S) AJD]]-Table5[[#This Row],[SER_IN]]</f>
        <v>0</v>
      </c>
    </row>
    <row r="9" spans="1:42" ht="18.75" x14ac:dyDescent="0.25">
      <c r="A9" s="10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Table5[[#This Row],[ (T/B) SAR]]+Table5[[#This Row],[ (S/S) SAR]]</f>
        <v>0</v>
      </c>
      <c r="L9" s="45"/>
      <c r="M9" s="46"/>
      <c r="N9" s="46"/>
      <c r="O9" s="40"/>
      <c r="P9" s="3">
        <f>Table5[[#This Row],[ (S/S) SAR]]-Table5[[#This Row],[(S/S) AJD]]</f>
        <v>0</v>
      </c>
      <c r="Q9" s="40"/>
      <c r="R9" s="3">
        <f>Table5[[#This Row],[ (T/B) SAR]]-Table5[[#This Row],[(T/B) AJD]]</f>
        <v>0</v>
      </c>
      <c r="S9" s="3">
        <f>Table5[[#This Row],[S/S_CON.]]+Table5[[#This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Table5[[#This Row],[(RESV. STORGE) AJD]]/10</f>
        <v>0</v>
      </c>
      <c r="AB9" s="3">
        <f t="shared" si="3"/>
        <v>0</v>
      </c>
      <c r="AC9" s="5"/>
      <c r="AD9" s="40">
        <f>(Table5[[#This Row],[( S/S+T/B) AJD]]*1000)-((Table5[[#This Row],[(STORGE DIFF.) AJD]]*1000)+Table5[[#This Row],[AJD_Evaporation]]+(Table5[[#This Row],[(A/B + A/S) AJD]]*1000))</f>
        <v>0</v>
      </c>
      <c r="AE9" s="44"/>
      <c r="AF9" s="45"/>
      <c r="AG9" s="45"/>
      <c r="AH9" s="6">
        <f>Table5[[#This Row],[ (RESV. STORGE) BER]]/10</f>
        <v>0</v>
      </c>
      <c r="AI9" s="44"/>
      <c r="AJ9" s="44">
        <f>Table5[[#This Row],[(A/B) AJD]]-Table5[[#This Row],[BER_IN]]</f>
        <v>0</v>
      </c>
      <c r="AK9" s="45"/>
      <c r="AL9" s="45"/>
      <c r="AM9" s="32"/>
      <c r="AN9" s="32">
        <f>Table5[[#This Row],[ (RESV. STORGE) SER]]/10</f>
        <v>0</v>
      </c>
      <c r="AO9" s="68"/>
      <c r="AP9" s="104">
        <f>Table5[[#This Row],[(A/S) AJD]]-Table5[[#This Row],[SER_IN]]</f>
        <v>0</v>
      </c>
    </row>
    <row r="10" spans="1:42" ht="18.75" x14ac:dyDescent="0.25">
      <c r="A10" s="10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Table5[[#This Row],[ (T/B) SAR]]+Table5[[#This Row],[ (S/S) SAR]]</f>
        <v>0</v>
      </c>
      <c r="L10" s="41"/>
      <c r="M10" s="42"/>
      <c r="N10" s="42"/>
      <c r="O10" s="39"/>
      <c r="P10" s="3">
        <f>Table5[[#This Row],[ (S/S) SAR]]-Table5[[#This Row],[(S/S) AJD]]</f>
        <v>0</v>
      </c>
      <c r="Q10" s="39"/>
      <c r="R10" s="3">
        <f>Table5[[#This Row],[ (T/B) SAR]]-Table5[[#This Row],[(T/B) AJD]]</f>
        <v>0</v>
      </c>
      <c r="S10" s="3">
        <f>Table5[[#This Row],[S/S_CON.]]+Table5[[#This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Table5[[#This Row],[(RESV. STORGE) AJD]]/10</f>
        <v>0</v>
      </c>
      <c r="AB10" s="3">
        <f t="shared" si="3"/>
        <v>0</v>
      </c>
      <c r="AC10" s="5"/>
      <c r="AD10" s="39">
        <f>(Table5[[#This Row],[( S/S+T/B) AJD]]*1000)-((Table5[[#This Row],[(STORGE DIFF.) AJD]]*1000)+Table5[[#This Row],[AJD_Evaporation]]+(Table5[[#This Row],[(A/B + A/S) AJD]]*1000))</f>
        <v>0</v>
      </c>
      <c r="AE10" s="41"/>
      <c r="AF10" s="43"/>
      <c r="AG10" s="43"/>
      <c r="AH10" s="6">
        <f>Table5[[#This Row],[ (RESV. STORGE) BER]]/10</f>
        <v>0</v>
      </c>
      <c r="AI10" s="41"/>
      <c r="AJ10" s="41">
        <f>Table5[[#This Row],[(A/B) AJD]]-Table5[[#This Row],[BER_IN]]</f>
        <v>0</v>
      </c>
      <c r="AK10" s="43"/>
      <c r="AL10" s="43"/>
      <c r="AM10" s="32"/>
      <c r="AN10" s="32">
        <f>Table5[[#This Row],[ (RESV. STORGE) SER]]/10</f>
        <v>0</v>
      </c>
      <c r="AO10" s="68"/>
      <c r="AP10" s="104">
        <f>Table5[[#This Row],[(A/S) AJD]]-Table5[[#This Row],[SER_IN]]</f>
        <v>0</v>
      </c>
    </row>
    <row r="11" spans="1:42" ht="18.75" x14ac:dyDescent="0.25">
      <c r="A11" s="10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Table5[[#This Row],[ (T/B) SAR]]+Table5[[#This Row],[ (S/S) SAR]]</f>
        <v>0</v>
      </c>
      <c r="L11" s="45"/>
      <c r="M11" s="46"/>
      <c r="N11" s="46"/>
      <c r="O11" s="40"/>
      <c r="P11" s="3">
        <f>Table5[[#This Row],[ (S/S) SAR]]-Table5[[#This Row],[(S/S) AJD]]</f>
        <v>0</v>
      </c>
      <c r="Q11" s="40"/>
      <c r="R11" s="3">
        <f>Table5[[#This Row],[ (T/B) SAR]]-Table5[[#This Row],[(T/B) AJD]]</f>
        <v>0</v>
      </c>
      <c r="S11" s="3">
        <f>Table5[[#This Row],[S/S_CON.]]+Table5[[#This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Table5[[#This Row],[(RESV. STORGE) AJD]]/10</f>
        <v>0</v>
      </c>
      <c r="AB11" s="3">
        <f t="shared" si="3"/>
        <v>0</v>
      </c>
      <c r="AC11" s="5"/>
      <c r="AD11" s="40">
        <f>(Table5[[#This Row],[( S/S+T/B) AJD]]*1000)-((Table5[[#This Row],[(STORGE DIFF.) AJD]]*1000)+Table5[[#This Row],[AJD_Evaporation]]+(Table5[[#This Row],[(A/B + A/S) AJD]]*1000))</f>
        <v>0</v>
      </c>
      <c r="AE11" s="44"/>
      <c r="AF11" s="45"/>
      <c r="AG11" s="45"/>
      <c r="AH11" s="6">
        <f>Table5[[#This Row],[ (RESV. STORGE) BER]]/10</f>
        <v>0</v>
      </c>
      <c r="AI11" s="44"/>
      <c r="AJ11" s="44">
        <f>Table5[[#This Row],[(A/B) AJD]]-Table5[[#This Row],[BER_IN]]</f>
        <v>0</v>
      </c>
      <c r="AK11" s="45"/>
      <c r="AL11" s="45"/>
      <c r="AM11" s="32"/>
      <c r="AN11" s="32">
        <f>Table5[[#This Row],[ (RESV. STORGE) SER]]/10</f>
        <v>0</v>
      </c>
      <c r="AO11" s="68"/>
      <c r="AP11" s="104">
        <f>Table5[[#This Row],[(A/S) AJD]]-Table5[[#This Row],[SER_IN]]</f>
        <v>0</v>
      </c>
    </row>
    <row r="12" spans="1:42" ht="18.75" x14ac:dyDescent="0.25">
      <c r="A12" s="10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Table5[[#This Row],[ (T/B) SAR]]+Table5[[#This Row],[ (S/S) SAR]]</f>
        <v>0</v>
      </c>
      <c r="L12" s="41"/>
      <c r="M12" s="42"/>
      <c r="N12" s="42"/>
      <c r="O12" s="39"/>
      <c r="P12" s="3">
        <f>Table5[[#This Row],[ (S/S) SAR]]-Table5[[#This Row],[(S/S) AJD]]</f>
        <v>0</v>
      </c>
      <c r="Q12" s="39"/>
      <c r="R12" s="3">
        <f>Table5[[#This Row],[ (T/B) SAR]]-Table5[[#This Row],[(T/B) AJD]]</f>
        <v>0</v>
      </c>
      <c r="S12" s="3">
        <f>Table5[[#This Row],[S/S_CON.]]+Table5[[#This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Table5[[#This Row],[(RESV. STORGE) AJD]]/10</f>
        <v>0</v>
      </c>
      <c r="AB12" s="3">
        <f t="shared" si="3"/>
        <v>0</v>
      </c>
      <c r="AC12" s="5"/>
      <c r="AD12" s="39">
        <f>(Table5[[#This Row],[( S/S+T/B) AJD]]*1000)-((Table5[[#This Row],[(STORGE DIFF.) AJD]]*1000)+Table5[[#This Row],[AJD_Evaporation]]+(Table5[[#This Row],[(A/B + A/S) AJD]]*1000))</f>
        <v>0</v>
      </c>
      <c r="AE12" s="41"/>
      <c r="AF12" s="43"/>
      <c r="AG12" s="68"/>
      <c r="AH12" s="6">
        <f>Table5[[#This Row],[ (RESV. STORGE) BER]]/10</f>
        <v>0</v>
      </c>
      <c r="AI12" s="41"/>
      <c r="AJ12" s="69">
        <f>Table5[[#This Row],[(A/B) AJD]]-Table5[[#This Row],[BER_IN]]</f>
        <v>0</v>
      </c>
      <c r="AK12" s="43"/>
      <c r="AL12" s="43"/>
      <c r="AM12" s="32"/>
      <c r="AN12" s="32">
        <f>Table5[[#This Row],[ (RESV. STORGE) SER]]/10</f>
        <v>0</v>
      </c>
      <c r="AO12" s="68"/>
      <c r="AP12" s="104">
        <f>Table5[[#This Row],[(A/S) AJD]]-Table5[[#This Row],[SER_IN]]</f>
        <v>0</v>
      </c>
    </row>
    <row r="13" spans="1:42" ht="18.75" x14ac:dyDescent="0.25">
      <c r="A13" s="10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Table5[[#This Row],[ (T/B) SAR]]+Table5[[#This Row],[ (S/S) SAR]]</f>
        <v>0</v>
      </c>
      <c r="L13" s="45"/>
      <c r="M13" s="46"/>
      <c r="N13" s="46"/>
      <c r="O13" s="40"/>
      <c r="P13" s="3">
        <f>Table5[[#This Row],[ (S/S) SAR]]-Table5[[#This Row],[(S/S) AJD]]</f>
        <v>0</v>
      </c>
      <c r="Q13" s="40"/>
      <c r="R13" s="3">
        <f>Table5[[#This Row],[ (T/B) SAR]]-Table5[[#This Row],[(T/B) AJD]]</f>
        <v>0</v>
      </c>
      <c r="S13" s="3">
        <f>Table5[[#This Row],[S/S_CON.]]+Table5[[#This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Table5[[#This Row],[(RESV. STORGE) AJD]]/10</f>
        <v>0</v>
      </c>
      <c r="AB13" s="3">
        <f t="shared" si="3"/>
        <v>0</v>
      </c>
      <c r="AC13" s="5"/>
      <c r="AD13" s="40">
        <f>(Table5[[#This Row],[( S/S+T/B) AJD]]*1000)-((Table5[[#This Row],[(STORGE DIFF.) AJD]]*1000)+Table5[[#This Row],[AJD_Evaporation]]+(Table5[[#This Row],[(A/B + A/S) AJD]]*1000))</f>
        <v>0</v>
      </c>
      <c r="AE13" s="44"/>
      <c r="AF13" s="45"/>
      <c r="AG13" s="45"/>
      <c r="AH13" s="6">
        <f>Table5[[#This Row],[ (RESV. STORGE) BER]]/10</f>
        <v>0</v>
      </c>
      <c r="AI13" s="44"/>
      <c r="AJ13" s="44">
        <f>Table5[[#This Row],[(A/B) AJD]]-Table5[[#This Row],[BER_IN]]</f>
        <v>0</v>
      </c>
      <c r="AK13" s="45"/>
      <c r="AL13" s="45"/>
      <c r="AM13" s="32"/>
      <c r="AN13" s="32">
        <f>Table5[[#This Row],[ (RESV. STORGE) SER]]/10</f>
        <v>0</v>
      </c>
      <c r="AO13" s="68"/>
      <c r="AP13" s="104">
        <f>Table5[[#This Row],[(A/S) AJD]]-Table5[[#This Row],[SER_IN]]</f>
        <v>0</v>
      </c>
    </row>
    <row r="14" spans="1:42" ht="18.75" x14ac:dyDescent="0.25">
      <c r="A14" s="10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Table5[[#This Row],[ (T/B) SAR]]+Table5[[#This Row],[ (S/S) SAR]]</f>
        <v>0</v>
      </c>
      <c r="L14" s="41"/>
      <c r="M14" s="42"/>
      <c r="N14" s="42"/>
      <c r="O14" s="39"/>
      <c r="P14" s="3">
        <f>Table5[[#This Row],[ (S/S) SAR]]-Table5[[#This Row],[(S/S) AJD]]</f>
        <v>0</v>
      </c>
      <c r="Q14" s="39"/>
      <c r="R14" s="3">
        <f>Table5[[#This Row],[ (T/B) SAR]]-Table5[[#This Row],[(T/B) AJD]]</f>
        <v>0</v>
      </c>
      <c r="S14" s="3">
        <f>Table5[[#This Row],[S/S_CON.]]+Table5[[#This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Table5[[#This Row],[(RESV. STORGE) AJD]]/10</f>
        <v>0</v>
      </c>
      <c r="AB14" s="3">
        <f t="shared" si="3"/>
        <v>0</v>
      </c>
      <c r="AC14" s="5"/>
      <c r="AD14" s="39">
        <f>(Table5[[#This Row],[( S/S+T/B) AJD]]*1000)-((Table5[[#This Row],[(STORGE DIFF.) AJD]]*1000)+Table5[[#This Row],[AJD_Evaporation]]+(Table5[[#This Row],[(A/B + A/S) AJD]]*1000))</f>
        <v>0</v>
      </c>
      <c r="AE14" s="41"/>
      <c r="AF14" s="43"/>
      <c r="AG14" s="43"/>
      <c r="AH14" s="6">
        <f>Table5[[#This Row],[ (RESV. STORGE) BER]]/10</f>
        <v>0</v>
      </c>
      <c r="AI14" s="41"/>
      <c r="AJ14" s="41">
        <f>Table5[[#This Row],[(A/B) AJD]]-Table5[[#This Row],[BER_IN]]</f>
        <v>0</v>
      </c>
      <c r="AK14" s="43"/>
      <c r="AL14" s="43"/>
      <c r="AM14" s="32"/>
      <c r="AN14" s="32">
        <f>Table5[[#This Row],[ (RESV. STORGE) SER]]/10</f>
        <v>0</v>
      </c>
      <c r="AO14" s="68"/>
      <c r="AP14" s="104">
        <f>Table5[[#This Row],[(A/S) AJD]]-Table5[[#This Row],[SER_IN]]</f>
        <v>0</v>
      </c>
    </row>
    <row r="15" spans="1:42" ht="18.75" x14ac:dyDescent="0.25">
      <c r="A15" s="10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Table5[[#This Row],[ (T/B) SAR]]+Table5[[#This Row],[ (S/S) SAR]]</f>
        <v>0</v>
      </c>
      <c r="L15" s="45"/>
      <c r="M15" s="46"/>
      <c r="N15" s="46"/>
      <c r="O15" s="40"/>
      <c r="P15" s="3">
        <f>Table5[[#This Row],[ (S/S) SAR]]-Table5[[#This Row],[(S/S) AJD]]</f>
        <v>0</v>
      </c>
      <c r="Q15" s="40"/>
      <c r="R15" s="3">
        <f>Table5[[#This Row],[ (T/B) SAR]]-Table5[[#This Row],[(T/B) AJD]]</f>
        <v>0</v>
      </c>
      <c r="S15" s="3">
        <f>Table5[[#This Row],[S/S_CON.]]+Table5[[#This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Table5[[#This Row],[(RESV. STORGE) AJD]]/10</f>
        <v>0</v>
      </c>
      <c r="AB15" s="3">
        <f t="shared" si="3"/>
        <v>0</v>
      </c>
      <c r="AC15" s="5"/>
      <c r="AD15" s="40">
        <f>(Table5[[#This Row],[( S/S+T/B) AJD]]*1000)-((Table5[[#This Row],[(STORGE DIFF.) AJD]]*1000)+Table5[[#This Row],[AJD_Evaporation]]+(Table5[[#This Row],[(A/B + A/S) AJD]]*1000))</f>
        <v>0</v>
      </c>
      <c r="AE15" s="44"/>
      <c r="AF15" s="45"/>
      <c r="AG15" s="45"/>
      <c r="AH15" s="6">
        <f>Table5[[#This Row],[ (RESV. STORGE) BER]]/10</f>
        <v>0</v>
      </c>
      <c r="AI15" s="44"/>
      <c r="AJ15" s="44">
        <f>Table5[[#This Row],[(A/B) AJD]]-Table5[[#This Row],[BER_IN]]</f>
        <v>0</v>
      </c>
      <c r="AK15" s="45"/>
      <c r="AL15" s="45"/>
      <c r="AM15" s="32"/>
      <c r="AN15" s="32">
        <f>Table5[[#This Row],[ (RESV. STORGE) SER]]/10</f>
        <v>0</v>
      </c>
      <c r="AO15" s="68"/>
      <c r="AP15" s="104">
        <f>Table5[[#This Row],[(A/S) AJD]]-Table5[[#This Row],[SER_IN]]</f>
        <v>0</v>
      </c>
    </row>
    <row r="16" spans="1:42" ht="18.75" x14ac:dyDescent="0.25">
      <c r="A16" s="10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Table5[[#This Row],[ (T/B) SAR]]+Table5[[#This Row],[ (S/S) SAR]]</f>
        <v>0</v>
      </c>
      <c r="L16" s="41"/>
      <c r="M16" s="42"/>
      <c r="N16" s="42"/>
      <c r="O16" s="39"/>
      <c r="P16" s="3">
        <f>Table5[[#This Row],[ (S/S) SAR]]-Table5[[#This Row],[(S/S) AJD]]</f>
        <v>0</v>
      </c>
      <c r="Q16" s="39"/>
      <c r="R16" s="3">
        <f>Table5[[#This Row],[ (T/B) SAR]]-Table5[[#This Row],[(T/B) AJD]]</f>
        <v>0</v>
      </c>
      <c r="S16" s="3">
        <f>Table5[[#This Row],[S/S_CON.]]+Table5[[#This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Table5[[#This Row],[(RESV. STORGE) AJD]]/10</f>
        <v>0</v>
      </c>
      <c r="AB16" s="3">
        <f t="shared" si="3"/>
        <v>0</v>
      </c>
      <c r="AC16" s="5"/>
      <c r="AD16" s="39">
        <f>(Table5[[#This Row],[( S/S+T/B) AJD]]*1000)-((Table5[[#This Row],[(STORGE DIFF.) AJD]]*1000)+Table5[[#This Row],[AJD_Evaporation]]+(Table5[[#This Row],[(A/B + A/S) AJD]]*1000))</f>
        <v>0</v>
      </c>
      <c r="AE16" s="41"/>
      <c r="AF16" s="43"/>
      <c r="AG16" s="43"/>
      <c r="AH16" s="6">
        <f>Table5[[#This Row],[ (RESV. STORGE) BER]]/10</f>
        <v>0</v>
      </c>
      <c r="AI16" s="41"/>
      <c r="AJ16" s="41">
        <f>Table5[[#This Row],[(A/B) AJD]]-Table5[[#This Row],[BER_IN]]</f>
        <v>0</v>
      </c>
      <c r="AK16" s="43"/>
      <c r="AL16" s="43"/>
      <c r="AM16" s="32"/>
      <c r="AN16" s="32">
        <f>Table5[[#This Row],[ (RESV. STORGE) SER]]/10</f>
        <v>0</v>
      </c>
      <c r="AO16" s="68"/>
      <c r="AP16" s="104">
        <f>Table5[[#This Row],[(A/S) AJD]]-Table5[[#This Row],[SER_IN]]</f>
        <v>0</v>
      </c>
    </row>
    <row r="17" spans="1:42" ht="18.75" x14ac:dyDescent="0.25">
      <c r="A17" s="10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Table5[[#This Row],[ (T/B) SAR]]+Table5[[#This Row],[ (S/S) SAR]]</f>
        <v>0</v>
      </c>
      <c r="L17" s="45"/>
      <c r="M17" s="46"/>
      <c r="N17" s="46"/>
      <c r="O17" s="40"/>
      <c r="P17" s="3">
        <f>Table5[[#This Row],[ (S/S) SAR]]-Table5[[#This Row],[(S/S) AJD]]</f>
        <v>0</v>
      </c>
      <c r="Q17" s="40"/>
      <c r="R17" s="3">
        <f>Table5[[#This Row],[ (T/B) SAR]]-Table5[[#This Row],[(T/B) AJD]]</f>
        <v>0</v>
      </c>
      <c r="S17" s="3">
        <f>Table5[[#This Row],[S/S_CON.]]+Table5[[#This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Table5[[#This Row],[(RESV. STORGE) AJD]]/10</f>
        <v>0</v>
      </c>
      <c r="AB17" s="3">
        <f t="shared" si="3"/>
        <v>0</v>
      </c>
      <c r="AC17" s="5"/>
      <c r="AD17" s="40">
        <f>(Table5[[#This Row],[( S/S+T/B) AJD]]*1000)-((Table5[[#This Row],[(STORGE DIFF.) AJD]]*1000)+Table5[[#This Row],[AJD_Evaporation]]+(Table5[[#This Row],[(A/B + A/S) AJD]]*1000))</f>
        <v>0</v>
      </c>
      <c r="AE17" s="44"/>
      <c r="AF17" s="45"/>
      <c r="AG17" s="45"/>
      <c r="AH17" s="6">
        <f>Table5[[#This Row],[ (RESV. STORGE) BER]]/10</f>
        <v>0</v>
      </c>
      <c r="AI17" s="44"/>
      <c r="AJ17" s="44">
        <f>Table5[[#This Row],[(A/B) AJD]]-Table5[[#This Row],[BER_IN]]</f>
        <v>0</v>
      </c>
      <c r="AK17" s="45"/>
      <c r="AL17" s="45"/>
      <c r="AM17" s="32"/>
      <c r="AN17" s="32">
        <f>Table5[[#This Row],[ (RESV. STORGE) SER]]/10</f>
        <v>0</v>
      </c>
      <c r="AO17" s="68"/>
      <c r="AP17" s="104">
        <f>Table5[[#This Row],[(A/S) AJD]]-Table5[[#This Row],[SER_IN]]</f>
        <v>0</v>
      </c>
    </row>
    <row r="18" spans="1:42" ht="18.75" x14ac:dyDescent="0.25">
      <c r="A18" s="10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Table5[[#This Row],[ (T/B) SAR]]+Table5[[#This Row],[ (S/S) SAR]]</f>
        <v>0</v>
      </c>
      <c r="L18" s="41"/>
      <c r="M18" s="42"/>
      <c r="N18" s="42"/>
      <c r="O18" s="39"/>
      <c r="P18" s="3">
        <f>Table5[[#This Row],[ (S/S) SAR]]-Table5[[#This Row],[(S/S) AJD]]</f>
        <v>0</v>
      </c>
      <c r="Q18" s="39"/>
      <c r="R18" s="3">
        <f>Table5[[#This Row],[ (T/B) SAR]]-Table5[[#This Row],[(T/B) AJD]]</f>
        <v>0</v>
      </c>
      <c r="S18" s="3">
        <f>Table5[[#This Row],[S/S_CON.]]+Table5[[#This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Table5[[#This Row],[(RESV. STORGE) AJD]]/10</f>
        <v>0</v>
      </c>
      <c r="AB18" s="3">
        <f t="shared" si="3"/>
        <v>0</v>
      </c>
      <c r="AC18" s="5"/>
      <c r="AD18" s="39">
        <f>(Table5[[#This Row],[( S/S+T/B) AJD]]*1000)-((Table5[[#This Row],[(STORGE DIFF.) AJD]]*1000)+Table5[[#This Row],[AJD_Evaporation]]+(Table5[[#This Row],[(A/B + A/S) AJD]]*1000))</f>
        <v>0</v>
      </c>
      <c r="AE18" s="41"/>
      <c r="AF18" s="43"/>
      <c r="AG18" s="43"/>
      <c r="AH18" s="6">
        <f>Table5[[#This Row],[ (RESV. STORGE) BER]]/10</f>
        <v>0</v>
      </c>
      <c r="AI18" s="41"/>
      <c r="AJ18" s="41">
        <f>Table5[[#This Row],[(A/B) AJD]]-Table5[[#This Row],[BER_IN]]</f>
        <v>0</v>
      </c>
      <c r="AK18" s="43"/>
      <c r="AL18" s="43"/>
      <c r="AM18" s="32"/>
      <c r="AN18" s="32">
        <f>Table5[[#This Row],[ (RESV. STORGE) SER]]/10</f>
        <v>0</v>
      </c>
      <c r="AO18" s="68"/>
      <c r="AP18" s="104">
        <f>Table5[[#This Row],[(A/S) AJD]]-Table5[[#This Row],[SER_IN]]</f>
        <v>0</v>
      </c>
    </row>
    <row r="19" spans="1:42" ht="18.75" x14ac:dyDescent="0.25">
      <c r="A19" s="10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Table5[[#This Row],[ (T/B) SAR]]+Table5[[#This Row],[ (S/S) SAR]]</f>
        <v>0</v>
      </c>
      <c r="L19" s="45"/>
      <c r="M19" s="46"/>
      <c r="N19" s="46"/>
      <c r="O19" s="40"/>
      <c r="P19" s="3">
        <f>Table5[[#This Row],[ (S/S) SAR]]-Table5[[#This Row],[(S/S) AJD]]</f>
        <v>0</v>
      </c>
      <c r="Q19" s="40"/>
      <c r="R19" s="3">
        <f>Table5[[#This Row],[ (T/B) SAR]]-Table5[[#This Row],[(T/B) AJD]]</f>
        <v>0</v>
      </c>
      <c r="S19" s="3">
        <f>Table5[[#This Row],[S/S_CON.]]+Table5[[#This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Table5[[#This Row],[(RESV. STORGE) AJD]]/10</f>
        <v>0</v>
      </c>
      <c r="AB19" s="3">
        <f t="shared" si="3"/>
        <v>0</v>
      </c>
      <c r="AC19" s="5"/>
      <c r="AD19" s="40">
        <f>(Table5[[#This Row],[( S/S+T/B) AJD]]*1000)-((Table5[[#This Row],[(STORGE DIFF.) AJD]]*1000)+Table5[[#This Row],[AJD_Evaporation]]+(Table5[[#This Row],[(A/B + A/S) AJD]]*1000))</f>
        <v>0</v>
      </c>
      <c r="AE19" s="44"/>
      <c r="AF19" s="45"/>
      <c r="AG19" s="45"/>
      <c r="AH19" s="6">
        <f>Table5[[#This Row],[ (RESV. STORGE) BER]]/10</f>
        <v>0</v>
      </c>
      <c r="AI19" s="44"/>
      <c r="AJ19" s="44">
        <f>Table5[[#This Row],[(A/B) AJD]]-Table5[[#This Row],[BER_IN]]</f>
        <v>0</v>
      </c>
      <c r="AK19" s="45"/>
      <c r="AL19" s="45"/>
      <c r="AM19" s="32"/>
      <c r="AN19" s="32">
        <f>Table5[[#This Row],[ (RESV. STORGE) SER]]/10</f>
        <v>0</v>
      </c>
      <c r="AO19" s="68"/>
      <c r="AP19" s="104">
        <f>Table5[[#This Row],[(A/S) AJD]]-Table5[[#This Row],[SER_IN]]</f>
        <v>0</v>
      </c>
    </row>
    <row r="20" spans="1:42" ht="18.75" x14ac:dyDescent="0.25">
      <c r="A20" s="10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Table5[[#This Row],[ (T/B) SAR]]+Table5[[#This Row],[ (S/S) SAR]]</f>
        <v>0</v>
      </c>
      <c r="L20" s="41"/>
      <c r="M20" s="42"/>
      <c r="N20" s="42"/>
      <c r="O20" s="39"/>
      <c r="P20" s="3">
        <f>Table5[[#This Row],[ (S/S) SAR]]-Table5[[#This Row],[(S/S) AJD]]</f>
        <v>0</v>
      </c>
      <c r="Q20" s="39"/>
      <c r="R20" s="3">
        <f>Table5[[#This Row],[ (T/B) SAR]]-Table5[[#This Row],[(T/B) AJD]]</f>
        <v>0</v>
      </c>
      <c r="S20" s="3">
        <f>Table5[[#This Row],[S/S_CON.]]+Table5[[#This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Table5[[#This Row],[(RESV. STORGE) AJD]]/10</f>
        <v>0</v>
      </c>
      <c r="AB20" s="3">
        <f t="shared" si="3"/>
        <v>0</v>
      </c>
      <c r="AC20" s="5"/>
      <c r="AD20" s="39">
        <f>(Table5[[#This Row],[( S/S+T/B) AJD]]*1000)-((Table5[[#This Row],[(STORGE DIFF.) AJD]]*1000)+Table5[[#This Row],[AJD_Evaporation]]+(Table5[[#This Row],[(A/B + A/S) AJD]]*1000))</f>
        <v>0</v>
      </c>
      <c r="AE20" s="41"/>
      <c r="AF20" s="43"/>
      <c r="AG20" s="43"/>
      <c r="AH20" s="6">
        <f>Table5[[#This Row],[ (RESV. STORGE) BER]]/10</f>
        <v>0</v>
      </c>
      <c r="AI20" s="41"/>
      <c r="AJ20" s="41">
        <f>Table5[[#This Row],[(A/B) AJD]]-Table5[[#This Row],[BER_IN]]</f>
        <v>0</v>
      </c>
      <c r="AK20" s="43"/>
      <c r="AL20" s="43"/>
      <c r="AM20" s="32"/>
      <c r="AN20" s="32">
        <f>Table5[[#This Row],[ (RESV. STORGE) SER]]/10</f>
        <v>0</v>
      </c>
      <c r="AO20" s="68"/>
      <c r="AP20" s="104">
        <f>Table5[[#This Row],[(A/S) AJD]]-Table5[[#This Row],[SER_IN]]</f>
        <v>0</v>
      </c>
    </row>
    <row r="21" spans="1:42" ht="18.75" x14ac:dyDescent="0.25">
      <c r="A21" s="10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Table5[[#This Row],[ (T/B) SAR]]+Table5[[#This Row],[ (S/S) SAR]]</f>
        <v>0</v>
      </c>
      <c r="L21" s="45"/>
      <c r="M21" s="46"/>
      <c r="N21" s="46"/>
      <c r="O21" s="40"/>
      <c r="P21" s="3">
        <f>Table5[[#This Row],[ (S/S) SAR]]-Table5[[#This Row],[(S/S) AJD]]</f>
        <v>0</v>
      </c>
      <c r="Q21" s="40"/>
      <c r="R21" s="3">
        <f>Table5[[#This Row],[ (T/B) SAR]]-Table5[[#This Row],[(T/B) AJD]]</f>
        <v>0</v>
      </c>
      <c r="S21" s="3">
        <f>Table5[[#This Row],[S/S_CON.]]+Table5[[#This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Table5[[#This Row],[(RESV. STORGE) AJD]]/10</f>
        <v>0</v>
      </c>
      <c r="AB21" s="3">
        <f t="shared" si="3"/>
        <v>0</v>
      </c>
      <c r="AC21" s="5"/>
      <c r="AD21" s="40">
        <f>(Table5[[#This Row],[( S/S+T/B) AJD]]*1000)-((Table5[[#This Row],[(STORGE DIFF.) AJD]]*1000)+Table5[[#This Row],[AJD_Evaporation]]+(Table5[[#This Row],[(A/B + A/S) AJD]]*1000))</f>
        <v>0</v>
      </c>
      <c r="AE21" s="44"/>
      <c r="AF21" s="45"/>
      <c r="AG21" s="45"/>
      <c r="AH21" s="6">
        <f>Table5[[#This Row],[ (RESV. STORGE) BER]]/10</f>
        <v>0</v>
      </c>
      <c r="AI21" s="44"/>
      <c r="AJ21" s="44">
        <f>Table5[[#This Row],[(A/B) AJD]]-Table5[[#This Row],[BER_IN]]</f>
        <v>0</v>
      </c>
      <c r="AK21" s="45"/>
      <c r="AL21" s="45"/>
      <c r="AM21" s="32"/>
      <c r="AN21" s="32">
        <f>Table5[[#This Row],[ (RESV. STORGE) SER]]/10</f>
        <v>0</v>
      </c>
      <c r="AO21" s="68"/>
      <c r="AP21" s="104">
        <f>Table5[[#This Row],[(A/S) AJD]]-Table5[[#This Row],[SER_IN]]</f>
        <v>0</v>
      </c>
    </row>
    <row r="22" spans="1:42" ht="18.75" x14ac:dyDescent="0.25">
      <c r="A22" s="10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Table5[[#This Row],[ (T/B) SAR]]+Table5[[#This Row],[ (S/S) SAR]]</f>
        <v>0</v>
      </c>
      <c r="L22" s="41"/>
      <c r="M22" s="42"/>
      <c r="N22" s="42"/>
      <c r="O22" s="39"/>
      <c r="P22" s="3">
        <f>Table5[[#This Row],[ (S/S) SAR]]-Table5[[#This Row],[(S/S) AJD]]</f>
        <v>0</v>
      </c>
      <c r="Q22" s="39"/>
      <c r="R22" s="3">
        <f>Table5[[#This Row],[ (T/B) SAR]]-Table5[[#This Row],[(T/B) AJD]]</f>
        <v>0</v>
      </c>
      <c r="S22" s="3">
        <f>Table5[[#This Row],[S/S_CON.]]+Table5[[#This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Table5[[#This Row],[(RESV. STORGE) AJD]]/10</f>
        <v>0</v>
      </c>
      <c r="AB22" s="3">
        <f t="shared" si="3"/>
        <v>0</v>
      </c>
      <c r="AC22" s="5"/>
      <c r="AD22" s="39">
        <f>(Table5[[#This Row],[( S/S+T/B) AJD]]*1000)-((Table5[[#This Row],[(STORGE DIFF.) AJD]]*1000)+Table5[[#This Row],[AJD_Evaporation]]+(Table5[[#This Row],[(A/B + A/S) AJD]]*1000))</f>
        <v>0</v>
      </c>
      <c r="AE22" s="41"/>
      <c r="AF22" s="43"/>
      <c r="AG22" s="43"/>
      <c r="AH22" s="6">
        <f>Table5[[#This Row],[ (RESV. STORGE) BER]]/10</f>
        <v>0</v>
      </c>
      <c r="AI22" s="41"/>
      <c r="AJ22" s="41">
        <f>Table5[[#This Row],[(A/B) AJD]]-Table5[[#This Row],[BER_IN]]</f>
        <v>0</v>
      </c>
      <c r="AK22" s="43"/>
      <c r="AL22" s="43"/>
      <c r="AM22" s="32"/>
      <c r="AN22" s="32">
        <f>Table5[[#This Row],[ (RESV. STORGE) SER]]/10</f>
        <v>0</v>
      </c>
      <c r="AO22" s="68"/>
      <c r="AP22" s="104">
        <f>Table5[[#This Row],[(A/S) AJD]]-Table5[[#This Row],[SER_IN]]</f>
        <v>0</v>
      </c>
    </row>
    <row r="23" spans="1:42" ht="18.75" x14ac:dyDescent="0.25">
      <c r="A23" s="10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Table5[[#This Row],[ (T/B) SAR]]+Table5[[#This Row],[ (S/S) SAR]]</f>
        <v>0</v>
      </c>
      <c r="L23" s="45"/>
      <c r="M23" s="46"/>
      <c r="N23" s="46"/>
      <c r="O23" s="40"/>
      <c r="P23" s="3">
        <f>Table5[[#This Row],[ (S/S) SAR]]-Table5[[#This Row],[(S/S) AJD]]</f>
        <v>0</v>
      </c>
      <c r="Q23" s="40"/>
      <c r="R23" s="3">
        <f>Table5[[#This Row],[ (T/B) SAR]]-Table5[[#This Row],[(T/B) AJD]]</f>
        <v>0</v>
      </c>
      <c r="S23" s="3">
        <f>Table5[[#This Row],[S/S_CON.]]+Table5[[#This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Table5[[#This Row],[(RESV. STORGE) AJD]]/10</f>
        <v>0</v>
      </c>
      <c r="AB23" s="3">
        <f t="shared" si="3"/>
        <v>0</v>
      </c>
      <c r="AC23" s="5"/>
      <c r="AD23" s="40">
        <f>(Table5[[#This Row],[( S/S+T/B) AJD]]*1000)-((Table5[[#This Row],[(STORGE DIFF.) AJD]]*1000)+Table5[[#This Row],[AJD_Evaporation]]+(Table5[[#This Row],[(A/B + A/S) AJD]]*1000))</f>
        <v>0</v>
      </c>
      <c r="AE23" s="44"/>
      <c r="AF23" s="45"/>
      <c r="AG23" s="45"/>
      <c r="AH23" s="6">
        <f>Table5[[#This Row],[ (RESV. STORGE) BER]]/10</f>
        <v>0</v>
      </c>
      <c r="AI23" s="44"/>
      <c r="AJ23" s="44">
        <f>Table5[[#This Row],[(A/B) AJD]]-Table5[[#This Row],[BER_IN]]</f>
        <v>0</v>
      </c>
      <c r="AK23" s="45"/>
      <c r="AL23" s="45"/>
      <c r="AM23" s="32"/>
      <c r="AN23" s="32">
        <f>Table5[[#This Row],[ (RESV. STORGE) SER]]/10</f>
        <v>0</v>
      </c>
      <c r="AO23" s="68"/>
      <c r="AP23" s="104">
        <f>Table5[[#This Row],[(A/S) AJD]]-Table5[[#This Row],[SER_IN]]</f>
        <v>0</v>
      </c>
    </row>
    <row r="24" spans="1:42" ht="18.75" x14ac:dyDescent="0.25">
      <c r="A24" s="10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Table5[[#This Row],[ (T/B) SAR]]+Table5[[#This Row],[ (S/S) SAR]]</f>
        <v>0</v>
      </c>
      <c r="L24" s="41"/>
      <c r="M24" s="42"/>
      <c r="N24" s="42"/>
      <c r="O24" s="39"/>
      <c r="P24" s="3">
        <f>Table5[[#This Row],[ (S/S) SAR]]-Table5[[#This Row],[(S/S) AJD]]</f>
        <v>0</v>
      </c>
      <c r="Q24" s="39"/>
      <c r="R24" s="3">
        <f>Table5[[#This Row],[ (T/B) SAR]]-Table5[[#This Row],[(T/B) AJD]]</f>
        <v>0</v>
      </c>
      <c r="S24" s="3">
        <f>Table5[[#This Row],[S/S_CON.]]+Table5[[#This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Table5[[#This Row],[(RESV. STORGE) AJD]]/10</f>
        <v>0</v>
      </c>
      <c r="AB24" s="3">
        <f t="shared" si="3"/>
        <v>0</v>
      </c>
      <c r="AC24" s="5"/>
      <c r="AD24" s="39">
        <f>(Table5[[#This Row],[( S/S+T/B) AJD]]*1000)-((Table5[[#This Row],[(STORGE DIFF.) AJD]]*1000)+Table5[[#This Row],[AJD_Evaporation]]+(Table5[[#This Row],[(A/B + A/S) AJD]]*1000))</f>
        <v>0</v>
      </c>
      <c r="AE24" s="41"/>
      <c r="AF24" s="43"/>
      <c r="AG24" s="43"/>
      <c r="AH24" s="6">
        <f>Table5[[#This Row],[ (RESV. STORGE) BER]]/10</f>
        <v>0</v>
      </c>
      <c r="AI24" s="41"/>
      <c r="AJ24" s="41">
        <f>Table5[[#This Row],[(A/B) AJD]]-Table5[[#This Row],[BER_IN]]</f>
        <v>0</v>
      </c>
      <c r="AK24" s="43"/>
      <c r="AL24" s="43"/>
      <c r="AM24" s="32"/>
      <c r="AN24" s="32">
        <f>Table5[[#This Row],[ (RESV. STORGE) SER]]/10</f>
        <v>0</v>
      </c>
      <c r="AO24" s="68"/>
      <c r="AP24" s="104">
        <f>Table5[[#This Row],[(A/S) AJD]]-Table5[[#This Row],[SER_IN]]</f>
        <v>0</v>
      </c>
    </row>
    <row r="25" spans="1:42" ht="18.75" x14ac:dyDescent="0.25">
      <c r="A25" s="10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Table5[[#This Row],[ (T/B) SAR]]+Table5[[#This Row],[ (S/S) SAR]]</f>
        <v>0</v>
      </c>
      <c r="L25" s="45"/>
      <c r="M25" s="46"/>
      <c r="N25" s="46"/>
      <c r="O25" s="40"/>
      <c r="P25" s="3">
        <f>Table5[[#This Row],[ (S/S) SAR]]-Table5[[#This Row],[(S/S) AJD]]</f>
        <v>0</v>
      </c>
      <c r="Q25" s="40"/>
      <c r="R25" s="3">
        <f>Table5[[#This Row],[ (T/B) SAR]]-Table5[[#This Row],[(T/B) AJD]]</f>
        <v>0</v>
      </c>
      <c r="S25" s="3">
        <f>Table5[[#This Row],[S/S_CON.]]+Table5[[#This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Table5[[#This Row],[(RESV. STORGE) AJD]]/10</f>
        <v>0</v>
      </c>
      <c r="AB25" s="3">
        <f t="shared" si="3"/>
        <v>0</v>
      </c>
      <c r="AC25" s="5"/>
      <c r="AD25" s="40">
        <f>(Table5[[#This Row],[( S/S+T/B) AJD]]*1000)-((Table5[[#This Row],[(STORGE DIFF.) AJD]]*1000)+Table5[[#This Row],[AJD_Evaporation]]+(Table5[[#This Row],[(A/B + A/S) AJD]]*1000))</f>
        <v>0</v>
      </c>
      <c r="AE25" s="44"/>
      <c r="AF25" s="45"/>
      <c r="AG25" s="45"/>
      <c r="AH25" s="6">
        <f>Table5[[#This Row],[ (RESV. STORGE) BER]]/10</f>
        <v>0</v>
      </c>
      <c r="AI25" s="44"/>
      <c r="AJ25" s="44">
        <f>Table5[[#This Row],[(A/B) AJD]]-Table5[[#This Row],[BER_IN]]</f>
        <v>0</v>
      </c>
      <c r="AK25" s="45"/>
      <c r="AL25" s="45"/>
      <c r="AM25" s="32"/>
      <c r="AN25" s="32">
        <f>Table5[[#This Row],[ (RESV. STORGE) SER]]/10</f>
        <v>0</v>
      </c>
      <c r="AO25" s="68"/>
      <c r="AP25" s="104">
        <f>Table5[[#This Row],[(A/S) AJD]]-Table5[[#This Row],[SER_IN]]</f>
        <v>0</v>
      </c>
    </row>
    <row r="26" spans="1:42" ht="18.75" x14ac:dyDescent="0.25">
      <c r="A26" s="10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Table5[[#This Row],[ (T/B) SAR]]+Table5[[#This Row],[ (S/S) SAR]]</f>
        <v>0</v>
      </c>
      <c r="L26" s="41"/>
      <c r="M26" s="42"/>
      <c r="N26" s="42"/>
      <c r="O26" s="39"/>
      <c r="P26" s="3">
        <f>Table5[[#This Row],[ (S/S) SAR]]-Table5[[#This Row],[(S/S) AJD]]</f>
        <v>0</v>
      </c>
      <c r="Q26" s="39"/>
      <c r="R26" s="3">
        <f>Table5[[#This Row],[ (T/B) SAR]]-Table5[[#This Row],[(T/B) AJD]]</f>
        <v>0</v>
      </c>
      <c r="S26" s="3">
        <f>Table5[[#This Row],[S/S_CON.]]+Table5[[#This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Table5[[#This Row],[(RESV. STORGE) AJD]]/10</f>
        <v>0</v>
      </c>
      <c r="AB26" s="3">
        <f t="shared" si="3"/>
        <v>0</v>
      </c>
      <c r="AC26" s="5"/>
      <c r="AD26" s="39">
        <f>(Table5[[#This Row],[( S/S+T/B) AJD]]*1000)-((Table5[[#This Row],[(STORGE DIFF.) AJD]]*1000)+Table5[[#This Row],[AJD_Evaporation]]+(Table5[[#This Row],[(A/B + A/S) AJD]]*1000))</f>
        <v>0</v>
      </c>
      <c r="AE26" s="41"/>
      <c r="AF26" s="43"/>
      <c r="AG26" s="43"/>
      <c r="AH26" s="6">
        <f>Table5[[#This Row],[ (RESV. STORGE) BER]]/10</f>
        <v>0</v>
      </c>
      <c r="AI26" s="41"/>
      <c r="AJ26" s="41">
        <f>Table5[[#This Row],[(A/B) AJD]]-Table5[[#This Row],[BER_IN]]</f>
        <v>0</v>
      </c>
      <c r="AK26" s="43"/>
      <c r="AL26" s="43"/>
      <c r="AM26" s="32"/>
      <c r="AN26" s="32">
        <f>Table5[[#This Row],[ (RESV. STORGE) SER]]/10</f>
        <v>0</v>
      </c>
      <c r="AO26" s="68"/>
      <c r="AP26" s="104">
        <f>Table5[[#This Row],[(A/S) AJD]]-Table5[[#This Row],[SER_IN]]</f>
        <v>0</v>
      </c>
    </row>
    <row r="27" spans="1:42" ht="18.75" x14ac:dyDescent="0.25">
      <c r="A27" s="10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Table5[[#This Row],[ (T/B) SAR]]+Table5[[#This Row],[ (S/S) SAR]]</f>
        <v>0</v>
      </c>
      <c r="L27" s="45"/>
      <c r="M27" s="46"/>
      <c r="N27" s="46"/>
      <c r="O27" s="40"/>
      <c r="P27" s="3">
        <f>Table5[[#This Row],[ (S/S) SAR]]-Table5[[#This Row],[(S/S) AJD]]</f>
        <v>0</v>
      </c>
      <c r="Q27" s="40"/>
      <c r="R27" s="3">
        <f>Table5[[#This Row],[ (T/B) SAR]]-Table5[[#This Row],[(T/B) AJD]]</f>
        <v>0</v>
      </c>
      <c r="S27" s="3">
        <f>Table5[[#This Row],[S/S_CON.]]+Table5[[#This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Table5[[#This Row],[(RESV. STORGE) AJD]]/10</f>
        <v>0</v>
      </c>
      <c r="AB27" s="3">
        <f t="shared" si="3"/>
        <v>0</v>
      </c>
      <c r="AC27" s="5"/>
      <c r="AD27" s="40">
        <f>(Table5[[#This Row],[( S/S+T/B) AJD]]*1000)-((Table5[[#This Row],[(STORGE DIFF.) AJD]]*1000)+Table5[[#This Row],[AJD_Evaporation]]+(Table5[[#This Row],[(A/B + A/S) AJD]]*1000))</f>
        <v>0</v>
      </c>
      <c r="AE27" s="44"/>
      <c r="AF27" s="45"/>
      <c r="AG27" s="45"/>
      <c r="AH27" s="6">
        <f>Table5[[#This Row],[ (RESV. STORGE) BER]]/10</f>
        <v>0</v>
      </c>
      <c r="AI27" s="44"/>
      <c r="AJ27" s="44">
        <f>Table5[[#This Row],[(A/B) AJD]]-Table5[[#This Row],[BER_IN]]</f>
        <v>0</v>
      </c>
      <c r="AK27" s="45"/>
      <c r="AL27" s="45"/>
      <c r="AM27" s="32"/>
      <c r="AN27" s="32">
        <f>Table5[[#This Row],[ (RESV. STORGE) SER]]/10</f>
        <v>0</v>
      </c>
      <c r="AO27" s="68"/>
      <c r="AP27" s="104">
        <f>Table5[[#This Row],[(A/S) AJD]]-Table5[[#This Row],[SER_IN]]</f>
        <v>0</v>
      </c>
    </row>
    <row r="28" spans="1:42" ht="18.75" x14ac:dyDescent="0.25">
      <c r="A28" s="10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Table5[[#This Row],[ (T/B) SAR]]+Table5[[#This Row],[ (S/S) SAR]]</f>
        <v>0</v>
      </c>
      <c r="L28" s="41"/>
      <c r="M28" s="42"/>
      <c r="N28" s="42"/>
      <c r="O28" s="39"/>
      <c r="P28" s="3">
        <f>Table5[[#This Row],[ (S/S) SAR]]-Table5[[#This Row],[(S/S) AJD]]</f>
        <v>0</v>
      </c>
      <c r="Q28" s="39"/>
      <c r="R28" s="3">
        <f>Table5[[#This Row],[ (T/B) SAR]]-Table5[[#This Row],[(T/B) AJD]]</f>
        <v>0</v>
      </c>
      <c r="S28" s="3">
        <f>Table5[[#This Row],[S/S_CON.]]+Table5[[#This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Table5[[#This Row],[(RESV. STORGE) AJD]]/10</f>
        <v>0</v>
      </c>
      <c r="AB28" s="3">
        <f t="shared" si="3"/>
        <v>0</v>
      </c>
      <c r="AC28" s="5"/>
      <c r="AD28" s="39">
        <f>(Table5[[#This Row],[( S/S+T/B) AJD]]*1000)-((Table5[[#This Row],[(STORGE DIFF.) AJD]]*1000)+Table5[[#This Row],[AJD_Evaporation]]+(Table5[[#This Row],[(A/B + A/S) AJD]]*1000))</f>
        <v>0</v>
      </c>
      <c r="AE28" s="41"/>
      <c r="AF28" s="43"/>
      <c r="AG28" s="43"/>
      <c r="AH28" s="6">
        <f>Table5[[#This Row],[ (RESV. STORGE) BER]]/10</f>
        <v>0</v>
      </c>
      <c r="AI28" s="41"/>
      <c r="AJ28" s="41">
        <f>Table5[[#This Row],[(A/B) AJD]]-Table5[[#This Row],[BER_IN]]</f>
        <v>0</v>
      </c>
      <c r="AK28" s="43"/>
      <c r="AL28" s="43"/>
      <c r="AM28" s="32"/>
      <c r="AN28" s="32">
        <f>Table5[[#This Row],[ (RESV. STORGE) SER]]/10</f>
        <v>0</v>
      </c>
      <c r="AO28" s="68"/>
      <c r="AP28" s="104">
        <f>Table5[[#This Row],[(A/S) AJD]]-Table5[[#This Row],[SER_IN]]</f>
        <v>0</v>
      </c>
    </row>
    <row r="29" spans="1:42" ht="18.75" x14ac:dyDescent="0.25">
      <c r="A29" s="10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Table5[[#This Row],[ (T/B) SAR]]+Table5[[#This Row],[ (S/S) SAR]]</f>
        <v>0</v>
      </c>
      <c r="L29" s="45"/>
      <c r="M29" s="46"/>
      <c r="N29" s="46"/>
      <c r="O29" s="40"/>
      <c r="P29" s="3">
        <f>Table5[[#This Row],[ (S/S) SAR]]-Table5[[#This Row],[(S/S) AJD]]</f>
        <v>0</v>
      </c>
      <c r="Q29" s="40"/>
      <c r="R29" s="3">
        <f>Table5[[#This Row],[ (T/B) SAR]]-Table5[[#This Row],[(T/B) AJD]]</f>
        <v>0</v>
      </c>
      <c r="S29" s="3">
        <f>Table5[[#This Row],[S/S_CON.]]+Table5[[#This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Table5[[#This Row],[(RESV. STORGE) AJD]]/10</f>
        <v>0</v>
      </c>
      <c r="AB29" s="3">
        <f t="shared" si="3"/>
        <v>0</v>
      </c>
      <c r="AC29" s="5"/>
      <c r="AD29" s="40">
        <f>(Table5[[#This Row],[( S/S+T/B) AJD]]*1000)-((Table5[[#This Row],[(STORGE DIFF.) AJD]]*1000)+Table5[[#This Row],[AJD_Evaporation]]+(Table5[[#This Row],[(A/B + A/S) AJD]]*1000))</f>
        <v>0</v>
      </c>
      <c r="AE29" s="44"/>
      <c r="AF29" s="45"/>
      <c r="AG29" s="45"/>
      <c r="AH29" s="6">
        <f>Table5[[#This Row],[ (RESV. STORGE) BER]]/10</f>
        <v>0</v>
      </c>
      <c r="AI29" s="44"/>
      <c r="AJ29" s="44">
        <f>Table5[[#This Row],[(A/B) AJD]]-Table5[[#This Row],[BER_IN]]</f>
        <v>0</v>
      </c>
      <c r="AK29" s="45"/>
      <c r="AL29" s="45"/>
      <c r="AM29" s="32"/>
      <c r="AN29" s="32">
        <f>Table5[[#This Row],[ (RESV. STORGE) SER]]/10</f>
        <v>0</v>
      </c>
      <c r="AO29" s="68"/>
      <c r="AP29" s="104">
        <f>Table5[[#This Row],[(A/S) AJD]]-Table5[[#This Row],[SER_IN]]</f>
        <v>0</v>
      </c>
    </row>
    <row r="30" spans="1:42" ht="18.75" x14ac:dyDescent="0.25">
      <c r="A30" s="10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Table5[[#This Row],[ (T/B) SAR]]+Table5[[#This Row],[ (S/S) SAR]]</f>
        <v>0</v>
      </c>
      <c r="L30" s="41"/>
      <c r="M30" s="42"/>
      <c r="N30" s="42"/>
      <c r="O30" s="39"/>
      <c r="P30" s="3">
        <f>Table5[[#This Row],[ (S/S) SAR]]-Table5[[#This Row],[(S/S) AJD]]</f>
        <v>0</v>
      </c>
      <c r="Q30" s="39"/>
      <c r="R30" s="3">
        <f>Table5[[#This Row],[ (T/B) SAR]]-Table5[[#This Row],[(T/B) AJD]]</f>
        <v>0</v>
      </c>
      <c r="S30" s="3">
        <f>Table5[[#This Row],[S/S_CON.]]+Table5[[#This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Table5[[#This Row],[(RESV. STORGE) AJD]]/10</f>
        <v>0</v>
      </c>
      <c r="AB30" s="3">
        <f t="shared" si="3"/>
        <v>0</v>
      </c>
      <c r="AC30" s="5"/>
      <c r="AD30" s="39">
        <f>(Table5[[#This Row],[( S/S+T/B) AJD]]*1000)-((Table5[[#This Row],[(STORGE DIFF.) AJD]]*1000)+Table5[[#This Row],[AJD_Evaporation]]+(Table5[[#This Row],[(A/B + A/S) AJD]]*1000))</f>
        <v>0</v>
      </c>
      <c r="AE30" s="41"/>
      <c r="AF30" s="43"/>
      <c r="AG30" s="43"/>
      <c r="AH30" s="6">
        <f>Table5[[#This Row],[ (RESV. STORGE) BER]]/10</f>
        <v>0</v>
      </c>
      <c r="AI30" s="41"/>
      <c r="AJ30" s="41">
        <f>Table5[[#This Row],[(A/B) AJD]]-Table5[[#This Row],[BER_IN]]</f>
        <v>0</v>
      </c>
      <c r="AK30" s="43"/>
      <c r="AL30" s="43"/>
      <c r="AM30" s="32"/>
      <c r="AN30" s="32">
        <f>Table5[[#This Row],[ (RESV. STORGE) SER]]/10</f>
        <v>0</v>
      </c>
      <c r="AO30" s="68"/>
      <c r="AP30" s="104">
        <f>Table5[[#This Row],[(A/S) AJD]]-Table5[[#This Row],[SER_IN]]</f>
        <v>0</v>
      </c>
    </row>
    <row r="31" spans="1:42" ht="18.75" x14ac:dyDescent="0.25">
      <c r="A31" s="10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Table5[[#This Row],[ (T/B) SAR]]+Table5[[#This Row],[ (S/S) SAR]]</f>
        <v>0</v>
      </c>
      <c r="L31" s="45"/>
      <c r="M31" s="46"/>
      <c r="N31" s="46"/>
      <c r="O31" s="40"/>
      <c r="P31" s="3">
        <f>Table5[[#This Row],[ (S/S) SAR]]-Table5[[#This Row],[(S/S) AJD]]</f>
        <v>0</v>
      </c>
      <c r="Q31" s="40"/>
      <c r="R31" s="3">
        <f>Table5[[#This Row],[ (T/B) SAR]]-Table5[[#This Row],[(T/B) AJD]]</f>
        <v>0</v>
      </c>
      <c r="S31" s="3">
        <f>Table5[[#This Row],[S/S_CON.]]+Table5[[#This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Table5[[#This Row],[(RESV. STORGE) AJD]]/10</f>
        <v>0</v>
      </c>
      <c r="AB31" s="3">
        <f t="shared" si="3"/>
        <v>0</v>
      </c>
      <c r="AC31" s="5"/>
      <c r="AD31" s="70">
        <f>(Table5[[#This Row],[( S/S+T/B) AJD]]*1000)-((Table5[[#This Row],[(STORGE DIFF.) AJD]]*1000)+Table5[[#This Row],[AJD_Evaporation]]+(Table5[[#This Row],[(A/B + A/S) AJD]]*1000))</f>
        <v>0</v>
      </c>
      <c r="AE31" s="44"/>
      <c r="AF31" s="45"/>
      <c r="AG31" s="45"/>
      <c r="AH31" s="6">
        <f>Table5[[#This Row],[ (RESV. STORGE) BER]]/10</f>
        <v>0</v>
      </c>
      <c r="AI31" s="44"/>
      <c r="AJ31" s="67">
        <f>Table5[[#This Row],[(A/B) AJD]]-Table5[[#This Row],[BER_IN]]</f>
        <v>0</v>
      </c>
      <c r="AK31" s="45"/>
      <c r="AL31" s="45"/>
      <c r="AM31" s="32"/>
      <c r="AN31" s="32">
        <f>Table5[[#This Row],[ (RESV. STORGE) SER]]/10</f>
        <v>0</v>
      </c>
      <c r="AO31" s="68"/>
      <c r="AP31" s="104">
        <f>Table5[[#This Row],[(A/S) AJD]]-Table5[[#This Row],[SER_IN]]</f>
        <v>0</v>
      </c>
    </row>
    <row r="32" spans="1:42" ht="18.75" x14ac:dyDescent="0.25">
      <c r="A32" s="10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Table5[[#This Row],[ (T/B) SAR]]+Table5[[#This Row],[ (S/S) SAR]]</f>
        <v>0</v>
      </c>
      <c r="L32" s="41"/>
      <c r="M32" s="42"/>
      <c r="N32" s="42"/>
      <c r="O32" s="39"/>
      <c r="P32" s="3">
        <f>Table5[[#This Row],[ (S/S) SAR]]-Table5[[#This Row],[(S/S) AJD]]</f>
        <v>0</v>
      </c>
      <c r="Q32" s="39"/>
      <c r="R32" s="3">
        <f>Table5[[#This Row],[ (T/B) SAR]]-Table5[[#This Row],[(T/B) AJD]]</f>
        <v>0</v>
      </c>
      <c r="S32" s="3">
        <f>Table5[[#This Row],[S/S_CON.]]+Table5[[#This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Table5[[#This Row],[(RESV. STORGE) AJD]]/10</f>
        <v>0</v>
      </c>
      <c r="AB32" s="3">
        <f t="shared" si="3"/>
        <v>0</v>
      </c>
      <c r="AC32" s="5"/>
      <c r="AD32" s="39">
        <f>(Table5[[#This Row],[( S/S+T/B) AJD]]*1000)-((Table5[[#This Row],[(STORGE DIFF.) AJD]]*1000)+Table5[[#This Row],[AJD_Evaporation]]+(Table5[[#This Row],[(A/B + A/S) AJD]]*1000))</f>
        <v>0</v>
      </c>
      <c r="AE32" s="41"/>
      <c r="AF32" s="43"/>
      <c r="AG32" s="43"/>
      <c r="AH32" s="6">
        <f>Table5[[#This Row],[ (RESV. STORGE) BER]]/10</f>
        <v>0</v>
      </c>
      <c r="AI32" s="41"/>
      <c r="AJ32" s="41">
        <f>Table5[[#This Row],[(A/B) AJD]]-Table5[[#This Row],[BER_IN]]</f>
        <v>0</v>
      </c>
      <c r="AK32" s="43"/>
      <c r="AL32" s="43"/>
      <c r="AM32" s="32"/>
      <c r="AN32" s="32">
        <f>Table5[[#This Row],[ (RESV. STORGE) SER]]/10</f>
        <v>0</v>
      </c>
      <c r="AO32" s="68"/>
      <c r="AP32" s="104">
        <f>Table5[[#This Row],[(A/S) AJD]]-Table5[[#This Row],[SER_IN]]</f>
        <v>0</v>
      </c>
    </row>
    <row r="33" spans="1:42" ht="18.75" x14ac:dyDescent="0.25">
      <c r="A33" s="10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Table5[[#This Row],[ (T/B) SAR]]+Table5[[#This Row],[ (S/S) SAR]]</f>
        <v>0</v>
      </c>
      <c r="L33" s="41"/>
      <c r="M33" s="42"/>
      <c r="N33" s="42"/>
      <c r="O33" s="39"/>
      <c r="P33" s="3">
        <f>Table5[[#This Row],[ (S/S) SAR]]-Table5[[#This Row],[(S/S) AJD]]</f>
        <v>0</v>
      </c>
      <c r="Q33" s="39"/>
      <c r="R33" s="3">
        <f>Table5[[#This Row],[ (T/B) SAR]]-Table5[[#This Row],[(T/B) AJD]]</f>
        <v>0</v>
      </c>
      <c r="S33" s="3">
        <f>Table5[[#This Row],[S/S_CON.]]+Table5[[#This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Table5[[#This Row],[(RESV. STORGE) AJD]]/10</f>
        <v>0</v>
      </c>
      <c r="AB33" s="3">
        <f t="shared" si="3"/>
        <v>0</v>
      </c>
      <c r="AC33" s="5"/>
      <c r="AD33" s="39">
        <f>(Table5[[#This Row],[( S/S+T/B) AJD]]*1000)-((Table5[[#This Row],[(STORGE DIFF.) AJD]]*1000)+Table5[[#This Row],[AJD_Evaporation]]+(Table5[[#This Row],[(A/B + A/S) AJD]]*1000))</f>
        <v>0</v>
      </c>
      <c r="AE33" s="41"/>
      <c r="AF33" s="43"/>
      <c r="AG33" s="43"/>
      <c r="AH33" s="6">
        <f>Table5[[#This Row],[ (RESV. STORGE) BER]]/10</f>
        <v>0</v>
      </c>
      <c r="AI33" s="41"/>
      <c r="AJ33" s="41">
        <f>Table5[[#This Row],[(A/B) AJD]]-Table5[[#This Row],[BER_IN]]</f>
        <v>0</v>
      </c>
      <c r="AK33" s="43"/>
      <c r="AL33" s="43"/>
      <c r="AM33" s="32"/>
      <c r="AN33" s="32">
        <f>Table5[[#This Row],[ (RESV. STORGE) SER]]/10</f>
        <v>0</v>
      </c>
      <c r="AO33" s="68"/>
      <c r="AP33" s="104">
        <f>Table5[[#This Row],[(A/S) AJD]]-Table5[[#This Row],[SER_IN]]</f>
        <v>0</v>
      </c>
    </row>
    <row r="34" spans="1:42" ht="18.75" x14ac:dyDescent="0.25">
      <c r="A34" s="10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Table5[[#This Row],[ (T/B) SAR]]+Table5[[#This Row],[ (S/S) SAR]]</f>
        <v>0</v>
      </c>
      <c r="L34" s="45"/>
      <c r="M34" s="46"/>
      <c r="N34" s="46"/>
      <c r="O34" s="40"/>
      <c r="P34" s="3">
        <f>Table5[[#This Row],[ (S/S) SAR]]-Table5[[#This Row],[(S/S) AJD]]</f>
        <v>0</v>
      </c>
      <c r="Q34" s="40"/>
      <c r="R34" s="3">
        <f>Table5[[#This Row],[ (T/B) SAR]]-Table5[[#This Row],[(T/B) AJD]]</f>
        <v>0</v>
      </c>
      <c r="S34" s="3">
        <f>Table5[[#This Row],[S/S_CON.]]+Table5[[#This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Table5[[#This Row],[(RESV. STORGE) AJD]]/10</f>
        <v>0</v>
      </c>
      <c r="AB34" s="3">
        <f t="shared" si="3"/>
        <v>0</v>
      </c>
      <c r="AC34" s="5"/>
      <c r="AD34" s="40">
        <f>(Table5[[#This Row],[( S/S+T/B) AJD]]*1000)-((Table5[[#This Row],[(STORGE DIFF.) AJD]]*1000)+Table5[[#This Row],[AJD_Evaporation]]+(Table5[[#This Row],[(A/B + A/S) AJD]]*1000))</f>
        <v>0</v>
      </c>
      <c r="AE34" s="44"/>
      <c r="AF34" s="45"/>
      <c r="AG34" s="45"/>
      <c r="AH34" s="6">
        <f>Table5[[#This Row],[ (RESV. STORGE) BER]]/10</f>
        <v>0</v>
      </c>
      <c r="AI34" s="44"/>
      <c r="AJ34" s="44">
        <f>Table5[[#This Row],[(A/B) AJD]]-Table5[[#This Row],[BER_IN]]</f>
        <v>0</v>
      </c>
      <c r="AK34" s="45"/>
      <c r="AL34" s="45"/>
      <c r="AM34" s="32"/>
      <c r="AN34" s="32">
        <f>Table5[[#This Row],[ (RESV. STORGE) SER]]/10</f>
        <v>0</v>
      </c>
      <c r="AO34" s="68"/>
      <c r="AP34" s="104">
        <f>Table5[[#This Row],[(A/S) AJD]]-Table5[[#This Row],[SER_IN]]</f>
        <v>0</v>
      </c>
    </row>
    <row r="35" spans="1:42" ht="18.75" x14ac:dyDescent="0.25">
      <c r="A35" s="10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Table5[[#This Row],[ (T/B) SAR]]+Table5[[#This Row],[ (S/S) SAR]]</f>
        <v>0</v>
      </c>
      <c r="L35" s="41"/>
      <c r="M35" s="42"/>
      <c r="N35" s="42"/>
      <c r="O35" s="39"/>
      <c r="P35" s="3">
        <f>Table5[[#This Row],[ (S/S) SAR]]-Table5[[#This Row],[(S/S) AJD]]</f>
        <v>0</v>
      </c>
      <c r="Q35" s="39"/>
      <c r="R35" s="3">
        <f>Table5[[#This Row],[ (T/B) SAR]]-Table5[[#This Row],[(T/B) AJD]]</f>
        <v>0</v>
      </c>
      <c r="S35" s="3">
        <f>Table5[[#This Row],[S/S_CON.]]+Table5[[#This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Table5[[#This Row],[(RESV. STORGE) AJD]]/10</f>
        <v>0</v>
      </c>
      <c r="AB35" s="3">
        <f t="shared" si="3"/>
        <v>0</v>
      </c>
      <c r="AC35" s="5"/>
      <c r="AD35" s="39">
        <f>(Table5[[#This Row],[( S/S+T/B) AJD]]*1000)-((Table5[[#This Row],[(STORGE DIFF.) AJD]]*1000)+Table5[[#This Row],[AJD_Evaporation]]+(Table5[[#This Row],[(A/B + A/S) AJD]]*1000))</f>
        <v>0</v>
      </c>
      <c r="AE35" s="41"/>
      <c r="AF35" s="43"/>
      <c r="AG35" s="43"/>
      <c r="AH35" s="6">
        <f>Table5[[#This Row],[ (RESV. STORGE) BER]]/10</f>
        <v>0</v>
      </c>
      <c r="AI35" s="41"/>
      <c r="AJ35" s="41">
        <f>Table5[[#This Row],[(A/B) AJD]]-Table5[[#This Row],[BER_IN]]</f>
        <v>0</v>
      </c>
      <c r="AK35" s="43"/>
      <c r="AL35" s="43"/>
      <c r="AM35" s="32"/>
      <c r="AN35" s="32">
        <f>Table5[[#This Row],[ (RESV. STORGE) SER]]/10</f>
        <v>0</v>
      </c>
      <c r="AO35" s="68"/>
      <c r="AP35" s="104">
        <f>Table5[[#This Row],[(A/S) AJD]]-Table5[[#This Row],[SER_IN]]</f>
        <v>0</v>
      </c>
    </row>
    <row r="36" spans="1:42" ht="18.75" x14ac:dyDescent="0.25">
      <c r="A36" s="10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Table5[[#This Row],[ (T/B) SAR]]+Table5[[#This Row],[ (S/S) SAR]]</f>
        <v>0</v>
      </c>
      <c r="L36" s="45"/>
      <c r="M36" s="46"/>
      <c r="N36" s="46"/>
      <c r="O36" s="40"/>
      <c r="P36" s="3">
        <f>Table5[[#This Row],[ (S/S) SAR]]-Table5[[#This Row],[(S/S) AJD]]</f>
        <v>0</v>
      </c>
      <c r="Q36" s="40"/>
      <c r="R36" s="3">
        <f>Table5[[#This Row],[ (T/B) SAR]]-Table5[[#This Row],[(T/B) AJD]]</f>
        <v>0</v>
      </c>
      <c r="S36" s="3">
        <f>Table5[[#This Row],[S/S_CON.]]+Table5[[#This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Table5[[#This Row],[(RESV. STORGE) AJD]]/10</f>
        <v>0</v>
      </c>
      <c r="AB36" s="3">
        <f t="shared" si="3"/>
        <v>0</v>
      </c>
      <c r="AC36" s="5"/>
      <c r="AD36" s="40">
        <f>(Table5[[#This Row],[( S/S+T/B) AJD]]*1000)-((Table5[[#This Row],[(STORGE DIFF.) AJD]]*1000)+Table5[[#This Row],[AJD_Evaporation]]+(Table5[[#This Row],[(A/B + A/S) AJD]]*1000))</f>
        <v>0</v>
      </c>
      <c r="AE36" s="44"/>
      <c r="AF36" s="45"/>
      <c r="AG36" s="45"/>
      <c r="AH36" s="6">
        <f>Table5[[#This Row],[ (RESV. STORGE) BER]]/10</f>
        <v>0</v>
      </c>
      <c r="AI36" s="44"/>
      <c r="AJ36" s="44">
        <f>Table5[[#This Row],[(A/B) AJD]]-Table5[[#This Row],[BER_IN]]</f>
        <v>0</v>
      </c>
      <c r="AK36" s="45"/>
      <c r="AL36" s="45"/>
      <c r="AM36" s="32"/>
      <c r="AN36" s="32">
        <f>Table5[[#This Row],[ (RESV. STORGE) SER]]/10</f>
        <v>0</v>
      </c>
      <c r="AO36" s="68"/>
      <c r="AP36" s="104">
        <f>Table5[[#This Row],[(A/S) AJD]]-Table5[[#This Row],[SER_IN]]</f>
        <v>0</v>
      </c>
    </row>
    <row r="37" spans="1:42" ht="18.75" x14ac:dyDescent="0.25">
      <c r="A37" s="10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Table5[[#This Row],[ (T/B) SAR]]+Table5[[#This Row],[ (S/S) SAR]]</f>
        <v>0</v>
      </c>
      <c r="L37" s="41"/>
      <c r="M37" s="42"/>
      <c r="N37" s="42"/>
      <c r="O37" s="39"/>
      <c r="P37" s="3">
        <f>Table5[[#This Row],[ (S/S) SAR]]-Table5[[#This Row],[(S/S) AJD]]</f>
        <v>0</v>
      </c>
      <c r="Q37" s="39"/>
      <c r="R37" s="3">
        <f>Table5[[#This Row],[ (T/B) SAR]]-Table5[[#This Row],[(T/B) AJD]]</f>
        <v>0</v>
      </c>
      <c r="S37" s="3">
        <f>Table5[[#This Row],[S/S_CON.]]+Table5[[#This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Table5[[#This Row],[(RESV. STORGE) AJD]]/10</f>
        <v>0</v>
      </c>
      <c r="AB37" s="3">
        <f t="shared" si="3"/>
        <v>0</v>
      </c>
      <c r="AC37" s="5"/>
      <c r="AD37" s="39">
        <f>(Table5[[#This Row],[( S/S+T/B) AJD]]*1000)-((Table5[[#This Row],[(STORGE DIFF.) AJD]]*1000)+Table5[[#This Row],[AJD_Evaporation]]+(Table5[[#This Row],[(A/B + A/S) AJD]]*1000))</f>
        <v>0</v>
      </c>
      <c r="AE37" s="41"/>
      <c r="AF37" s="43"/>
      <c r="AG37" s="43"/>
      <c r="AH37" s="6">
        <f>Table5[[#This Row],[ (RESV. STORGE) BER]]/10</f>
        <v>0</v>
      </c>
      <c r="AI37" s="41"/>
      <c r="AJ37" s="41">
        <f>Table5[[#This Row],[(A/B) AJD]]-Table5[[#This Row],[BER_IN]]</f>
        <v>0</v>
      </c>
      <c r="AK37" s="43"/>
      <c r="AL37" s="43"/>
      <c r="AM37" s="32"/>
      <c r="AN37" s="32">
        <f>Table5[[#This Row],[ (RESV. STORGE) SER]]/10</f>
        <v>0</v>
      </c>
      <c r="AO37" s="68"/>
      <c r="AP37" s="104">
        <f>Table5[[#This Row],[(A/S) AJD]]-Table5[[#This Row],[SER_IN]]</f>
        <v>0</v>
      </c>
    </row>
    <row r="38" spans="1:42" ht="18.75" x14ac:dyDescent="0.25">
      <c r="A38" s="10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Table5[[#This Row],[ (T/B) SAR]]+Table5[[#This Row],[ (S/S) SAR]]</f>
        <v>0</v>
      </c>
      <c r="L38" s="45"/>
      <c r="M38" s="46"/>
      <c r="N38" s="46"/>
      <c r="O38" s="40"/>
      <c r="P38" s="3">
        <f>Table5[[#This Row],[ (S/S) SAR]]-Table5[[#This Row],[(S/S) AJD]]</f>
        <v>0</v>
      </c>
      <c r="Q38" s="40"/>
      <c r="R38" s="3">
        <f>Table5[[#This Row],[ (T/B) SAR]]-Table5[[#This Row],[(T/B) AJD]]</f>
        <v>0</v>
      </c>
      <c r="S38" s="3">
        <f>Table5[[#This Row],[S/S_CON.]]+Table5[[#This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Table5[[#This Row],[(RESV. STORGE) AJD]]/10</f>
        <v>0</v>
      </c>
      <c r="AB38" s="3">
        <f t="shared" si="3"/>
        <v>0</v>
      </c>
      <c r="AC38" s="5"/>
      <c r="AD38" s="40">
        <f>(Table5[[#This Row],[( S/S+T/B) AJD]]*1000)-((Table5[[#This Row],[(STORGE DIFF.) AJD]]*1000)+Table5[[#This Row],[AJD_Evaporation]]+(Table5[[#This Row],[(A/B + A/S) AJD]]*1000))</f>
        <v>0</v>
      </c>
      <c r="AE38" s="44"/>
      <c r="AF38" s="45"/>
      <c r="AG38" s="45"/>
      <c r="AH38" s="6">
        <f>Table5[[#This Row],[ (RESV. STORGE) BER]]/10</f>
        <v>0</v>
      </c>
      <c r="AI38" s="44"/>
      <c r="AJ38" s="44">
        <f>Table5[[#This Row],[(A/B) AJD]]-Table5[[#This Row],[BER_IN]]</f>
        <v>0</v>
      </c>
      <c r="AK38" s="45"/>
      <c r="AL38" s="45"/>
      <c r="AM38" s="32"/>
      <c r="AN38" s="32">
        <f>Table5[[#This Row],[ (RESV. STORGE) SER]]/10</f>
        <v>0</v>
      </c>
      <c r="AO38" s="68"/>
      <c r="AP38" s="104">
        <f>Table5[[#This Row],[(A/S) AJD]]-Table5[[#This Row],[SER_IN]]</f>
        <v>0</v>
      </c>
    </row>
    <row r="39" spans="1:42" ht="18.75" x14ac:dyDescent="0.25">
      <c r="A39" s="10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Table5[[#This Row],[ (T/B) SAR]]+Table5[[#This Row],[ (S/S) SAR]]</f>
        <v>0</v>
      </c>
      <c r="L39" s="41"/>
      <c r="M39" s="42"/>
      <c r="N39" s="42"/>
      <c r="O39" s="39"/>
      <c r="P39" s="3">
        <f>Table5[[#This Row],[ (S/S) SAR]]-Table5[[#This Row],[(S/S) AJD]]</f>
        <v>0</v>
      </c>
      <c r="Q39" s="39"/>
      <c r="R39" s="3">
        <f>Table5[[#This Row],[ (T/B) SAR]]-Table5[[#This Row],[(T/B) AJD]]</f>
        <v>0</v>
      </c>
      <c r="S39" s="3">
        <f>Table5[[#This Row],[S/S_CON.]]+Table5[[#This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Table5[[#This Row],[(RESV. STORGE) AJD]]/10</f>
        <v>0</v>
      </c>
      <c r="AB39" s="3">
        <f t="shared" si="3"/>
        <v>0</v>
      </c>
      <c r="AC39" s="5"/>
      <c r="AD39" s="39">
        <f>(Table5[[#This Row],[( S/S+T/B) AJD]]*1000)-((Table5[[#This Row],[(STORGE DIFF.) AJD]]*1000)+Table5[[#This Row],[AJD_Evaporation]]+(Table5[[#This Row],[(A/B + A/S) AJD]]*1000))</f>
        <v>0</v>
      </c>
      <c r="AE39" s="41"/>
      <c r="AF39" s="43"/>
      <c r="AG39" s="43"/>
      <c r="AH39" s="6">
        <f>Table5[[#This Row],[ (RESV. STORGE) BER]]/10</f>
        <v>0</v>
      </c>
      <c r="AI39" s="41"/>
      <c r="AJ39" s="41">
        <f>Table5[[#This Row],[(A/B) AJD]]-Table5[[#This Row],[BER_IN]]</f>
        <v>0</v>
      </c>
      <c r="AK39" s="43"/>
      <c r="AL39" s="43"/>
      <c r="AM39" s="32"/>
      <c r="AN39" s="32">
        <f>Table5[[#This Row],[ (RESV. STORGE) SER]]/10</f>
        <v>0</v>
      </c>
      <c r="AO39" s="68"/>
      <c r="AP39" s="104">
        <f>Table5[[#This Row],[(A/S) AJD]]-Table5[[#This Row],[SER_IN]]</f>
        <v>0</v>
      </c>
    </row>
    <row r="40" spans="1:42" ht="18.75" x14ac:dyDescent="0.25">
      <c r="A40" s="10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Table5[[#This Row],[ (T/B) SAR]]+Table5[[#This Row],[ (S/S) SAR]]</f>
        <v>0</v>
      </c>
      <c r="L40" s="45"/>
      <c r="M40" s="46"/>
      <c r="N40" s="46"/>
      <c r="O40" s="40"/>
      <c r="P40" s="3">
        <f>Table5[[#This Row],[ (S/S) SAR]]-Table5[[#This Row],[(S/S) AJD]]</f>
        <v>0</v>
      </c>
      <c r="Q40" s="40"/>
      <c r="R40" s="3">
        <f>Table5[[#This Row],[ (T/B) SAR]]-Table5[[#This Row],[(T/B) AJD]]</f>
        <v>0</v>
      </c>
      <c r="S40" s="3">
        <f>Table5[[#This Row],[S/S_CON.]]+Table5[[#This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Table5[[#This Row],[(RESV. STORGE) AJD]]/10</f>
        <v>0</v>
      </c>
      <c r="AB40" s="3">
        <f t="shared" si="3"/>
        <v>0</v>
      </c>
      <c r="AC40" s="5"/>
      <c r="AD40" s="40">
        <f>(Table5[[#This Row],[( S/S+T/B) AJD]]*1000)-((Table5[[#This Row],[(STORGE DIFF.) AJD]]*1000)+Table5[[#This Row],[AJD_Evaporation]]+(Table5[[#This Row],[(A/B + A/S) AJD]]*1000))</f>
        <v>0</v>
      </c>
      <c r="AE40" s="44"/>
      <c r="AF40" s="45"/>
      <c r="AG40" s="45"/>
      <c r="AH40" s="6">
        <f>Table5[[#This Row],[ (RESV. STORGE) BER]]/10</f>
        <v>0</v>
      </c>
      <c r="AI40" s="44"/>
      <c r="AJ40" s="44">
        <f>Table5[[#This Row],[(A/B) AJD]]-Table5[[#This Row],[BER_IN]]</f>
        <v>0</v>
      </c>
      <c r="AK40" s="45"/>
      <c r="AL40" s="45"/>
      <c r="AM40" s="32"/>
      <c r="AN40" s="32">
        <f>Table5[[#This Row],[ (RESV. STORGE) SER]]/10</f>
        <v>0</v>
      </c>
      <c r="AO40" s="68"/>
      <c r="AP40" s="104">
        <f>Table5[[#This Row],[(A/S) AJD]]-Table5[[#This Row],[SER_IN]]</f>
        <v>0</v>
      </c>
    </row>
    <row r="41" spans="1:42" ht="18.75" x14ac:dyDescent="0.25">
      <c r="A41" s="10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Table5[[#This Row],[ (T/B) SAR]]+Table5[[#This Row],[ (S/S) SAR]]</f>
        <v>0</v>
      </c>
      <c r="L41" s="41"/>
      <c r="M41" s="42"/>
      <c r="N41" s="42"/>
      <c r="O41" s="39"/>
      <c r="P41" s="3">
        <f>Table5[[#This Row],[ (S/S) SAR]]-Table5[[#This Row],[(S/S) AJD]]</f>
        <v>0</v>
      </c>
      <c r="Q41" s="39"/>
      <c r="R41" s="3">
        <f>Table5[[#This Row],[ (T/B) SAR]]-Table5[[#This Row],[(T/B) AJD]]</f>
        <v>0</v>
      </c>
      <c r="S41" s="3">
        <f>Table5[[#This Row],[S/S_CON.]]+Table5[[#This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Table5[[#This Row],[(RESV. STORGE) AJD]]/10</f>
        <v>0</v>
      </c>
      <c r="AB41" s="3">
        <f t="shared" si="3"/>
        <v>0</v>
      </c>
      <c r="AC41" s="5"/>
      <c r="AD41" s="39">
        <f>(Table5[[#This Row],[( S/S+T/B) AJD]]*1000)-((Table5[[#This Row],[(STORGE DIFF.) AJD]]*1000)+Table5[[#This Row],[AJD_Evaporation]]+(Table5[[#This Row],[(A/B + A/S) AJD]]*1000))</f>
        <v>0</v>
      </c>
      <c r="AE41" s="41"/>
      <c r="AF41" s="43"/>
      <c r="AG41" s="43"/>
      <c r="AH41" s="6">
        <f>Table5[[#This Row],[ (RESV. STORGE) BER]]/10</f>
        <v>0</v>
      </c>
      <c r="AI41" s="41"/>
      <c r="AJ41" s="41">
        <f>Table5[[#This Row],[(A/B) AJD]]-Table5[[#This Row],[BER_IN]]</f>
        <v>0</v>
      </c>
      <c r="AK41" s="43"/>
      <c r="AL41" s="43"/>
      <c r="AM41" s="32"/>
      <c r="AN41" s="32">
        <f>Table5[[#This Row],[ (RESV. STORGE) SER]]/10</f>
        <v>0</v>
      </c>
      <c r="AO41" s="68"/>
      <c r="AP41" s="104">
        <f>Table5[[#This Row],[(A/S) AJD]]-Table5[[#This Row],[SER_IN]]</f>
        <v>0</v>
      </c>
    </row>
    <row r="42" spans="1:42" ht="18.75" x14ac:dyDescent="0.25">
      <c r="A42" s="10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Table5[[#This Row],[ (T/B) SAR]]+Table5[[#This Row],[ (S/S) SAR]]</f>
        <v>0</v>
      </c>
      <c r="L42" s="45"/>
      <c r="M42" s="46"/>
      <c r="N42" s="46"/>
      <c r="O42" s="40"/>
      <c r="P42" s="3">
        <f>Table5[[#This Row],[ (S/S) SAR]]-Table5[[#This Row],[(S/S) AJD]]</f>
        <v>0</v>
      </c>
      <c r="Q42" s="40"/>
      <c r="R42" s="3">
        <f>Table5[[#This Row],[ (T/B) SAR]]-Table5[[#This Row],[(T/B) AJD]]</f>
        <v>0</v>
      </c>
      <c r="S42" s="3">
        <f>Table5[[#This Row],[S/S_CON.]]+Table5[[#This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Table5[[#This Row],[(RESV. STORGE) AJD]]/10</f>
        <v>0</v>
      </c>
      <c r="AB42" s="3">
        <f t="shared" si="3"/>
        <v>0</v>
      </c>
      <c r="AC42" s="5"/>
      <c r="AD42" s="40">
        <f>(Table5[[#This Row],[( S/S+T/B) AJD]]*1000)-((Table5[[#This Row],[(STORGE DIFF.) AJD]]*1000)+Table5[[#This Row],[AJD_Evaporation]]+(Table5[[#This Row],[(A/B + A/S) AJD]]*1000))</f>
        <v>0</v>
      </c>
      <c r="AE42" s="44"/>
      <c r="AF42" s="45"/>
      <c r="AG42" s="45"/>
      <c r="AH42" s="6">
        <f>Table5[[#This Row],[ (RESV. STORGE) BER]]/10</f>
        <v>0</v>
      </c>
      <c r="AI42" s="44"/>
      <c r="AJ42" s="44">
        <f>Table5[[#This Row],[(A/B) AJD]]-Table5[[#This Row],[BER_IN]]</f>
        <v>0</v>
      </c>
      <c r="AK42" s="45"/>
      <c r="AL42" s="45"/>
      <c r="AM42" s="32"/>
      <c r="AN42" s="32">
        <f>Table5[[#This Row],[ (RESV. STORGE) SER]]/10</f>
        <v>0</v>
      </c>
      <c r="AO42" s="68"/>
      <c r="AP42" s="104">
        <f>Table5[[#This Row],[(A/S) AJD]]-Table5[[#This Row],[SER_IN]]</f>
        <v>0</v>
      </c>
    </row>
    <row r="43" spans="1:42" ht="18.75" x14ac:dyDescent="0.25">
      <c r="A43" s="10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Table5[[#This Row],[ (T/B) SAR]]+Table5[[#This Row],[ (S/S) SAR]]</f>
        <v>0</v>
      </c>
      <c r="L43" s="41"/>
      <c r="M43" s="42"/>
      <c r="N43" s="42"/>
      <c r="O43" s="39"/>
      <c r="P43" s="3">
        <f>Table5[[#This Row],[ (S/S) SAR]]-Table5[[#This Row],[(S/S) AJD]]</f>
        <v>0</v>
      </c>
      <c r="Q43" s="39"/>
      <c r="R43" s="3">
        <f>Table5[[#This Row],[ (T/B) SAR]]-Table5[[#This Row],[(T/B) AJD]]</f>
        <v>0</v>
      </c>
      <c r="S43" s="3">
        <f>Table5[[#This Row],[S/S_CON.]]+Table5[[#This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Table5[[#This Row],[(RESV. STORGE) AJD]]/10</f>
        <v>0</v>
      </c>
      <c r="AB43" s="3">
        <f t="shared" si="3"/>
        <v>0</v>
      </c>
      <c r="AC43" s="5"/>
      <c r="AD43" s="39">
        <f>(Table5[[#This Row],[( S/S+T/B) AJD]]*1000)-((Table5[[#This Row],[(STORGE DIFF.) AJD]]*1000)+Table5[[#This Row],[AJD_Evaporation]]+(Table5[[#This Row],[(A/B + A/S) AJD]]*1000))</f>
        <v>0</v>
      </c>
      <c r="AE43" s="41"/>
      <c r="AF43" s="43"/>
      <c r="AG43" s="43"/>
      <c r="AH43" s="6">
        <f>Table5[[#This Row],[ (RESV. STORGE) BER]]/10</f>
        <v>0</v>
      </c>
      <c r="AI43" s="41"/>
      <c r="AJ43" s="41">
        <f>Table5[[#This Row],[(A/B) AJD]]-Table5[[#This Row],[BER_IN]]</f>
        <v>0</v>
      </c>
      <c r="AK43" s="43"/>
      <c r="AL43" s="43"/>
      <c r="AM43" s="32"/>
      <c r="AN43" s="32">
        <f>Table5[[#This Row],[ (RESV. STORGE) SER]]/10</f>
        <v>0</v>
      </c>
      <c r="AO43" s="68"/>
      <c r="AP43" s="104">
        <f>Table5[[#This Row],[(A/S) AJD]]-Table5[[#This Row],[SER_IN]]</f>
        <v>0</v>
      </c>
    </row>
    <row r="44" spans="1:42" ht="18.75" x14ac:dyDescent="0.25">
      <c r="A44" s="10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Table5[[#This Row],[ (T/B) SAR]]+Table5[[#This Row],[ (S/S) SAR]]</f>
        <v>0</v>
      </c>
      <c r="L44" s="45"/>
      <c r="M44" s="46"/>
      <c r="N44" s="46"/>
      <c r="O44" s="40"/>
      <c r="P44" s="3">
        <f>Table5[[#This Row],[ (S/S) SAR]]-Table5[[#This Row],[(S/S) AJD]]</f>
        <v>0</v>
      </c>
      <c r="Q44" s="40"/>
      <c r="R44" s="3">
        <f>Table5[[#This Row],[ (T/B) SAR]]-Table5[[#This Row],[(T/B) AJD]]</f>
        <v>0</v>
      </c>
      <c r="S44" s="3">
        <f>Table5[[#This Row],[S/S_CON.]]+Table5[[#This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Table5[[#This Row],[(RESV. STORGE) AJD]]/10</f>
        <v>0</v>
      </c>
      <c r="AB44" s="3">
        <f t="shared" si="3"/>
        <v>0</v>
      </c>
      <c r="AC44" s="5"/>
      <c r="AD44" s="40">
        <f>(Table5[[#This Row],[( S/S+T/B) AJD]]*1000)-((Table5[[#This Row],[(STORGE DIFF.) AJD]]*1000)+Table5[[#This Row],[AJD_Evaporation]]+(Table5[[#This Row],[(A/B + A/S) AJD]]*1000))</f>
        <v>0</v>
      </c>
      <c r="AE44" s="44"/>
      <c r="AF44" s="45"/>
      <c r="AG44" s="45"/>
      <c r="AH44" s="6">
        <f>Table5[[#This Row],[ (RESV. STORGE) BER]]/10</f>
        <v>0</v>
      </c>
      <c r="AI44" s="44"/>
      <c r="AJ44" s="44">
        <f>Table5[[#This Row],[(A/B) AJD]]-Table5[[#This Row],[BER_IN]]</f>
        <v>0</v>
      </c>
      <c r="AK44" s="45"/>
      <c r="AL44" s="45"/>
      <c r="AM44" s="32"/>
      <c r="AN44" s="32">
        <f>Table5[[#This Row],[ (RESV. STORGE) SER]]/10</f>
        <v>0</v>
      </c>
      <c r="AO44" s="68"/>
      <c r="AP44" s="104">
        <f>Table5[[#This Row],[(A/S) AJD]]-Table5[[#This Row],[SER_IN]]</f>
        <v>0</v>
      </c>
    </row>
    <row r="45" spans="1:42" ht="18.75" x14ac:dyDescent="0.25">
      <c r="A45" s="10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Table5[[#This Row],[ (T/B) SAR]]+Table5[[#This Row],[ (S/S) SAR]]</f>
        <v>0</v>
      </c>
      <c r="L45" s="41"/>
      <c r="M45" s="42"/>
      <c r="N45" s="42"/>
      <c r="O45" s="39"/>
      <c r="P45" s="3">
        <f>Table5[[#This Row],[ (S/S) SAR]]-Table5[[#This Row],[(S/S) AJD]]</f>
        <v>0</v>
      </c>
      <c r="Q45" s="39"/>
      <c r="R45" s="3">
        <f>Table5[[#This Row],[ (T/B) SAR]]-Table5[[#This Row],[(T/B) AJD]]</f>
        <v>0</v>
      </c>
      <c r="S45" s="3">
        <f>Table5[[#This Row],[S/S_CON.]]+Table5[[#This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Table5[[#This Row],[(RESV. STORGE) AJD]]/10</f>
        <v>0</v>
      </c>
      <c r="AB45" s="3">
        <f t="shared" si="3"/>
        <v>0</v>
      </c>
      <c r="AC45" s="5"/>
      <c r="AD45" s="39">
        <f>(Table5[[#This Row],[( S/S+T/B) AJD]]*1000)-((Table5[[#This Row],[(STORGE DIFF.) AJD]]*1000)+Table5[[#This Row],[AJD_Evaporation]]+(Table5[[#This Row],[(A/B + A/S) AJD]]*1000))</f>
        <v>0</v>
      </c>
      <c r="AE45" s="41"/>
      <c r="AF45" s="43"/>
      <c r="AG45" s="43"/>
      <c r="AH45" s="6">
        <f>Table5[[#This Row],[ (RESV. STORGE) BER]]/10</f>
        <v>0</v>
      </c>
      <c r="AI45" s="41"/>
      <c r="AJ45" s="41">
        <f>Table5[[#This Row],[(A/B) AJD]]-Table5[[#This Row],[BER_IN]]</f>
        <v>0</v>
      </c>
      <c r="AK45" s="43"/>
      <c r="AL45" s="43"/>
      <c r="AM45" s="32"/>
      <c r="AN45" s="32">
        <f>Table5[[#This Row],[ (RESV. STORGE) SER]]/10</f>
        <v>0</v>
      </c>
      <c r="AO45" s="68"/>
      <c r="AP45" s="104">
        <f>Table5[[#This Row],[(A/S) AJD]]-Table5[[#This Row],[SER_IN]]</f>
        <v>0</v>
      </c>
    </row>
    <row r="46" spans="1:42" ht="18.75" x14ac:dyDescent="0.25">
      <c r="A46" s="10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Table5[[#This Row],[ (T/B) SAR]]+Table5[[#This Row],[ (S/S) SAR]]</f>
        <v>0</v>
      </c>
      <c r="L46" s="45"/>
      <c r="M46" s="46"/>
      <c r="N46" s="46"/>
      <c r="O46" s="40"/>
      <c r="P46" s="3">
        <f>Table5[[#This Row],[ (S/S) SAR]]-Table5[[#This Row],[(S/S) AJD]]</f>
        <v>0</v>
      </c>
      <c r="Q46" s="40"/>
      <c r="R46" s="3">
        <f>Table5[[#This Row],[ (T/B) SAR]]-Table5[[#This Row],[(T/B) AJD]]</f>
        <v>0</v>
      </c>
      <c r="S46" s="3">
        <f>Table5[[#This Row],[S/S_CON.]]+Table5[[#This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Table5[[#This Row],[(RESV. STORGE) AJD]]/10</f>
        <v>0</v>
      </c>
      <c r="AB46" s="3">
        <f t="shared" si="3"/>
        <v>0</v>
      </c>
      <c r="AC46" s="5"/>
      <c r="AD46" s="40">
        <f>(Table5[[#This Row],[( S/S+T/B) AJD]]*1000)-((Table5[[#This Row],[(STORGE DIFF.) AJD]]*1000)+Table5[[#This Row],[AJD_Evaporation]]+(Table5[[#This Row],[(A/B + A/S) AJD]]*1000))</f>
        <v>0</v>
      </c>
      <c r="AE46" s="44"/>
      <c r="AF46" s="45"/>
      <c r="AG46" s="45"/>
      <c r="AH46" s="6">
        <f>Table5[[#This Row],[ (RESV. STORGE) BER]]/10</f>
        <v>0</v>
      </c>
      <c r="AI46" s="44"/>
      <c r="AJ46" s="44">
        <f>Table5[[#This Row],[(A/B) AJD]]-Table5[[#This Row],[BER_IN]]</f>
        <v>0</v>
      </c>
      <c r="AK46" s="45"/>
      <c r="AL46" s="45"/>
      <c r="AM46" s="32"/>
      <c r="AN46" s="32">
        <f>Table5[[#This Row],[ (RESV. STORGE) SER]]/10</f>
        <v>0</v>
      </c>
      <c r="AO46" s="68"/>
      <c r="AP46" s="104">
        <f>Table5[[#This Row],[(A/S) AJD]]-Table5[[#This Row],[SER_IN]]</f>
        <v>0</v>
      </c>
    </row>
    <row r="47" spans="1:42" ht="18.75" x14ac:dyDescent="0.25">
      <c r="A47" s="10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Table5[[#This Row],[ (T/B) SAR]]+Table5[[#This Row],[ (S/S) SAR]]</f>
        <v>0</v>
      </c>
      <c r="L47" s="41"/>
      <c r="M47" s="42"/>
      <c r="N47" s="42"/>
      <c r="O47" s="39"/>
      <c r="P47" s="3">
        <f>Table5[[#This Row],[ (S/S) SAR]]-Table5[[#This Row],[(S/S) AJD]]</f>
        <v>0</v>
      </c>
      <c r="Q47" s="39"/>
      <c r="R47" s="3">
        <f>Table5[[#This Row],[ (T/B) SAR]]-Table5[[#This Row],[(T/B) AJD]]</f>
        <v>0</v>
      </c>
      <c r="S47" s="3">
        <f>Table5[[#This Row],[S/S_CON.]]+Table5[[#This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Table5[[#This Row],[(RESV. STORGE) AJD]]/10</f>
        <v>0</v>
      </c>
      <c r="AB47" s="3">
        <f t="shared" si="3"/>
        <v>0</v>
      </c>
      <c r="AC47" s="5"/>
      <c r="AD47" s="39">
        <f>(Table5[[#This Row],[( S/S+T/B) AJD]]*1000)-((Table5[[#This Row],[(STORGE DIFF.) AJD]]*1000)+Table5[[#This Row],[AJD_Evaporation]]+(Table5[[#This Row],[(A/B + A/S) AJD]]*1000))</f>
        <v>0</v>
      </c>
      <c r="AE47" s="41"/>
      <c r="AF47" s="43"/>
      <c r="AG47" s="43"/>
      <c r="AH47" s="6">
        <f>Table5[[#This Row],[ (RESV. STORGE) BER]]/10</f>
        <v>0</v>
      </c>
      <c r="AI47" s="41"/>
      <c r="AJ47" s="41">
        <f>Table5[[#This Row],[(A/B) AJD]]-Table5[[#This Row],[BER_IN]]</f>
        <v>0</v>
      </c>
      <c r="AK47" s="43"/>
      <c r="AL47" s="43"/>
      <c r="AM47" s="32"/>
      <c r="AN47" s="32">
        <f>Table5[[#This Row],[ (RESV. STORGE) SER]]/10</f>
        <v>0</v>
      </c>
      <c r="AO47" s="68"/>
      <c r="AP47" s="104">
        <f>Table5[[#This Row],[(A/S) AJD]]-Table5[[#This Row],[SER_IN]]</f>
        <v>0</v>
      </c>
    </row>
    <row r="48" spans="1:42" ht="18.75" x14ac:dyDescent="0.25">
      <c r="A48" s="10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Table5[[#This Row],[ (T/B) SAR]]+Table5[[#This Row],[ (S/S) SAR]]</f>
        <v>0</v>
      </c>
      <c r="L48" s="45"/>
      <c r="M48" s="46"/>
      <c r="N48" s="46"/>
      <c r="O48" s="40"/>
      <c r="P48" s="3">
        <f>Table5[[#This Row],[ (S/S) SAR]]-Table5[[#This Row],[(S/S) AJD]]</f>
        <v>0</v>
      </c>
      <c r="Q48" s="40"/>
      <c r="R48" s="3">
        <f>Table5[[#This Row],[ (T/B) SAR]]-Table5[[#This Row],[(T/B) AJD]]</f>
        <v>0</v>
      </c>
      <c r="S48" s="3">
        <f>Table5[[#This Row],[S/S_CON.]]+Table5[[#This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Table5[[#This Row],[(RESV. STORGE) AJD]]/10</f>
        <v>0</v>
      </c>
      <c r="AB48" s="3">
        <f t="shared" si="3"/>
        <v>0</v>
      </c>
      <c r="AC48" s="5"/>
      <c r="AD48" s="40">
        <f>(Table5[[#This Row],[( S/S+T/B) AJD]]*1000)-((Table5[[#This Row],[(STORGE DIFF.) AJD]]*1000)+Table5[[#This Row],[AJD_Evaporation]]+(Table5[[#This Row],[(A/B + A/S) AJD]]*1000))</f>
        <v>0</v>
      </c>
      <c r="AE48" s="44"/>
      <c r="AF48" s="45"/>
      <c r="AG48" s="45"/>
      <c r="AH48" s="6">
        <f>Table5[[#This Row],[ (RESV. STORGE) BER]]/10</f>
        <v>0</v>
      </c>
      <c r="AI48" s="44"/>
      <c r="AJ48" s="44">
        <f>Table5[[#This Row],[(A/B) AJD]]-Table5[[#This Row],[BER_IN]]</f>
        <v>0</v>
      </c>
      <c r="AK48" s="45"/>
      <c r="AL48" s="45"/>
      <c r="AM48" s="32"/>
      <c r="AN48" s="32">
        <f>Table5[[#This Row],[ (RESV. STORGE) SER]]/10</f>
        <v>0</v>
      </c>
      <c r="AO48" s="68"/>
      <c r="AP48" s="104">
        <f>Table5[[#This Row],[(A/S) AJD]]-Table5[[#This Row],[SER_IN]]</f>
        <v>0</v>
      </c>
    </row>
    <row r="49" spans="1:42" ht="18.75" x14ac:dyDescent="0.25">
      <c r="A49" s="10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Table5[[#This Row],[ (T/B) SAR]]+Table5[[#This Row],[ (S/S) SAR]]</f>
        <v>0</v>
      </c>
      <c r="L49" s="41"/>
      <c r="M49" s="42"/>
      <c r="N49" s="42"/>
      <c r="O49" s="39"/>
      <c r="P49" s="3">
        <f>Table5[[#This Row],[ (S/S) SAR]]-Table5[[#This Row],[(S/S) AJD]]</f>
        <v>0</v>
      </c>
      <c r="Q49" s="39"/>
      <c r="R49" s="3">
        <f>Table5[[#This Row],[ (T/B) SAR]]-Table5[[#This Row],[(T/B) AJD]]</f>
        <v>0</v>
      </c>
      <c r="S49" s="3">
        <f>Table5[[#This Row],[S/S_CON.]]+Table5[[#This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Table5[[#This Row],[(RESV. STORGE) AJD]]/10</f>
        <v>0</v>
      </c>
      <c r="AB49" s="3">
        <f t="shared" si="3"/>
        <v>0</v>
      </c>
      <c r="AC49" s="5"/>
      <c r="AD49" s="39">
        <f>(Table5[[#This Row],[( S/S+T/B) AJD]]*1000)-((Table5[[#This Row],[(STORGE DIFF.) AJD]]*1000)+Table5[[#This Row],[AJD_Evaporation]]+(Table5[[#This Row],[(A/B + A/S) AJD]]*1000))</f>
        <v>0</v>
      </c>
      <c r="AE49" s="41"/>
      <c r="AF49" s="43"/>
      <c r="AG49" s="43"/>
      <c r="AH49" s="6">
        <f>Table5[[#This Row],[ (RESV. STORGE) BER]]/10</f>
        <v>0</v>
      </c>
      <c r="AI49" s="41"/>
      <c r="AJ49" s="41">
        <f>Table5[[#This Row],[(A/B) AJD]]-Table5[[#This Row],[BER_IN]]</f>
        <v>0</v>
      </c>
      <c r="AK49" s="43"/>
      <c r="AL49" s="43"/>
      <c r="AM49" s="32"/>
      <c r="AN49" s="32">
        <f>Table5[[#This Row],[ (RESV. STORGE) SER]]/10</f>
        <v>0</v>
      </c>
      <c r="AO49" s="68"/>
      <c r="AP49" s="104">
        <f>Table5[[#This Row],[(A/S) AJD]]-Table5[[#This Row],[SER_IN]]</f>
        <v>0</v>
      </c>
    </row>
    <row r="50" spans="1:42" ht="18.75" x14ac:dyDescent="0.25">
      <c r="A50" s="10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Table5[[#This Row],[ (T/B) SAR]]+Table5[[#This Row],[ (S/S) SAR]]</f>
        <v>0</v>
      </c>
      <c r="L50" s="45"/>
      <c r="M50" s="46"/>
      <c r="N50" s="46"/>
      <c r="O50" s="40"/>
      <c r="P50" s="3">
        <f>Table5[[#This Row],[ (S/S) SAR]]-Table5[[#This Row],[(S/S) AJD]]</f>
        <v>0</v>
      </c>
      <c r="Q50" s="40"/>
      <c r="R50" s="3">
        <f>Table5[[#This Row],[ (T/B) SAR]]-Table5[[#This Row],[(T/B) AJD]]</f>
        <v>0</v>
      </c>
      <c r="S50" s="3">
        <f>Table5[[#This Row],[S/S_CON.]]+Table5[[#This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Table5[[#This Row],[(RESV. STORGE) AJD]]/10</f>
        <v>0</v>
      </c>
      <c r="AB50" s="3">
        <f t="shared" si="3"/>
        <v>0</v>
      </c>
      <c r="AC50" s="5"/>
      <c r="AD50" s="40">
        <f>(Table5[[#This Row],[( S/S+T/B) AJD]]*1000)-((Table5[[#This Row],[(STORGE DIFF.) AJD]]*1000)+Table5[[#This Row],[AJD_Evaporation]]+(Table5[[#This Row],[(A/B + A/S) AJD]]*1000))</f>
        <v>0</v>
      </c>
      <c r="AE50" s="44"/>
      <c r="AF50" s="45"/>
      <c r="AG50" s="45"/>
      <c r="AH50" s="6">
        <f>Table5[[#This Row],[ (RESV. STORGE) BER]]/10</f>
        <v>0</v>
      </c>
      <c r="AI50" s="44"/>
      <c r="AJ50" s="44">
        <f>Table5[[#This Row],[(A/B) AJD]]-Table5[[#This Row],[BER_IN]]</f>
        <v>0</v>
      </c>
      <c r="AK50" s="45"/>
      <c r="AL50" s="45"/>
      <c r="AM50" s="32"/>
      <c r="AN50" s="32">
        <f>Table5[[#This Row],[ (RESV. STORGE) SER]]/10</f>
        <v>0</v>
      </c>
      <c r="AO50" s="68"/>
      <c r="AP50" s="104">
        <f>Table5[[#This Row],[(A/S) AJD]]-Table5[[#This Row],[SER_IN]]</f>
        <v>0</v>
      </c>
    </row>
    <row r="51" spans="1:42" ht="18.75" x14ac:dyDescent="0.25">
      <c r="A51" s="10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Table5[[#This Row],[ (T/B) SAR]]+Table5[[#This Row],[ (S/S) SAR]]</f>
        <v>0</v>
      </c>
      <c r="L51" s="41"/>
      <c r="M51" s="42"/>
      <c r="N51" s="42"/>
      <c r="O51" s="39"/>
      <c r="P51" s="3">
        <f>Table5[[#This Row],[ (S/S) SAR]]-Table5[[#This Row],[(S/S) AJD]]</f>
        <v>0</v>
      </c>
      <c r="Q51" s="39"/>
      <c r="R51" s="3">
        <f>Table5[[#This Row],[ (T/B) SAR]]-Table5[[#This Row],[(T/B) AJD]]</f>
        <v>0</v>
      </c>
      <c r="S51" s="3">
        <f>Table5[[#This Row],[S/S_CON.]]+Table5[[#This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Table5[[#This Row],[(RESV. STORGE) AJD]]/10</f>
        <v>0</v>
      </c>
      <c r="AB51" s="3">
        <f t="shared" si="3"/>
        <v>0</v>
      </c>
      <c r="AC51" s="5"/>
      <c r="AD51" s="39">
        <f>(Table5[[#This Row],[( S/S+T/B) AJD]]*1000)-((Table5[[#This Row],[(STORGE DIFF.) AJD]]*1000)+Table5[[#This Row],[AJD_Evaporation]]+(Table5[[#This Row],[(A/B + A/S) AJD]]*1000))</f>
        <v>0</v>
      </c>
      <c r="AE51" s="41"/>
      <c r="AF51" s="43"/>
      <c r="AG51" s="43"/>
      <c r="AH51" s="6">
        <f>Table5[[#This Row],[ (RESV. STORGE) BER]]/10</f>
        <v>0</v>
      </c>
      <c r="AI51" s="41"/>
      <c r="AJ51" s="41">
        <f>Table5[[#This Row],[(A/B) AJD]]-Table5[[#This Row],[BER_IN]]</f>
        <v>0</v>
      </c>
      <c r="AK51" s="43"/>
      <c r="AL51" s="43"/>
      <c r="AM51" s="32"/>
      <c r="AN51" s="32">
        <f>Table5[[#This Row],[ (RESV. STORGE) SER]]/10</f>
        <v>0</v>
      </c>
      <c r="AO51" s="68"/>
      <c r="AP51" s="104">
        <f>Table5[[#This Row],[(A/S) AJD]]-Table5[[#This Row],[SER_IN]]</f>
        <v>0</v>
      </c>
    </row>
    <row r="52" spans="1:42" ht="18.75" x14ac:dyDescent="0.25">
      <c r="A52" s="10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Table5[[#This Row],[ (T/B) SAR]]+Table5[[#This Row],[ (S/S) SAR]]</f>
        <v>0</v>
      </c>
      <c r="L52" s="45"/>
      <c r="M52" s="46"/>
      <c r="N52" s="46"/>
      <c r="O52" s="40"/>
      <c r="P52" s="3">
        <f>Table5[[#This Row],[ (S/S) SAR]]-Table5[[#This Row],[(S/S) AJD]]</f>
        <v>0</v>
      </c>
      <c r="Q52" s="40"/>
      <c r="R52" s="3">
        <f>Table5[[#This Row],[ (T/B) SAR]]-Table5[[#This Row],[(T/B) AJD]]</f>
        <v>0</v>
      </c>
      <c r="S52" s="3">
        <f>Table5[[#This Row],[S/S_CON.]]+Table5[[#This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Table5[[#This Row],[(RESV. STORGE) AJD]]/10</f>
        <v>0</v>
      </c>
      <c r="AB52" s="3">
        <f t="shared" si="3"/>
        <v>0</v>
      </c>
      <c r="AC52" s="5"/>
      <c r="AD52" s="40">
        <f>(Table5[[#This Row],[( S/S+T/B) AJD]]*1000)-((Table5[[#This Row],[(STORGE DIFF.) AJD]]*1000)+Table5[[#This Row],[AJD_Evaporation]]+(Table5[[#This Row],[(A/B + A/S) AJD]]*1000))</f>
        <v>0</v>
      </c>
      <c r="AE52" s="44"/>
      <c r="AF52" s="45"/>
      <c r="AG52" s="45"/>
      <c r="AH52" s="6">
        <f>Table5[[#This Row],[ (RESV. STORGE) BER]]/10</f>
        <v>0</v>
      </c>
      <c r="AI52" s="44"/>
      <c r="AJ52" s="44">
        <f>Table5[[#This Row],[(A/B) AJD]]-Table5[[#This Row],[BER_IN]]</f>
        <v>0</v>
      </c>
      <c r="AK52" s="45"/>
      <c r="AL52" s="45"/>
      <c r="AM52" s="32"/>
      <c r="AN52" s="32">
        <f>Table5[[#This Row],[ (RESV. STORGE) SER]]/10</f>
        <v>0</v>
      </c>
      <c r="AO52" s="68"/>
      <c r="AP52" s="104">
        <f>Table5[[#This Row],[(A/S) AJD]]-Table5[[#This Row],[SER_IN]]</f>
        <v>0</v>
      </c>
    </row>
    <row r="53" spans="1:42" ht="18.75" x14ac:dyDescent="0.25">
      <c r="A53" s="10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Table5[[#This Row],[ (T/B) SAR]]+Table5[[#This Row],[ (S/S) SAR]]</f>
        <v>0</v>
      </c>
      <c r="L53" s="41"/>
      <c r="M53" s="42"/>
      <c r="N53" s="42"/>
      <c r="O53" s="39"/>
      <c r="P53" s="3">
        <f>Table5[[#This Row],[ (S/S) SAR]]-Table5[[#This Row],[(S/S) AJD]]</f>
        <v>0</v>
      </c>
      <c r="Q53" s="39"/>
      <c r="R53" s="3">
        <f>Table5[[#This Row],[ (T/B) SAR]]-Table5[[#This Row],[(T/B) AJD]]</f>
        <v>0</v>
      </c>
      <c r="S53" s="3">
        <f>Table5[[#This Row],[S/S_CON.]]+Table5[[#This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Table5[[#This Row],[(RESV. STORGE) AJD]]/10</f>
        <v>0</v>
      </c>
      <c r="AB53" s="3">
        <f t="shared" si="3"/>
        <v>0</v>
      </c>
      <c r="AC53" s="5"/>
      <c r="AD53" s="39">
        <f>(Table5[[#This Row],[( S/S+T/B) AJD]]*1000)-((Table5[[#This Row],[(STORGE DIFF.) AJD]]*1000)+Table5[[#This Row],[AJD_Evaporation]]+(Table5[[#This Row],[(A/B + A/S) AJD]]*1000))</f>
        <v>0</v>
      </c>
      <c r="AE53" s="41"/>
      <c r="AF53" s="43"/>
      <c r="AG53" s="43"/>
      <c r="AH53" s="6">
        <f>Table5[[#This Row],[ (RESV. STORGE) BER]]/10</f>
        <v>0</v>
      </c>
      <c r="AI53" s="41"/>
      <c r="AJ53" s="41">
        <f>Table5[[#This Row],[(A/B) AJD]]-Table5[[#This Row],[BER_IN]]</f>
        <v>0</v>
      </c>
      <c r="AK53" s="43"/>
      <c r="AL53" s="43"/>
      <c r="AM53" s="32"/>
      <c r="AN53" s="32">
        <f>Table5[[#This Row],[ (RESV. STORGE) SER]]/10</f>
        <v>0</v>
      </c>
      <c r="AO53" s="68"/>
      <c r="AP53" s="104">
        <f>Table5[[#This Row],[(A/S) AJD]]-Table5[[#This Row],[SER_IN]]</f>
        <v>0</v>
      </c>
    </row>
    <row r="54" spans="1:42" ht="18.75" x14ac:dyDescent="0.25">
      <c r="A54" s="10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Table5[[#This Row],[ (T/B) SAR]]+Table5[[#This Row],[ (S/S) SAR]]</f>
        <v>0</v>
      </c>
      <c r="L54" s="45"/>
      <c r="M54" s="46"/>
      <c r="N54" s="46"/>
      <c r="O54" s="40"/>
      <c r="P54" s="3">
        <f>Table5[[#This Row],[ (S/S) SAR]]-Table5[[#This Row],[(S/S) AJD]]</f>
        <v>0</v>
      </c>
      <c r="Q54" s="40"/>
      <c r="R54" s="3">
        <f>Table5[[#This Row],[ (T/B) SAR]]-Table5[[#This Row],[(T/B) AJD]]</f>
        <v>0</v>
      </c>
      <c r="S54" s="3">
        <f>Table5[[#This Row],[S/S_CON.]]+Table5[[#This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Table5[[#This Row],[(RESV. STORGE) AJD]]/10</f>
        <v>0</v>
      </c>
      <c r="AB54" s="3">
        <f t="shared" si="3"/>
        <v>0</v>
      </c>
      <c r="AC54" s="5"/>
      <c r="AD54" s="40">
        <f>(Table5[[#This Row],[( S/S+T/B) AJD]]*1000)-((Table5[[#This Row],[(STORGE DIFF.) AJD]]*1000)+Table5[[#This Row],[AJD_Evaporation]]+(Table5[[#This Row],[(A/B + A/S) AJD]]*1000))</f>
        <v>0</v>
      </c>
      <c r="AE54" s="44"/>
      <c r="AF54" s="45"/>
      <c r="AG54" s="45"/>
      <c r="AH54" s="6">
        <f>Table5[[#This Row],[ (RESV. STORGE) BER]]/10</f>
        <v>0</v>
      </c>
      <c r="AI54" s="44"/>
      <c r="AJ54" s="44">
        <f>Table5[[#This Row],[(A/B) AJD]]-Table5[[#This Row],[BER_IN]]</f>
        <v>0</v>
      </c>
      <c r="AK54" s="45"/>
      <c r="AL54" s="45"/>
      <c r="AM54" s="32"/>
      <c r="AN54" s="32">
        <f>Table5[[#This Row],[ (RESV. STORGE) SER]]/10</f>
        <v>0</v>
      </c>
      <c r="AO54" s="68"/>
      <c r="AP54" s="104">
        <f>Table5[[#This Row],[(A/S) AJD]]-Table5[[#This Row],[SER_IN]]</f>
        <v>0</v>
      </c>
    </row>
    <row r="55" spans="1:42" ht="18.75" x14ac:dyDescent="0.25">
      <c r="A55" s="10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Table5[[#This Row],[ (T/B) SAR]]+Table5[[#This Row],[ (S/S) SAR]]</f>
        <v>0</v>
      </c>
      <c r="L55" s="41"/>
      <c r="M55" s="42"/>
      <c r="N55" s="42"/>
      <c r="O55" s="39"/>
      <c r="P55" s="3">
        <f>Table5[[#This Row],[ (S/S) SAR]]-Table5[[#This Row],[(S/S) AJD]]</f>
        <v>0</v>
      </c>
      <c r="Q55" s="39"/>
      <c r="R55" s="3">
        <f>Table5[[#This Row],[ (T/B) SAR]]-Table5[[#This Row],[(T/B) AJD]]</f>
        <v>0</v>
      </c>
      <c r="S55" s="3">
        <f>Table5[[#This Row],[S/S_CON.]]+Table5[[#This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Table5[[#This Row],[(RESV. STORGE) AJD]]/10</f>
        <v>0</v>
      </c>
      <c r="AB55" s="3">
        <f t="shared" si="3"/>
        <v>0</v>
      </c>
      <c r="AC55" s="5"/>
      <c r="AD55" s="39">
        <f>(Table5[[#This Row],[( S/S+T/B) AJD]]*1000)-((Table5[[#This Row],[(STORGE DIFF.) AJD]]*1000)+Table5[[#This Row],[AJD_Evaporation]]+(Table5[[#This Row],[(A/B + A/S) AJD]]*1000))</f>
        <v>0</v>
      </c>
      <c r="AE55" s="41"/>
      <c r="AF55" s="43"/>
      <c r="AG55" s="43"/>
      <c r="AH55" s="6">
        <f>Table5[[#This Row],[ (RESV. STORGE) BER]]/10</f>
        <v>0</v>
      </c>
      <c r="AI55" s="41"/>
      <c r="AJ55" s="41">
        <f>Table5[[#This Row],[(A/B) AJD]]-Table5[[#This Row],[BER_IN]]</f>
        <v>0</v>
      </c>
      <c r="AK55" s="43"/>
      <c r="AL55" s="43"/>
      <c r="AM55" s="32"/>
      <c r="AN55" s="32">
        <f>Table5[[#This Row],[ (RESV. STORGE) SER]]/10</f>
        <v>0</v>
      </c>
      <c r="AO55" s="68"/>
      <c r="AP55" s="104">
        <f>Table5[[#This Row],[(A/S) AJD]]-Table5[[#This Row],[SER_IN]]</f>
        <v>0</v>
      </c>
    </row>
    <row r="56" spans="1:42" ht="18.75" x14ac:dyDescent="0.25">
      <c r="A56" s="10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Table5[[#This Row],[ (T/B) SAR]]+Table5[[#This Row],[ (S/S) SAR]]</f>
        <v>0</v>
      </c>
      <c r="L56" s="45"/>
      <c r="M56" s="46"/>
      <c r="N56" s="46"/>
      <c r="O56" s="40"/>
      <c r="P56" s="3">
        <f>Table5[[#This Row],[ (S/S) SAR]]-Table5[[#This Row],[(S/S) AJD]]</f>
        <v>0</v>
      </c>
      <c r="Q56" s="40"/>
      <c r="R56" s="3">
        <f>Table5[[#This Row],[ (T/B) SAR]]-Table5[[#This Row],[(T/B) AJD]]</f>
        <v>0</v>
      </c>
      <c r="S56" s="3">
        <f>Table5[[#This Row],[S/S_CON.]]+Table5[[#This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Table5[[#This Row],[(RESV. STORGE) AJD]]/10</f>
        <v>0</v>
      </c>
      <c r="AB56" s="3">
        <f t="shared" si="3"/>
        <v>0</v>
      </c>
      <c r="AC56" s="5"/>
      <c r="AD56" s="40">
        <f>(Table5[[#This Row],[( S/S+T/B) AJD]]*1000)-((Table5[[#This Row],[(STORGE DIFF.) AJD]]*1000)+Table5[[#This Row],[AJD_Evaporation]]+(Table5[[#This Row],[(A/B + A/S) AJD]]*1000))</f>
        <v>0</v>
      </c>
      <c r="AE56" s="44"/>
      <c r="AF56" s="45"/>
      <c r="AG56" s="45"/>
      <c r="AH56" s="6">
        <f>Table5[[#This Row],[ (RESV. STORGE) BER]]/10</f>
        <v>0</v>
      </c>
      <c r="AI56" s="44"/>
      <c r="AJ56" s="44">
        <f>Table5[[#This Row],[(A/B) AJD]]-Table5[[#This Row],[BER_IN]]</f>
        <v>0</v>
      </c>
      <c r="AK56" s="45"/>
      <c r="AL56" s="45"/>
      <c r="AM56" s="32"/>
      <c r="AN56" s="32">
        <f>Table5[[#This Row],[ (RESV. STORGE) SER]]/10</f>
        <v>0</v>
      </c>
      <c r="AO56" s="68"/>
      <c r="AP56" s="104">
        <f>Table5[[#This Row],[(A/S) AJD]]-Table5[[#This Row],[SER_IN]]</f>
        <v>0</v>
      </c>
    </row>
    <row r="57" spans="1:42" ht="18.75" x14ac:dyDescent="0.25">
      <c r="A57" s="10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Table5[[#This Row],[ (T/B) SAR]]+Table5[[#This Row],[ (S/S) SAR]]</f>
        <v>0</v>
      </c>
      <c r="L57" s="41"/>
      <c r="M57" s="42"/>
      <c r="N57" s="42"/>
      <c r="O57" s="39"/>
      <c r="P57" s="3">
        <f>Table5[[#This Row],[ (S/S) SAR]]-Table5[[#This Row],[(S/S) AJD]]</f>
        <v>0</v>
      </c>
      <c r="Q57" s="39"/>
      <c r="R57" s="3">
        <f>Table5[[#This Row],[ (T/B) SAR]]-Table5[[#This Row],[(T/B) AJD]]</f>
        <v>0</v>
      </c>
      <c r="S57" s="3">
        <f>Table5[[#This Row],[S/S_CON.]]+Table5[[#This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Table5[[#This Row],[(RESV. STORGE) AJD]]/10</f>
        <v>0</v>
      </c>
      <c r="AB57" s="3">
        <f t="shared" si="3"/>
        <v>0</v>
      </c>
      <c r="AC57" s="5"/>
      <c r="AD57" s="39">
        <f>(Table5[[#This Row],[( S/S+T/B) AJD]]*1000)-((Table5[[#This Row],[(STORGE DIFF.) AJD]]*1000)+Table5[[#This Row],[AJD_Evaporation]]+(Table5[[#This Row],[(A/B + A/S) AJD]]*1000))</f>
        <v>0</v>
      </c>
      <c r="AE57" s="41"/>
      <c r="AF57" s="43"/>
      <c r="AG57" s="43"/>
      <c r="AH57" s="6">
        <f>Table5[[#This Row],[ (RESV. STORGE) BER]]/10</f>
        <v>0</v>
      </c>
      <c r="AI57" s="41"/>
      <c r="AJ57" s="41">
        <f>Table5[[#This Row],[(A/B) AJD]]-Table5[[#This Row],[BER_IN]]</f>
        <v>0</v>
      </c>
      <c r="AK57" s="43"/>
      <c r="AL57" s="43"/>
      <c r="AM57" s="32"/>
      <c r="AN57" s="32">
        <f>Table5[[#This Row],[ (RESV. STORGE) SER]]/10</f>
        <v>0</v>
      </c>
      <c r="AO57" s="68"/>
      <c r="AP57" s="104">
        <f>Table5[[#This Row],[(A/S) AJD]]-Table5[[#This Row],[SER_IN]]</f>
        <v>0</v>
      </c>
    </row>
    <row r="58" spans="1:42" ht="18.75" x14ac:dyDescent="0.25">
      <c r="A58" s="10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Table5[[#This Row],[ (T/B) SAR]]+Table5[[#This Row],[ (S/S) SAR]]</f>
        <v>0</v>
      </c>
      <c r="L58" s="45"/>
      <c r="M58" s="46"/>
      <c r="N58" s="46"/>
      <c r="O58" s="40"/>
      <c r="P58" s="3">
        <f>Table5[[#This Row],[ (S/S) SAR]]-Table5[[#This Row],[(S/S) AJD]]</f>
        <v>0</v>
      </c>
      <c r="Q58" s="40"/>
      <c r="R58" s="3">
        <f>Table5[[#This Row],[ (T/B) SAR]]-Table5[[#This Row],[(T/B) AJD]]</f>
        <v>0</v>
      </c>
      <c r="S58" s="3">
        <f>Table5[[#This Row],[S/S_CON.]]+Table5[[#This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Table5[[#This Row],[(RESV. STORGE) AJD]]/10</f>
        <v>0</v>
      </c>
      <c r="AB58" s="3">
        <f t="shared" si="3"/>
        <v>0</v>
      </c>
      <c r="AC58" s="5"/>
      <c r="AD58" s="40">
        <f>(Table5[[#This Row],[( S/S+T/B) AJD]]*1000)-((Table5[[#This Row],[(STORGE DIFF.) AJD]]*1000)+Table5[[#This Row],[AJD_Evaporation]]+(Table5[[#This Row],[(A/B + A/S) AJD]]*1000))</f>
        <v>0</v>
      </c>
      <c r="AE58" s="44"/>
      <c r="AF58" s="45"/>
      <c r="AG58" s="45"/>
      <c r="AH58" s="6">
        <f>Table5[[#This Row],[ (RESV. STORGE) BER]]/10</f>
        <v>0</v>
      </c>
      <c r="AI58" s="44"/>
      <c r="AJ58" s="44">
        <f>Table5[[#This Row],[(A/B) AJD]]-Table5[[#This Row],[BER_IN]]</f>
        <v>0</v>
      </c>
      <c r="AK58" s="45"/>
      <c r="AL58" s="45"/>
      <c r="AM58" s="32"/>
      <c r="AN58" s="32">
        <f>Table5[[#This Row],[ (RESV. STORGE) SER]]/10</f>
        <v>0</v>
      </c>
      <c r="AO58" s="68"/>
      <c r="AP58" s="104">
        <f>Table5[[#This Row],[(A/S) AJD]]-Table5[[#This Row],[SER_IN]]</f>
        <v>0</v>
      </c>
    </row>
    <row r="59" spans="1:42" ht="18.75" x14ac:dyDescent="0.25">
      <c r="A59" s="10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Table5[[#This Row],[ (T/B) SAR]]+Table5[[#This Row],[ (S/S) SAR]]</f>
        <v>0</v>
      </c>
      <c r="L59" s="41"/>
      <c r="M59" s="42"/>
      <c r="N59" s="42"/>
      <c r="O59" s="39"/>
      <c r="P59" s="3">
        <f>Table5[[#This Row],[ (S/S) SAR]]-Table5[[#This Row],[(S/S) AJD]]</f>
        <v>0</v>
      </c>
      <c r="Q59" s="39"/>
      <c r="R59" s="3">
        <f>Table5[[#This Row],[ (T/B) SAR]]-Table5[[#This Row],[(T/B) AJD]]</f>
        <v>0</v>
      </c>
      <c r="S59" s="3">
        <f>Table5[[#This Row],[S/S_CON.]]+Table5[[#This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Table5[[#This Row],[(RESV. STORGE) AJD]]/10</f>
        <v>0</v>
      </c>
      <c r="AB59" s="3">
        <f t="shared" si="3"/>
        <v>0</v>
      </c>
      <c r="AC59" s="5"/>
      <c r="AD59" s="39">
        <f>(Table5[[#This Row],[( S/S+T/B) AJD]]*1000)-((Table5[[#This Row],[(STORGE DIFF.) AJD]]*1000)+Table5[[#This Row],[AJD_Evaporation]]+(Table5[[#This Row],[(A/B + A/S) AJD]]*1000))</f>
        <v>0</v>
      </c>
      <c r="AE59" s="41"/>
      <c r="AF59" s="43"/>
      <c r="AG59" s="43"/>
      <c r="AH59" s="6">
        <f>Table5[[#This Row],[ (RESV. STORGE) BER]]/10</f>
        <v>0</v>
      </c>
      <c r="AI59" s="41"/>
      <c r="AJ59" s="41">
        <f>Table5[[#This Row],[(A/B) AJD]]-Table5[[#This Row],[BER_IN]]</f>
        <v>0</v>
      </c>
      <c r="AK59" s="43"/>
      <c r="AL59" s="43"/>
      <c r="AM59" s="32"/>
      <c r="AN59" s="32">
        <f>Table5[[#This Row],[ (RESV. STORGE) SER]]/10</f>
        <v>0</v>
      </c>
      <c r="AO59" s="68"/>
      <c r="AP59" s="104">
        <f>Table5[[#This Row],[(A/S) AJD]]-Table5[[#This Row],[SER_IN]]</f>
        <v>0</v>
      </c>
    </row>
    <row r="60" spans="1:42" ht="18.75" x14ac:dyDescent="0.25">
      <c r="A60" s="10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Table5[[#This Row],[ (T/B) SAR]]+Table5[[#This Row],[ (S/S) SAR]]</f>
        <v>0</v>
      </c>
      <c r="L60" s="45"/>
      <c r="M60" s="46"/>
      <c r="N60" s="46"/>
      <c r="O60" s="40"/>
      <c r="P60" s="3">
        <f>Table5[[#This Row],[ (S/S) SAR]]-Table5[[#This Row],[(S/S) AJD]]</f>
        <v>0</v>
      </c>
      <c r="Q60" s="40"/>
      <c r="R60" s="3">
        <f>Table5[[#This Row],[ (T/B) SAR]]-Table5[[#This Row],[(T/B) AJD]]</f>
        <v>0</v>
      </c>
      <c r="S60" s="3">
        <f>Table5[[#This Row],[S/S_CON.]]+Table5[[#This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Table5[[#This Row],[(RESV. STORGE) AJD]]/10</f>
        <v>0</v>
      </c>
      <c r="AB60" s="3">
        <f t="shared" si="3"/>
        <v>0</v>
      </c>
      <c r="AC60" s="5"/>
      <c r="AD60" s="40">
        <f>(Table5[[#This Row],[( S/S+T/B) AJD]]*1000)-((Table5[[#This Row],[(STORGE DIFF.) AJD]]*1000)+Table5[[#This Row],[AJD_Evaporation]]+(Table5[[#This Row],[(A/B + A/S) AJD]]*1000))</f>
        <v>0</v>
      </c>
      <c r="AE60" s="44"/>
      <c r="AF60" s="45"/>
      <c r="AG60" s="45"/>
      <c r="AH60" s="6">
        <f>Table5[[#This Row],[ (RESV. STORGE) BER]]/10</f>
        <v>0</v>
      </c>
      <c r="AI60" s="44"/>
      <c r="AJ60" s="44">
        <f>Table5[[#This Row],[(A/B) AJD]]-Table5[[#This Row],[BER_IN]]</f>
        <v>0</v>
      </c>
      <c r="AK60" s="45"/>
      <c r="AL60" s="45"/>
      <c r="AM60" s="32"/>
      <c r="AN60" s="32">
        <f>Table5[[#This Row],[ (RESV. STORGE) SER]]/10</f>
        <v>0</v>
      </c>
      <c r="AO60" s="68"/>
      <c r="AP60" s="104">
        <f>Table5[[#This Row],[(A/S) AJD]]-Table5[[#This Row],[SER_IN]]</f>
        <v>0</v>
      </c>
    </row>
    <row r="61" spans="1:42" ht="18.75" x14ac:dyDescent="0.25">
      <c r="A61" s="10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Table5[[#This Row],[ (T/B) SAR]]+Table5[[#This Row],[ (S/S) SAR]]</f>
        <v>0</v>
      </c>
      <c r="L61" s="41"/>
      <c r="M61" s="42"/>
      <c r="N61" s="42"/>
      <c r="O61" s="39"/>
      <c r="P61" s="3">
        <f>Table5[[#This Row],[ (S/S) SAR]]-Table5[[#This Row],[(S/S) AJD]]</f>
        <v>0</v>
      </c>
      <c r="Q61" s="39"/>
      <c r="R61" s="3">
        <f>Table5[[#This Row],[ (T/B) SAR]]-Table5[[#This Row],[(T/B) AJD]]</f>
        <v>0</v>
      </c>
      <c r="S61" s="3">
        <f>Table5[[#This Row],[S/S_CON.]]+Table5[[#This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Table5[[#This Row],[(RESV. STORGE) AJD]]/10</f>
        <v>0</v>
      </c>
      <c r="AB61" s="3">
        <f t="shared" si="3"/>
        <v>0</v>
      </c>
      <c r="AC61" s="5"/>
      <c r="AD61" s="39">
        <f>(Table5[[#This Row],[( S/S+T/B) AJD]]*1000)-((Table5[[#This Row],[(STORGE DIFF.) AJD]]*1000)+Table5[[#This Row],[AJD_Evaporation]]+(Table5[[#This Row],[(A/B + A/S) AJD]]*1000))</f>
        <v>0</v>
      </c>
      <c r="AE61" s="41"/>
      <c r="AF61" s="43"/>
      <c r="AG61" s="43"/>
      <c r="AH61" s="6">
        <f>Table5[[#This Row],[ (RESV. STORGE) BER]]/10</f>
        <v>0</v>
      </c>
      <c r="AI61" s="41"/>
      <c r="AJ61" s="41">
        <f>Table5[[#This Row],[(A/B) AJD]]-Table5[[#This Row],[BER_IN]]</f>
        <v>0</v>
      </c>
      <c r="AK61" s="43"/>
      <c r="AL61" s="43"/>
      <c r="AM61" s="32"/>
      <c r="AN61" s="32">
        <f>Table5[[#This Row],[ (RESV. STORGE) SER]]/10</f>
        <v>0</v>
      </c>
      <c r="AO61" s="68"/>
      <c r="AP61" s="104">
        <f>Table5[[#This Row],[(A/S) AJD]]-Table5[[#This Row],[SER_IN]]</f>
        <v>0</v>
      </c>
    </row>
    <row r="62" spans="1:42" ht="18.75" x14ac:dyDescent="0.25">
      <c r="A62" s="10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Table5[[#This Row],[ (T/B) SAR]]+Table5[[#This Row],[ (S/S) SAR]]</f>
        <v>0</v>
      </c>
      <c r="L62" s="45"/>
      <c r="M62" s="46"/>
      <c r="N62" s="46"/>
      <c r="O62" s="40"/>
      <c r="P62" s="3">
        <f>Table5[[#This Row],[ (S/S) SAR]]-Table5[[#This Row],[(S/S) AJD]]</f>
        <v>0</v>
      </c>
      <c r="Q62" s="40"/>
      <c r="R62" s="3">
        <f>Table5[[#This Row],[ (T/B) SAR]]-Table5[[#This Row],[(T/B) AJD]]</f>
        <v>0</v>
      </c>
      <c r="S62" s="3">
        <f>Table5[[#This Row],[S/S_CON.]]+Table5[[#This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Table5[[#This Row],[(RESV. STORGE) AJD]]/10</f>
        <v>0</v>
      </c>
      <c r="AB62" s="3">
        <f t="shared" si="3"/>
        <v>0</v>
      </c>
      <c r="AC62" s="5"/>
      <c r="AD62" s="40">
        <f>(Table5[[#This Row],[( S/S+T/B) AJD]]*1000)-((Table5[[#This Row],[(STORGE DIFF.) AJD]]*1000)+Table5[[#This Row],[AJD_Evaporation]]+(Table5[[#This Row],[(A/B + A/S) AJD]]*1000))</f>
        <v>0</v>
      </c>
      <c r="AE62" s="44"/>
      <c r="AF62" s="45"/>
      <c r="AG62" s="45"/>
      <c r="AH62" s="6">
        <f>Table5[[#This Row],[ (RESV. STORGE) BER]]/10</f>
        <v>0</v>
      </c>
      <c r="AI62" s="44"/>
      <c r="AJ62" s="44">
        <f>Table5[[#This Row],[(A/B) AJD]]-Table5[[#This Row],[BER_IN]]</f>
        <v>0</v>
      </c>
      <c r="AK62" s="45"/>
      <c r="AL62" s="45"/>
      <c r="AM62" s="32"/>
      <c r="AN62" s="32">
        <f>Table5[[#This Row],[ (RESV. STORGE) SER]]/10</f>
        <v>0</v>
      </c>
      <c r="AO62" s="68"/>
      <c r="AP62" s="104">
        <f>Table5[[#This Row],[(A/S) AJD]]-Table5[[#This Row],[SER_IN]]</f>
        <v>0</v>
      </c>
    </row>
    <row r="63" spans="1:42" ht="18.75" x14ac:dyDescent="0.25">
      <c r="A63" s="10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Table5[[#This Row],[ (T/B) SAR]]+Table5[[#This Row],[ (S/S) SAR]]</f>
        <v>0</v>
      </c>
      <c r="L63" s="41"/>
      <c r="M63" s="42"/>
      <c r="N63" s="42"/>
      <c r="O63" s="39"/>
      <c r="P63" s="3">
        <f>Table5[[#This Row],[ (S/S) SAR]]-Table5[[#This Row],[(S/S) AJD]]</f>
        <v>0</v>
      </c>
      <c r="Q63" s="39"/>
      <c r="R63" s="3">
        <f>Table5[[#This Row],[ (T/B) SAR]]-Table5[[#This Row],[(T/B) AJD]]</f>
        <v>0</v>
      </c>
      <c r="S63" s="3">
        <f>Table5[[#This Row],[S/S_CON.]]+Table5[[#This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Table5[[#This Row],[(RESV. STORGE) AJD]]/10</f>
        <v>0</v>
      </c>
      <c r="AB63" s="3">
        <f t="shared" si="3"/>
        <v>0</v>
      </c>
      <c r="AC63" s="5"/>
      <c r="AD63" s="39">
        <f>(Table5[[#This Row],[( S/S+T/B) AJD]]*1000)-((Table5[[#This Row],[(STORGE DIFF.) AJD]]*1000)+Table5[[#This Row],[AJD_Evaporation]]+(Table5[[#This Row],[(A/B + A/S) AJD]]*1000))</f>
        <v>0</v>
      </c>
      <c r="AE63" s="41"/>
      <c r="AF63" s="43"/>
      <c r="AG63" s="43"/>
      <c r="AH63" s="6">
        <f>Table5[[#This Row],[ (RESV. STORGE) BER]]/10</f>
        <v>0</v>
      </c>
      <c r="AI63" s="41"/>
      <c r="AJ63" s="41">
        <f>Table5[[#This Row],[(A/B) AJD]]-Table5[[#This Row],[BER_IN]]</f>
        <v>0</v>
      </c>
      <c r="AK63" s="43"/>
      <c r="AL63" s="43"/>
      <c r="AM63" s="32"/>
      <c r="AN63" s="32">
        <f>Table5[[#This Row],[ (RESV. STORGE) SER]]/10</f>
        <v>0</v>
      </c>
      <c r="AO63" s="68"/>
      <c r="AP63" s="104">
        <f>Table5[[#This Row],[(A/S) AJD]]-Table5[[#This Row],[SER_IN]]</f>
        <v>0</v>
      </c>
    </row>
    <row r="64" spans="1:42" ht="18.75" x14ac:dyDescent="0.25">
      <c r="A64" s="10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Table5[[#This Row],[ (T/B) SAR]]+Table5[[#This Row],[ (S/S) SAR]]</f>
        <v>0</v>
      </c>
      <c r="L64" s="45"/>
      <c r="M64" s="46"/>
      <c r="N64" s="46"/>
      <c r="O64" s="40"/>
      <c r="P64" s="3">
        <f>Table5[[#This Row],[ (S/S) SAR]]-Table5[[#This Row],[(S/S) AJD]]</f>
        <v>0</v>
      </c>
      <c r="Q64" s="40"/>
      <c r="R64" s="3">
        <f>Table5[[#This Row],[ (T/B) SAR]]-Table5[[#This Row],[(T/B) AJD]]</f>
        <v>0</v>
      </c>
      <c r="S64" s="3">
        <f>Table5[[#This Row],[S/S_CON.]]+Table5[[#This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Table5[[#This Row],[(RESV. STORGE) AJD]]/10</f>
        <v>0</v>
      </c>
      <c r="AB64" s="3">
        <f t="shared" si="3"/>
        <v>0</v>
      </c>
      <c r="AC64" s="5"/>
      <c r="AD64" s="40">
        <f>(Table5[[#This Row],[( S/S+T/B) AJD]]*1000)-((Table5[[#This Row],[(STORGE DIFF.) AJD]]*1000)+Table5[[#This Row],[AJD_Evaporation]]+(Table5[[#This Row],[(A/B + A/S) AJD]]*1000))</f>
        <v>0</v>
      </c>
      <c r="AE64" s="44"/>
      <c r="AF64" s="45"/>
      <c r="AG64" s="45"/>
      <c r="AH64" s="6">
        <f>Table5[[#This Row],[ (RESV. STORGE) BER]]/10</f>
        <v>0</v>
      </c>
      <c r="AI64" s="44"/>
      <c r="AJ64" s="44">
        <f>Table5[[#This Row],[(A/B) AJD]]-Table5[[#This Row],[BER_IN]]</f>
        <v>0</v>
      </c>
      <c r="AK64" s="45"/>
      <c r="AL64" s="45"/>
      <c r="AM64" s="32"/>
      <c r="AN64" s="32">
        <f>Table5[[#This Row],[ (RESV. STORGE) SER]]/10</f>
        <v>0</v>
      </c>
      <c r="AO64" s="68"/>
      <c r="AP64" s="104">
        <f>Table5[[#This Row],[(A/S) AJD]]-Table5[[#This Row],[SER_IN]]</f>
        <v>0</v>
      </c>
    </row>
    <row r="65" spans="1:42" ht="18.75" x14ac:dyDescent="0.25">
      <c r="A65" s="10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Table5[[#This Row],[ (T/B) SAR]]+Table5[[#This Row],[ (S/S) SAR]]</f>
        <v>0</v>
      </c>
      <c r="L65" s="41"/>
      <c r="M65" s="42"/>
      <c r="N65" s="42"/>
      <c r="O65" s="39"/>
      <c r="P65" s="3">
        <f>Table5[[#This Row],[ (S/S) SAR]]-Table5[[#This Row],[(S/S) AJD]]</f>
        <v>0</v>
      </c>
      <c r="Q65" s="39"/>
      <c r="R65" s="3">
        <f>Table5[[#This Row],[ (T/B) SAR]]-Table5[[#This Row],[(T/B) AJD]]</f>
        <v>0</v>
      </c>
      <c r="S65" s="3">
        <f>Table5[[#This Row],[S/S_CON.]]+Table5[[#This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Table5[[#This Row],[(RESV. STORGE) AJD]]/10</f>
        <v>0</v>
      </c>
      <c r="AB65" s="3">
        <f t="shared" si="3"/>
        <v>0</v>
      </c>
      <c r="AC65" s="5"/>
      <c r="AD65" s="39">
        <f>(Table5[[#This Row],[( S/S+T/B) AJD]]*1000)-((Table5[[#This Row],[(STORGE DIFF.) AJD]]*1000)+Table5[[#This Row],[AJD_Evaporation]]+(Table5[[#This Row],[(A/B + A/S) AJD]]*1000))</f>
        <v>0</v>
      </c>
      <c r="AE65" s="41"/>
      <c r="AF65" s="43"/>
      <c r="AG65" s="43"/>
      <c r="AH65" s="6">
        <f>Table5[[#This Row],[ (RESV. STORGE) BER]]/10</f>
        <v>0</v>
      </c>
      <c r="AI65" s="41"/>
      <c r="AJ65" s="41">
        <f>Table5[[#This Row],[(A/B) AJD]]-Table5[[#This Row],[BER_IN]]</f>
        <v>0</v>
      </c>
      <c r="AK65" s="43"/>
      <c r="AL65" s="43"/>
      <c r="AM65" s="32"/>
      <c r="AN65" s="32">
        <f>Table5[[#This Row],[ (RESV. STORGE) SER]]/10</f>
        <v>0</v>
      </c>
      <c r="AO65" s="68"/>
      <c r="AP65" s="104">
        <f>Table5[[#This Row],[(A/S) AJD]]-Table5[[#This Row],[SER_IN]]</f>
        <v>0</v>
      </c>
    </row>
    <row r="66" spans="1:42" ht="18.75" x14ac:dyDescent="0.25">
      <c r="A66" s="10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Table5[[#This Row],[ (T/B) SAR]]+Table5[[#This Row],[ (S/S) SAR]]</f>
        <v>0</v>
      </c>
      <c r="L66" s="45"/>
      <c r="M66" s="46"/>
      <c r="N66" s="46"/>
      <c r="O66" s="40"/>
      <c r="P66" s="3">
        <f>Table5[[#This Row],[ (S/S) SAR]]-Table5[[#This Row],[(S/S) AJD]]</f>
        <v>0</v>
      </c>
      <c r="Q66" s="40"/>
      <c r="R66" s="3">
        <f>Table5[[#This Row],[ (T/B) SAR]]-Table5[[#This Row],[(T/B) AJD]]</f>
        <v>0</v>
      </c>
      <c r="S66" s="3">
        <f>Table5[[#This Row],[S/S_CON.]]+Table5[[#This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Table5[[#This Row],[(RESV. STORGE) AJD]]/10</f>
        <v>0</v>
      </c>
      <c r="AB66" s="3">
        <f t="shared" si="3"/>
        <v>0</v>
      </c>
      <c r="AC66" s="5"/>
      <c r="AD66" s="40">
        <f>(Table5[[#This Row],[( S/S+T/B) AJD]]*1000)-((Table5[[#This Row],[(STORGE DIFF.) AJD]]*1000)+Table5[[#This Row],[AJD_Evaporation]]+(Table5[[#This Row],[(A/B + A/S) AJD]]*1000))</f>
        <v>0</v>
      </c>
      <c r="AE66" s="44"/>
      <c r="AF66" s="45"/>
      <c r="AG66" s="45"/>
      <c r="AH66" s="6">
        <f>Table5[[#This Row],[ (RESV. STORGE) BER]]/10</f>
        <v>0</v>
      </c>
      <c r="AI66" s="44"/>
      <c r="AJ66" s="44">
        <f>Table5[[#This Row],[(A/B) AJD]]-Table5[[#This Row],[BER_IN]]</f>
        <v>0</v>
      </c>
      <c r="AK66" s="45"/>
      <c r="AL66" s="45"/>
      <c r="AM66" s="32"/>
      <c r="AN66" s="32">
        <f>Table5[[#This Row],[ (RESV. STORGE) SER]]/10</f>
        <v>0</v>
      </c>
      <c r="AO66" s="68"/>
      <c r="AP66" s="104">
        <f>Table5[[#This Row],[(A/S) AJD]]-Table5[[#This Row],[SER_IN]]</f>
        <v>0</v>
      </c>
    </row>
    <row r="67" spans="1:42" ht="18.75" x14ac:dyDescent="0.25">
      <c r="A67" s="10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Table5[[#This Row],[ (T/B) SAR]]+Table5[[#This Row],[ (S/S) SAR]]</f>
        <v>0</v>
      </c>
      <c r="L67" s="41"/>
      <c r="M67" s="42"/>
      <c r="N67" s="42"/>
      <c r="O67" s="39"/>
      <c r="P67" s="3">
        <f>Table5[[#This Row],[ (S/S) SAR]]-Table5[[#This Row],[(S/S) AJD]]</f>
        <v>0</v>
      </c>
      <c r="Q67" s="39"/>
      <c r="R67" s="3">
        <f>Table5[[#This Row],[ (T/B) SAR]]-Table5[[#This Row],[(T/B) AJD]]</f>
        <v>0</v>
      </c>
      <c r="S67" s="3">
        <f>Table5[[#This Row],[S/S_CON.]]+Table5[[#This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Table5[[#This Row],[(RESV. STORGE) AJD]]/10</f>
        <v>0</v>
      </c>
      <c r="AB67" s="3">
        <f t="shared" si="3"/>
        <v>0</v>
      </c>
      <c r="AC67" s="5"/>
      <c r="AD67" s="39">
        <f>(Table5[[#This Row],[( S/S+T/B) AJD]]*1000)-((Table5[[#This Row],[(STORGE DIFF.) AJD]]*1000)+Table5[[#This Row],[AJD_Evaporation]]+(Table5[[#This Row],[(A/B + A/S) AJD]]*1000))</f>
        <v>0</v>
      </c>
      <c r="AE67" s="41"/>
      <c r="AF67" s="43"/>
      <c r="AG67" s="43"/>
      <c r="AH67" s="6">
        <f>Table5[[#This Row],[ (RESV. STORGE) BER]]/10</f>
        <v>0</v>
      </c>
      <c r="AI67" s="41"/>
      <c r="AJ67" s="41">
        <f>Table5[[#This Row],[(A/B) AJD]]-Table5[[#This Row],[BER_IN]]</f>
        <v>0</v>
      </c>
      <c r="AK67" s="43"/>
      <c r="AL67" s="43"/>
      <c r="AM67" s="32"/>
      <c r="AN67" s="32">
        <f>Table5[[#This Row],[ (RESV. STORGE) SER]]/10</f>
        <v>0</v>
      </c>
      <c r="AO67" s="68"/>
      <c r="AP67" s="104">
        <f>Table5[[#This Row],[(A/S) AJD]]-Table5[[#This Row],[SER_IN]]</f>
        <v>0</v>
      </c>
    </row>
    <row r="68" spans="1:42" ht="18.75" x14ac:dyDescent="0.25">
      <c r="A68" s="10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Table5[[#This Row],[ (T/B) SAR]]+Table5[[#This Row],[ (S/S) SAR]]</f>
        <v>0</v>
      </c>
      <c r="L68" s="45"/>
      <c r="M68" s="46"/>
      <c r="N68" s="46"/>
      <c r="O68" s="40"/>
      <c r="P68" s="3">
        <f>Table5[[#This Row],[ (S/S) SAR]]-Table5[[#This Row],[(S/S) AJD]]</f>
        <v>0</v>
      </c>
      <c r="Q68" s="40"/>
      <c r="R68" s="3">
        <f>Table5[[#This Row],[ (T/B) SAR]]-Table5[[#This Row],[(T/B) AJD]]</f>
        <v>0</v>
      </c>
      <c r="S68" s="3">
        <f>Table5[[#This Row],[S/S_CON.]]+Table5[[#This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Table5[[#This Row],[(RESV. STORGE) AJD]]/10</f>
        <v>0</v>
      </c>
      <c r="AB68" s="3">
        <f t="shared" ref="AB68:AB131" si="7">IF(TRIM(Z68)="",,(Z68-Z67)/1000)</f>
        <v>0</v>
      </c>
      <c r="AC68" s="5"/>
      <c r="AD68" s="40">
        <f>(Table5[[#This Row],[( S/S+T/B) AJD]]*1000)-((Table5[[#This Row],[(STORGE DIFF.) AJD]]*1000)+Table5[[#This Row],[AJD_Evaporation]]+(Table5[[#This Row],[(A/B + A/S) AJD]]*1000))</f>
        <v>0</v>
      </c>
      <c r="AE68" s="44"/>
      <c r="AF68" s="45"/>
      <c r="AG68" s="45"/>
      <c r="AH68" s="6">
        <f>Table5[[#This Row],[ (RESV. STORGE) BER]]/10</f>
        <v>0</v>
      </c>
      <c r="AI68" s="44"/>
      <c r="AJ68" s="44">
        <f>Table5[[#This Row],[(A/B) AJD]]-Table5[[#This Row],[BER_IN]]</f>
        <v>0</v>
      </c>
      <c r="AK68" s="45"/>
      <c r="AL68" s="45"/>
      <c r="AM68" s="32"/>
      <c r="AN68" s="32">
        <f>Table5[[#This Row],[ (RESV. STORGE) SER]]/10</f>
        <v>0</v>
      </c>
      <c r="AO68" s="68"/>
      <c r="AP68" s="104">
        <f>Table5[[#This Row],[(A/S) AJD]]-Table5[[#This Row],[SER_IN]]</f>
        <v>0</v>
      </c>
    </row>
    <row r="69" spans="1:42" ht="18.75" x14ac:dyDescent="0.25">
      <c r="A69" s="10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Table5[[#This Row],[ (T/B) SAR]]+Table5[[#This Row],[ (S/S) SAR]]</f>
        <v>0</v>
      </c>
      <c r="L69" s="41"/>
      <c r="M69" s="42"/>
      <c r="N69" s="42"/>
      <c r="O69" s="39"/>
      <c r="P69" s="3">
        <f>Table5[[#This Row],[ (S/S) SAR]]-Table5[[#This Row],[(S/S) AJD]]</f>
        <v>0</v>
      </c>
      <c r="Q69" s="39"/>
      <c r="R69" s="3">
        <f>Table5[[#This Row],[ (T/B) SAR]]-Table5[[#This Row],[(T/B) AJD]]</f>
        <v>0</v>
      </c>
      <c r="S69" s="3">
        <f>Table5[[#This Row],[S/S_CON.]]+Table5[[#This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Table5[[#This Row],[(RESV. STORGE) AJD]]/10</f>
        <v>0</v>
      </c>
      <c r="AB69" s="3">
        <f t="shared" si="7"/>
        <v>0</v>
      </c>
      <c r="AC69" s="5"/>
      <c r="AD69" s="39">
        <f>(Table5[[#This Row],[( S/S+T/B) AJD]]*1000)-((Table5[[#This Row],[(STORGE DIFF.) AJD]]*1000)+Table5[[#This Row],[AJD_Evaporation]]+(Table5[[#This Row],[(A/B + A/S) AJD]]*1000))</f>
        <v>0</v>
      </c>
      <c r="AE69" s="41"/>
      <c r="AF69" s="43"/>
      <c r="AG69" s="43"/>
      <c r="AH69" s="6">
        <f>Table5[[#This Row],[ (RESV. STORGE) BER]]/10</f>
        <v>0</v>
      </c>
      <c r="AI69" s="41"/>
      <c r="AJ69" s="41">
        <f>Table5[[#This Row],[(A/B) AJD]]-Table5[[#This Row],[BER_IN]]</f>
        <v>0</v>
      </c>
      <c r="AK69" s="43"/>
      <c r="AL69" s="43"/>
      <c r="AM69" s="32"/>
      <c r="AN69" s="32">
        <f>Table5[[#This Row],[ (RESV. STORGE) SER]]/10</f>
        <v>0</v>
      </c>
      <c r="AO69" s="68"/>
      <c r="AP69" s="104">
        <f>Table5[[#This Row],[(A/S) AJD]]-Table5[[#This Row],[SER_IN]]</f>
        <v>0</v>
      </c>
    </row>
    <row r="70" spans="1:42" ht="18.75" x14ac:dyDescent="0.25">
      <c r="A70" s="10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Table5[[#This Row],[ (T/B) SAR]]+Table5[[#This Row],[ (S/S) SAR]]</f>
        <v>0</v>
      </c>
      <c r="L70" s="45"/>
      <c r="M70" s="46"/>
      <c r="N70" s="46"/>
      <c r="O70" s="40"/>
      <c r="P70" s="3">
        <f>Table5[[#This Row],[ (S/S) SAR]]-Table5[[#This Row],[(S/S) AJD]]</f>
        <v>0</v>
      </c>
      <c r="Q70" s="40"/>
      <c r="R70" s="3">
        <f>Table5[[#This Row],[ (T/B) SAR]]-Table5[[#This Row],[(T/B) AJD]]</f>
        <v>0</v>
      </c>
      <c r="S70" s="3">
        <f>Table5[[#This Row],[S/S_CON.]]+Table5[[#This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Table5[[#This Row],[(RESV. STORGE) AJD]]/10</f>
        <v>0</v>
      </c>
      <c r="AB70" s="3">
        <f t="shared" si="7"/>
        <v>0</v>
      </c>
      <c r="AC70" s="5"/>
      <c r="AD70" s="40">
        <f>(Table5[[#This Row],[( S/S+T/B) AJD]]*1000)-((Table5[[#This Row],[(STORGE DIFF.) AJD]]*1000)+Table5[[#This Row],[AJD_Evaporation]]+(Table5[[#This Row],[(A/B + A/S) AJD]]*1000))</f>
        <v>0</v>
      </c>
      <c r="AE70" s="44"/>
      <c r="AF70" s="45"/>
      <c r="AG70" s="45"/>
      <c r="AH70" s="6">
        <f>Table5[[#This Row],[ (RESV. STORGE) BER]]/10</f>
        <v>0</v>
      </c>
      <c r="AI70" s="44"/>
      <c r="AJ70" s="44">
        <f>Table5[[#This Row],[(A/B) AJD]]-Table5[[#This Row],[BER_IN]]</f>
        <v>0</v>
      </c>
      <c r="AK70" s="45"/>
      <c r="AL70" s="45"/>
      <c r="AM70" s="32"/>
      <c r="AN70" s="32">
        <f>Table5[[#This Row],[ (RESV. STORGE) SER]]/10</f>
        <v>0</v>
      </c>
      <c r="AO70" s="68"/>
      <c r="AP70" s="104">
        <f>Table5[[#This Row],[(A/S) AJD]]-Table5[[#This Row],[SER_IN]]</f>
        <v>0</v>
      </c>
    </row>
    <row r="71" spans="1:42" ht="18.75" x14ac:dyDescent="0.25">
      <c r="A71" s="10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Table5[[#This Row],[ (T/B) SAR]]+Table5[[#This Row],[ (S/S) SAR]]</f>
        <v>0</v>
      </c>
      <c r="L71" s="41"/>
      <c r="M71" s="42"/>
      <c r="N71" s="42"/>
      <c r="O71" s="39"/>
      <c r="P71" s="3">
        <f>Table5[[#This Row],[ (S/S) SAR]]-Table5[[#This Row],[(S/S) AJD]]</f>
        <v>0</v>
      </c>
      <c r="Q71" s="39"/>
      <c r="R71" s="3">
        <f>Table5[[#This Row],[ (T/B) SAR]]-Table5[[#This Row],[(T/B) AJD]]</f>
        <v>0</v>
      </c>
      <c r="S71" s="3">
        <f>Table5[[#This Row],[S/S_CON.]]+Table5[[#This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Table5[[#This Row],[(RESV. STORGE) AJD]]/10</f>
        <v>0</v>
      </c>
      <c r="AB71" s="3">
        <f t="shared" si="7"/>
        <v>0</v>
      </c>
      <c r="AC71" s="5"/>
      <c r="AD71" s="39">
        <f>(Table5[[#This Row],[( S/S+T/B) AJD]]*1000)-((Table5[[#This Row],[(STORGE DIFF.) AJD]]*1000)+Table5[[#This Row],[AJD_Evaporation]]+(Table5[[#This Row],[(A/B + A/S) AJD]]*1000))</f>
        <v>0</v>
      </c>
      <c r="AE71" s="41"/>
      <c r="AF71" s="43"/>
      <c r="AG71" s="68"/>
      <c r="AH71" s="6">
        <f>Table5[[#This Row],[ (RESV. STORGE) BER]]/10</f>
        <v>0</v>
      </c>
      <c r="AI71" s="41"/>
      <c r="AJ71" s="69">
        <f>Table5[[#This Row],[(A/B) AJD]]-Table5[[#This Row],[BER_IN]]</f>
        <v>0</v>
      </c>
      <c r="AK71" s="43"/>
      <c r="AL71" s="43"/>
      <c r="AM71" s="32"/>
      <c r="AN71" s="32">
        <f>Table5[[#This Row],[ (RESV. STORGE) SER]]/10</f>
        <v>0</v>
      </c>
      <c r="AO71" s="68"/>
      <c r="AP71" s="104">
        <f>Table5[[#This Row],[(A/S) AJD]]-Table5[[#This Row],[SER_IN]]</f>
        <v>0</v>
      </c>
    </row>
    <row r="72" spans="1:42" ht="18.75" x14ac:dyDescent="0.25">
      <c r="A72" s="10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Table5[[#This Row],[ (T/B) SAR]]+Table5[[#This Row],[ (S/S) SAR]]</f>
        <v>0</v>
      </c>
      <c r="L72" s="45"/>
      <c r="M72" s="46"/>
      <c r="N72" s="46"/>
      <c r="O72" s="40"/>
      <c r="P72" s="3">
        <f>Table5[[#This Row],[ (S/S) SAR]]-Table5[[#This Row],[(S/S) AJD]]</f>
        <v>0</v>
      </c>
      <c r="Q72" s="40"/>
      <c r="R72" s="3">
        <f>Table5[[#This Row],[ (T/B) SAR]]-Table5[[#This Row],[(T/B) AJD]]</f>
        <v>0</v>
      </c>
      <c r="S72" s="3">
        <f>Table5[[#This Row],[S/S_CON.]]+Table5[[#This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Table5[[#This Row],[(RESV. STORGE) AJD]]/10</f>
        <v>0</v>
      </c>
      <c r="AB72" s="3">
        <f t="shared" si="7"/>
        <v>0</v>
      </c>
      <c r="AC72" s="5"/>
      <c r="AD72" s="40">
        <f>(Table5[[#This Row],[( S/S+T/B) AJD]]*1000)-((Table5[[#This Row],[(STORGE DIFF.) AJD]]*1000)+Table5[[#This Row],[AJD_Evaporation]]+(Table5[[#This Row],[(A/B + A/S) AJD]]*1000))</f>
        <v>0</v>
      </c>
      <c r="AE72" s="44"/>
      <c r="AF72" s="45"/>
      <c r="AG72" s="45"/>
      <c r="AH72" s="6">
        <f>Table5[[#This Row],[ (RESV. STORGE) BER]]/10</f>
        <v>0</v>
      </c>
      <c r="AI72" s="44"/>
      <c r="AJ72" s="44">
        <f>Table5[[#This Row],[(A/B) AJD]]-Table5[[#This Row],[BER_IN]]</f>
        <v>0</v>
      </c>
      <c r="AK72" s="45"/>
      <c r="AL72" s="45"/>
      <c r="AM72" s="32"/>
      <c r="AN72" s="32">
        <f>Table5[[#This Row],[ (RESV. STORGE) SER]]/10</f>
        <v>0</v>
      </c>
      <c r="AO72" s="68"/>
      <c r="AP72" s="104">
        <f>Table5[[#This Row],[(A/S) AJD]]-Table5[[#This Row],[SER_IN]]</f>
        <v>0</v>
      </c>
    </row>
    <row r="73" spans="1:42" ht="18.75" x14ac:dyDescent="0.25">
      <c r="A73" s="10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Table5[[#This Row],[ (T/B) SAR]]+Table5[[#This Row],[ (S/S) SAR]]</f>
        <v>0</v>
      </c>
      <c r="L73" s="41"/>
      <c r="M73" s="42"/>
      <c r="N73" s="42"/>
      <c r="O73" s="39"/>
      <c r="P73" s="3">
        <f>Table5[[#This Row],[ (S/S) SAR]]-Table5[[#This Row],[(S/S) AJD]]</f>
        <v>0</v>
      </c>
      <c r="Q73" s="39"/>
      <c r="R73" s="3">
        <f>Table5[[#This Row],[ (T/B) SAR]]-Table5[[#This Row],[(T/B) AJD]]</f>
        <v>0</v>
      </c>
      <c r="S73" s="3">
        <f>Table5[[#This Row],[S/S_CON.]]+Table5[[#This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Table5[[#This Row],[(RESV. STORGE) AJD]]/10</f>
        <v>0</v>
      </c>
      <c r="AB73" s="3">
        <f t="shared" si="7"/>
        <v>0</v>
      </c>
      <c r="AC73" s="5"/>
      <c r="AD73" s="39">
        <f>(Table5[[#This Row],[( S/S+T/B) AJD]]*1000)-((Table5[[#This Row],[(STORGE DIFF.) AJD]]*1000)+Table5[[#This Row],[AJD_Evaporation]]+(Table5[[#This Row],[(A/B + A/S) AJD]]*1000))</f>
        <v>0</v>
      </c>
      <c r="AE73" s="41"/>
      <c r="AF73" s="43"/>
      <c r="AG73" s="43"/>
      <c r="AH73" s="6">
        <f>Table5[[#This Row],[ (RESV. STORGE) BER]]/10</f>
        <v>0</v>
      </c>
      <c r="AI73" s="41"/>
      <c r="AJ73" s="41">
        <f>Table5[[#This Row],[(A/B) AJD]]-Table5[[#This Row],[BER_IN]]</f>
        <v>0</v>
      </c>
      <c r="AK73" s="43"/>
      <c r="AL73" s="43"/>
      <c r="AM73" s="32"/>
      <c r="AN73" s="32">
        <f>Table5[[#This Row],[ (RESV. STORGE) SER]]/10</f>
        <v>0</v>
      </c>
      <c r="AO73" s="68"/>
      <c r="AP73" s="104">
        <f>Table5[[#This Row],[(A/S) AJD]]-Table5[[#This Row],[SER_IN]]</f>
        <v>0</v>
      </c>
    </row>
    <row r="74" spans="1:42" ht="18.75" x14ac:dyDescent="0.25">
      <c r="A74" s="10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Table5[[#This Row],[ (T/B) SAR]]+Table5[[#This Row],[ (S/S) SAR]]</f>
        <v>0</v>
      </c>
      <c r="L74" s="45"/>
      <c r="M74" s="46"/>
      <c r="N74" s="46"/>
      <c r="O74" s="40"/>
      <c r="P74" s="3">
        <f>Table5[[#This Row],[ (S/S) SAR]]-Table5[[#This Row],[(S/S) AJD]]</f>
        <v>0</v>
      </c>
      <c r="Q74" s="40"/>
      <c r="R74" s="3">
        <f>Table5[[#This Row],[ (T/B) SAR]]-Table5[[#This Row],[(T/B) AJD]]</f>
        <v>0</v>
      </c>
      <c r="S74" s="3">
        <f>Table5[[#This Row],[S/S_CON.]]+Table5[[#This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Table5[[#This Row],[(RESV. STORGE) AJD]]/10</f>
        <v>0</v>
      </c>
      <c r="AB74" s="3">
        <f t="shared" si="7"/>
        <v>0</v>
      </c>
      <c r="AC74" s="5"/>
      <c r="AD74" s="40">
        <f>(Table5[[#This Row],[( S/S+T/B) AJD]]*1000)-((Table5[[#This Row],[(STORGE DIFF.) AJD]]*1000)+Table5[[#This Row],[AJD_Evaporation]]+(Table5[[#This Row],[(A/B + A/S) AJD]]*1000))</f>
        <v>0</v>
      </c>
      <c r="AE74" s="44"/>
      <c r="AF74" s="45"/>
      <c r="AG74" s="45"/>
      <c r="AH74" s="6">
        <f>Table5[[#This Row],[ (RESV. STORGE) BER]]/10</f>
        <v>0</v>
      </c>
      <c r="AI74" s="44"/>
      <c r="AJ74" s="44">
        <f>Table5[[#This Row],[(A/B) AJD]]-Table5[[#This Row],[BER_IN]]</f>
        <v>0</v>
      </c>
      <c r="AK74" s="45"/>
      <c r="AL74" s="45"/>
      <c r="AM74" s="32"/>
      <c r="AN74" s="32">
        <f>Table5[[#This Row],[ (RESV. STORGE) SER]]/10</f>
        <v>0</v>
      </c>
      <c r="AO74" s="68"/>
      <c r="AP74" s="104">
        <f>Table5[[#This Row],[(A/S) AJD]]-Table5[[#This Row],[SER_IN]]</f>
        <v>0</v>
      </c>
    </row>
    <row r="75" spans="1:42" ht="18.75" x14ac:dyDescent="0.25">
      <c r="A75" s="10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Table5[[#This Row],[ (T/B) SAR]]+Table5[[#This Row],[ (S/S) SAR]]</f>
        <v>0</v>
      </c>
      <c r="L75" s="41"/>
      <c r="M75" s="42"/>
      <c r="N75" s="42"/>
      <c r="O75" s="39"/>
      <c r="P75" s="3">
        <f>Table5[[#This Row],[ (S/S) SAR]]-Table5[[#This Row],[(S/S) AJD]]</f>
        <v>0</v>
      </c>
      <c r="Q75" s="39"/>
      <c r="R75" s="3">
        <f>Table5[[#This Row],[ (T/B) SAR]]-Table5[[#This Row],[(T/B) AJD]]</f>
        <v>0</v>
      </c>
      <c r="S75" s="3">
        <f>Table5[[#This Row],[S/S_CON.]]+Table5[[#This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Table5[[#This Row],[(RESV. STORGE) AJD]]/10</f>
        <v>0</v>
      </c>
      <c r="AB75" s="3">
        <f t="shared" si="7"/>
        <v>0</v>
      </c>
      <c r="AC75" s="5"/>
      <c r="AD75" s="39">
        <f>(Table5[[#This Row],[( S/S+T/B) AJD]]*1000)-((Table5[[#This Row],[(STORGE DIFF.) AJD]]*1000)+Table5[[#This Row],[AJD_Evaporation]]+(Table5[[#This Row],[(A/B + A/S) AJD]]*1000))</f>
        <v>0</v>
      </c>
      <c r="AE75" s="41"/>
      <c r="AF75" s="43"/>
      <c r="AG75" s="43"/>
      <c r="AH75" s="6">
        <f>Table5[[#This Row],[ (RESV. STORGE) BER]]/10</f>
        <v>0</v>
      </c>
      <c r="AI75" s="41"/>
      <c r="AJ75" s="41">
        <f>Table5[[#This Row],[(A/B) AJD]]-Table5[[#This Row],[BER_IN]]</f>
        <v>0</v>
      </c>
      <c r="AK75" s="43"/>
      <c r="AL75" s="43"/>
      <c r="AM75" s="32"/>
      <c r="AN75" s="32">
        <f>Table5[[#This Row],[ (RESV. STORGE) SER]]/10</f>
        <v>0</v>
      </c>
      <c r="AO75" s="68"/>
      <c r="AP75" s="104">
        <f>Table5[[#This Row],[(A/S) AJD]]-Table5[[#This Row],[SER_IN]]</f>
        <v>0</v>
      </c>
    </row>
    <row r="76" spans="1:42" ht="18.75" x14ac:dyDescent="0.25">
      <c r="A76" s="10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Table5[[#This Row],[ (T/B) SAR]]+Table5[[#This Row],[ (S/S) SAR]]</f>
        <v>0</v>
      </c>
      <c r="L76" s="45"/>
      <c r="M76" s="46"/>
      <c r="N76" s="46"/>
      <c r="O76" s="40"/>
      <c r="P76" s="3">
        <f>Table5[[#This Row],[ (S/S) SAR]]-Table5[[#This Row],[(S/S) AJD]]</f>
        <v>0</v>
      </c>
      <c r="Q76" s="40"/>
      <c r="R76" s="3">
        <f>Table5[[#This Row],[ (T/B) SAR]]-Table5[[#This Row],[(T/B) AJD]]</f>
        <v>0</v>
      </c>
      <c r="S76" s="3">
        <f>Table5[[#This Row],[S/S_CON.]]+Table5[[#This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Table5[[#This Row],[(RESV. STORGE) AJD]]/10</f>
        <v>0</v>
      </c>
      <c r="AB76" s="3">
        <f t="shared" si="7"/>
        <v>0</v>
      </c>
      <c r="AC76" s="5"/>
      <c r="AD76" s="40">
        <f>(Table5[[#This Row],[( S/S+T/B) AJD]]*1000)-((Table5[[#This Row],[(STORGE DIFF.) AJD]]*1000)+Table5[[#This Row],[AJD_Evaporation]]+(Table5[[#This Row],[(A/B + A/S) AJD]]*1000))</f>
        <v>0</v>
      </c>
      <c r="AE76" s="44"/>
      <c r="AF76" s="45"/>
      <c r="AG76" s="45"/>
      <c r="AH76" s="6">
        <f>Table5[[#This Row],[ (RESV. STORGE) BER]]/10</f>
        <v>0</v>
      </c>
      <c r="AI76" s="44"/>
      <c r="AJ76" s="44">
        <f>Table5[[#This Row],[(A/B) AJD]]-Table5[[#This Row],[BER_IN]]</f>
        <v>0</v>
      </c>
      <c r="AK76" s="45"/>
      <c r="AL76" s="45"/>
      <c r="AM76" s="32"/>
      <c r="AN76" s="32">
        <f>Table5[[#This Row],[ (RESV. STORGE) SER]]/10</f>
        <v>0</v>
      </c>
      <c r="AO76" s="68"/>
      <c r="AP76" s="104">
        <f>Table5[[#This Row],[(A/S) AJD]]-Table5[[#This Row],[SER_IN]]</f>
        <v>0</v>
      </c>
    </row>
    <row r="77" spans="1:42" ht="18.75" x14ac:dyDescent="0.25">
      <c r="A77" s="10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Table5[[#This Row],[ (T/B) SAR]]+Table5[[#This Row],[ (S/S) SAR]]</f>
        <v>0</v>
      </c>
      <c r="L77" s="41"/>
      <c r="M77" s="42"/>
      <c r="N77" s="42"/>
      <c r="O77" s="39"/>
      <c r="P77" s="3">
        <f>Table5[[#This Row],[ (S/S) SAR]]-Table5[[#This Row],[(S/S) AJD]]</f>
        <v>0</v>
      </c>
      <c r="Q77" s="39"/>
      <c r="R77" s="3">
        <f>Table5[[#This Row],[ (T/B) SAR]]-Table5[[#This Row],[(T/B) AJD]]</f>
        <v>0</v>
      </c>
      <c r="S77" s="3">
        <f>Table5[[#This Row],[S/S_CON.]]+Table5[[#This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Table5[[#This Row],[(RESV. STORGE) AJD]]/10</f>
        <v>0</v>
      </c>
      <c r="AB77" s="3">
        <f t="shared" si="7"/>
        <v>0</v>
      </c>
      <c r="AC77" s="5"/>
      <c r="AD77" s="39">
        <f>(Table5[[#This Row],[( S/S+T/B) AJD]]*1000)-((Table5[[#This Row],[(STORGE DIFF.) AJD]]*1000)+Table5[[#This Row],[AJD_Evaporation]]+(Table5[[#This Row],[(A/B + A/S) AJD]]*1000))</f>
        <v>0</v>
      </c>
      <c r="AE77" s="41"/>
      <c r="AF77" s="43"/>
      <c r="AG77" s="43"/>
      <c r="AH77" s="6">
        <f>Table5[[#This Row],[ (RESV. STORGE) BER]]/10</f>
        <v>0</v>
      </c>
      <c r="AI77" s="41"/>
      <c r="AJ77" s="41">
        <f>Table5[[#This Row],[(A/B) AJD]]-Table5[[#This Row],[BER_IN]]</f>
        <v>0</v>
      </c>
      <c r="AK77" s="43"/>
      <c r="AL77" s="43"/>
      <c r="AM77" s="32"/>
      <c r="AN77" s="32">
        <f>Table5[[#This Row],[ (RESV. STORGE) SER]]/10</f>
        <v>0</v>
      </c>
      <c r="AO77" s="68"/>
      <c r="AP77" s="104">
        <f>Table5[[#This Row],[(A/S) AJD]]-Table5[[#This Row],[SER_IN]]</f>
        <v>0</v>
      </c>
    </row>
    <row r="78" spans="1:42" ht="18.75" x14ac:dyDescent="0.25">
      <c r="A78" s="10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Table5[[#This Row],[ (T/B) SAR]]+Table5[[#This Row],[ (S/S) SAR]]</f>
        <v>0</v>
      </c>
      <c r="L78" s="45"/>
      <c r="M78" s="46"/>
      <c r="N78" s="46"/>
      <c r="O78" s="40"/>
      <c r="P78" s="3">
        <f>Table5[[#This Row],[ (S/S) SAR]]-Table5[[#This Row],[(S/S) AJD]]</f>
        <v>0</v>
      </c>
      <c r="Q78" s="40"/>
      <c r="R78" s="3">
        <f>Table5[[#This Row],[ (T/B) SAR]]-Table5[[#This Row],[(T/B) AJD]]</f>
        <v>0</v>
      </c>
      <c r="S78" s="3">
        <f>Table5[[#This Row],[S/S_CON.]]+Table5[[#This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Table5[[#This Row],[(RESV. STORGE) AJD]]/10</f>
        <v>0</v>
      </c>
      <c r="AB78" s="3">
        <f t="shared" si="7"/>
        <v>0</v>
      </c>
      <c r="AC78" s="5"/>
      <c r="AD78" s="40">
        <f>(Table5[[#This Row],[( S/S+T/B) AJD]]*1000)-((Table5[[#This Row],[(STORGE DIFF.) AJD]]*1000)+Table5[[#This Row],[AJD_Evaporation]]+(Table5[[#This Row],[(A/B + A/S) AJD]]*1000))</f>
        <v>0</v>
      </c>
      <c r="AE78" s="44"/>
      <c r="AF78" s="45"/>
      <c r="AG78" s="45"/>
      <c r="AH78" s="6">
        <f>Table5[[#This Row],[ (RESV. STORGE) BER]]/10</f>
        <v>0</v>
      </c>
      <c r="AI78" s="44"/>
      <c r="AJ78" s="44">
        <f>Table5[[#This Row],[(A/B) AJD]]-Table5[[#This Row],[BER_IN]]</f>
        <v>0</v>
      </c>
      <c r="AK78" s="45"/>
      <c r="AL78" s="45"/>
      <c r="AM78" s="32"/>
      <c r="AN78" s="32">
        <f>Table5[[#This Row],[ (RESV. STORGE) SER]]/10</f>
        <v>0</v>
      </c>
      <c r="AO78" s="68"/>
      <c r="AP78" s="104">
        <f>Table5[[#This Row],[(A/S) AJD]]-Table5[[#This Row],[SER_IN]]</f>
        <v>0</v>
      </c>
    </row>
    <row r="79" spans="1:42" ht="18.75" x14ac:dyDescent="0.25">
      <c r="A79" s="10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Table5[[#This Row],[ (T/B) SAR]]+Table5[[#This Row],[ (S/S) SAR]]</f>
        <v>0</v>
      </c>
      <c r="L79" s="41"/>
      <c r="M79" s="42"/>
      <c r="N79" s="42"/>
      <c r="O79" s="39"/>
      <c r="P79" s="3">
        <f>Table5[[#This Row],[ (S/S) SAR]]-Table5[[#This Row],[(S/S) AJD]]</f>
        <v>0</v>
      </c>
      <c r="Q79" s="39"/>
      <c r="R79" s="3">
        <f>Table5[[#This Row],[ (T/B) SAR]]-Table5[[#This Row],[(T/B) AJD]]</f>
        <v>0</v>
      </c>
      <c r="S79" s="3">
        <f>Table5[[#This Row],[S/S_CON.]]+Table5[[#This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Table5[[#This Row],[(RESV. STORGE) AJD]]/10</f>
        <v>0</v>
      </c>
      <c r="AB79" s="3">
        <f t="shared" si="7"/>
        <v>0</v>
      </c>
      <c r="AC79" s="5"/>
      <c r="AD79" s="39">
        <f>(Table5[[#This Row],[( S/S+T/B) AJD]]*1000)-((Table5[[#This Row],[(STORGE DIFF.) AJD]]*1000)+Table5[[#This Row],[AJD_Evaporation]]+(Table5[[#This Row],[(A/B + A/S) AJD]]*1000))</f>
        <v>0</v>
      </c>
      <c r="AE79" s="41"/>
      <c r="AF79" s="43"/>
      <c r="AG79" s="43"/>
      <c r="AH79" s="6">
        <f>Table5[[#This Row],[ (RESV. STORGE) BER]]/10</f>
        <v>0</v>
      </c>
      <c r="AI79" s="41"/>
      <c r="AJ79" s="41">
        <f>Table5[[#This Row],[(A/B) AJD]]-Table5[[#This Row],[BER_IN]]</f>
        <v>0</v>
      </c>
      <c r="AK79" s="43"/>
      <c r="AL79" s="43"/>
      <c r="AM79" s="32"/>
      <c r="AN79" s="32">
        <f>Table5[[#This Row],[ (RESV. STORGE) SER]]/10</f>
        <v>0</v>
      </c>
      <c r="AO79" s="68"/>
      <c r="AP79" s="104">
        <f>Table5[[#This Row],[(A/S) AJD]]-Table5[[#This Row],[SER_IN]]</f>
        <v>0</v>
      </c>
    </row>
    <row r="80" spans="1:42" ht="18.75" x14ac:dyDescent="0.25">
      <c r="A80" s="10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Table5[[#This Row],[ (T/B) SAR]]+Table5[[#This Row],[ (S/S) SAR]]</f>
        <v>0</v>
      </c>
      <c r="L80" s="45"/>
      <c r="M80" s="46"/>
      <c r="N80" s="46"/>
      <c r="O80" s="40"/>
      <c r="P80" s="3">
        <f>Table5[[#This Row],[ (S/S) SAR]]-Table5[[#This Row],[(S/S) AJD]]</f>
        <v>0</v>
      </c>
      <c r="Q80" s="40"/>
      <c r="R80" s="3">
        <f>Table5[[#This Row],[ (T/B) SAR]]-Table5[[#This Row],[(T/B) AJD]]</f>
        <v>0</v>
      </c>
      <c r="S80" s="3">
        <f>Table5[[#This Row],[S/S_CON.]]+Table5[[#This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Table5[[#This Row],[(RESV. STORGE) AJD]]/10</f>
        <v>0</v>
      </c>
      <c r="AB80" s="3">
        <f t="shared" si="7"/>
        <v>0</v>
      </c>
      <c r="AC80" s="5"/>
      <c r="AD80" s="40">
        <f>(Table5[[#This Row],[( S/S+T/B) AJD]]*1000)-((Table5[[#This Row],[(STORGE DIFF.) AJD]]*1000)+Table5[[#This Row],[AJD_Evaporation]]+(Table5[[#This Row],[(A/B + A/S) AJD]]*1000))</f>
        <v>0</v>
      </c>
      <c r="AE80" s="44"/>
      <c r="AF80" s="45"/>
      <c r="AG80" s="45"/>
      <c r="AH80" s="6">
        <f>Table5[[#This Row],[ (RESV. STORGE) BER]]/10</f>
        <v>0</v>
      </c>
      <c r="AI80" s="44"/>
      <c r="AJ80" s="44">
        <f>Table5[[#This Row],[(A/B) AJD]]-Table5[[#This Row],[BER_IN]]</f>
        <v>0</v>
      </c>
      <c r="AK80" s="45"/>
      <c r="AL80" s="45"/>
      <c r="AM80" s="32"/>
      <c r="AN80" s="32">
        <f>Table5[[#This Row],[ (RESV. STORGE) SER]]/10</f>
        <v>0</v>
      </c>
      <c r="AO80" s="68"/>
      <c r="AP80" s="104">
        <f>Table5[[#This Row],[(A/S) AJD]]-Table5[[#This Row],[SER_IN]]</f>
        <v>0</v>
      </c>
    </row>
    <row r="81" spans="1:42" ht="18.75" x14ac:dyDescent="0.25">
      <c r="A81" s="10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Table5[[#This Row],[ (T/B) SAR]]+Table5[[#This Row],[ (S/S) SAR]]</f>
        <v>0</v>
      </c>
      <c r="L81" s="41"/>
      <c r="M81" s="42"/>
      <c r="N81" s="42"/>
      <c r="O81" s="39"/>
      <c r="P81" s="3">
        <f>Table5[[#This Row],[ (S/S) SAR]]-Table5[[#This Row],[(S/S) AJD]]</f>
        <v>0</v>
      </c>
      <c r="Q81" s="39"/>
      <c r="R81" s="3">
        <f>Table5[[#This Row],[ (T/B) SAR]]-Table5[[#This Row],[(T/B) AJD]]</f>
        <v>0</v>
      </c>
      <c r="S81" s="3">
        <f>Table5[[#This Row],[S/S_CON.]]+Table5[[#This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Table5[[#This Row],[(RESV. STORGE) AJD]]/10</f>
        <v>0</v>
      </c>
      <c r="AB81" s="3">
        <f t="shared" si="7"/>
        <v>0</v>
      </c>
      <c r="AC81" s="5"/>
      <c r="AD81" s="39">
        <f>(Table5[[#This Row],[( S/S+T/B) AJD]]*1000)-((Table5[[#This Row],[(STORGE DIFF.) AJD]]*1000)+Table5[[#This Row],[AJD_Evaporation]]+(Table5[[#This Row],[(A/B + A/S) AJD]]*1000))</f>
        <v>0</v>
      </c>
      <c r="AE81" s="41"/>
      <c r="AF81" s="43"/>
      <c r="AG81" s="43"/>
      <c r="AH81" s="6">
        <f>Table5[[#This Row],[ (RESV. STORGE) BER]]/10</f>
        <v>0</v>
      </c>
      <c r="AI81" s="41"/>
      <c r="AJ81" s="41">
        <f>Table5[[#This Row],[(A/B) AJD]]-Table5[[#This Row],[BER_IN]]</f>
        <v>0</v>
      </c>
      <c r="AK81" s="43"/>
      <c r="AL81" s="43"/>
      <c r="AM81" s="32"/>
      <c r="AN81" s="32">
        <f>Table5[[#This Row],[ (RESV. STORGE) SER]]/10</f>
        <v>0</v>
      </c>
      <c r="AO81" s="68"/>
      <c r="AP81" s="104">
        <f>Table5[[#This Row],[(A/S) AJD]]-Table5[[#This Row],[SER_IN]]</f>
        <v>0</v>
      </c>
    </row>
    <row r="82" spans="1:42" ht="18.75" x14ac:dyDescent="0.25">
      <c r="A82" s="10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Table5[[#This Row],[ (T/B) SAR]]+Table5[[#This Row],[ (S/S) SAR]]</f>
        <v>0</v>
      </c>
      <c r="L82" s="45"/>
      <c r="M82" s="46"/>
      <c r="N82" s="46"/>
      <c r="O82" s="40"/>
      <c r="P82" s="3">
        <f>Table5[[#This Row],[ (S/S) SAR]]-Table5[[#This Row],[(S/S) AJD]]</f>
        <v>0</v>
      </c>
      <c r="Q82" s="40"/>
      <c r="R82" s="3">
        <f>Table5[[#This Row],[ (T/B) SAR]]-Table5[[#This Row],[(T/B) AJD]]</f>
        <v>0</v>
      </c>
      <c r="S82" s="3">
        <f>Table5[[#This Row],[S/S_CON.]]+Table5[[#This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Table5[[#This Row],[(RESV. STORGE) AJD]]/10</f>
        <v>0</v>
      </c>
      <c r="AB82" s="3">
        <f t="shared" si="7"/>
        <v>0</v>
      </c>
      <c r="AC82" s="5"/>
      <c r="AD82" s="40">
        <f>(Table5[[#This Row],[( S/S+T/B) AJD]]*1000)-((Table5[[#This Row],[(STORGE DIFF.) AJD]]*1000)+Table5[[#This Row],[AJD_Evaporation]]+(Table5[[#This Row],[(A/B + A/S) AJD]]*1000))</f>
        <v>0</v>
      </c>
      <c r="AE82" s="44"/>
      <c r="AF82" s="45"/>
      <c r="AG82" s="45"/>
      <c r="AH82" s="6">
        <f>Table5[[#This Row],[ (RESV. STORGE) BER]]/10</f>
        <v>0</v>
      </c>
      <c r="AI82" s="44"/>
      <c r="AJ82" s="44">
        <f>Table5[[#This Row],[(A/B) AJD]]-Table5[[#This Row],[BER_IN]]</f>
        <v>0</v>
      </c>
      <c r="AK82" s="45"/>
      <c r="AL82" s="45"/>
      <c r="AM82" s="32"/>
      <c r="AN82" s="32">
        <f>Table5[[#This Row],[ (RESV. STORGE) SER]]/10</f>
        <v>0</v>
      </c>
      <c r="AO82" s="68"/>
      <c r="AP82" s="104">
        <f>Table5[[#This Row],[(A/S) AJD]]-Table5[[#This Row],[SER_IN]]</f>
        <v>0</v>
      </c>
    </row>
    <row r="83" spans="1:42" ht="18.75" x14ac:dyDescent="0.25">
      <c r="A83" s="10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Table5[[#This Row],[ (T/B) SAR]]+Table5[[#This Row],[ (S/S) SAR]]</f>
        <v>0</v>
      </c>
      <c r="L83" s="41"/>
      <c r="M83" s="42"/>
      <c r="N83" s="42"/>
      <c r="O83" s="39"/>
      <c r="P83" s="3">
        <f>Table5[[#This Row],[ (S/S) SAR]]-Table5[[#This Row],[(S/S) AJD]]</f>
        <v>0</v>
      </c>
      <c r="Q83" s="39"/>
      <c r="R83" s="3">
        <f>Table5[[#This Row],[ (T/B) SAR]]-Table5[[#This Row],[(T/B) AJD]]</f>
        <v>0</v>
      </c>
      <c r="S83" s="3">
        <f>Table5[[#This Row],[S/S_CON.]]+Table5[[#This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Table5[[#This Row],[(RESV. STORGE) AJD]]/10</f>
        <v>0</v>
      </c>
      <c r="AB83" s="3">
        <f t="shared" si="7"/>
        <v>0</v>
      </c>
      <c r="AC83" s="5"/>
      <c r="AD83" s="39">
        <f>(Table5[[#This Row],[( S/S+T/B) AJD]]*1000)-((Table5[[#This Row],[(STORGE DIFF.) AJD]]*1000)+Table5[[#This Row],[AJD_Evaporation]]+(Table5[[#This Row],[(A/B + A/S) AJD]]*1000))</f>
        <v>0</v>
      </c>
      <c r="AE83" s="41"/>
      <c r="AF83" s="43"/>
      <c r="AG83" s="43"/>
      <c r="AH83" s="6">
        <f>Table5[[#This Row],[ (RESV. STORGE) BER]]/10</f>
        <v>0</v>
      </c>
      <c r="AI83" s="41"/>
      <c r="AJ83" s="41">
        <f>Table5[[#This Row],[(A/B) AJD]]-Table5[[#This Row],[BER_IN]]</f>
        <v>0</v>
      </c>
      <c r="AK83" s="43"/>
      <c r="AL83" s="43"/>
      <c r="AM83" s="32"/>
      <c r="AN83" s="32">
        <f>Table5[[#This Row],[ (RESV. STORGE) SER]]/10</f>
        <v>0</v>
      </c>
      <c r="AO83" s="68"/>
      <c r="AP83" s="104">
        <f>Table5[[#This Row],[(A/S) AJD]]-Table5[[#This Row],[SER_IN]]</f>
        <v>0</v>
      </c>
    </row>
    <row r="84" spans="1:42" ht="18.75" x14ac:dyDescent="0.25">
      <c r="A84" s="10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Table5[[#This Row],[ (T/B) SAR]]+Table5[[#This Row],[ (S/S) SAR]]</f>
        <v>0</v>
      </c>
      <c r="L84" s="45"/>
      <c r="M84" s="46"/>
      <c r="N84" s="46"/>
      <c r="O84" s="40"/>
      <c r="P84" s="3">
        <f>Table5[[#This Row],[ (S/S) SAR]]-Table5[[#This Row],[(S/S) AJD]]</f>
        <v>0</v>
      </c>
      <c r="Q84" s="40"/>
      <c r="R84" s="3">
        <f>Table5[[#This Row],[ (T/B) SAR]]-Table5[[#This Row],[(T/B) AJD]]</f>
        <v>0</v>
      </c>
      <c r="S84" s="3">
        <f>Table5[[#This Row],[S/S_CON.]]+Table5[[#This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Table5[[#This Row],[(RESV. STORGE) AJD]]/10</f>
        <v>0</v>
      </c>
      <c r="AB84" s="3">
        <f t="shared" si="7"/>
        <v>0</v>
      </c>
      <c r="AC84" s="5"/>
      <c r="AD84" s="40">
        <f>(Table5[[#This Row],[( S/S+T/B) AJD]]*1000)-((Table5[[#This Row],[(STORGE DIFF.) AJD]]*1000)+Table5[[#This Row],[AJD_Evaporation]]+(Table5[[#This Row],[(A/B + A/S) AJD]]*1000))</f>
        <v>0</v>
      </c>
      <c r="AE84" s="44"/>
      <c r="AF84" s="45"/>
      <c r="AG84" s="45"/>
      <c r="AH84" s="6">
        <f>Table5[[#This Row],[ (RESV. STORGE) BER]]/10</f>
        <v>0</v>
      </c>
      <c r="AI84" s="44"/>
      <c r="AJ84" s="44">
        <f>Table5[[#This Row],[(A/B) AJD]]-Table5[[#This Row],[BER_IN]]</f>
        <v>0</v>
      </c>
      <c r="AK84" s="45"/>
      <c r="AL84" s="45"/>
      <c r="AM84" s="32"/>
      <c r="AN84" s="32">
        <f>Table5[[#This Row],[ (RESV. STORGE) SER]]/10</f>
        <v>0</v>
      </c>
      <c r="AO84" s="68"/>
      <c r="AP84" s="104">
        <f>Table5[[#This Row],[(A/S) AJD]]-Table5[[#This Row],[SER_IN]]</f>
        <v>0</v>
      </c>
    </row>
    <row r="85" spans="1:42" ht="18.75" x14ac:dyDescent="0.25">
      <c r="A85" s="10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Table5[[#This Row],[ (T/B) SAR]]+Table5[[#This Row],[ (S/S) SAR]]</f>
        <v>0</v>
      </c>
      <c r="L85" s="41"/>
      <c r="M85" s="42"/>
      <c r="N85" s="42"/>
      <c r="O85" s="39"/>
      <c r="P85" s="3">
        <f>Table5[[#This Row],[ (S/S) SAR]]-Table5[[#This Row],[(S/S) AJD]]</f>
        <v>0</v>
      </c>
      <c r="Q85" s="39"/>
      <c r="R85" s="3">
        <f>Table5[[#This Row],[ (T/B) SAR]]-Table5[[#This Row],[(T/B) AJD]]</f>
        <v>0</v>
      </c>
      <c r="S85" s="3">
        <f>Table5[[#This Row],[S/S_CON.]]+Table5[[#This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Table5[[#This Row],[(RESV. STORGE) AJD]]/10</f>
        <v>0</v>
      </c>
      <c r="AB85" s="3">
        <f t="shared" si="7"/>
        <v>0</v>
      </c>
      <c r="AC85" s="5"/>
      <c r="AD85" s="39">
        <f>(Table5[[#This Row],[( S/S+T/B) AJD]]*1000)-((Table5[[#This Row],[(STORGE DIFF.) AJD]]*1000)+Table5[[#This Row],[AJD_Evaporation]]+(Table5[[#This Row],[(A/B + A/S) AJD]]*1000))</f>
        <v>0</v>
      </c>
      <c r="AE85" s="41"/>
      <c r="AF85" s="43"/>
      <c r="AG85" s="43"/>
      <c r="AH85" s="6">
        <f>Table5[[#This Row],[ (RESV. STORGE) BER]]/10</f>
        <v>0</v>
      </c>
      <c r="AI85" s="41"/>
      <c r="AJ85" s="41">
        <f>Table5[[#This Row],[(A/B) AJD]]-Table5[[#This Row],[BER_IN]]</f>
        <v>0</v>
      </c>
      <c r="AK85" s="43"/>
      <c r="AL85" s="43"/>
      <c r="AM85" s="32"/>
      <c r="AN85" s="32">
        <f>Table5[[#This Row],[ (RESV. STORGE) SER]]/10</f>
        <v>0</v>
      </c>
      <c r="AO85" s="68"/>
      <c r="AP85" s="104">
        <f>Table5[[#This Row],[(A/S) AJD]]-Table5[[#This Row],[SER_IN]]</f>
        <v>0</v>
      </c>
    </row>
    <row r="86" spans="1:42" ht="18.75" x14ac:dyDescent="0.25">
      <c r="A86" s="10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Table5[[#This Row],[ (T/B) SAR]]+Table5[[#This Row],[ (S/S) SAR]]</f>
        <v>0</v>
      </c>
      <c r="L86" s="45"/>
      <c r="M86" s="46"/>
      <c r="N86" s="46"/>
      <c r="O86" s="40"/>
      <c r="P86" s="3">
        <f>Table5[[#This Row],[ (S/S) SAR]]-Table5[[#This Row],[(S/S) AJD]]</f>
        <v>0</v>
      </c>
      <c r="Q86" s="40"/>
      <c r="R86" s="3">
        <f>Table5[[#This Row],[ (T/B) SAR]]-Table5[[#This Row],[(T/B) AJD]]</f>
        <v>0</v>
      </c>
      <c r="S86" s="3">
        <f>Table5[[#This Row],[S/S_CON.]]+Table5[[#This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Table5[[#This Row],[(RESV. STORGE) AJD]]/10</f>
        <v>0</v>
      </c>
      <c r="AB86" s="3">
        <f t="shared" si="7"/>
        <v>0</v>
      </c>
      <c r="AC86" s="5"/>
      <c r="AD86" s="40">
        <f>(Table5[[#This Row],[( S/S+T/B) AJD]]*1000)-((Table5[[#This Row],[(STORGE DIFF.) AJD]]*1000)+Table5[[#This Row],[AJD_Evaporation]]+(Table5[[#This Row],[(A/B + A/S) AJD]]*1000))</f>
        <v>0</v>
      </c>
      <c r="AE86" s="44"/>
      <c r="AF86" s="45"/>
      <c r="AG86" s="45"/>
      <c r="AH86" s="6">
        <f>Table5[[#This Row],[ (RESV. STORGE) BER]]/10</f>
        <v>0</v>
      </c>
      <c r="AI86" s="44"/>
      <c r="AJ86" s="44">
        <f>Table5[[#This Row],[(A/B) AJD]]-Table5[[#This Row],[BER_IN]]</f>
        <v>0</v>
      </c>
      <c r="AK86" s="45"/>
      <c r="AL86" s="45"/>
      <c r="AM86" s="32"/>
      <c r="AN86" s="32">
        <f>Table5[[#This Row],[ (RESV. STORGE) SER]]/10</f>
        <v>0</v>
      </c>
      <c r="AO86" s="68"/>
      <c r="AP86" s="104">
        <f>Table5[[#This Row],[(A/S) AJD]]-Table5[[#This Row],[SER_IN]]</f>
        <v>0</v>
      </c>
    </row>
    <row r="87" spans="1:42" ht="18.75" x14ac:dyDescent="0.25">
      <c r="A87" s="10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Table5[[#This Row],[ (T/B) SAR]]+Table5[[#This Row],[ (S/S) SAR]]</f>
        <v>0</v>
      </c>
      <c r="L87" s="41"/>
      <c r="M87" s="42"/>
      <c r="N87" s="42"/>
      <c r="O87" s="39"/>
      <c r="P87" s="3">
        <f>Table5[[#This Row],[ (S/S) SAR]]-Table5[[#This Row],[(S/S) AJD]]</f>
        <v>0</v>
      </c>
      <c r="Q87" s="39"/>
      <c r="R87" s="3">
        <f>Table5[[#This Row],[ (T/B) SAR]]-Table5[[#This Row],[(T/B) AJD]]</f>
        <v>0</v>
      </c>
      <c r="S87" s="3">
        <f>Table5[[#This Row],[S/S_CON.]]+Table5[[#This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Table5[[#This Row],[(RESV. STORGE) AJD]]/10</f>
        <v>0</v>
      </c>
      <c r="AB87" s="3">
        <f t="shared" si="7"/>
        <v>0</v>
      </c>
      <c r="AC87" s="5"/>
      <c r="AD87" s="39">
        <f>(Table5[[#This Row],[( S/S+T/B) AJD]]*1000)-((Table5[[#This Row],[(STORGE DIFF.) AJD]]*1000)+Table5[[#This Row],[AJD_Evaporation]]+(Table5[[#This Row],[(A/B + A/S) AJD]]*1000))</f>
        <v>0</v>
      </c>
      <c r="AE87" s="41"/>
      <c r="AF87" s="43"/>
      <c r="AG87" s="43"/>
      <c r="AH87" s="6">
        <f>Table5[[#This Row],[ (RESV. STORGE) BER]]/10</f>
        <v>0</v>
      </c>
      <c r="AI87" s="41"/>
      <c r="AJ87" s="41">
        <f>Table5[[#This Row],[(A/B) AJD]]-Table5[[#This Row],[BER_IN]]</f>
        <v>0</v>
      </c>
      <c r="AK87" s="43"/>
      <c r="AL87" s="43"/>
      <c r="AM87" s="32"/>
      <c r="AN87" s="32">
        <f>Table5[[#This Row],[ (RESV. STORGE) SER]]/10</f>
        <v>0</v>
      </c>
      <c r="AO87" s="68"/>
      <c r="AP87" s="104">
        <f>Table5[[#This Row],[(A/S) AJD]]-Table5[[#This Row],[SER_IN]]</f>
        <v>0</v>
      </c>
    </row>
    <row r="88" spans="1:42" ht="18.75" x14ac:dyDescent="0.25">
      <c r="A88" s="10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Table5[[#This Row],[ (T/B) SAR]]+Table5[[#This Row],[ (S/S) SAR]]</f>
        <v>0</v>
      </c>
      <c r="L88" s="45"/>
      <c r="M88" s="46"/>
      <c r="N88" s="46"/>
      <c r="O88" s="40"/>
      <c r="P88" s="3">
        <f>Table5[[#This Row],[ (S/S) SAR]]-Table5[[#This Row],[(S/S) AJD]]</f>
        <v>0</v>
      </c>
      <c r="Q88" s="40"/>
      <c r="R88" s="3">
        <f>Table5[[#This Row],[ (T/B) SAR]]-Table5[[#This Row],[(T/B) AJD]]</f>
        <v>0</v>
      </c>
      <c r="S88" s="3">
        <f>Table5[[#This Row],[S/S_CON.]]+Table5[[#This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Table5[[#This Row],[(RESV. STORGE) AJD]]/10</f>
        <v>0</v>
      </c>
      <c r="AB88" s="3">
        <f t="shared" si="7"/>
        <v>0</v>
      </c>
      <c r="AC88" s="5"/>
      <c r="AD88" s="40">
        <f>(Table5[[#This Row],[( S/S+T/B) AJD]]*1000)-((Table5[[#This Row],[(STORGE DIFF.) AJD]]*1000)+Table5[[#This Row],[AJD_Evaporation]]+(Table5[[#This Row],[(A/B + A/S) AJD]]*1000))</f>
        <v>0</v>
      </c>
      <c r="AE88" s="44"/>
      <c r="AF88" s="45"/>
      <c r="AG88" s="45"/>
      <c r="AH88" s="6">
        <f>Table5[[#This Row],[ (RESV. STORGE) BER]]/10</f>
        <v>0</v>
      </c>
      <c r="AI88" s="44"/>
      <c r="AJ88" s="44">
        <f>Table5[[#This Row],[(A/B) AJD]]-Table5[[#This Row],[BER_IN]]</f>
        <v>0</v>
      </c>
      <c r="AK88" s="45"/>
      <c r="AL88" s="45"/>
      <c r="AM88" s="32"/>
      <c r="AN88" s="32">
        <f>Table5[[#This Row],[ (RESV. STORGE) SER]]/10</f>
        <v>0</v>
      </c>
      <c r="AO88" s="68"/>
      <c r="AP88" s="104">
        <f>Table5[[#This Row],[(A/S) AJD]]-Table5[[#This Row],[SER_IN]]</f>
        <v>0</v>
      </c>
    </row>
    <row r="89" spans="1:42" ht="18.75" x14ac:dyDescent="0.25">
      <c r="A89" s="10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Table5[[#This Row],[ (T/B) SAR]]+Table5[[#This Row],[ (S/S) SAR]]</f>
        <v>0</v>
      </c>
      <c r="L89" s="41"/>
      <c r="M89" s="42"/>
      <c r="N89" s="42"/>
      <c r="O89" s="39"/>
      <c r="P89" s="3">
        <f>Table5[[#This Row],[ (S/S) SAR]]-Table5[[#This Row],[(S/S) AJD]]</f>
        <v>0</v>
      </c>
      <c r="Q89" s="39"/>
      <c r="R89" s="3">
        <f>Table5[[#This Row],[ (T/B) SAR]]-Table5[[#This Row],[(T/B) AJD]]</f>
        <v>0</v>
      </c>
      <c r="S89" s="3">
        <f>Table5[[#This Row],[S/S_CON.]]+Table5[[#This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Table5[[#This Row],[(RESV. STORGE) AJD]]/10</f>
        <v>0</v>
      </c>
      <c r="AB89" s="3">
        <f t="shared" si="7"/>
        <v>0</v>
      </c>
      <c r="AC89" s="5"/>
      <c r="AD89" s="39">
        <f>(Table5[[#This Row],[( S/S+T/B) AJD]]*1000)-((Table5[[#This Row],[(STORGE DIFF.) AJD]]*1000)+Table5[[#This Row],[AJD_Evaporation]]+(Table5[[#This Row],[(A/B + A/S) AJD]]*1000))</f>
        <v>0</v>
      </c>
      <c r="AE89" s="41"/>
      <c r="AF89" s="43"/>
      <c r="AG89" s="43"/>
      <c r="AH89" s="6">
        <f>Table5[[#This Row],[ (RESV. STORGE) BER]]/10</f>
        <v>0</v>
      </c>
      <c r="AI89" s="41"/>
      <c r="AJ89" s="41">
        <f>Table5[[#This Row],[(A/B) AJD]]-Table5[[#This Row],[BER_IN]]</f>
        <v>0</v>
      </c>
      <c r="AK89" s="43"/>
      <c r="AL89" s="43"/>
      <c r="AM89" s="32"/>
      <c r="AN89" s="32">
        <f>Table5[[#This Row],[ (RESV. STORGE) SER]]/10</f>
        <v>0</v>
      </c>
      <c r="AO89" s="68"/>
      <c r="AP89" s="104">
        <f>Table5[[#This Row],[(A/S) AJD]]-Table5[[#This Row],[SER_IN]]</f>
        <v>0</v>
      </c>
    </row>
    <row r="90" spans="1:42" ht="18.75" x14ac:dyDescent="0.25">
      <c r="A90" s="10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Table5[[#This Row],[ (T/B) SAR]]+Table5[[#This Row],[ (S/S) SAR]]</f>
        <v>0</v>
      </c>
      <c r="L90" s="45"/>
      <c r="M90" s="46"/>
      <c r="N90" s="46"/>
      <c r="O90" s="40"/>
      <c r="P90" s="3">
        <f>Table5[[#This Row],[ (S/S) SAR]]-Table5[[#This Row],[(S/S) AJD]]</f>
        <v>0</v>
      </c>
      <c r="Q90" s="40"/>
      <c r="R90" s="3">
        <f>Table5[[#This Row],[ (T/B) SAR]]-Table5[[#This Row],[(T/B) AJD]]</f>
        <v>0</v>
      </c>
      <c r="S90" s="3">
        <f>Table5[[#This Row],[S/S_CON.]]+Table5[[#This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Table5[[#This Row],[(RESV. STORGE) AJD]]/10</f>
        <v>0</v>
      </c>
      <c r="AB90" s="3">
        <f t="shared" si="7"/>
        <v>0</v>
      </c>
      <c r="AC90" s="5"/>
      <c r="AD90" s="70">
        <f>(Table5[[#This Row],[( S/S+T/B) AJD]]*1000)-((Table5[[#This Row],[(STORGE DIFF.) AJD]]*1000)+Table5[[#This Row],[AJD_Evaporation]]+(Table5[[#This Row],[(A/B + A/S) AJD]]*1000))</f>
        <v>0</v>
      </c>
      <c r="AE90" s="44"/>
      <c r="AF90" s="45"/>
      <c r="AG90" s="45"/>
      <c r="AH90" s="6">
        <f>Table5[[#This Row],[ (RESV. STORGE) BER]]/10</f>
        <v>0</v>
      </c>
      <c r="AI90" s="44"/>
      <c r="AJ90" s="67">
        <f>Table5[[#This Row],[(A/B) AJD]]-Table5[[#This Row],[BER_IN]]</f>
        <v>0</v>
      </c>
      <c r="AK90" s="45"/>
      <c r="AL90" s="45"/>
      <c r="AM90" s="32"/>
      <c r="AN90" s="32">
        <f>Table5[[#This Row],[ (RESV. STORGE) SER]]/10</f>
        <v>0</v>
      </c>
      <c r="AO90" s="68"/>
      <c r="AP90" s="104">
        <f>Table5[[#This Row],[(A/S) AJD]]-Table5[[#This Row],[SER_IN]]</f>
        <v>0</v>
      </c>
    </row>
    <row r="91" spans="1:42" ht="18.75" x14ac:dyDescent="0.25">
      <c r="A91" s="10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Table5[[#This Row],[ (T/B) SAR]]+Table5[[#This Row],[ (S/S) SAR]]</f>
        <v>0</v>
      </c>
      <c r="L91" s="41"/>
      <c r="M91" s="42"/>
      <c r="N91" s="42"/>
      <c r="O91" s="39"/>
      <c r="P91" s="3">
        <f>Table5[[#This Row],[ (S/S) SAR]]-Table5[[#This Row],[(S/S) AJD]]</f>
        <v>0</v>
      </c>
      <c r="Q91" s="39"/>
      <c r="R91" s="3">
        <f>Table5[[#This Row],[ (T/B) SAR]]-Table5[[#This Row],[(T/B) AJD]]</f>
        <v>0</v>
      </c>
      <c r="S91" s="3">
        <f>Table5[[#This Row],[S/S_CON.]]+Table5[[#This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Table5[[#This Row],[(RESV. STORGE) AJD]]/10</f>
        <v>0</v>
      </c>
      <c r="AB91" s="3">
        <f t="shared" si="7"/>
        <v>0</v>
      </c>
      <c r="AC91" s="5"/>
      <c r="AD91" s="39">
        <f>(Table5[[#This Row],[( S/S+T/B) AJD]]*1000)-((Table5[[#This Row],[(STORGE DIFF.) AJD]]*1000)+Table5[[#This Row],[AJD_Evaporation]]+(Table5[[#This Row],[(A/B + A/S) AJD]]*1000))</f>
        <v>0</v>
      </c>
      <c r="AE91" s="41"/>
      <c r="AF91" s="43"/>
      <c r="AG91" s="43"/>
      <c r="AH91" s="6">
        <f>Table5[[#This Row],[ (RESV. STORGE) BER]]/10</f>
        <v>0</v>
      </c>
      <c r="AI91" s="41"/>
      <c r="AJ91" s="41">
        <f>Table5[[#This Row],[(A/B) AJD]]-Table5[[#This Row],[BER_IN]]</f>
        <v>0</v>
      </c>
      <c r="AK91" s="43"/>
      <c r="AL91" s="43"/>
      <c r="AM91" s="32"/>
      <c r="AN91" s="32">
        <f>Table5[[#This Row],[ (RESV. STORGE) SER]]/10</f>
        <v>0</v>
      </c>
      <c r="AO91" s="68"/>
      <c r="AP91" s="104">
        <f>Table5[[#This Row],[(A/S) AJD]]-Table5[[#This Row],[SER_IN]]</f>
        <v>0</v>
      </c>
    </row>
    <row r="92" spans="1:42" ht="18.75" x14ac:dyDescent="0.25">
      <c r="A92" s="10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Table5[[#This Row],[ (T/B) SAR]]+Table5[[#This Row],[ (S/S) SAR]]</f>
        <v>0</v>
      </c>
      <c r="L92" s="41"/>
      <c r="M92" s="42"/>
      <c r="N92" s="42"/>
      <c r="O92" s="39"/>
      <c r="P92" s="3">
        <f>Table5[[#This Row],[ (S/S) SAR]]-Table5[[#This Row],[(S/S) AJD]]</f>
        <v>0</v>
      </c>
      <c r="Q92" s="39"/>
      <c r="R92" s="3">
        <f>Table5[[#This Row],[ (T/B) SAR]]-Table5[[#This Row],[(T/B) AJD]]</f>
        <v>0</v>
      </c>
      <c r="S92" s="3">
        <f>Table5[[#This Row],[S/S_CON.]]+Table5[[#This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Table5[[#This Row],[(RESV. STORGE) AJD]]/10</f>
        <v>0</v>
      </c>
      <c r="AB92" s="3">
        <f t="shared" si="7"/>
        <v>0</v>
      </c>
      <c r="AC92" s="5"/>
      <c r="AD92" s="39">
        <f>(Table5[[#This Row],[( S/S+T/B) AJD]]*1000)-((Table5[[#This Row],[(STORGE DIFF.) AJD]]*1000)+Table5[[#This Row],[AJD_Evaporation]]+(Table5[[#This Row],[(A/B + A/S) AJD]]*1000))</f>
        <v>0</v>
      </c>
      <c r="AE92" s="41"/>
      <c r="AF92" s="43"/>
      <c r="AG92" s="43"/>
      <c r="AH92" s="6">
        <f>Table5[[#This Row],[ (RESV. STORGE) BER]]/10</f>
        <v>0</v>
      </c>
      <c r="AI92" s="41"/>
      <c r="AJ92" s="41">
        <f>Table5[[#This Row],[(A/B) AJD]]-Table5[[#This Row],[BER_IN]]</f>
        <v>0</v>
      </c>
      <c r="AK92" s="43"/>
      <c r="AL92" s="43"/>
      <c r="AM92" s="32"/>
      <c r="AN92" s="32">
        <f>Table5[[#This Row],[ (RESV. STORGE) SER]]/10</f>
        <v>0</v>
      </c>
      <c r="AO92" s="68"/>
      <c r="AP92" s="104">
        <f>Table5[[#This Row],[(A/S) AJD]]-Table5[[#This Row],[SER_IN]]</f>
        <v>0</v>
      </c>
    </row>
    <row r="93" spans="1:42" ht="18.75" x14ac:dyDescent="0.25">
      <c r="A93" s="10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Table5[[#This Row],[ (T/B) SAR]]+Table5[[#This Row],[ (S/S) SAR]]</f>
        <v>0</v>
      </c>
      <c r="L93" s="45"/>
      <c r="M93" s="46"/>
      <c r="N93" s="46"/>
      <c r="O93" s="40"/>
      <c r="P93" s="3">
        <f>Table5[[#This Row],[ (S/S) SAR]]-Table5[[#This Row],[(S/S) AJD]]</f>
        <v>0</v>
      </c>
      <c r="Q93" s="40"/>
      <c r="R93" s="3">
        <f>Table5[[#This Row],[ (T/B) SAR]]-Table5[[#This Row],[(T/B) AJD]]</f>
        <v>0</v>
      </c>
      <c r="S93" s="3">
        <f>Table5[[#This Row],[S/S_CON.]]+Table5[[#This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Table5[[#This Row],[(RESV. STORGE) AJD]]/10</f>
        <v>0</v>
      </c>
      <c r="AB93" s="3">
        <f t="shared" si="7"/>
        <v>0</v>
      </c>
      <c r="AC93" s="5"/>
      <c r="AD93" s="40">
        <f>(Table5[[#This Row],[( S/S+T/B) AJD]]*1000)-((Table5[[#This Row],[(STORGE DIFF.) AJD]]*1000)+Table5[[#This Row],[AJD_Evaporation]]+(Table5[[#This Row],[(A/B + A/S) AJD]]*1000))</f>
        <v>0</v>
      </c>
      <c r="AE93" s="44"/>
      <c r="AF93" s="45"/>
      <c r="AG93" s="45"/>
      <c r="AH93" s="6">
        <f>Table5[[#This Row],[ (RESV. STORGE) BER]]/10</f>
        <v>0</v>
      </c>
      <c r="AI93" s="44"/>
      <c r="AJ93" s="44">
        <f>Table5[[#This Row],[(A/B) AJD]]-Table5[[#This Row],[BER_IN]]</f>
        <v>0</v>
      </c>
      <c r="AK93" s="45"/>
      <c r="AL93" s="45"/>
      <c r="AM93" s="32"/>
      <c r="AN93" s="32">
        <f>Table5[[#This Row],[ (RESV. STORGE) SER]]/10</f>
        <v>0</v>
      </c>
      <c r="AO93" s="68"/>
      <c r="AP93" s="104">
        <f>Table5[[#This Row],[(A/S) AJD]]-Table5[[#This Row],[SER_IN]]</f>
        <v>0</v>
      </c>
    </row>
    <row r="94" spans="1:42" ht="18.75" x14ac:dyDescent="0.25">
      <c r="A94" s="10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Table5[[#This Row],[ (T/B) SAR]]+Table5[[#This Row],[ (S/S) SAR]]</f>
        <v>0</v>
      </c>
      <c r="L94" s="41"/>
      <c r="M94" s="42"/>
      <c r="N94" s="42"/>
      <c r="O94" s="39"/>
      <c r="P94" s="3">
        <f>Table5[[#This Row],[ (S/S) SAR]]-Table5[[#This Row],[(S/S) AJD]]</f>
        <v>0</v>
      </c>
      <c r="Q94" s="39"/>
      <c r="R94" s="3">
        <f>Table5[[#This Row],[ (T/B) SAR]]-Table5[[#This Row],[(T/B) AJD]]</f>
        <v>0</v>
      </c>
      <c r="S94" s="3">
        <f>Table5[[#This Row],[S/S_CON.]]+Table5[[#This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Table5[[#This Row],[(RESV. STORGE) AJD]]/10</f>
        <v>0</v>
      </c>
      <c r="AB94" s="3">
        <f t="shared" si="7"/>
        <v>0</v>
      </c>
      <c r="AC94" s="5"/>
      <c r="AD94" s="39">
        <f>(Table5[[#This Row],[( S/S+T/B) AJD]]*1000)-((Table5[[#This Row],[(STORGE DIFF.) AJD]]*1000)+Table5[[#This Row],[AJD_Evaporation]]+(Table5[[#This Row],[(A/B + A/S) AJD]]*1000))</f>
        <v>0</v>
      </c>
      <c r="AE94" s="41"/>
      <c r="AF94" s="43"/>
      <c r="AG94" s="43"/>
      <c r="AH94" s="6">
        <f>Table5[[#This Row],[ (RESV. STORGE) BER]]/10</f>
        <v>0</v>
      </c>
      <c r="AI94" s="41"/>
      <c r="AJ94" s="41">
        <f>Table5[[#This Row],[(A/B) AJD]]-Table5[[#This Row],[BER_IN]]</f>
        <v>0</v>
      </c>
      <c r="AK94" s="43"/>
      <c r="AL94" s="43"/>
      <c r="AM94" s="32"/>
      <c r="AN94" s="32">
        <f>Table5[[#This Row],[ (RESV. STORGE) SER]]/10</f>
        <v>0</v>
      </c>
      <c r="AO94" s="68"/>
      <c r="AP94" s="104">
        <f>Table5[[#This Row],[(A/S) AJD]]-Table5[[#This Row],[SER_IN]]</f>
        <v>0</v>
      </c>
    </row>
    <row r="95" spans="1:42" ht="18.75" x14ac:dyDescent="0.25">
      <c r="A95" s="10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Table5[[#This Row],[ (T/B) SAR]]+Table5[[#This Row],[ (S/S) SAR]]</f>
        <v>0</v>
      </c>
      <c r="L95" s="45"/>
      <c r="M95" s="46"/>
      <c r="N95" s="46"/>
      <c r="O95" s="40"/>
      <c r="P95" s="3">
        <f>Table5[[#This Row],[ (S/S) SAR]]-Table5[[#This Row],[(S/S) AJD]]</f>
        <v>0</v>
      </c>
      <c r="Q95" s="40"/>
      <c r="R95" s="3">
        <f>Table5[[#This Row],[ (T/B) SAR]]-Table5[[#This Row],[(T/B) AJD]]</f>
        <v>0</v>
      </c>
      <c r="S95" s="3">
        <f>Table5[[#This Row],[S/S_CON.]]+Table5[[#This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Table5[[#This Row],[(RESV. STORGE) AJD]]/10</f>
        <v>0</v>
      </c>
      <c r="AB95" s="3">
        <f t="shared" si="7"/>
        <v>0</v>
      </c>
      <c r="AC95" s="5"/>
      <c r="AD95" s="40">
        <f>(Table5[[#This Row],[( S/S+T/B) AJD]]*1000)-((Table5[[#This Row],[(STORGE DIFF.) AJD]]*1000)+Table5[[#This Row],[AJD_Evaporation]]+(Table5[[#This Row],[(A/B + A/S) AJD]]*1000))</f>
        <v>0</v>
      </c>
      <c r="AE95" s="44"/>
      <c r="AF95" s="45"/>
      <c r="AG95" s="45"/>
      <c r="AH95" s="6">
        <f>Table5[[#This Row],[ (RESV. STORGE) BER]]/10</f>
        <v>0</v>
      </c>
      <c r="AI95" s="44"/>
      <c r="AJ95" s="44">
        <f>Table5[[#This Row],[(A/B) AJD]]-Table5[[#This Row],[BER_IN]]</f>
        <v>0</v>
      </c>
      <c r="AK95" s="45"/>
      <c r="AL95" s="45"/>
      <c r="AM95" s="32"/>
      <c r="AN95" s="32">
        <f>Table5[[#This Row],[ (RESV. STORGE) SER]]/10</f>
        <v>0</v>
      </c>
      <c r="AO95" s="68"/>
      <c r="AP95" s="104">
        <f>Table5[[#This Row],[(A/S) AJD]]-Table5[[#This Row],[SER_IN]]</f>
        <v>0</v>
      </c>
    </row>
    <row r="96" spans="1:42" ht="18.75" x14ac:dyDescent="0.25">
      <c r="A96" s="10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Table5[[#This Row],[ (T/B) SAR]]+Table5[[#This Row],[ (S/S) SAR]]</f>
        <v>0</v>
      </c>
      <c r="L96" s="41"/>
      <c r="M96" s="42"/>
      <c r="N96" s="42"/>
      <c r="O96" s="39"/>
      <c r="P96" s="3">
        <f>Table5[[#This Row],[ (S/S) SAR]]-Table5[[#This Row],[(S/S) AJD]]</f>
        <v>0</v>
      </c>
      <c r="Q96" s="39"/>
      <c r="R96" s="3">
        <f>Table5[[#This Row],[ (T/B) SAR]]-Table5[[#This Row],[(T/B) AJD]]</f>
        <v>0</v>
      </c>
      <c r="S96" s="3">
        <f>Table5[[#This Row],[S/S_CON.]]+Table5[[#This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Table5[[#This Row],[(RESV. STORGE) AJD]]/10</f>
        <v>0</v>
      </c>
      <c r="AB96" s="3">
        <f t="shared" si="7"/>
        <v>0</v>
      </c>
      <c r="AC96" s="5"/>
      <c r="AD96" s="39">
        <f>(Table5[[#This Row],[( S/S+T/B) AJD]]*1000)-((Table5[[#This Row],[(STORGE DIFF.) AJD]]*1000)+Table5[[#This Row],[AJD_Evaporation]]+(Table5[[#This Row],[(A/B + A/S) AJD]]*1000))</f>
        <v>0</v>
      </c>
      <c r="AE96" s="41"/>
      <c r="AF96" s="43"/>
      <c r="AG96" s="43"/>
      <c r="AH96" s="6">
        <f>Table5[[#This Row],[ (RESV. STORGE) BER]]/10</f>
        <v>0</v>
      </c>
      <c r="AI96" s="41"/>
      <c r="AJ96" s="41">
        <f>Table5[[#This Row],[(A/B) AJD]]-Table5[[#This Row],[BER_IN]]</f>
        <v>0</v>
      </c>
      <c r="AK96" s="43"/>
      <c r="AL96" s="43"/>
      <c r="AM96" s="32"/>
      <c r="AN96" s="32">
        <f>Table5[[#This Row],[ (RESV. STORGE) SER]]/10</f>
        <v>0</v>
      </c>
      <c r="AO96" s="68"/>
      <c r="AP96" s="104">
        <f>Table5[[#This Row],[(A/S) AJD]]-Table5[[#This Row],[SER_IN]]</f>
        <v>0</v>
      </c>
    </row>
    <row r="97" spans="1:42" ht="18.75" x14ac:dyDescent="0.25">
      <c r="A97" s="10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Table5[[#This Row],[ (T/B) SAR]]+Table5[[#This Row],[ (S/S) SAR]]</f>
        <v>0</v>
      </c>
      <c r="L97" s="45"/>
      <c r="M97" s="46"/>
      <c r="N97" s="46"/>
      <c r="O97" s="40"/>
      <c r="P97" s="3">
        <f>Table5[[#This Row],[ (S/S) SAR]]-Table5[[#This Row],[(S/S) AJD]]</f>
        <v>0</v>
      </c>
      <c r="Q97" s="40"/>
      <c r="R97" s="3">
        <f>Table5[[#This Row],[ (T/B) SAR]]-Table5[[#This Row],[(T/B) AJD]]</f>
        <v>0</v>
      </c>
      <c r="S97" s="3">
        <f>Table5[[#This Row],[S/S_CON.]]+Table5[[#This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Table5[[#This Row],[(RESV. STORGE) AJD]]/10</f>
        <v>0</v>
      </c>
      <c r="AB97" s="3">
        <f t="shared" si="7"/>
        <v>0</v>
      </c>
      <c r="AC97" s="5"/>
      <c r="AD97" s="40">
        <f>(Table5[[#This Row],[( S/S+T/B) AJD]]*1000)-((Table5[[#This Row],[(STORGE DIFF.) AJD]]*1000)+Table5[[#This Row],[AJD_Evaporation]]+(Table5[[#This Row],[(A/B + A/S) AJD]]*1000))</f>
        <v>0</v>
      </c>
      <c r="AE97" s="44"/>
      <c r="AF97" s="45"/>
      <c r="AG97" s="45"/>
      <c r="AH97" s="6">
        <f>Table5[[#This Row],[ (RESV. STORGE) BER]]/10</f>
        <v>0</v>
      </c>
      <c r="AI97" s="44"/>
      <c r="AJ97" s="44">
        <f>Table5[[#This Row],[(A/B) AJD]]-Table5[[#This Row],[BER_IN]]</f>
        <v>0</v>
      </c>
      <c r="AK97" s="45"/>
      <c r="AL97" s="45"/>
      <c r="AM97" s="32"/>
      <c r="AN97" s="32">
        <f>Table5[[#This Row],[ (RESV. STORGE) SER]]/10</f>
        <v>0</v>
      </c>
      <c r="AO97" s="68"/>
      <c r="AP97" s="104">
        <f>Table5[[#This Row],[(A/S) AJD]]-Table5[[#This Row],[SER_IN]]</f>
        <v>0</v>
      </c>
    </row>
    <row r="98" spans="1:42" ht="18.75" x14ac:dyDescent="0.25">
      <c r="A98" s="10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Table5[[#This Row],[ (T/B) SAR]]+Table5[[#This Row],[ (S/S) SAR]]</f>
        <v>0</v>
      </c>
      <c r="L98" s="41"/>
      <c r="M98" s="42"/>
      <c r="N98" s="42"/>
      <c r="O98" s="39"/>
      <c r="P98" s="3">
        <f>Table5[[#This Row],[ (S/S) SAR]]-Table5[[#This Row],[(S/S) AJD]]</f>
        <v>0</v>
      </c>
      <c r="Q98" s="39"/>
      <c r="R98" s="3">
        <f>Table5[[#This Row],[ (T/B) SAR]]-Table5[[#This Row],[(T/B) AJD]]</f>
        <v>0</v>
      </c>
      <c r="S98" s="3">
        <f>Table5[[#This Row],[S/S_CON.]]+Table5[[#This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Table5[[#This Row],[(RESV. STORGE) AJD]]/10</f>
        <v>0</v>
      </c>
      <c r="AB98" s="3">
        <f t="shared" si="7"/>
        <v>0</v>
      </c>
      <c r="AC98" s="5"/>
      <c r="AD98" s="39">
        <f>(Table5[[#This Row],[( S/S+T/B) AJD]]*1000)-((Table5[[#This Row],[(STORGE DIFF.) AJD]]*1000)+Table5[[#This Row],[AJD_Evaporation]]+(Table5[[#This Row],[(A/B + A/S) AJD]]*1000))</f>
        <v>0</v>
      </c>
      <c r="AE98" s="41"/>
      <c r="AF98" s="43"/>
      <c r="AG98" s="43"/>
      <c r="AH98" s="6">
        <f>Table5[[#This Row],[ (RESV. STORGE) BER]]/10</f>
        <v>0</v>
      </c>
      <c r="AI98" s="41"/>
      <c r="AJ98" s="41">
        <f>Table5[[#This Row],[(A/B) AJD]]-Table5[[#This Row],[BER_IN]]</f>
        <v>0</v>
      </c>
      <c r="AK98" s="43"/>
      <c r="AL98" s="43"/>
      <c r="AM98" s="32"/>
      <c r="AN98" s="32">
        <f>Table5[[#This Row],[ (RESV. STORGE) SER]]/10</f>
        <v>0</v>
      </c>
      <c r="AO98" s="68"/>
      <c r="AP98" s="104">
        <f>Table5[[#This Row],[(A/S) AJD]]-Table5[[#This Row],[SER_IN]]</f>
        <v>0</v>
      </c>
    </row>
    <row r="99" spans="1:42" ht="18.75" x14ac:dyDescent="0.25">
      <c r="A99" s="10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Table5[[#This Row],[ (T/B) SAR]]+Table5[[#This Row],[ (S/S) SAR]]</f>
        <v>0</v>
      </c>
      <c r="L99" s="45"/>
      <c r="M99" s="46"/>
      <c r="N99" s="46"/>
      <c r="O99" s="40"/>
      <c r="P99" s="3">
        <f>Table5[[#This Row],[ (S/S) SAR]]-Table5[[#This Row],[(S/S) AJD]]</f>
        <v>0</v>
      </c>
      <c r="Q99" s="40"/>
      <c r="R99" s="3">
        <f>Table5[[#This Row],[ (T/B) SAR]]-Table5[[#This Row],[(T/B) AJD]]</f>
        <v>0</v>
      </c>
      <c r="S99" s="3">
        <f>Table5[[#This Row],[S/S_CON.]]+Table5[[#This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Table5[[#This Row],[(RESV. STORGE) AJD]]/10</f>
        <v>0</v>
      </c>
      <c r="AB99" s="3">
        <f t="shared" si="7"/>
        <v>0</v>
      </c>
      <c r="AC99" s="5"/>
      <c r="AD99" s="40">
        <f>(Table5[[#This Row],[( S/S+T/B) AJD]]*1000)-((Table5[[#This Row],[(STORGE DIFF.) AJD]]*1000)+Table5[[#This Row],[AJD_Evaporation]]+(Table5[[#This Row],[(A/B + A/S) AJD]]*1000))</f>
        <v>0</v>
      </c>
      <c r="AE99" s="44"/>
      <c r="AF99" s="45"/>
      <c r="AG99" s="45"/>
      <c r="AH99" s="6">
        <f>Table5[[#This Row],[ (RESV. STORGE) BER]]/10</f>
        <v>0</v>
      </c>
      <c r="AI99" s="44"/>
      <c r="AJ99" s="44">
        <f>Table5[[#This Row],[(A/B) AJD]]-Table5[[#This Row],[BER_IN]]</f>
        <v>0</v>
      </c>
      <c r="AK99" s="45"/>
      <c r="AL99" s="45"/>
      <c r="AM99" s="32"/>
      <c r="AN99" s="32">
        <f>Table5[[#This Row],[ (RESV. STORGE) SER]]/10</f>
        <v>0</v>
      </c>
      <c r="AO99" s="68"/>
      <c r="AP99" s="104">
        <f>Table5[[#This Row],[(A/S) AJD]]-Table5[[#This Row],[SER_IN]]</f>
        <v>0</v>
      </c>
    </row>
    <row r="100" spans="1:42" ht="18.75" x14ac:dyDescent="0.25">
      <c r="A100" s="10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Table5[[#This Row],[ (T/B) SAR]]+Table5[[#This Row],[ (S/S) SAR]]</f>
        <v>0</v>
      </c>
      <c r="L100" s="41"/>
      <c r="M100" s="42"/>
      <c r="N100" s="42"/>
      <c r="O100" s="39"/>
      <c r="P100" s="3">
        <f>Table5[[#This Row],[ (S/S) SAR]]-Table5[[#This Row],[(S/S) AJD]]</f>
        <v>0</v>
      </c>
      <c r="Q100" s="39"/>
      <c r="R100" s="3">
        <f>Table5[[#This Row],[ (T/B) SAR]]-Table5[[#This Row],[(T/B) AJD]]</f>
        <v>0</v>
      </c>
      <c r="S100" s="3">
        <f>Table5[[#This Row],[S/S_CON.]]+Table5[[#This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Table5[[#This Row],[(RESV. STORGE) AJD]]/10</f>
        <v>0</v>
      </c>
      <c r="AB100" s="3">
        <f t="shared" si="7"/>
        <v>0</v>
      </c>
      <c r="AC100" s="5"/>
      <c r="AD100" s="39">
        <f>(Table5[[#This Row],[( S/S+T/B) AJD]]*1000)-((Table5[[#This Row],[(STORGE DIFF.) AJD]]*1000)+Table5[[#This Row],[AJD_Evaporation]]+(Table5[[#This Row],[(A/B + A/S) AJD]]*1000))</f>
        <v>0</v>
      </c>
      <c r="AE100" s="41"/>
      <c r="AF100" s="43"/>
      <c r="AG100" s="43"/>
      <c r="AH100" s="6">
        <f>Table5[[#This Row],[ (RESV. STORGE) BER]]/10</f>
        <v>0</v>
      </c>
      <c r="AI100" s="41"/>
      <c r="AJ100" s="41">
        <f>Table5[[#This Row],[(A/B) AJD]]-Table5[[#This Row],[BER_IN]]</f>
        <v>0</v>
      </c>
      <c r="AK100" s="43"/>
      <c r="AL100" s="43"/>
      <c r="AM100" s="32"/>
      <c r="AN100" s="32">
        <f>Table5[[#This Row],[ (RESV. STORGE) SER]]/10</f>
        <v>0</v>
      </c>
      <c r="AO100" s="68"/>
      <c r="AP100" s="104">
        <f>Table5[[#This Row],[(A/S) AJD]]-Table5[[#This Row],[SER_IN]]</f>
        <v>0</v>
      </c>
    </row>
    <row r="101" spans="1:42" ht="18.75" x14ac:dyDescent="0.25">
      <c r="A101" s="10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Table5[[#This Row],[ (T/B) SAR]]+Table5[[#This Row],[ (S/S) SAR]]</f>
        <v>0</v>
      </c>
      <c r="L101" s="45"/>
      <c r="M101" s="46"/>
      <c r="N101" s="46"/>
      <c r="O101" s="40"/>
      <c r="P101" s="3">
        <f>Table5[[#This Row],[ (S/S) SAR]]-Table5[[#This Row],[(S/S) AJD]]</f>
        <v>0</v>
      </c>
      <c r="Q101" s="40"/>
      <c r="R101" s="3">
        <f>Table5[[#This Row],[ (T/B) SAR]]-Table5[[#This Row],[(T/B) AJD]]</f>
        <v>0</v>
      </c>
      <c r="S101" s="3">
        <f>Table5[[#This Row],[S/S_CON.]]+Table5[[#This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Table5[[#This Row],[(RESV. STORGE) AJD]]/10</f>
        <v>0</v>
      </c>
      <c r="AB101" s="3">
        <f t="shared" si="7"/>
        <v>0</v>
      </c>
      <c r="AC101" s="5"/>
      <c r="AD101" s="40">
        <f>(Table5[[#This Row],[( S/S+T/B) AJD]]*1000)-((Table5[[#This Row],[(STORGE DIFF.) AJD]]*1000)+Table5[[#This Row],[AJD_Evaporation]]+(Table5[[#This Row],[(A/B + A/S) AJD]]*1000))</f>
        <v>0</v>
      </c>
      <c r="AE101" s="44"/>
      <c r="AF101" s="45"/>
      <c r="AG101" s="45"/>
      <c r="AH101" s="6">
        <f>Table5[[#This Row],[ (RESV. STORGE) BER]]/10</f>
        <v>0</v>
      </c>
      <c r="AI101" s="44"/>
      <c r="AJ101" s="44">
        <f>Table5[[#This Row],[(A/B) AJD]]-Table5[[#This Row],[BER_IN]]</f>
        <v>0</v>
      </c>
      <c r="AK101" s="45"/>
      <c r="AL101" s="45"/>
      <c r="AM101" s="32"/>
      <c r="AN101" s="32">
        <f>Table5[[#This Row],[ (RESV. STORGE) SER]]/10</f>
        <v>0</v>
      </c>
      <c r="AO101" s="68"/>
      <c r="AP101" s="104">
        <f>Table5[[#This Row],[(A/S) AJD]]-Table5[[#This Row],[SER_IN]]</f>
        <v>0</v>
      </c>
    </row>
    <row r="102" spans="1:42" ht="18.75" x14ac:dyDescent="0.25">
      <c r="A102" s="10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Table5[[#This Row],[ (T/B) SAR]]+Table5[[#This Row],[ (S/S) SAR]]</f>
        <v>0</v>
      </c>
      <c r="L102" s="41"/>
      <c r="M102" s="42"/>
      <c r="N102" s="42"/>
      <c r="O102" s="39"/>
      <c r="P102" s="3">
        <f>Table5[[#This Row],[ (S/S) SAR]]-Table5[[#This Row],[(S/S) AJD]]</f>
        <v>0</v>
      </c>
      <c r="Q102" s="39"/>
      <c r="R102" s="3">
        <f>Table5[[#This Row],[ (T/B) SAR]]-Table5[[#This Row],[(T/B) AJD]]</f>
        <v>0</v>
      </c>
      <c r="S102" s="3">
        <f>Table5[[#This Row],[S/S_CON.]]+Table5[[#This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Table5[[#This Row],[(RESV. STORGE) AJD]]/10</f>
        <v>0</v>
      </c>
      <c r="AB102" s="3">
        <f t="shared" si="7"/>
        <v>0</v>
      </c>
      <c r="AC102" s="5"/>
      <c r="AD102" s="39">
        <f>(Table5[[#This Row],[( S/S+T/B) AJD]]*1000)-((Table5[[#This Row],[(STORGE DIFF.) AJD]]*1000)+Table5[[#This Row],[AJD_Evaporation]]+(Table5[[#This Row],[(A/B + A/S) AJD]]*1000))</f>
        <v>0</v>
      </c>
      <c r="AE102" s="41"/>
      <c r="AF102" s="43"/>
      <c r="AG102" s="43"/>
      <c r="AH102" s="6">
        <f>Table5[[#This Row],[ (RESV. STORGE) BER]]/10</f>
        <v>0</v>
      </c>
      <c r="AI102" s="41"/>
      <c r="AJ102" s="41">
        <f>Table5[[#This Row],[(A/B) AJD]]-Table5[[#This Row],[BER_IN]]</f>
        <v>0</v>
      </c>
      <c r="AK102" s="43"/>
      <c r="AL102" s="43"/>
      <c r="AM102" s="32"/>
      <c r="AN102" s="32">
        <f>Table5[[#This Row],[ (RESV. STORGE) SER]]/10</f>
        <v>0</v>
      </c>
      <c r="AO102" s="68"/>
      <c r="AP102" s="104">
        <f>Table5[[#This Row],[(A/S) AJD]]-Table5[[#This Row],[SER_IN]]</f>
        <v>0</v>
      </c>
    </row>
    <row r="103" spans="1:42" ht="18.75" x14ac:dyDescent="0.25">
      <c r="A103" s="10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Table5[[#This Row],[ (T/B) SAR]]+Table5[[#This Row],[ (S/S) SAR]]</f>
        <v>0</v>
      </c>
      <c r="L103" s="45"/>
      <c r="M103" s="46"/>
      <c r="N103" s="46"/>
      <c r="O103" s="40"/>
      <c r="P103" s="3">
        <f>Table5[[#This Row],[ (S/S) SAR]]-Table5[[#This Row],[(S/S) AJD]]</f>
        <v>0</v>
      </c>
      <c r="Q103" s="40"/>
      <c r="R103" s="3">
        <f>Table5[[#This Row],[ (T/B) SAR]]-Table5[[#This Row],[(T/B) AJD]]</f>
        <v>0</v>
      </c>
      <c r="S103" s="3">
        <f>Table5[[#This Row],[S/S_CON.]]+Table5[[#This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Table5[[#This Row],[(RESV. STORGE) AJD]]/10</f>
        <v>0</v>
      </c>
      <c r="AB103" s="3">
        <f t="shared" si="7"/>
        <v>0</v>
      </c>
      <c r="AC103" s="5"/>
      <c r="AD103" s="40">
        <f>(Table5[[#This Row],[( S/S+T/B) AJD]]*1000)-((Table5[[#This Row],[(STORGE DIFF.) AJD]]*1000)+Table5[[#This Row],[AJD_Evaporation]]+(Table5[[#This Row],[(A/B + A/S) AJD]]*1000))</f>
        <v>0</v>
      </c>
      <c r="AE103" s="44"/>
      <c r="AF103" s="45"/>
      <c r="AG103" s="45"/>
      <c r="AH103" s="6">
        <f>Table5[[#This Row],[ (RESV. STORGE) BER]]/10</f>
        <v>0</v>
      </c>
      <c r="AI103" s="44"/>
      <c r="AJ103" s="44">
        <f>Table5[[#This Row],[(A/B) AJD]]-Table5[[#This Row],[BER_IN]]</f>
        <v>0</v>
      </c>
      <c r="AK103" s="45"/>
      <c r="AL103" s="45"/>
      <c r="AM103" s="32"/>
      <c r="AN103" s="32">
        <f>Table5[[#This Row],[ (RESV. STORGE) SER]]/10</f>
        <v>0</v>
      </c>
      <c r="AO103" s="68"/>
      <c r="AP103" s="104">
        <f>Table5[[#This Row],[(A/S) AJD]]-Table5[[#This Row],[SER_IN]]</f>
        <v>0</v>
      </c>
    </row>
    <row r="104" spans="1:42" ht="18.75" x14ac:dyDescent="0.25">
      <c r="A104" s="10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Table5[[#This Row],[ (T/B) SAR]]+Table5[[#This Row],[ (S/S) SAR]]</f>
        <v>0</v>
      </c>
      <c r="L104" s="41"/>
      <c r="M104" s="42"/>
      <c r="N104" s="42"/>
      <c r="O104" s="39"/>
      <c r="P104" s="3">
        <f>Table5[[#This Row],[ (S/S) SAR]]-Table5[[#This Row],[(S/S) AJD]]</f>
        <v>0</v>
      </c>
      <c r="Q104" s="39"/>
      <c r="R104" s="3">
        <f>Table5[[#This Row],[ (T/B) SAR]]-Table5[[#This Row],[(T/B) AJD]]</f>
        <v>0</v>
      </c>
      <c r="S104" s="3">
        <f>Table5[[#This Row],[S/S_CON.]]+Table5[[#This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Table5[[#This Row],[(RESV. STORGE) AJD]]/10</f>
        <v>0</v>
      </c>
      <c r="AB104" s="3">
        <f t="shared" si="7"/>
        <v>0</v>
      </c>
      <c r="AC104" s="5"/>
      <c r="AD104" s="39">
        <f>(Table5[[#This Row],[( S/S+T/B) AJD]]*1000)-((Table5[[#This Row],[(STORGE DIFF.) AJD]]*1000)+Table5[[#This Row],[AJD_Evaporation]]+(Table5[[#This Row],[(A/B + A/S) AJD]]*1000))</f>
        <v>0</v>
      </c>
      <c r="AE104" s="41"/>
      <c r="AF104" s="43"/>
      <c r="AG104" s="43"/>
      <c r="AH104" s="6">
        <f>Table5[[#This Row],[ (RESV. STORGE) BER]]/10</f>
        <v>0</v>
      </c>
      <c r="AI104" s="41"/>
      <c r="AJ104" s="41">
        <f>Table5[[#This Row],[(A/B) AJD]]-Table5[[#This Row],[BER_IN]]</f>
        <v>0</v>
      </c>
      <c r="AK104" s="43"/>
      <c r="AL104" s="43"/>
      <c r="AM104" s="32"/>
      <c r="AN104" s="32">
        <f>Table5[[#This Row],[ (RESV. STORGE) SER]]/10</f>
        <v>0</v>
      </c>
      <c r="AO104" s="68"/>
      <c r="AP104" s="104">
        <f>Table5[[#This Row],[(A/S) AJD]]-Table5[[#This Row],[SER_IN]]</f>
        <v>0</v>
      </c>
    </row>
    <row r="105" spans="1:42" ht="18.75" x14ac:dyDescent="0.25">
      <c r="A105" s="10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Table5[[#This Row],[ (T/B) SAR]]+Table5[[#This Row],[ (S/S) SAR]]</f>
        <v>0</v>
      </c>
      <c r="L105" s="45"/>
      <c r="M105" s="46"/>
      <c r="N105" s="46"/>
      <c r="O105" s="40"/>
      <c r="P105" s="3">
        <f>Table5[[#This Row],[ (S/S) SAR]]-Table5[[#This Row],[(S/S) AJD]]</f>
        <v>0</v>
      </c>
      <c r="Q105" s="40"/>
      <c r="R105" s="3">
        <f>Table5[[#This Row],[ (T/B) SAR]]-Table5[[#This Row],[(T/B) AJD]]</f>
        <v>0</v>
      </c>
      <c r="S105" s="3">
        <f>Table5[[#This Row],[S/S_CON.]]+Table5[[#This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Table5[[#This Row],[(RESV. STORGE) AJD]]/10</f>
        <v>0</v>
      </c>
      <c r="AB105" s="3">
        <f t="shared" si="7"/>
        <v>0</v>
      </c>
      <c r="AC105" s="5"/>
      <c r="AD105" s="40">
        <f>(Table5[[#This Row],[( S/S+T/B) AJD]]*1000)-((Table5[[#This Row],[(STORGE DIFF.) AJD]]*1000)+Table5[[#This Row],[AJD_Evaporation]]+(Table5[[#This Row],[(A/B + A/S) AJD]]*1000))</f>
        <v>0</v>
      </c>
      <c r="AE105" s="44"/>
      <c r="AF105" s="45"/>
      <c r="AG105" s="45"/>
      <c r="AH105" s="6">
        <f>Table5[[#This Row],[ (RESV. STORGE) BER]]/10</f>
        <v>0</v>
      </c>
      <c r="AI105" s="44"/>
      <c r="AJ105" s="44">
        <f>Table5[[#This Row],[(A/B) AJD]]-Table5[[#This Row],[BER_IN]]</f>
        <v>0</v>
      </c>
      <c r="AK105" s="45"/>
      <c r="AL105" s="45"/>
      <c r="AM105" s="32"/>
      <c r="AN105" s="32">
        <f>Table5[[#This Row],[ (RESV. STORGE) SER]]/10</f>
        <v>0</v>
      </c>
      <c r="AO105" s="68"/>
      <c r="AP105" s="104">
        <f>Table5[[#This Row],[(A/S) AJD]]-Table5[[#This Row],[SER_IN]]</f>
        <v>0</v>
      </c>
    </row>
    <row r="106" spans="1:42" ht="18.75" x14ac:dyDescent="0.25">
      <c r="A106" s="10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Table5[[#This Row],[ (T/B) SAR]]+Table5[[#This Row],[ (S/S) SAR]]</f>
        <v>0</v>
      </c>
      <c r="L106" s="41"/>
      <c r="M106" s="42"/>
      <c r="N106" s="42"/>
      <c r="O106" s="39"/>
      <c r="P106" s="3">
        <f>Table5[[#This Row],[ (S/S) SAR]]-Table5[[#This Row],[(S/S) AJD]]</f>
        <v>0</v>
      </c>
      <c r="Q106" s="39"/>
      <c r="R106" s="3">
        <f>Table5[[#This Row],[ (T/B) SAR]]-Table5[[#This Row],[(T/B) AJD]]</f>
        <v>0</v>
      </c>
      <c r="S106" s="3">
        <f>Table5[[#This Row],[S/S_CON.]]+Table5[[#This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Table5[[#This Row],[(RESV. STORGE) AJD]]/10</f>
        <v>0</v>
      </c>
      <c r="AB106" s="3">
        <f t="shared" si="7"/>
        <v>0</v>
      </c>
      <c r="AC106" s="5"/>
      <c r="AD106" s="39">
        <f>(Table5[[#This Row],[( S/S+T/B) AJD]]*1000)-((Table5[[#This Row],[(STORGE DIFF.) AJD]]*1000)+Table5[[#This Row],[AJD_Evaporation]]+(Table5[[#This Row],[(A/B + A/S) AJD]]*1000))</f>
        <v>0</v>
      </c>
      <c r="AE106" s="41"/>
      <c r="AF106" s="43"/>
      <c r="AG106" s="43"/>
      <c r="AH106" s="6">
        <f>Table5[[#This Row],[ (RESV. STORGE) BER]]/10</f>
        <v>0</v>
      </c>
      <c r="AI106" s="41"/>
      <c r="AJ106" s="41">
        <f>Table5[[#This Row],[(A/B) AJD]]-Table5[[#This Row],[BER_IN]]</f>
        <v>0</v>
      </c>
      <c r="AK106" s="43"/>
      <c r="AL106" s="43"/>
      <c r="AM106" s="32"/>
      <c r="AN106" s="32">
        <f>Table5[[#This Row],[ (RESV. STORGE) SER]]/10</f>
        <v>0</v>
      </c>
      <c r="AO106" s="68"/>
      <c r="AP106" s="104">
        <f>Table5[[#This Row],[(A/S) AJD]]-Table5[[#This Row],[SER_IN]]</f>
        <v>0</v>
      </c>
    </row>
    <row r="107" spans="1:42" ht="18.75" x14ac:dyDescent="0.25">
      <c r="A107" s="10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Table5[[#This Row],[ (T/B) SAR]]+Table5[[#This Row],[ (S/S) SAR]]</f>
        <v>0</v>
      </c>
      <c r="L107" s="45"/>
      <c r="M107" s="46"/>
      <c r="N107" s="46"/>
      <c r="O107" s="40"/>
      <c r="P107" s="3">
        <f>Table5[[#This Row],[ (S/S) SAR]]-Table5[[#This Row],[(S/S) AJD]]</f>
        <v>0</v>
      </c>
      <c r="Q107" s="40"/>
      <c r="R107" s="3">
        <f>Table5[[#This Row],[ (T/B) SAR]]-Table5[[#This Row],[(T/B) AJD]]</f>
        <v>0</v>
      </c>
      <c r="S107" s="3">
        <f>Table5[[#This Row],[S/S_CON.]]+Table5[[#This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Table5[[#This Row],[(RESV. STORGE) AJD]]/10</f>
        <v>0</v>
      </c>
      <c r="AB107" s="3">
        <f t="shared" si="7"/>
        <v>0</v>
      </c>
      <c r="AC107" s="5"/>
      <c r="AD107" s="40">
        <f>(Table5[[#This Row],[( S/S+T/B) AJD]]*1000)-((Table5[[#This Row],[(STORGE DIFF.) AJD]]*1000)+Table5[[#This Row],[AJD_Evaporation]]+(Table5[[#This Row],[(A/B + A/S) AJD]]*1000))</f>
        <v>0</v>
      </c>
      <c r="AE107" s="44"/>
      <c r="AF107" s="45"/>
      <c r="AG107" s="45"/>
      <c r="AH107" s="6">
        <f>Table5[[#This Row],[ (RESV. STORGE) BER]]/10</f>
        <v>0</v>
      </c>
      <c r="AI107" s="44"/>
      <c r="AJ107" s="44">
        <f>Table5[[#This Row],[(A/B) AJD]]-Table5[[#This Row],[BER_IN]]</f>
        <v>0</v>
      </c>
      <c r="AK107" s="45"/>
      <c r="AL107" s="45"/>
      <c r="AM107" s="32"/>
      <c r="AN107" s="32">
        <f>Table5[[#This Row],[ (RESV. STORGE) SER]]/10</f>
        <v>0</v>
      </c>
      <c r="AO107" s="68"/>
      <c r="AP107" s="104">
        <f>Table5[[#This Row],[(A/S) AJD]]-Table5[[#This Row],[SER_IN]]</f>
        <v>0</v>
      </c>
    </row>
    <row r="108" spans="1:42" ht="18.75" x14ac:dyDescent="0.25">
      <c r="A108" s="10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Table5[[#This Row],[ (T/B) SAR]]+Table5[[#This Row],[ (S/S) SAR]]</f>
        <v>0</v>
      </c>
      <c r="L108" s="41"/>
      <c r="M108" s="42"/>
      <c r="N108" s="42"/>
      <c r="O108" s="39"/>
      <c r="P108" s="3">
        <f>Table5[[#This Row],[ (S/S) SAR]]-Table5[[#This Row],[(S/S) AJD]]</f>
        <v>0</v>
      </c>
      <c r="Q108" s="39"/>
      <c r="R108" s="3">
        <f>Table5[[#This Row],[ (T/B) SAR]]-Table5[[#This Row],[(T/B) AJD]]</f>
        <v>0</v>
      </c>
      <c r="S108" s="3">
        <f>Table5[[#This Row],[S/S_CON.]]+Table5[[#This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Table5[[#This Row],[(RESV. STORGE) AJD]]/10</f>
        <v>0</v>
      </c>
      <c r="AB108" s="3">
        <f t="shared" si="7"/>
        <v>0</v>
      </c>
      <c r="AC108" s="5"/>
      <c r="AD108" s="39">
        <f>(Table5[[#This Row],[( S/S+T/B) AJD]]*1000)-((Table5[[#This Row],[(STORGE DIFF.) AJD]]*1000)+Table5[[#This Row],[AJD_Evaporation]]+(Table5[[#This Row],[(A/B + A/S) AJD]]*1000))</f>
        <v>0</v>
      </c>
      <c r="AE108" s="41"/>
      <c r="AF108" s="43"/>
      <c r="AG108" s="43"/>
      <c r="AH108" s="6">
        <f>Table5[[#This Row],[ (RESV. STORGE) BER]]/10</f>
        <v>0</v>
      </c>
      <c r="AI108" s="41"/>
      <c r="AJ108" s="41">
        <f>Table5[[#This Row],[(A/B) AJD]]-Table5[[#This Row],[BER_IN]]</f>
        <v>0</v>
      </c>
      <c r="AK108" s="43"/>
      <c r="AL108" s="43"/>
      <c r="AM108" s="32"/>
      <c r="AN108" s="32">
        <f>Table5[[#This Row],[ (RESV. STORGE) SER]]/10</f>
        <v>0</v>
      </c>
      <c r="AO108" s="68"/>
      <c r="AP108" s="104">
        <f>Table5[[#This Row],[(A/S) AJD]]-Table5[[#This Row],[SER_IN]]</f>
        <v>0</v>
      </c>
    </row>
    <row r="109" spans="1:42" ht="18.75" x14ac:dyDescent="0.25">
      <c r="A109" s="10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Table5[[#This Row],[ (T/B) SAR]]+Table5[[#This Row],[ (S/S) SAR]]</f>
        <v>0</v>
      </c>
      <c r="L109" s="45"/>
      <c r="M109" s="46"/>
      <c r="N109" s="46"/>
      <c r="O109" s="40"/>
      <c r="P109" s="3">
        <f>Table5[[#This Row],[ (S/S) SAR]]-Table5[[#This Row],[(S/S) AJD]]</f>
        <v>0</v>
      </c>
      <c r="Q109" s="40"/>
      <c r="R109" s="3">
        <f>Table5[[#This Row],[ (T/B) SAR]]-Table5[[#This Row],[(T/B) AJD]]</f>
        <v>0</v>
      </c>
      <c r="S109" s="3">
        <f>Table5[[#This Row],[S/S_CON.]]+Table5[[#This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Table5[[#This Row],[(RESV. STORGE) AJD]]/10</f>
        <v>0</v>
      </c>
      <c r="AB109" s="3">
        <f t="shared" si="7"/>
        <v>0</v>
      </c>
      <c r="AC109" s="5"/>
      <c r="AD109" s="40">
        <f>(Table5[[#This Row],[( S/S+T/B) AJD]]*1000)-((Table5[[#This Row],[(STORGE DIFF.) AJD]]*1000)+Table5[[#This Row],[AJD_Evaporation]]+(Table5[[#This Row],[(A/B + A/S) AJD]]*1000))</f>
        <v>0</v>
      </c>
      <c r="AE109" s="44"/>
      <c r="AF109" s="45"/>
      <c r="AG109" s="45"/>
      <c r="AH109" s="6">
        <f>Table5[[#This Row],[ (RESV. STORGE) BER]]/10</f>
        <v>0</v>
      </c>
      <c r="AI109" s="44"/>
      <c r="AJ109" s="44">
        <f>Table5[[#This Row],[(A/B) AJD]]-Table5[[#This Row],[BER_IN]]</f>
        <v>0</v>
      </c>
      <c r="AK109" s="45"/>
      <c r="AL109" s="45"/>
      <c r="AM109" s="32"/>
      <c r="AN109" s="32">
        <f>Table5[[#This Row],[ (RESV. STORGE) SER]]/10</f>
        <v>0</v>
      </c>
      <c r="AO109" s="68"/>
      <c r="AP109" s="104">
        <f>Table5[[#This Row],[(A/S) AJD]]-Table5[[#This Row],[SER_IN]]</f>
        <v>0</v>
      </c>
    </row>
    <row r="110" spans="1:42" ht="18.75" x14ac:dyDescent="0.25">
      <c r="A110" s="10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Table5[[#This Row],[ (T/B) SAR]]+Table5[[#This Row],[ (S/S) SAR]]</f>
        <v>0</v>
      </c>
      <c r="L110" s="41"/>
      <c r="M110" s="42"/>
      <c r="N110" s="42"/>
      <c r="O110" s="39"/>
      <c r="P110" s="3">
        <f>Table5[[#This Row],[ (S/S) SAR]]-Table5[[#This Row],[(S/S) AJD]]</f>
        <v>0</v>
      </c>
      <c r="Q110" s="39"/>
      <c r="R110" s="3">
        <f>Table5[[#This Row],[ (T/B) SAR]]-Table5[[#This Row],[(T/B) AJD]]</f>
        <v>0</v>
      </c>
      <c r="S110" s="3">
        <f>Table5[[#This Row],[S/S_CON.]]+Table5[[#This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Table5[[#This Row],[(RESV. STORGE) AJD]]/10</f>
        <v>0</v>
      </c>
      <c r="AB110" s="3">
        <f t="shared" si="7"/>
        <v>0</v>
      </c>
      <c r="AC110" s="5"/>
      <c r="AD110" s="39">
        <f>(Table5[[#This Row],[( S/S+T/B) AJD]]*1000)-((Table5[[#This Row],[(STORGE DIFF.) AJD]]*1000)+Table5[[#This Row],[AJD_Evaporation]]+(Table5[[#This Row],[(A/B + A/S) AJD]]*1000))</f>
        <v>0</v>
      </c>
      <c r="AE110" s="41"/>
      <c r="AF110" s="43"/>
      <c r="AG110" s="43"/>
      <c r="AH110" s="6">
        <f>Table5[[#This Row],[ (RESV. STORGE) BER]]/10</f>
        <v>0</v>
      </c>
      <c r="AI110" s="41"/>
      <c r="AJ110" s="41">
        <f>Table5[[#This Row],[(A/B) AJD]]-Table5[[#This Row],[BER_IN]]</f>
        <v>0</v>
      </c>
      <c r="AK110" s="43"/>
      <c r="AL110" s="43"/>
      <c r="AM110" s="32"/>
      <c r="AN110" s="32">
        <f>Table5[[#This Row],[ (RESV. STORGE) SER]]/10</f>
        <v>0</v>
      </c>
      <c r="AO110" s="68"/>
      <c r="AP110" s="104">
        <f>Table5[[#This Row],[(A/S) AJD]]-Table5[[#This Row],[SER_IN]]</f>
        <v>0</v>
      </c>
    </row>
    <row r="111" spans="1:42" ht="18.75" x14ac:dyDescent="0.25">
      <c r="A111" s="10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Table5[[#This Row],[ (T/B) SAR]]+Table5[[#This Row],[ (S/S) SAR]]</f>
        <v>0</v>
      </c>
      <c r="L111" s="45"/>
      <c r="M111" s="46"/>
      <c r="N111" s="46"/>
      <c r="O111" s="40"/>
      <c r="P111" s="3">
        <f>Table5[[#This Row],[ (S/S) SAR]]-Table5[[#This Row],[(S/S) AJD]]</f>
        <v>0</v>
      </c>
      <c r="Q111" s="40"/>
      <c r="R111" s="3">
        <f>Table5[[#This Row],[ (T/B) SAR]]-Table5[[#This Row],[(T/B) AJD]]</f>
        <v>0</v>
      </c>
      <c r="S111" s="3">
        <f>Table5[[#This Row],[S/S_CON.]]+Table5[[#This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Table5[[#This Row],[(RESV. STORGE) AJD]]/10</f>
        <v>0</v>
      </c>
      <c r="AB111" s="3">
        <f t="shared" si="7"/>
        <v>0</v>
      </c>
      <c r="AC111" s="5"/>
      <c r="AD111" s="40">
        <f>(Table5[[#This Row],[( S/S+T/B) AJD]]*1000)-((Table5[[#This Row],[(STORGE DIFF.) AJD]]*1000)+Table5[[#This Row],[AJD_Evaporation]]+(Table5[[#This Row],[(A/B + A/S) AJD]]*1000))</f>
        <v>0</v>
      </c>
      <c r="AE111" s="44"/>
      <c r="AF111" s="45"/>
      <c r="AG111" s="45"/>
      <c r="AH111" s="6">
        <f>Table5[[#This Row],[ (RESV. STORGE) BER]]/10</f>
        <v>0</v>
      </c>
      <c r="AI111" s="44"/>
      <c r="AJ111" s="44">
        <f>Table5[[#This Row],[(A/B) AJD]]-Table5[[#This Row],[BER_IN]]</f>
        <v>0</v>
      </c>
      <c r="AK111" s="45"/>
      <c r="AL111" s="45"/>
      <c r="AM111" s="32"/>
      <c r="AN111" s="32">
        <f>Table5[[#This Row],[ (RESV. STORGE) SER]]/10</f>
        <v>0</v>
      </c>
      <c r="AO111" s="68"/>
      <c r="AP111" s="104">
        <f>Table5[[#This Row],[(A/S) AJD]]-Table5[[#This Row],[SER_IN]]</f>
        <v>0</v>
      </c>
    </row>
    <row r="112" spans="1:42" ht="18.75" x14ac:dyDescent="0.25">
      <c r="A112" s="10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Table5[[#This Row],[ (T/B) SAR]]+Table5[[#This Row],[ (S/S) SAR]]</f>
        <v>0</v>
      </c>
      <c r="L112" s="41"/>
      <c r="M112" s="42"/>
      <c r="N112" s="42"/>
      <c r="O112" s="39"/>
      <c r="P112" s="3">
        <f>Table5[[#This Row],[ (S/S) SAR]]-Table5[[#This Row],[(S/S) AJD]]</f>
        <v>0</v>
      </c>
      <c r="Q112" s="39"/>
      <c r="R112" s="3">
        <f>Table5[[#This Row],[ (T/B) SAR]]-Table5[[#This Row],[(T/B) AJD]]</f>
        <v>0</v>
      </c>
      <c r="S112" s="3">
        <f>Table5[[#This Row],[S/S_CON.]]+Table5[[#This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Table5[[#This Row],[(RESV. STORGE) AJD]]/10</f>
        <v>0</v>
      </c>
      <c r="AB112" s="3">
        <f t="shared" si="7"/>
        <v>0</v>
      </c>
      <c r="AC112" s="5"/>
      <c r="AD112" s="39">
        <f>(Table5[[#This Row],[( S/S+T/B) AJD]]*1000)-((Table5[[#This Row],[(STORGE DIFF.) AJD]]*1000)+Table5[[#This Row],[AJD_Evaporation]]+(Table5[[#This Row],[(A/B + A/S) AJD]]*1000))</f>
        <v>0</v>
      </c>
      <c r="AE112" s="41"/>
      <c r="AF112" s="43"/>
      <c r="AG112" s="43"/>
      <c r="AH112" s="6">
        <f>Table5[[#This Row],[ (RESV. STORGE) BER]]/10</f>
        <v>0</v>
      </c>
      <c r="AI112" s="41"/>
      <c r="AJ112" s="41">
        <f>Table5[[#This Row],[(A/B) AJD]]-Table5[[#This Row],[BER_IN]]</f>
        <v>0</v>
      </c>
      <c r="AK112" s="43"/>
      <c r="AL112" s="43"/>
      <c r="AM112" s="32"/>
      <c r="AN112" s="32">
        <f>Table5[[#This Row],[ (RESV. STORGE) SER]]/10</f>
        <v>0</v>
      </c>
      <c r="AO112" s="68"/>
      <c r="AP112" s="104">
        <f>Table5[[#This Row],[(A/S) AJD]]-Table5[[#This Row],[SER_IN]]</f>
        <v>0</v>
      </c>
    </row>
    <row r="113" spans="1:42" ht="18.75" x14ac:dyDescent="0.25">
      <c r="A113" s="10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Table5[[#This Row],[ (T/B) SAR]]+Table5[[#This Row],[ (S/S) SAR]]</f>
        <v>0</v>
      </c>
      <c r="L113" s="45"/>
      <c r="M113" s="46"/>
      <c r="N113" s="46"/>
      <c r="O113" s="40"/>
      <c r="P113" s="3">
        <f>Table5[[#This Row],[ (S/S) SAR]]-Table5[[#This Row],[(S/S) AJD]]</f>
        <v>0</v>
      </c>
      <c r="Q113" s="40"/>
      <c r="R113" s="3">
        <f>Table5[[#This Row],[ (T/B) SAR]]-Table5[[#This Row],[(T/B) AJD]]</f>
        <v>0</v>
      </c>
      <c r="S113" s="3">
        <f>Table5[[#This Row],[S/S_CON.]]+Table5[[#This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Table5[[#This Row],[(RESV. STORGE) AJD]]/10</f>
        <v>0</v>
      </c>
      <c r="AB113" s="3">
        <f t="shared" si="7"/>
        <v>0</v>
      </c>
      <c r="AC113" s="5"/>
      <c r="AD113" s="40">
        <f>(Table5[[#This Row],[( S/S+T/B) AJD]]*1000)-((Table5[[#This Row],[(STORGE DIFF.) AJD]]*1000)+Table5[[#This Row],[AJD_Evaporation]]+(Table5[[#This Row],[(A/B + A/S) AJD]]*1000))</f>
        <v>0</v>
      </c>
      <c r="AE113" s="44"/>
      <c r="AF113" s="45"/>
      <c r="AG113" s="45"/>
      <c r="AH113" s="6">
        <f>Table5[[#This Row],[ (RESV. STORGE) BER]]/10</f>
        <v>0</v>
      </c>
      <c r="AI113" s="44"/>
      <c r="AJ113" s="44">
        <f>Table5[[#This Row],[(A/B) AJD]]-Table5[[#This Row],[BER_IN]]</f>
        <v>0</v>
      </c>
      <c r="AK113" s="45"/>
      <c r="AL113" s="45"/>
      <c r="AM113" s="32"/>
      <c r="AN113" s="32">
        <f>Table5[[#This Row],[ (RESV. STORGE) SER]]/10</f>
        <v>0</v>
      </c>
      <c r="AO113" s="68"/>
      <c r="AP113" s="104">
        <f>Table5[[#This Row],[(A/S) AJD]]-Table5[[#This Row],[SER_IN]]</f>
        <v>0</v>
      </c>
    </row>
    <row r="114" spans="1:42" ht="18.75" x14ac:dyDescent="0.25">
      <c r="A114" s="10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Table5[[#This Row],[ (T/B) SAR]]+Table5[[#This Row],[ (S/S) SAR]]</f>
        <v>0</v>
      </c>
      <c r="L114" s="41"/>
      <c r="M114" s="42"/>
      <c r="N114" s="42"/>
      <c r="O114" s="39"/>
      <c r="P114" s="3">
        <f>Table5[[#This Row],[ (S/S) SAR]]-Table5[[#This Row],[(S/S) AJD]]</f>
        <v>0</v>
      </c>
      <c r="Q114" s="39"/>
      <c r="R114" s="3">
        <f>Table5[[#This Row],[ (T/B) SAR]]-Table5[[#This Row],[(T/B) AJD]]</f>
        <v>0</v>
      </c>
      <c r="S114" s="3">
        <f>Table5[[#This Row],[S/S_CON.]]+Table5[[#This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Table5[[#This Row],[(RESV. STORGE) AJD]]/10</f>
        <v>0</v>
      </c>
      <c r="AB114" s="3">
        <f t="shared" si="7"/>
        <v>0</v>
      </c>
      <c r="AC114" s="5"/>
      <c r="AD114" s="39">
        <f>(Table5[[#This Row],[( S/S+T/B) AJD]]*1000)-((Table5[[#This Row],[(STORGE DIFF.) AJD]]*1000)+Table5[[#This Row],[AJD_Evaporation]]+(Table5[[#This Row],[(A/B + A/S) AJD]]*1000))</f>
        <v>0</v>
      </c>
      <c r="AE114" s="41"/>
      <c r="AF114" s="43"/>
      <c r="AG114" s="43"/>
      <c r="AH114" s="6">
        <f>Table5[[#This Row],[ (RESV. STORGE) BER]]/10</f>
        <v>0</v>
      </c>
      <c r="AI114" s="41"/>
      <c r="AJ114" s="41">
        <f>Table5[[#This Row],[(A/B) AJD]]-Table5[[#This Row],[BER_IN]]</f>
        <v>0</v>
      </c>
      <c r="AK114" s="43"/>
      <c r="AL114" s="43"/>
      <c r="AM114" s="32"/>
      <c r="AN114" s="32">
        <f>Table5[[#This Row],[ (RESV. STORGE) SER]]/10</f>
        <v>0</v>
      </c>
      <c r="AO114" s="68"/>
      <c r="AP114" s="104">
        <f>Table5[[#This Row],[(A/S) AJD]]-Table5[[#This Row],[SER_IN]]</f>
        <v>0</v>
      </c>
    </row>
    <row r="115" spans="1:42" ht="18.75" x14ac:dyDescent="0.25">
      <c r="A115" s="10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Table5[[#This Row],[ (T/B) SAR]]+Table5[[#This Row],[ (S/S) SAR]]</f>
        <v>0</v>
      </c>
      <c r="L115" s="45"/>
      <c r="M115" s="46"/>
      <c r="N115" s="46"/>
      <c r="O115" s="40"/>
      <c r="P115" s="3">
        <f>Table5[[#This Row],[ (S/S) SAR]]-Table5[[#This Row],[(S/S) AJD]]</f>
        <v>0</v>
      </c>
      <c r="Q115" s="40"/>
      <c r="R115" s="3">
        <f>Table5[[#This Row],[ (T/B) SAR]]-Table5[[#This Row],[(T/B) AJD]]</f>
        <v>0</v>
      </c>
      <c r="S115" s="3">
        <f>Table5[[#This Row],[S/S_CON.]]+Table5[[#This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Table5[[#This Row],[(RESV. STORGE) AJD]]/10</f>
        <v>0</v>
      </c>
      <c r="AB115" s="3">
        <f t="shared" si="7"/>
        <v>0</v>
      </c>
      <c r="AC115" s="5"/>
      <c r="AD115" s="40">
        <f>(Table5[[#This Row],[( S/S+T/B) AJD]]*1000)-((Table5[[#This Row],[(STORGE DIFF.) AJD]]*1000)+Table5[[#This Row],[AJD_Evaporation]]+(Table5[[#This Row],[(A/B + A/S) AJD]]*1000))</f>
        <v>0</v>
      </c>
      <c r="AE115" s="44"/>
      <c r="AF115" s="45"/>
      <c r="AG115" s="45"/>
      <c r="AH115" s="6">
        <f>Table5[[#This Row],[ (RESV. STORGE) BER]]/10</f>
        <v>0</v>
      </c>
      <c r="AI115" s="44"/>
      <c r="AJ115" s="44">
        <f>Table5[[#This Row],[(A/B) AJD]]-Table5[[#This Row],[BER_IN]]</f>
        <v>0</v>
      </c>
      <c r="AK115" s="45"/>
      <c r="AL115" s="45"/>
      <c r="AM115" s="32"/>
      <c r="AN115" s="32">
        <f>Table5[[#This Row],[ (RESV. STORGE) SER]]/10</f>
        <v>0</v>
      </c>
      <c r="AO115" s="68"/>
      <c r="AP115" s="104">
        <f>Table5[[#This Row],[(A/S) AJD]]-Table5[[#This Row],[SER_IN]]</f>
        <v>0</v>
      </c>
    </row>
    <row r="116" spans="1:42" ht="18.75" x14ac:dyDescent="0.25">
      <c r="A116" s="10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Table5[[#This Row],[ (T/B) SAR]]+Table5[[#This Row],[ (S/S) SAR]]</f>
        <v>0</v>
      </c>
      <c r="L116" s="41"/>
      <c r="M116" s="42"/>
      <c r="N116" s="42"/>
      <c r="O116" s="39"/>
      <c r="P116" s="3">
        <f>Table5[[#This Row],[ (S/S) SAR]]-Table5[[#This Row],[(S/S) AJD]]</f>
        <v>0</v>
      </c>
      <c r="Q116" s="39"/>
      <c r="R116" s="3">
        <f>Table5[[#This Row],[ (T/B) SAR]]-Table5[[#This Row],[(T/B) AJD]]</f>
        <v>0</v>
      </c>
      <c r="S116" s="3">
        <f>Table5[[#This Row],[S/S_CON.]]+Table5[[#This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Table5[[#This Row],[(RESV. STORGE) AJD]]/10</f>
        <v>0</v>
      </c>
      <c r="AB116" s="3">
        <f t="shared" si="7"/>
        <v>0</v>
      </c>
      <c r="AC116" s="5"/>
      <c r="AD116" s="39">
        <f>(Table5[[#This Row],[( S/S+T/B) AJD]]*1000)-((Table5[[#This Row],[(STORGE DIFF.) AJD]]*1000)+Table5[[#This Row],[AJD_Evaporation]]+(Table5[[#This Row],[(A/B + A/S) AJD]]*1000))</f>
        <v>0</v>
      </c>
      <c r="AE116" s="41"/>
      <c r="AF116" s="43"/>
      <c r="AG116" s="43"/>
      <c r="AH116" s="6">
        <f>Table5[[#This Row],[ (RESV. STORGE) BER]]/10</f>
        <v>0</v>
      </c>
      <c r="AI116" s="41"/>
      <c r="AJ116" s="41">
        <f>Table5[[#This Row],[(A/B) AJD]]-Table5[[#This Row],[BER_IN]]</f>
        <v>0</v>
      </c>
      <c r="AK116" s="43"/>
      <c r="AL116" s="43"/>
      <c r="AM116" s="32"/>
      <c r="AN116" s="32">
        <f>Table5[[#This Row],[ (RESV. STORGE) SER]]/10</f>
        <v>0</v>
      </c>
      <c r="AO116" s="68"/>
      <c r="AP116" s="104">
        <f>Table5[[#This Row],[(A/S) AJD]]-Table5[[#This Row],[SER_IN]]</f>
        <v>0</v>
      </c>
    </row>
    <row r="117" spans="1:42" ht="18.75" x14ac:dyDescent="0.25">
      <c r="A117" s="102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Table5[[#This Row],[ (T/B) SAR]]+Table5[[#This Row],[ (S/S) SAR]]</f>
        <v>0</v>
      </c>
      <c r="L117" s="45"/>
      <c r="M117" s="46"/>
      <c r="N117" s="46"/>
      <c r="O117" s="40"/>
      <c r="P117" s="3">
        <f>Table5[[#This Row],[ (S/S) SAR]]-Table5[[#This Row],[(S/S) AJD]]</f>
        <v>0</v>
      </c>
      <c r="Q117" s="40"/>
      <c r="R117" s="3">
        <f>Table5[[#This Row],[ (T/B) SAR]]-Table5[[#This Row],[(T/B) AJD]]</f>
        <v>0</v>
      </c>
      <c r="S117" s="3">
        <f>Table5[[#This Row],[S/S_CON.]]+Table5[[#This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Table5[[#This Row],[(RESV. STORGE) AJD]]/10</f>
        <v>0</v>
      </c>
      <c r="AB117" s="3">
        <f t="shared" si="7"/>
        <v>0</v>
      </c>
      <c r="AC117" s="5"/>
      <c r="AD117" s="40">
        <f>(Table5[[#This Row],[( S/S+T/B) AJD]]*1000)-((Table5[[#This Row],[(STORGE DIFF.) AJD]]*1000)+Table5[[#This Row],[AJD_Evaporation]]+(Table5[[#This Row],[(A/B + A/S) AJD]]*1000))</f>
        <v>0</v>
      </c>
      <c r="AE117" s="44"/>
      <c r="AF117" s="45"/>
      <c r="AG117" s="45"/>
      <c r="AH117" s="6">
        <f>Table5[[#This Row],[ (RESV. STORGE) BER]]/10</f>
        <v>0</v>
      </c>
      <c r="AI117" s="44"/>
      <c r="AJ117" s="44">
        <f>Table5[[#This Row],[(A/B) AJD]]-Table5[[#This Row],[BER_IN]]</f>
        <v>0</v>
      </c>
      <c r="AK117" s="45"/>
      <c r="AL117" s="45"/>
      <c r="AM117" s="32"/>
      <c r="AN117" s="32">
        <f>Table5[[#This Row],[ (RESV. STORGE) SER]]/10</f>
        <v>0</v>
      </c>
      <c r="AO117" s="68"/>
      <c r="AP117" s="104">
        <f>Table5[[#This Row],[(A/S) AJD]]-Table5[[#This Row],[SER_IN]]</f>
        <v>0</v>
      </c>
    </row>
    <row r="118" spans="1:42" ht="18.75" x14ac:dyDescent="0.25">
      <c r="A118" s="10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Table5[[#This Row],[ (T/B) SAR]]+Table5[[#This Row],[ (S/S) SAR]]</f>
        <v>0</v>
      </c>
      <c r="L118" s="41"/>
      <c r="M118" s="42"/>
      <c r="N118" s="42"/>
      <c r="O118" s="39"/>
      <c r="P118" s="3">
        <f>Table5[[#This Row],[ (S/S) SAR]]-Table5[[#This Row],[(S/S) AJD]]</f>
        <v>0</v>
      </c>
      <c r="Q118" s="39"/>
      <c r="R118" s="3">
        <f>Table5[[#This Row],[ (T/B) SAR]]-Table5[[#This Row],[(T/B) AJD]]</f>
        <v>0</v>
      </c>
      <c r="S118" s="3">
        <f>Table5[[#This Row],[S/S_CON.]]+Table5[[#This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Table5[[#This Row],[(RESV. STORGE) AJD]]/10</f>
        <v>0</v>
      </c>
      <c r="AB118" s="3">
        <f t="shared" si="7"/>
        <v>0</v>
      </c>
      <c r="AC118" s="5"/>
      <c r="AD118" s="39">
        <f>(Table5[[#This Row],[( S/S+T/B) AJD]]*1000)-((Table5[[#This Row],[(STORGE DIFF.) AJD]]*1000)+Table5[[#This Row],[AJD_Evaporation]]+(Table5[[#This Row],[(A/B + A/S) AJD]]*1000))</f>
        <v>0</v>
      </c>
      <c r="AE118" s="41"/>
      <c r="AF118" s="43"/>
      <c r="AG118" s="43"/>
      <c r="AH118" s="6">
        <f>Table5[[#This Row],[ (RESV. STORGE) BER]]/10</f>
        <v>0</v>
      </c>
      <c r="AI118" s="41"/>
      <c r="AJ118" s="41">
        <f>Table5[[#This Row],[(A/B) AJD]]-Table5[[#This Row],[BER_IN]]</f>
        <v>0</v>
      </c>
      <c r="AK118" s="43"/>
      <c r="AL118" s="43"/>
      <c r="AM118" s="32"/>
      <c r="AN118" s="32">
        <f>Table5[[#This Row],[ (RESV. STORGE) SER]]/10</f>
        <v>0</v>
      </c>
      <c r="AO118" s="68"/>
      <c r="AP118" s="104">
        <f>Table5[[#This Row],[(A/S) AJD]]-Table5[[#This Row],[SER_IN]]</f>
        <v>0</v>
      </c>
    </row>
    <row r="119" spans="1:42" ht="18.75" x14ac:dyDescent="0.25">
      <c r="A119" s="10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Table5[[#This Row],[ (T/B) SAR]]+Table5[[#This Row],[ (S/S) SAR]]</f>
        <v>0</v>
      </c>
      <c r="L119" s="45"/>
      <c r="M119" s="46"/>
      <c r="N119" s="46"/>
      <c r="O119" s="40"/>
      <c r="P119" s="3">
        <f>Table5[[#This Row],[ (S/S) SAR]]-Table5[[#This Row],[(S/S) AJD]]</f>
        <v>0</v>
      </c>
      <c r="Q119" s="40"/>
      <c r="R119" s="3">
        <f>Table5[[#This Row],[ (T/B) SAR]]-Table5[[#This Row],[(T/B) AJD]]</f>
        <v>0</v>
      </c>
      <c r="S119" s="3">
        <f>Table5[[#This Row],[S/S_CON.]]+Table5[[#This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Table5[[#This Row],[(RESV. STORGE) AJD]]/10</f>
        <v>0</v>
      </c>
      <c r="AB119" s="3">
        <f t="shared" si="7"/>
        <v>0</v>
      </c>
      <c r="AC119" s="5"/>
      <c r="AD119" s="40">
        <f>(Table5[[#This Row],[( S/S+T/B) AJD]]*1000)-((Table5[[#This Row],[(STORGE DIFF.) AJD]]*1000)+Table5[[#This Row],[AJD_Evaporation]]+(Table5[[#This Row],[(A/B + A/S) AJD]]*1000))</f>
        <v>0</v>
      </c>
      <c r="AE119" s="44"/>
      <c r="AF119" s="45"/>
      <c r="AG119" s="45"/>
      <c r="AH119" s="6">
        <f>Table5[[#This Row],[ (RESV. STORGE) BER]]/10</f>
        <v>0</v>
      </c>
      <c r="AI119" s="44"/>
      <c r="AJ119" s="44">
        <f>Table5[[#This Row],[(A/B) AJD]]-Table5[[#This Row],[BER_IN]]</f>
        <v>0</v>
      </c>
      <c r="AK119" s="45"/>
      <c r="AL119" s="45"/>
      <c r="AM119" s="32"/>
      <c r="AN119" s="32">
        <f>Table5[[#This Row],[ (RESV. STORGE) SER]]/10</f>
        <v>0</v>
      </c>
      <c r="AO119" s="68"/>
      <c r="AP119" s="104">
        <f>Table5[[#This Row],[(A/S) AJD]]-Table5[[#This Row],[SER_IN]]</f>
        <v>0</v>
      </c>
    </row>
    <row r="120" spans="1:42" ht="18.75" x14ac:dyDescent="0.25">
      <c r="A120" s="10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Table5[[#This Row],[ (T/B) SAR]]+Table5[[#This Row],[ (S/S) SAR]]</f>
        <v>0</v>
      </c>
      <c r="L120" s="41"/>
      <c r="M120" s="42"/>
      <c r="N120" s="42"/>
      <c r="O120" s="39"/>
      <c r="P120" s="3">
        <f>Table5[[#This Row],[ (S/S) SAR]]-Table5[[#This Row],[(S/S) AJD]]</f>
        <v>0</v>
      </c>
      <c r="Q120" s="39"/>
      <c r="R120" s="3">
        <f>Table5[[#This Row],[ (T/B) SAR]]-Table5[[#This Row],[(T/B) AJD]]</f>
        <v>0</v>
      </c>
      <c r="S120" s="3">
        <f>Table5[[#This Row],[S/S_CON.]]+Table5[[#This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Table5[[#This Row],[(RESV. STORGE) AJD]]/10</f>
        <v>0</v>
      </c>
      <c r="AB120" s="3">
        <f t="shared" si="7"/>
        <v>0</v>
      </c>
      <c r="AC120" s="5"/>
      <c r="AD120" s="39">
        <f>(Table5[[#This Row],[( S/S+T/B) AJD]]*1000)-((Table5[[#This Row],[(STORGE DIFF.) AJD]]*1000)+Table5[[#This Row],[AJD_Evaporation]]+(Table5[[#This Row],[(A/B + A/S) AJD]]*1000))</f>
        <v>0</v>
      </c>
      <c r="AE120" s="41"/>
      <c r="AF120" s="43"/>
      <c r="AG120" s="43"/>
      <c r="AH120" s="6">
        <f>Table5[[#This Row],[ (RESV. STORGE) BER]]/10</f>
        <v>0</v>
      </c>
      <c r="AI120" s="41"/>
      <c r="AJ120" s="41">
        <f>Table5[[#This Row],[(A/B) AJD]]-Table5[[#This Row],[BER_IN]]</f>
        <v>0</v>
      </c>
      <c r="AK120" s="43"/>
      <c r="AL120" s="43"/>
      <c r="AM120" s="32"/>
      <c r="AN120" s="32">
        <f>Table5[[#This Row],[ (RESV. STORGE) SER]]/10</f>
        <v>0</v>
      </c>
      <c r="AO120" s="68"/>
      <c r="AP120" s="104">
        <f>Table5[[#This Row],[(A/S) AJD]]-Table5[[#This Row],[SER_IN]]</f>
        <v>0</v>
      </c>
    </row>
    <row r="121" spans="1:42" ht="18.75" x14ac:dyDescent="0.25">
      <c r="A121" s="10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Table5[[#This Row],[ (T/B) SAR]]+Table5[[#This Row],[ (S/S) SAR]]</f>
        <v>0</v>
      </c>
      <c r="L121" s="45"/>
      <c r="M121" s="46"/>
      <c r="N121" s="46"/>
      <c r="O121" s="40"/>
      <c r="P121" s="3">
        <f>Table5[[#This Row],[ (S/S) SAR]]-Table5[[#This Row],[(S/S) AJD]]</f>
        <v>0</v>
      </c>
      <c r="Q121" s="40"/>
      <c r="R121" s="3">
        <f>Table5[[#This Row],[ (T/B) SAR]]-Table5[[#This Row],[(T/B) AJD]]</f>
        <v>0</v>
      </c>
      <c r="S121" s="3">
        <f>Table5[[#This Row],[S/S_CON.]]+Table5[[#This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Table5[[#This Row],[(RESV. STORGE) AJD]]/10</f>
        <v>0</v>
      </c>
      <c r="AB121" s="3">
        <f t="shared" si="7"/>
        <v>0</v>
      </c>
      <c r="AC121" s="5"/>
      <c r="AD121" s="40">
        <f>(Table5[[#This Row],[( S/S+T/B) AJD]]*1000)-((Table5[[#This Row],[(STORGE DIFF.) AJD]]*1000)+Table5[[#This Row],[AJD_Evaporation]]+(Table5[[#This Row],[(A/B + A/S) AJD]]*1000))</f>
        <v>0</v>
      </c>
      <c r="AE121" s="44"/>
      <c r="AF121" s="45"/>
      <c r="AG121" s="45"/>
      <c r="AH121" s="6">
        <f>Table5[[#This Row],[ (RESV. STORGE) BER]]/10</f>
        <v>0</v>
      </c>
      <c r="AI121" s="44"/>
      <c r="AJ121" s="44">
        <f>Table5[[#This Row],[(A/B) AJD]]-Table5[[#This Row],[BER_IN]]</f>
        <v>0</v>
      </c>
      <c r="AK121" s="45"/>
      <c r="AL121" s="45"/>
      <c r="AM121" s="32"/>
      <c r="AN121" s="32">
        <f>Table5[[#This Row],[ (RESV. STORGE) SER]]/10</f>
        <v>0</v>
      </c>
      <c r="AO121" s="68"/>
      <c r="AP121" s="104">
        <f>Table5[[#This Row],[(A/S) AJD]]-Table5[[#This Row],[SER_IN]]</f>
        <v>0</v>
      </c>
    </row>
    <row r="122" spans="1:42" ht="18.75" x14ac:dyDescent="0.25">
      <c r="A122" s="10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Table5[[#This Row],[ (T/B) SAR]]+Table5[[#This Row],[ (S/S) SAR]]</f>
        <v>0</v>
      </c>
      <c r="L122" s="41"/>
      <c r="M122" s="42"/>
      <c r="N122" s="42"/>
      <c r="O122" s="39"/>
      <c r="P122" s="3">
        <f>Table5[[#This Row],[ (S/S) SAR]]-Table5[[#This Row],[(S/S) AJD]]</f>
        <v>0</v>
      </c>
      <c r="Q122" s="39"/>
      <c r="R122" s="3">
        <f>Table5[[#This Row],[ (T/B) SAR]]-Table5[[#This Row],[(T/B) AJD]]</f>
        <v>0</v>
      </c>
      <c r="S122" s="3">
        <f>Table5[[#This Row],[S/S_CON.]]+Table5[[#This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Table5[[#This Row],[(RESV. STORGE) AJD]]/10</f>
        <v>0</v>
      </c>
      <c r="AB122" s="3">
        <f t="shared" si="7"/>
        <v>0</v>
      </c>
      <c r="AC122" s="5"/>
      <c r="AD122" s="39">
        <f>(Table5[[#This Row],[( S/S+T/B) AJD]]*1000)-((Table5[[#This Row],[(STORGE DIFF.) AJD]]*1000)+Table5[[#This Row],[AJD_Evaporation]]+(Table5[[#This Row],[(A/B + A/S) AJD]]*1000))</f>
        <v>0</v>
      </c>
      <c r="AE122" s="41"/>
      <c r="AF122" s="43"/>
      <c r="AG122" s="43"/>
      <c r="AH122" s="6">
        <f>Table5[[#This Row],[ (RESV. STORGE) BER]]/10</f>
        <v>0</v>
      </c>
      <c r="AI122" s="41"/>
      <c r="AJ122" s="41">
        <f>Table5[[#This Row],[(A/B) AJD]]-Table5[[#This Row],[BER_IN]]</f>
        <v>0</v>
      </c>
      <c r="AK122" s="43"/>
      <c r="AL122" s="43"/>
      <c r="AM122" s="32"/>
      <c r="AN122" s="32">
        <f>Table5[[#This Row],[ (RESV. STORGE) SER]]/10</f>
        <v>0</v>
      </c>
      <c r="AO122" s="68"/>
      <c r="AP122" s="104">
        <f>Table5[[#This Row],[(A/S) AJD]]-Table5[[#This Row],[SER_IN]]</f>
        <v>0</v>
      </c>
    </row>
    <row r="123" spans="1:42" ht="18.75" x14ac:dyDescent="0.25">
      <c r="A123" s="10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Table5[[#This Row],[ (T/B) SAR]]+Table5[[#This Row],[ (S/S) SAR]]</f>
        <v>0</v>
      </c>
      <c r="L123" s="45"/>
      <c r="M123" s="46"/>
      <c r="N123" s="46"/>
      <c r="O123" s="40"/>
      <c r="P123" s="3">
        <f>Table5[[#This Row],[ (S/S) SAR]]-Table5[[#This Row],[(S/S) AJD]]</f>
        <v>0</v>
      </c>
      <c r="Q123" s="40"/>
      <c r="R123" s="3">
        <f>Table5[[#This Row],[ (T/B) SAR]]-Table5[[#This Row],[(T/B) AJD]]</f>
        <v>0</v>
      </c>
      <c r="S123" s="3">
        <f>Table5[[#This Row],[S/S_CON.]]+Table5[[#This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Table5[[#This Row],[(RESV. STORGE) AJD]]/10</f>
        <v>0</v>
      </c>
      <c r="AB123" s="3">
        <f t="shared" si="7"/>
        <v>0</v>
      </c>
      <c r="AC123" s="5"/>
      <c r="AD123" s="40">
        <f>(Table5[[#This Row],[( S/S+T/B) AJD]]*1000)-((Table5[[#This Row],[(STORGE DIFF.) AJD]]*1000)+Table5[[#This Row],[AJD_Evaporation]]+(Table5[[#This Row],[(A/B + A/S) AJD]]*1000))</f>
        <v>0</v>
      </c>
      <c r="AE123" s="44"/>
      <c r="AF123" s="45"/>
      <c r="AG123" s="45"/>
      <c r="AH123" s="6">
        <f>Table5[[#This Row],[ (RESV. STORGE) BER]]/10</f>
        <v>0</v>
      </c>
      <c r="AI123" s="44"/>
      <c r="AJ123" s="44">
        <f>Table5[[#This Row],[(A/B) AJD]]-Table5[[#This Row],[BER_IN]]</f>
        <v>0</v>
      </c>
      <c r="AK123" s="45"/>
      <c r="AL123" s="45"/>
      <c r="AM123" s="32"/>
      <c r="AN123" s="32">
        <f>Table5[[#This Row],[ (RESV. STORGE) SER]]/10</f>
        <v>0</v>
      </c>
      <c r="AO123" s="68"/>
      <c r="AP123" s="104">
        <f>Table5[[#This Row],[(A/S) AJD]]-Table5[[#This Row],[SER_IN]]</f>
        <v>0</v>
      </c>
    </row>
    <row r="124" spans="1:42" ht="18.75" x14ac:dyDescent="0.25">
      <c r="A124" s="10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Table5[[#This Row],[ (T/B) SAR]]+Table5[[#This Row],[ (S/S) SAR]]</f>
        <v>0</v>
      </c>
      <c r="L124" s="41"/>
      <c r="M124" s="42"/>
      <c r="N124" s="42"/>
      <c r="O124" s="39"/>
      <c r="P124" s="3">
        <f>Table5[[#This Row],[ (S/S) SAR]]-Table5[[#This Row],[(S/S) AJD]]</f>
        <v>0</v>
      </c>
      <c r="Q124" s="39"/>
      <c r="R124" s="3">
        <f>Table5[[#This Row],[ (T/B) SAR]]-Table5[[#This Row],[(T/B) AJD]]</f>
        <v>0</v>
      </c>
      <c r="S124" s="3">
        <f>Table5[[#This Row],[S/S_CON.]]+Table5[[#This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Table5[[#This Row],[(RESV. STORGE) AJD]]/10</f>
        <v>0</v>
      </c>
      <c r="AB124" s="3">
        <f t="shared" si="7"/>
        <v>0</v>
      </c>
      <c r="AC124" s="5"/>
      <c r="AD124" s="39">
        <f>(Table5[[#This Row],[( S/S+T/B) AJD]]*1000)-((Table5[[#This Row],[(STORGE DIFF.) AJD]]*1000)+Table5[[#This Row],[AJD_Evaporation]]+(Table5[[#This Row],[(A/B + A/S) AJD]]*1000))</f>
        <v>0</v>
      </c>
      <c r="AE124" s="41"/>
      <c r="AF124" s="43"/>
      <c r="AG124" s="43"/>
      <c r="AH124" s="6">
        <f>Table5[[#This Row],[ (RESV. STORGE) BER]]/10</f>
        <v>0</v>
      </c>
      <c r="AI124" s="41"/>
      <c r="AJ124" s="41">
        <f>Table5[[#This Row],[(A/B) AJD]]-Table5[[#This Row],[BER_IN]]</f>
        <v>0</v>
      </c>
      <c r="AK124" s="43"/>
      <c r="AL124" s="43"/>
      <c r="AM124" s="32"/>
      <c r="AN124" s="32">
        <f>Table5[[#This Row],[ (RESV. STORGE) SER]]/10</f>
        <v>0</v>
      </c>
      <c r="AO124" s="68"/>
      <c r="AP124" s="104">
        <f>Table5[[#This Row],[(A/S) AJD]]-Table5[[#This Row],[SER_IN]]</f>
        <v>0</v>
      </c>
    </row>
    <row r="125" spans="1:42" ht="18.75" x14ac:dyDescent="0.25">
      <c r="A125" s="10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Table5[[#This Row],[ (T/B) SAR]]+Table5[[#This Row],[ (S/S) SAR]]</f>
        <v>0</v>
      </c>
      <c r="L125" s="45"/>
      <c r="M125" s="46"/>
      <c r="N125" s="46"/>
      <c r="O125" s="40"/>
      <c r="P125" s="3">
        <f>Table5[[#This Row],[ (S/S) SAR]]-Table5[[#This Row],[(S/S) AJD]]</f>
        <v>0</v>
      </c>
      <c r="Q125" s="40"/>
      <c r="R125" s="3">
        <f>Table5[[#This Row],[ (T/B) SAR]]-Table5[[#This Row],[(T/B) AJD]]</f>
        <v>0</v>
      </c>
      <c r="S125" s="3">
        <f>Table5[[#This Row],[S/S_CON.]]+Table5[[#This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Table5[[#This Row],[(RESV. STORGE) AJD]]/10</f>
        <v>0</v>
      </c>
      <c r="AB125" s="3">
        <f t="shared" si="7"/>
        <v>0</v>
      </c>
      <c r="AC125" s="5"/>
      <c r="AD125" s="40">
        <f>(Table5[[#This Row],[( S/S+T/B) AJD]]*1000)-((Table5[[#This Row],[(STORGE DIFF.) AJD]]*1000)+Table5[[#This Row],[AJD_Evaporation]]+(Table5[[#This Row],[(A/B + A/S) AJD]]*1000))</f>
        <v>0</v>
      </c>
      <c r="AE125" s="44"/>
      <c r="AF125" s="45"/>
      <c r="AG125" s="45"/>
      <c r="AH125" s="6">
        <f>Table5[[#This Row],[ (RESV. STORGE) BER]]/10</f>
        <v>0</v>
      </c>
      <c r="AI125" s="44"/>
      <c r="AJ125" s="44">
        <f>Table5[[#This Row],[(A/B) AJD]]-Table5[[#This Row],[BER_IN]]</f>
        <v>0</v>
      </c>
      <c r="AK125" s="45"/>
      <c r="AL125" s="45"/>
      <c r="AM125" s="32"/>
      <c r="AN125" s="32">
        <f>Table5[[#This Row],[ (RESV. STORGE) SER]]/10</f>
        <v>0</v>
      </c>
      <c r="AO125" s="68"/>
      <c r="AP125" s="104">
        <f>Table5[[#This Row],[(A/S) AJD]]-Table5[[#This Row],[SER_IN]]</f>
        <v>0</v>
      </c>
    </row>
    <row r="126" spans="1:42" ht="18.75" x14ac:dyDescent="0.25">
      <c r="A126" s="10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Table5[[#This Row],[ (T/B) SAR]]+Table5[[#This Row],[ (S/S) SAR]]</f>
        <v>0</v>
      </c>
      <c r="L126" s="41"/>
      <c r="M126" s="42"/>
      <c r="N126" s="42"/>
      <c r="O126" s="39"/>
      <c r="P126" s="3">
        <f>Table5[[#This Row],[ (S/S) SAR]]-Table5[[#This Row],[(S/S) AJD]]</f>
        <v>0</v>
      </c>
      <c r="Q126" s="39"/>
      <c r="R126" s="3">
        <f>Table5[[#This Row],[ (T/B) SAR]]-Table5[[#This Row],[(T/B) AJD]]</f>
        <v>0</v>
      </c>
      <c r="S126" s="3">
        <f>Table5[[#This Row],[S/S_CON.]]+Table5[[#This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Table5[[#This Row],[(RESV. STORGE) AJD]]/10</f>
        <v>0</v>
      </c>
      <c r="AB126" s="3">
        <f t="shared" si="7"/>
        <v>0</v>
      </c>
      <c r="AC126" s="5"/>
      <c r="AD126" s="39">
        <f>(Table5[[#This Row],[( S/S+T/B) AJD]]*1000)-((Table5[[#This Row],[(STORGE DIFF.) AJD]]*1000)+Table5[[#This Row],[AJD_Evaporation]]+(Table5[[#This Row],[(A/B + A/S) AJD]]*1000))</f>
        <v>0</v>
      </c>
      <c r="AE126" s="41"/>
      <c r="AF126" s="43"/>
      <c r="AG126" s="43"/>
      <c r="AH126" s="6">
        <f>Table5[[#This Row],[ (RESV. STORGE) BER]]/10</f>
        <v>0</v>
      </c>
      <c r="AI126" s="41"/>
      <c r="AJ126" s="41">
        <f>Table5[[#This Row],[(A/B) AJD]]-Table5[[#This Row],[BER_IN]]</f>
        <v>0</v>
      </c>
      <c r="AK126" s="43"/>
      <c r="AL126" s="43"/>
      <c r="AM126" s="32"/>
      <c r="AN126" s="32">
        <f>Table5[[#This Row],[ (RESV. STORGE) SER]]/10</f>
        <v>0</v>
      </c>
      <c r="AO126" s="68"/>
      <c r="AP126" s="104">
        <f>Table5[[#This Row],[(A/S) AJD]]-Table5[[#This Row],[SER_IN]]</f>
        <v>0</v>
      </c>
    </row>
    <row r="127" spans="1:42" ht="18.75" x14ac:dyDescent="0.25">
      <c r="A127" s="10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Table5[[#This Row],[ (T/B) SAR]]+Table5[[#This Row],[ (S/S) SAR]]</f>
        <v>0</v>
      </c>
      <c r="L127" s="45"/>
      <c r="M127" s="46"/>
      <c r="N127" s="46"/>
      <c r="O127" s="40"/>
      <c r="P127" s="3">
        <f>Table5[[#This Row],[ (S/S) SAR]]-Table5[[#This Row],[(S/S) AJD]]</f>
        <v>0</v>
      </c>
      <c r="Q127" s="40"/>
      <c r="R127" s="3">
        <f>Table5[[#This Row],[ (T/B) SAR]]-Table5[[#This Row],[(T/B) AJD]]</f>
        <v>0</v>
      </c>
      <c r="S127" s="3">
        <f>Table5[[#This Row],[S/S_CON.]]+Table5[[#This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Table5[[#This Row],[(RESV. STORGE) AJD]]/10</f>
        <v>0</v>
      </c>
      <c r="AB127" s="3">
        <f t="shared" si="7"/>
        <v>0</v>
      </c>
      <c r="AC127" s="5"/>
      <c r="AD127" s="40">
        <f>(Table5[[#This Row],[( S/S+T/B) AJD]]*1000)-((Table5[[#This Row],[(STORGE DIFF.) AJD]]*1000)+Table5[[#This Row],[AJD_Evaporation]]+(Table5[[#This Row],[(A/B + A/S) AJD]]*1000))</f>
        <v>0</v>
      </c>
      <c r="AE127" s="44"/>
      <c r="AF127" s="45"/>
      <c r="AG127" s="45"/>
      <c r="AH127" s="6">
        <f>Table5[[#This Row],[ (RESV. STORGE) BER]]/10</f>
        <v>0</v>
      </c>
      <c r="AI127" s="44"/>
      <c r="AJ127" s="44">
        <f>Table5[[#This Row],[(A/B) AJD]]-Table5[[#This Row],[BER_IN]]</f>
        <v>0</v>
      </c>
      <c r="AK127" s="45"/>
      <c r="AL127" s="45"/>
      <c r="AM127" s="32"/>
      <c r="AN127" s="32">
        <f>Table5[[#This Row],[ (RESV. STORGE) SER]]/10</f>
        <v>0</v>
      </c>
      <c r="AO127" s="68"/>
      <c r="AP127" s="104">
        <f>Table5[[#This Row],[(A/S) AJD]]-Table5[[#This Row],[SER_IN]]</f>
        <v>0</v>
      </c>
    </row>
    <row r="128" spans="1:42" ht="18.75" x14ac:dyDescent="0.25">
      <c r="A128" s="10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Table5[[#This Row],[ (T/B) SAR]]+Table5[[#This Row],[ (S/S) SAR]]</f>
        <v>0</v>
      </c>
      <c r="L128" s="41"/>
      <c r="M128" s="42"/>
      <c r="N128" s="42"/>
      <c r="O128" s="39"/>
      <c r="P128" s="3">
        <f>Table5[[#This Row],[ (S/S) SAR]]-Table5[[#This Row],[(S/S) AJD]]</f>
        <v>0</v>
      </c>
      <c r="Q128" s="39"/>
      <c r="R128" s="3">
        <f>Table5[[#This Row],[ (T/B) SAR]]-Table5[[#This Row],[(T/B) AJD]]</f>
        <v>0</v>
      </c>
      <c r="S128" s="3">
        <f>Table5[[#This Row],[S/S_CON.]]+Table5[[#This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Table5[[#This Row],[(RESV. STORGE) AJD]]/10</f>
        <v>0</v>
      </c>
      <c r="AB128" s="3">
        <f t="shared" si="7"/>
        <v>0</v>
      </c>
      <c r="AC128" s="5"/>
      <c r="AD128" s="39">
        <f>(Table5[[#This Row],[( S/S+T/B) AJD]]*1000)-((Table5[[#This Row],[(STORGE DIFF.) AJD]]*1000)+Table5[[#This Row],[AJD_Evaporation]]+(Table5[[#This Row],[(A/B + A/S) AJD]]*1000))</f>
        <v>0</v>
      </c>
      <c r="AE128" s="41"/>
      <c r="AF128" s="43"/>
      <c r="AG128" s="43"/>
      <c r="AH128" s="6">
        <f>Table5[[#This Row],[ (RESV. STORGE) BER]]/10</f>
        <v>0</v>
      </c>
      <c r="AI128" s="41"/>
      <c r="AJ128" s="41">
        <f>Table5[[#This Row],[(A/B) AJD]]-Table5[[#This Row],[BER_IN]]</f>
        <v>0</v>
      </c>
      <c r="AK128" s="43"/>
      <c r="AL128" s="43"/>
      <c r="AM128" s="32"/>
      <c r="AN128" s="32">
        <f>Table5[[#This Row],[ (RESV. STORGE) SER]]/10</f>
        <v>0</v>
      </c>
      <c r="AO128" s="68"/>
      <c r="AP128" s="104">
        <f>Table5[[#This Row],[(A/S) AJD]]-Table5[[#This Row],[SER_IN]]</f>
        <v>0</v>
      </c>
    </row>
    <row r="129" spans="1:42" ht="18.75" x14ac:dyDescent="0.25">
      <c r="A129" s="10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Table5[[#This Row],[ (T/B) SAR]]+Table5[[#This Row],[ (S/S) SAR]]</f>
        <v>0</v>
      </c>
      <c r="L129" s="45"/>
      <c r="M129" s="46"/>
      <c r="N129" s="46"/>
      <c r="O129" s="40"/>
      <c r="P129" s="3">
        <f>Table5[[#This Row],[ (S/S) SAR]]-Table5[[#This Row],[(S/S) AJD]]</f>
        <v>0</v>
      </c>
      <c r="Q129" s="40"/>
      <c r="R129" s="3">
        <f>Table5[[#This Row],[ (T/B) SAR]]-Table5[[#This Row],[(T/B) AJD]]</f>
        <v>0</v>
      </c>
      <c r="S129" s="3">
        <f>Table5[[#This Row],[S/S_CON.]]+Table5[[#This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Table5[[#This Row],[(RESV. STORGE) AJD]]/10</f>
        <v>0</v>
      </c>
      <c r="AB129" s="3">
        <f t="shared" si="7"/>
        <v>0</v>
      </c>
      <c r="AC129" s="5"/>
      <c r="AD129" s="40">
        <f>(Table5[[#This Row],[( S/S+T/B) AJD]]*1000)-((Table5[[#This Row],[(STORGE DIFF.) AJD]]*1000)+Table5[[#This Row],[AJD_Evaporation]]+(Table5[[#This Row],[(A/B + A/S) AJD]]*1000))</f>
        <v>0</v>
      </c>
      <c r="AE129" s="44"/>
      <c r="AF129" s="45"/>
      <c r="AG129" s="45"/>
      <c r="AH129" s="6">
        <f>Table5[[#This Row],[ (RESV. STORGE) BER]]/10</f>
        <v>0</v>
      </c>
      <c r="AI129" s="44"/>
      <c r="AJ129" s="44">
        <f>Table5[[#This Row],[(A/B) AJD]]-Table5[[#This Row],[BER_IN]]</f>
        <v>0</v>
      </c>
      <c r="AK129" s="45"/>
      <c r="AL129" s="45"/>
      <c r="AM129" s="32"/>
      <c r="AN129" s="32">
        <f>Table5[[#This Row],[ (RESV. STORGE) SER]]/10</f>
        <v>0</v>
      </c>
      <c r="AO129" s="68"/>
      <c r="AP129" s="104">
        <f>Table5[[#This Row],[(A/S) AJD]]-Table5[[#This Row],[SER_IN]]</f>
        <v>0</v>
      </c>
    </row>
    <row r="130" spans="1:42" ht="18.75" x14ac:dyDescent="0.25">
      <c r="A130" s="10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Table5[[#This Row],[ (T/B) SAR]]+Table5[[#This Row],[ (S/S) SAR]]</f>
        <v>0</v>
      </c>
      <c r="L130" s="41"/>
      <c r="M130" s="42"/>
      <c r="N130" s="42"/>
      <c r="O130" s="39"/>
      <c r="P130" s="3">
        <f>Table5[[#This Row],[ (S/S) SAR]]-Table5[[#This Row],[(S/S) AJD]]</f>
        <v>0</v>
      </c>
      <c r="Q130" s="39"/>
      <c r="R130" s="3">
        <f>Table5[[#This Row],[ (T/B) SAR]]-Table5[[#This Row],[(T/B) AJD]]</f>
        <v>0</v>
      </c>
      <c r="S130" s="3">
        <f>Table5[[#This Row],[S/S_CON.]]+Table5[[#This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Table5[[#This Row],[(RESV. STORGE) AJD]]/10</f>
        <v>0</v>
      </c>
      <c r="AB130" s="3">
        <f t="shared" si="7"/>
        <v>0</v>
      </c>
      <c r="AC130" s="5"/>
      <c r="AD130" s="39">
        <f>(Table5[[#This Row],[( S/S+T/B) AJD]]*1000)-((Table5[[#This Row],[(STORGE DIFF.) AJD]]*1000)+Table5[[#This Row],[AJD_Evaporation]]+(Table5[[#This Row],[(A/B + A/S) AJD]]*1000))</f>
        <v>0</v>
      </c>
      <c r="AE130" s="41"/>
      <c r="AF130" s="43"/>
      <c r="AG130" s="43"/>
      <c r="AH130" s="6">
        <f>Table5[[#This Row],[ (RESV. STORGE) BER]]/10</f>
        <v>0</v>
      </c>
      <c r="AI130" s="41"/>
      <c r="AJ130" s="41">
        <f>Table5[[#This Row],[(A/B) AJD]]-Table5[[#This Row],[BER_IN]]</f>
        <v>0</v>
      </c>
      <c r="AK130" s="43"/>
      <c r="AL130" s="43"/>
      <c r="AM130" s="32"/>
      <c r="AN130" s="32">
        <f>Table5[[#This Row],[ (RESV. STORGE) SER]]/10</f>
        <v>0</v>
      </c>
      <c r="AO130" s="68"/>
      <c r="AP130" s="104">
        <f>Table5[[#This Row],[(A/S) AJD]]-Table5[[#This Row],[SER_IN]]</f>
        <v>0</v>
      </c>
    </row>
    <row r="131" spans="1:42" ht="18.75" x14ac:dyDescent="0.25">
      <c r="A131" s="10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Table5[[#This Row],[ (T/B) SAR]]+Table5[[#This Row],[ (S/S) SAR]]</f>
        <v>0</v>
      </c>
      <c r="L131" s="45"/>
      <c r="M131" s="46"/>
      <c r="N131" s="46"/>
      <c r="O131" s="40"/>
      <c r="P131" s="3">
        <f>Table5[[#This Row],[ (S/S) SAR]]-Table5[[#This Row],[(S/S) AJD]]</f>
        <v>0</v>
      </c>
      <c r="Q131" s="40"/>
      <c r="R131" s="3">
        <f>Table5[[#This Row],[ (T/B) SAR]]-Table5[[#This Row],[(T/B) AJD]]</f>
        <v>0</v>
      </c>
      <c r="S131" s="3">
        <f>Table5[[#This Row],[S/S_CON.]]+Table5[[#This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Table5[[#This Row],[(RESV. STORGE) AJD]]/10</f>
        <v>0</v>
      </c>
      <c r="AB131" s="3">
        <f t="shared" si="7"/>
        <v>0</v>
      </c>
      <c r="AC131" s="5"/>
      <c r="AD131" s="40">
        <f>(Table5[[#This Row],[( S/S+T/B) AJD]]*1000)-((Table5[[#This Row],[(STORGE DIFF.) AJD]]*1000)+Table5[[#This Row],[AJD_Evaporation]]+(Table5[[#This Row],[(A/B + A/S) AJD]]*1000))</f>
        <v>0</v>
      </c>
      <c r="AE131" s="44"/>
      <c r="AF131" s="45"/>
      <c r="AG131" s="45"/>
      <c r="AH131" s="6">
        <f>Table5[[#This Row],[ (RESV. STORGE) BER]]/10</f>
        <v>0</v>
      </c>
      <c r="AI131" s="44"/>
      <c r="AJ131" s="44">
        <f>Table5[[#This Row],[(A/B) AJD]]-Table5[[#This Row],[BER_IN]]</f>
        <v>0</v>
      </c>
      <c r="AK131" s="45"/>
      <c r="AL131" s="45"/>
      <c r="AM131" s="32"/>
      <c r="AN131" s="32">
        <f>Table5[[#This Row],[ (RESV. STORGE) SER]]/10</f>
        <v>0</v>
      </c>
      <c r="AO131" s="68"/>
      <c r="AP131" s="104">
        <f>Table5[[#This Row],[(A/S) AJD]]-Table5[[#This Row],[SER_IN]]</f>
        <v>0</v>
      </c>
    </row>
    <row r="132" spans="1:42" ht="18.75" x14ac:dyDescent="0.25">
      <c r="A132" s="10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Table5[[#This Row],[ (T/B) SAR]]+Table5[[#This Row],[ (S/S) SAR]]</f>
        <v>0</v>
      </c>
      <c r="L132" s="41"/>
      <c r="M132" s="42"/>
      <c r="N132" s="42"/>
      <c r="O132" s="39"/>
      <c r="P132" s="3">
        <f>Table5[[#This Row],[ (S/S) SAR]]-Table5[[#This Row],[(S/S) AJD]]</f>
        <v>0</v>
      </c>
      <c r="Q132" s="39"/>
      <c r="R132" s="3">
        <f>Table5[[#This Row],[ (T/B) SAR]]-Table5[[#This Row],[(T/B) AJD]]</f>
        <v>0</v>
      </c>
      <c r="S132" s="3">
        <f>Table5[[#This Row],[S/S_CON.]]+Table5[[#This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Table5[[#This Row],[(RESV. STORGE) AJD]]/10</f>
        <v>0</v>
      </c>
      <c r="AB132" s="3">
        <f t="shared" ref="AB132:AB195" si="11">IF(TRIM(Z132)="",,(Z132-Z131)/1000)</f>
        <v>0</v>
      </c>
      <c r="AC132" s="5"/>
      <c r="AD132" s="39">
        <f>(Table5[[#This Row],[( S/S+T/B) AJD]]*1000)-((Table5[[#This Row],[(STORGE DIFF.) AJD]]*1000)+Table5[[#This Row],[AJD_Evaporation]]+(Table5[[#This Row],[(A/B + A/S) AJD]]*1000))</f>
        <v>0</v>
      </c>
      <c r="AE132" s="41"/>
      <c r="AF132" s="43"/>
      <c r="AG132" s="68"/>
      <c r="AH132" s="6">
        <f>Table5[[#This Row],[ (RESV. STORGE) BER]]/10</f>
        <v>0</v>
      </c>
      <c r="AI132" s="41"/>
      <c r="AJ132" s="69">
        <f>Table5[[#This Row],[(A/B) AJD]]-Table5[[#This Row],[BER_IN]]</f>
        <v>0</v>
      </c>
      <c r="AK132" s="43"/>
      <c r="AL132" s="43"/>
      <c r="AM132" s="32"/>
      <c r="AN132" s="32">
        <f>Table5[[#This Row],[ (RESV. STORGE) SER]]/10</f>
        <v>0</v>
      </c>
      <c r="AO132" s="68"/>
      <c r="AP132" s="104">
        <f>Table5[[#This Row],[(A/S) AJD]]-Table5[[#This Row],[SER_IN]]</f>
        <v>0</v>
      </c>
    </row>
    <row r="133" spans="1:42" ht="18.75" x14ac:dyDescent="0.25">
      <c r="A133" s="10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Table5[[#This Row],[ (T/B) SAR]]+Table5[[#This Row],[ (S/S) SAR]]</f>
        <v>0</v>
      </c>
      <c r="L133" s="45"/>
      <c r="M133" s="46"/>
      <c r="N133" s="46"/>
      <c r="O133" s="40"/>
      <c r="P133" s="3">
        <f>Table5[[#This Row],[ (S/S) SAR]]-Table5[[#This Row],[(S/S) AJD]]</f>
        <v>0</v>
      </c>
      <c r="Q133" s="40"/>
      <c r="R133" s="3">
        <f>Table5[[#This Row],[ (T/B) SAR]]-Table5[[#This Row],[(T/B) AJD]]</f>
        <v>0</v>
      </c>
      <c r="S133" s="3">
        <f>Table5[[#This Row],[S/S_CON.]]+Table5[[#This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Table5[[#This Row],[(RESV. STORGE) AJD]]/10</f>
        <v>0</v>
      </c>
      <c r="AB133" s="3">
        <f t="shared" si="11"/>
        <v>0</v>
      </c>
      <c r="AC133" s="5"/>
      <c r="AD133" s="40">
        <f>(Table5[[#This Row],[( S/S+T/B) AJD]]*1000)-((Table5[[#This Row],[(STORGE DIFF.) AJD]]*1000)+Table5[[#This Row],[AJD_Evaporation]]+(Table5[[#This Row],[(A/B + A/S) AJD]]*1000))</f>
        <v>0</v>
      </c>
      <c r="AE133" s="44"/>
      <c r="AF133" s="45"/>
      <c r="AG133" s="45"/>
      <c r="AH133" s="6">
        <f>Table5[[#This Row],[ (RESV. STORGE) BER]]/10</f>
        <v>0</v>
      </c>
      <c r="AI133" s="44"/>
      <c r="AJ133" s="44">
        <f>Table5[[#This Row],[(A/B) AJD]]-Table5[[#This Row],[BER_IN]]</f>
        <v>0</v>
      </c>
      <c r="AK133" s="45"/>
      <c r="AL133" s="45"/>
      <c r="AM133" s="32"/>
      <c r="AN133" s="32">
        <f>Table5[[#This Row],[ (RESV. STORGE) SER]]/10</f>
        <v>0</v>
      </c>
      <c r="AO133" s="68"/>
      <c r="AP133" s="104">
        <f>Table5[[#This Row],[(A/S) AJD]]-Table5[[#This Row],[SER_IN]]</f>
        <v>0</v>
      </c>
    </row>
    <row r="134" spans="1:42" ht="18.75" x14ac:dyDescent="0.25">
      <c r="A134" s="10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Table5[[#This Row],[ (T/B) SAR]]+Table5[[#This Row],[ (S/S) SAR]]</f>
        <v>0</v>
      </c>
      <c r="L134" s="41"/>
      <c r="M134" s="42"/>
      <c r="N134" s="42"/>
      <c r="O134" s="39"/>
      <c r="P134" s="3">
        <f>Table5[[#This Row],[ (S/S) SAR]]-Table5[[#This Row],[(S/S) AJD]]</f>
        <v>0</v>
      </c>
      <c r="Q134" s="39"/>
      <c r="R134" s="3">
        <f>Table5[[#This Row],[ (T/B) SAR]]-Table5[[#This Row],[(T/B) AJD]]</f>
        <v>0</v>
      </c>
      <c r="S134" s="3">
        <f>Table5[[#This Row],[S/S_CON.]]+Table5[[#This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Table5[[#This Row],[(RESV. STORGE) AJD]]/10</f>
        <v>0</v>
      </c>
      <c r="AB134" s="3">
        <f t="shared" si="11"/>
        <v>0</v>
      </c>
      <c r="AC134" s="5"/>
      <c r="AD134" s="39">
        <f>(Table5[[#This Row],[( S/S+T/B) AJD]]*1000)-((Table5[[#This Row],[(STORGE DIFF.) AJD]]*1000)+Table5[[#This Row],[AJD_Evaporation]]+(Table5[[#This Row],[(A/B + A/S) AJD]]*1000))</f>
        <v>0</v>
      </c>
      <c r="AE134" s="41"/>
      <c r="AF134" s="43"/>
      <c r="AG134" s="43"/>
      <c r="AH134" s="6">
        <f>Table5[[#This Row],[ (RESV. STORGE) BER]]/10</f>
        <v>0</v>
      </c>
      <c r="AI134" s="41"/>
      <c r="AJ134" s="41">
        <f>Table5[[#This Row],[(A/B) AJD]]-Table5[[#This Row],[BER_IN]]</f>
        <v>0</v>
      </c>
      <c r="AK134" s="43"/>
      <c r="AL134" s="43"/>
      <c r="AM134" s="32"/>
      <c r="AN134" s="32">
        <f>Table5[[#This Row],[ (RESV. STORGE) SER]]/10</f>
        <v>0</v>
      </c>
      <c r="AO134" s="68"/>
      <c r="AP134" s="104">
        <f>Table5[[#This Row],[(A/S) AJD]]-Table5[[#This Row],[SER_IN]]</f>
        <v>0</v>
      </c>
    </row>
    <row r="135" spans="1:42" ht="18.75" x14ac:dyDescent="0.25">
      <c r="A135" s="10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Table5[[#This Row],[ (T/B) SAR]]+Table5[[#This Row],[ (S/S) SAR]]</f>
        <v>0</v>
      </c>
      <c r="L135" s="45"/>
      <c r="M135" s="46"/>
      <c r="N135" s="46"/>
      <c r="O135" s="40"/>
      <c r="P135" s="3">
        <f>Table5[[#This Row],[ (S/S) SAR]]-Table5[[#This Row],[(S/S) AJD]]</f>
        <v>0</v>
      </c>
      <c r="Q135" s="40"/>
      <c r="R135" s="3">
        <f>Table5[[#This Row],[ (T/B) SAR]]-Table5[[#This Row],[(T/B) AJD]]</f>
        <v>0</v>
      </c>
      <c r="S135" s="3">
        <f>Table5[[#This Row],[S/S_CON.]]+Table5[[#This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Table5[[#This Row],[(RESV. STORGE) AJD]]/10</f>
        <v>0</v>
      </c>
      <c r="AB135" s="3">
        <f t="shared" si="11"/>
        <v>0</v>
      </c>
      <c r="AC135" s="5"/>
      <c r="AD135" s="40">
        <f>(Table5[[#This Row],[( S/S+T/B) AJD]]*1000)-((Table5[[#This Row],[(STORGE DIFF.) AJD]]*1000)+Table5[[#This Row],[AJD_Evaporation]]+(Table5[[#This Row],[(A/B + A/S) AJD]]*1000))</f>
        <v>0</v>
      </c>
      <c r="AE135" s="44"/>
      <c r="AF135" s="45"/>
      <c r="AG135" s="45"/>
      <c r="AH135" s="6">
        <f>Table5[[#This Row],[ (RESV. STORGE) BER]]/10</f>
        <v>0</v>
      </c>
      <c r="AI135" s="44"/>
      <c r="AJ135" s="44">
        <f>Table5[[#This Row],[(A/B) AJD]]-Table5[[#This Row],[BER_IN]]</f>
        <v>0</v>
      </c>
      <c r="AK135" s="45"/>
      <c r="AL135" s="45"/>
      <c r="AM135" s="32"/>
      <c r="AN135" s="32">
        <f>Table5[[#This Row],[ (RESV. STORGE) SER]]/10</f>
        <v>0</v>
      </c>
      <c r="AO135" s="68"/>
      <c r="AP135" s="104">
        <f>Table5[[#This Row],[(A/S) AJD]]-Table5[[#This Row],[SER_IN]]</f>
        <v>0</v>
      </c>
    </row>
    <row r="136" spans="1:42" ht="18.75" x14ac:dyDescent="0.25">
      <c r="A136" s="10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Table5[[#This Row],[ (T/B) SAR]]+Table5[[#This Row],[ (S/S) SAR]]</f>
        <v>0</v>
      </c>
      <c r="L136" s="41"/>
      <c r="M136" s="42"/>
      <c r="N136" s="42"/>
      <c r="O136" s="39"/>
      <c r="P136" s="3">
        <f>Table5[[#This Row],[ (S/S) SAR]]-Table5[[#This Row],[(S/S) AJD]]</f>
        <v>0</v>
      </c>
      <c r="Q136" s="39"/>
      <c r="R136" s="3">
        <f>Table5[[#This Row],[ (T/B) SAR]]-Table5[[#This Row],[(T/B) AJD]]</f>
        <v>0</v>
      </c>
      <c r="S136" s="3">
        <f>Table5[[#This Row],[S/S_CON.]]+Table5[[#This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Table5[[#This Row],[(RESV. STORGE) AJD]]/10</f>
        <v>0</v>
      </c>
      <c r="AB136" s="3">
        <f t="shared" si="11"/>
        <v>0</v>
      </c>
      <c r="AC136" s="5"/>
      <c r="AD136" s="39">
        <f>(Table5[[#This Row],[( S/S+T/B) AJD]]*1000)-((Table5[[#This Row],[(STORGE DIFF.) AJD]]*1000)+Table5[[#This Row],[AJD_Evaporation]]+(Table5[[#This Row],[(A/B + A/S) AJD]]*1000))</f>
        <v>0</v>
      </c>
      <c r="AE136" s="41"/>
      <c r="AF136" s="43"/>
      <c r="AG136" s="43"/>
      <c r="AH136" s="6">
        <f>Table5[[#This Row],[ (RESV. STORGE) BER]]/10</f>
        <v>0</v>
      </c>
      <c r="AI136" s="41"/>
      <c r="AJ136" s="41">
        <f>Table5[[#This Row],[(A/B) AJD]]-Table5[[#This Row],[BER_IN]]</f>
        <v>0</v>
      </c>
      <c r="AK136" s="43"/>
      <c r="AL136" s="43"/>
      <c r="AM136" s="32"/>
      <c r="AN136" s="32">
        <f>Table5[[#This Row],[ (RESV. STORGE) SER]]/10</f>
        <v>0</v>
      </c>
      <c r="AO136" s="68"/>
      <c r="AP136" s="104">
        <f>Table5[[#This Row],[(A/S) AJD]]-Table5[[#This Row],[SER_IN]]</f>
        <v>0</v>
      </c>
    </row>
    <row r="137" spans="1:42" ht="18.75" x14ac:dyDescent="0.25">
      <c r="A137" s="10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Table5[[#This Row],[ (T/B) SAR]]+Table5[[#This Row],[ (S/S) SAR]]</f>
        <v>0</v>
      </c>
      <c r="L137" s="45"/>
      <c r="M137" s="46"/>
      <c r="N137" s="46"/>
      <c r="O137" s="40"/>
      <c r="P137" s="3">
        <f>Table5[[#This Row],[ (S/S) SAR]]-Table5[[#This Row],[(S/S) AJD]]</f>
        <v>0</v>
      </c>
      <c r="Q137" s="40"/>
      <c r="R137" s="3">
        <f>Table5[[#This Row],[ (T/B) SAR]]-Table5[[#This Row],[(T/B) AJD]]</f>
        <v>0</v>
      </c>
      <c r="S137" s="3">
        <f>Table5[[#This Row],[S/S_CON.]]+Table5[[#This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Table5[[#This Row],[(RESV. STORGE) AJD]]/10</f>
        <v>0</v>
      </c>
      <c r="AB137" s="3">
        <f t="shared" si="11"/>
        <v>0</v>
      </c>
      <c r="AC137" s="5"/>
      <c r="AD137" s="40">
        <f>(Table5[[#This Row],[( S/S+T/B) AJD]]*1000)-((Table5[[#This Row],[(STORGE DIFF.) AJD]]*1000)+Table5[[#This Row],[AJD_Evaporation]]+(Table5[[#This Row],[(A/B + A/S) AJD]]*1000))</f>
        <v>0</v>
      </c>
      <c r="AE137" s="44"/>
      <c r="AF137" s="45"/>
      <c r="AG137" s="45"/>
      <c r="AH137" s="6">
        <f>Table5[[#This Row],[ (RESV. STORGE) BER]]/10</f>
        <v>0</v>
      </c>
      <c r="AI137" s="44"/>
      <c r="AJ137" s="44">
        <f>Table5[[#This Row],[(A/B) AJD]]-Table5[[#This Row],[BER_IN]]</f>
        <v>0</v>
      </c>
      <c r="AK137" s="45"/>
      <c r="AL137" s="45"/>
      <c r="AM137" s="32"/>
      <c r="AN137" s="32">
        <f>Table5[[#This Row],[ (RESV. STORGE) SER]]/10</f>
        <v>0</v>
      </c>
      <c r="AO137" s="68"/>
      <c r="AP137" s="104">
        <f>Table5[[#This Row],[(A/S) AJD]]-Table5[[#This Row],[SER_IN]]</f>
        <v>0</v>
      </c>
    </row>
    <row r="138" spans="1:42" ht="18.75" x14ac:dyDescent="0.25">
      <c r="A138" s="10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Table5[[#This Row],[ (T/B) SAR]]+Table5[[#This Row],[ (S/S) SAR]]</f>
        <v>0</v>
      </c>
      <c r="L138" s="41"/>
      <c r="M138" s="42"/>
      <c r="N138" s="42"/>
      <c r="O138" s="39"/>
      <c r="P138" s="3">
        <f>Table5[[#This Row],[ (S/S) SAR]]-Table5[[#This Row],[(S/S) AJD]]</f>
        <v>0</v>
      </c>
      <c r="Q138" s="39"/>
      <c r="R138" s="3">
        <f>Table5[[#This Row],[ (T/B) SAR]]-Table5[[#This Row],[(T/B) AJD]]</f>
        <v>0</v>
      </c>
      <c r="S138" s="3">
        <f>Table5[[#This Row],[S/S_CON.]]+Table5[[#This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Table5[[#This Row],[(RESV. STORGE) AJD]]/10</f>
        <v>0</v>
      </c>
      <c r="AB138" s="3">
        <f t="shared" si="11"/>
        <v>0</v>
      </c>
      <c r="AC138" s="5"/>
      <c r="AD138" s="39">
        <f>(Table5[[#This Row],[( S/S+T/B) AJD]]*1000)-((Table5[[#This Row],[(STORGE DIFF.) AJD]]*1000)+Table5[[#This Row],[AJD_Evaporation]]+(Table5[[#This Row],[(A/B + A/S) AJD]]*1000))</f>
        <v>0</v>
      </c>
      <c r="AE138" s="41"/>
      <c r="AF138" s="43"/>
      <c r="AG138" s="43"/>
      <c r="AH138" s="6">
        <f>Table5[[#This Row],[ (RESV. STORGE) BER]]/10</f>
        <v>0</v>
      </c>
      <c r="AI138" s="41"/>
      <c r="AJ138" s="41">
        <f>Table5[[#This Row],[(A/B) AJD]]-Table5[[#This Row],[BER_IN]]</f>
        <v>0</v>
      </c>
      <c r="AK138" s="43"/>
      <c r="AL138" s="43"/>
      <c r="AM138" s="32"/>
      <c r="AN138" s="32">
        <f>Table5[[#This Row],[ (RESV. STORGE) SER]]/10</f>
        <v>0</v>
      </c>
      <c r="AO138" s="68"/>
      <c r="AP138" s="104">
        <f>Table5[[#This Row],[(A/S) AJD]]-Table5[[#This Row],[SER_IN]]</f>
        <v>0</v>
      </c>
    </row>
    <row r="139" spans="1:42" ht="18.75" x14ac:dyDescent="0.25">
      <c r="A139" s="10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Table5[[#This Row],[ (T/B) SAR]]+Table5[[#This Row],[ (S/S) SAR]]</f>
        <v>0</v>
      </c>
      <c r="L139" s="45"/>
      <c r="M139" s="46"/>
      <c r="N139" s="46"/>
      <c r="O139" s="40"/>
      <c r="P139" s="3">
        <f>Table5[[#This Row],[ (S/S) SAR]]-Table5[[#This Row],[(S/S) AJD]]</f>
        <v>0</v>
      </c>
      <c r="Q139" s="40"/>
      <c r="R139" s="3">
        <f>Table5[[#This Row],[ (T/B) SAR]]-Table5[[#This Row],[(T/B) AJD]]</f>
        <v>0</v>
      </c>
      <c r="S139" s="3">
        <f>Table5[[#This Row],[S/S_CON.]]+Table5[[#This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Table5[[#This Row],[(RESV. STORGE) AJD]]/10</f>
        <v>0</v>
      </c>
      <c r="AB139" s="3">
        <f t="shared" si="11"/>
        <v>0</v>
      </c>
      <c r="AC139" s="5"/>
      <c r="AD139" s="40">
        <f>(Table5[[#This Row],[( S/S+T/B) AJD]]*1000)-((Table5[[#This Row],[(STORGE DIFF.) AJD]]*1000)+Table5[[#This Row],[AJD_Evaporation]]+(Table5[[#This Row],[(A/B + A/S) AJD]]*1000))</f>
        <v>0</v>
      </c>
      <c r="AE139" s="44"/>
      <c r="AF139" s="45"/>
      <c r="AG139" s="45"/>
      <c r="AH139" s="6">
        <f>Table5[[#This Row],[ (RESV. STORGE) BER]]/10</f>
        <v>0</v>
      </c>
      <c r="AI139" s="44"/>
      <c r="AJ139" s="44">
        <f>Table5[[#This Row],[(A/B) AJD]]-Table5[[#This Row],[BER_IN]]</f>
        <v>0</v>
      </c>
      <c r="AK139" s="45"/>
      <c r="AL139" s="45"/>
      <c r="AM139" s="32"/>
      <c r="AN139" s="32">
        <f>Table5[[#This Row],[ (RESV. STORGE) SER]]/10</f>
        <v>0</v>
      </c>
      <c r="AO139" s="68"/>
      <c r="AP139" s="104">
        <f>Table5[[#This Row],[(A/S) AJD]]-Table5[[#This Row],[SER_IN]]</f>
        <v>0</v>
      </c>
    </row>
    <row r="140" spans="1:42" ht="18.75" x14ac:dyDescent="0.25">
      <c r="A140" s="10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Table5[[#This Row],[ (T/B) SAR]]+Table5[[#This Row],[ (S/S) SAR]]</f>
        <v>0</v>
      </c>
      <c r="L140" s="41"/>
      <c r="M140" s="42"/>
      <c r="N140" s="42"/>
      <c r="O140" s="39"/>
      <c r="P140" s="3">
        <f>Table5[[#This Row],[ (S/S) SAR]]-Table5[[#This Row],[(S/S) AJD]]</f>
        <v>0</v>
      </c>
      <c r="Q140" s="39"/>
      <c r="R140" s="3">
        <f>Table5[[#This Row],[ (T/B) SAR]]-Table5[[#This Row],[(T/B) AJD]]</f>
        <v>0</v>
      </c>
      <c r="S140" s="3">
        <f>Table5[[#This Row],[S/S_CON.]]+Table5[[#This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Table5[[#This Row],[(RESV. STORGE) AJD]]/10</f>
        <v>0</v>
      </c>
      <c r="AB140" s="3">
        <f t="shared" si="11"/>
        <v>0</v>
      </c>
      <c r="AC140" s="5"/>
      <c r="AD140" s="39">
        <f>(Table5[[#This Row],[( S/S+T/B) AJD]]*1000)-((Table5[[#This Row],[(STORGE DIFF.) AJD]]*1000)+Table5[[#This Row],[AJD_Evaporation]]+(Table5[[#This Row],[(A/B + A/S) AJD]]*1000))</f>
        <v>0</v>
      </c>
      <c r="AE140" s="41"/>
      <c r="AF140" s="43"/>
      <c r="AG140" s="43"/>
      <c r="AH140" s="6">
        <f>Table5[[#This Row],[ (RESV. STORGE) BER]]/10</f>
        <v>0</v>
      </c>
      <c r="AI140" s="41"/>
      <c r="AJ140" s="41">
        <f>Table5[[#This Row],[(A/B) AJD]]-Table5[[#This Row],[BER_IN]]</f>
        <v>0</v>
      </c>
      <c r="AK140" s="43"/>
      <c r="AL140" s="43"/>
      <c r="AM140" s="32"/>
      <c r="AN140" s="32">
        <f>Table5[[#This Row],[ (RESV. STORGE) SER]]/10</f>
        <v>0</v>
      </c>
      <c r="AO140" s="68"/>
      <c r="AP140" s="104">
        <f>Table5[[#This Row],[(A/S) AJD]]-Table5[[#This Row],[SER_IN]]</f>
        <v>0</v>
      </c>
    </row>
    <row r="141" spans="1:42" ht="18.75" x14ac:dyDescent="0.25">
      <c r="A141" s="10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Table5[[#This Row],[ (T/B) SAR]]+Table5[[#This Row],[ (S/S) SAR]]</f>
        <v>0</v>
      </c>
      <c r="L141" s="45"/>
      <c r="M141" s="46"/>
      <c r="N141" s="46"/>
      <c r="O141" s="40"/>
      <c r="P141" s="3">
        <f>Table5[[#This Row],[ (S/S) SAR]]-Table5[[#This Row],[(S/S) AJD]]</f>
        <v>0</v>
      </c>
      <c r="Q141" s="40"/>
      <c r="R141" s="3">
        <f>Table5[[#This Row],[ (T/B) SAR]]-Table5[[#This Row],[(T/B) AJD]]</f>
        <v>0</v>
      </c>
      <c r="S141" s="3">
        <f>Table5[[#This Row],[S/S_CON.]]+Table5[[#This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Table5[[#This Row],[(RESV. STORGE) AJD]]/10</f>
        <v>0</v>
      </c>
      <c r="AB141" s="3">
        <f t="shared" si="11"/>
        <v>0</v>
      </c>
      <c r="AC141" s="5"/>
      <c r="AD141" s="40">
        <f>(Table5[[#This Row],[( S/S+T/B) AJD]]*1000)-((Table5[[#This Row],[(STORGE DIFF.) AJD]]*1000)+Table5[[#This Row],[AJD_Evaporation]]+(Table5[[#This Row],[(A/B + A/S) AJD]]*1000))</f>
        <v>0</v>
      </c>
      <c r="AE141" s="44"/>
      <c r="AF141" s="45"/>
      <c r="AG141" s="45"/>
      <c r="AH141" s="6">
        <f>Table5[[#This Row],[ (RESV. STORGE) BER]]/10</f>
        <v>0</v>
      </c>
      <c r="AI141" s="44"/>
      <c r="AJ141" s="44">
        <f>Table5[[#This Row],[(A/B) AJD]]-Table5[[#This Row],[BER_IN]]</f>
        <v>0</v>
      </c>
      <c r="AK141" s="45"/>
      <c r="AL141" s="45"/>
      <c r="AM141" s="32"/>
      <c r="AN141" s="32">
        <f>Table5[[#This Row],[ (RESV. STORGE) SER]]/10</f>
        <v>0</v>
      </c>
      <c r="AO141" s="68"/>
      <c r="AP141" s="104">
        <f>Table5[[#This Row],[(A/S) AJD]]-Table5[[#This Row],[SER_IN]]</f>
        <v>0</v>
      </c>
    </row>
    <row r="142" spans="1:42" ht="18.75" x14ac:dyDescent="0.25">
      <c r="A142" s="10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Table5[[#This Row],[ (T/B) SAR]]+Table5[[#This Row],[ (S/S) SAR]]</f>
        <v>0</v>
      </c>
      <c r="L142" s="41"/>
      <c r="M142" s="42"/>
      <c r="N142" s="42"/>
      <c r="O142" s="39"/>
      <c r="P142" s="3">
        <f>Table5[[#This Row],[ (S/S) SAR]]-Table5[[#This Row],[(S/S) AJD]]</f>
        <v>0</v>
      </c>
      <c r="Q142" s="39"/>
      <c r="R142" s="3">
        <f>Table5[[#This Row],[ (T/B) SAR]]-Table5[[#This Row],[(T/B) AJD]]</f>
        <v>0</v>
      </c>
      <c r="S142" s="3">
        <f>Table5[[#This Row],[S/S_CON.]]+Table5[[#This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Table5[[#This Row],[(RESV. STORGE) AJD]]/10</f>
        <v>0</v>
      </c>
      <c r="AB142" s="3">
        <f t="shared" si="11"/>
        <v>0</v>
      </c>
      <c r="AC142" s="5"/>
      <c r="AD142" s="39">
        <f>(Table5[[#This Row],[( S/S+T/B) AJD]]*1000)-((Table5[[#This Row],[(STORGE DIFF.) AJD]]*1000)+Table5[[#This Row],[AJD_Evaporation]]+(Table5[[#This Row],[(A/B + A/S) AJD]]*1000))</f>
        <v>0</v>
      </c>
      <c r="AE142" s="41"/>
      <c r="AF142" s="43"/>
      <c r="AG142" s="43"/>
      <c r="AH142" s="6">
        <f>Table5[[#This Row],[ (RESV. STORGE) BER]]/10</f>
        <v>0</v>
      </c>
      <c r="AI142" s="41"/>
      <c r="AJ142" s="41">
        <f>Table5[[#This Row],[(A/B) AJD]]-Table5[[#This Row],[BER_IN]]</f>
        <v>0</v>
      </c>
      <c r="AK142" s="43"/>
      <c r="AL142" s="43"/>
      <c r="AM142" s="32"/>
      <c r="AN142" s="32">
        <f>Table5[[#This Row],[ (RESV. STORGE) SER]]/10</f>
        <v>0</v>
      </c>
      <c r="AO142" s="68"/>
      <c r="AP142" s="104">
        <f>Table5[[#This Row],[(A/S) AJD]]-Table5[[#This Row],[SER_IN]]</f>
        <v>0</v>
      </c>
    </row>
    <row r="143" spans="1:42" ht="18.75" x14ac:dyDescent="0.25">
      <c r="A143" s="10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Table5[[#This Row],[ (T/B) SAR]]+Table5[[#This Row],[ (S/S) SAR]]</f>
        <v>0</v>
      </c>
      <c r="L143" s="45"/>
      <c r="M143" s="46"/>
      <c r="N143" s="46"/>
      <c r="O143" s="40"/>
      <c r="P143" s="3">
        <f>Table5[[#This Row],[ (S/S) SAR]]-Table5[[#This Row],[(S/S) AJD]]</f>
        <v>0</v>
      </c>
      <c r="Q143" s="40"/>
      <c r="R143" s="3">
        <f>Table5[[#This Row],[ (T/B) SAR]]-Table5[[#This Row],[(T/B) AJD]]</f>
        <v>0</v>
      </c>
      <c r="S143" s="3">
        <f>Table5[[#This Row],[S/S_CON.]]+Table5[[#This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Table5[[#This Row],[(RESV. STORGE) AJD]]/10</f>
        <v>0</v>
      </c>
      <c r="AB143" s="3">
        <f t="shared" si="11"/>
        <v>0</v>
      </c>
      <c r="AC143" s="5"/>
      <c r="AD143" s="40">
        <f>(Table5[[#This Row],[( S/S+T/B) AJD]]*1000)-((Table5[[#This Row],[(STORGE DIFF.) AJD]]*1000)+Table5[[#This Row],[AJD_Evaporation]]+(Table5[[#This Row],[(A/B + A/S) AJD]]*1000))</f>
        <v>0</v>
      </c>
      <c r="AE143" s="44"/>
      <c r="AF143" s="45"/>
      <c r="AG143" s="45"/>
      <c r="AH143" s="6">
        <f>Table5[[#This Row],[ (RESV. STORGE) BER]]/10</f>
        <v>0</v>
      </c>
      <c r="AI143" s="44"/>
      <c r="AJ143" s="44">
        <f>Table5[[#This Row],[(A/B) AJD]]-Table5[[#This Row],[BER_IN]]</f>
        <v>0</v>
      </c>
      <c r="AK143" s="45"/>
      <c r="AL143" s="45"/>
      <c r="AM143" s="32"/>
      <c r="AN143" s="32">
        <f>Table5[[#This Row],[ (RESV. STORGE) SER]]/10</f>
        <v>0</v>
      </c>
      <c r="AO143" s="68"/>
      <c r="AP143" s="104">
        <f>Table5[[#This Row],[(A/S) AJD]]-Table5[[#This Row],[SER_IN]]</f>
        <v>0</v>
      </c>
    </row>
    <row r="144" spans="1:42" ht="18.75" x14ac:dyDescent="0.25">
      <c r="A144" s="10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Table5[[#This Row],[ (T/B) SAR]]+Table5[[#This Row],[ (S/S) SAR]]</f>
        <v>0</v>
      </c>
      <c r="L144" s="41"/>
      <c r="M144" s="42"/>
      <c r="N144" s="42"/>
      <c r="O144" s="39"/>
      <c r="P144" s="3">
        <f>Table5[[#This Row],[ (S/S) SAR]]-Table5[[#This Row],[(S/S) AJD]]</f>
        <v>0</v>
      </c>
      <c r="Q144" s="39"/>
      <c r="R144" s="3">
        <f>Table5[[#This Row],[ (T/B) SAR]]-Table5[[#This Row],[(T/B) AJD]]</f>
        <v>0</v>
      </c>
      <c r="S144" s="3">
        <f>Table5[[#This Row],[S/S_CON.]]+Table5[[#This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Table5[[#This Row],[(RESV. STORGE) AJD]]/10</f>
        <v>0</v>
      </c>
      <c r="AB144" s="3">
        <f t="shared" si="11"/>
        <v>0</v>
      </c>
      <c r="AC144" s="5"/>
      <c r="AD144" s="39">
        <f>(Table5[[#This Row],[( S/S+T/B) AJD]]*1000)-((Table5[[#This Row],[(STORGE DIFF.) AJD]]*1000)+Table5[[#This Row],[AJD_Evaporation]]+(Table5[[#This Row],[(A/B + A/S) AJD]]*1000))</f>
        <v>0</v>
      </c>
      <c r="AE144" s="41"/>
      <c r="AF144" s="43"/>
      <c r="AG144" s="43"/>
      <c r="AH144" s="6">
        <f>Table5[[#This Row],[ (RESV. STORGE) BER]]/10</f>
        <v>0</v>
      </c>
      <c r="AI144" s="41"/>
      <c r="AJ144" s="41">
        <f>Table5[[#This Row],[(A/B) AJD]]-Table5[[#This Row],[BER_IN]]</f>
        <v>0</v>
      </c>
      <c r="AK144" s="43"/>
      <c r="AL144" s="43"/>
      <c r="AM144" s="32"/>
      <c r="AN144" s="32">
        <f>Table5[[#This Row],[ (RESV. STORGE) SER]]/10</f>
        <v>0</v>
      </c>
      <c r="AO144" s="68"/>
      <c r="AP144" s="104">
        <f>Table5[[#This Row],[(A/S) AJD]]-Table5[[#This Row],[SER_IN]]</f>
        <v>0</v>
      </c>
    </row>
    <row r="145" spans="1:42" ht="18.75" x14ac:dyDescent="0.25">
      <c r="A145" s="10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Table5[[#This Row],[ (T/B) SAR]]+Table5[[#This Row],[ (S/S) SAR]]</f>
        <v>0</v>
      </c>
      <c r="L145" s="45"/>
      <c r="M145" s="46"/>
      <c r="N145" s="46"/>
      <c r="O145" s="40"/>
      <c r="P145" s="3">
        <f>Table5[[#This Row],[ (S/S) SAR]]-Table5[[#This Row],[(S/S) AJD]]</f>
        <v>0</v>
      </c>
      <c r="Q145" s="40"/>
      <c r="R145" s="3">
        <f>Table5[[#This Row],[ (T/B) SAR]]-Table5[[#This Row],[(T/B) AJD]]</f>
        <v>0</v>
      </c>
      <c r="S145" s="3">
        <f>Table5[[#This Row],[S/S_CON.]]+Table5[[#This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Table5[[#This Row],[(RESV. STORGE) AJD]]/10</f>
        <v>0</v>
      </c>
      <c r="AB145" s="3">
        <f t="shared" si="11"/>
        <v>0</v>
      </c>
      <c r="AC145" s="5"/>
      <c r="AD145" s="40">
        <f>(Table5[[#This Row],[( S/S+T/B) AJD]]*1000)-((Table5[[#This Row],[(STORGE DIFF.) AJD]]*1000)+Table5[[#This Row],[AJD_Evaporation]]+(Table5[[#This Row],[(A/B + A/S) AJD]]*1000))</f>
        <v>0</v>
      </c>
      <c r="AE145" s="44"/>
      <c r="AF145" s="45"/>
      <c r="AG145" s="45"/>
      <c r="AH145" s="6">
        <f>Table5[[#This Row],[ (RESV. STORGE) BER]]/10</f>
        <v>0</v>
      </c>
      <c r="AI145" s="44"/>
      <c r="AJ145" s="44">
        <f>Table5[[#This Row],[(A/B) AJD]]-Table5[[#This Row],[BER_IN]]</f>
        <v>0</v>
      </c>
      <c r="AK145" s="45"/>
      <c r="AL145" s="45"/>
      <c r="AM145" s="32"/>
      <c r="AN145" s="32">
        <f>Table5[[#This Row],[ (RESV. STORGE) SER]]/10</f>
        <v>0</v>
      </c>
      <c r="AO145" s="68"/>
      <c r="AP145" s="104">
        <f>Table5[[#This Row],[(A/S) AJD]]-Table5[[#This Row],[SER_IN]]</f>
        <v>0</v>
      </c>
    </row>
    <row r="146" spans="1:42" ht="18.75" x14ac:dyDescent="0.25">
      <c r="A146" s="10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Table5[[#This Row],[ (T/B) SAR]]+Table5[[#This Row],[ (S/S) SAR]]</f>
        <v>0</v>
      </c>
      <c r="L146" s="41"/>
      <c r="M146" s="42"/>
      <c r="N146" s="42"/>
      <c r="O146" s="39"/>
      <c r="P146" s="3">
        <f>Table5[[#This Row],[ (S/S) SAR]]-Table5[[#This Row],[(S/S) AJD]]</f>
        <v>0</v>
      </c>
      <c r="Q146" s="39"/>
      <c r="R146" s="3">
        <f>Table5[[#This Row],[ (T/B) SAR]]-Table5[[#This Row],[(T/B) AJD]]</f>
        <v>0</v>
      </c>
      <c r="S146" s="3">
        <f>Table5[[#This Row],[S/S_CON.]]+Table5[[#This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Table5[[#This Row],[(RESV. STORGE) AJD]]/10</f>
        <v>0</v>
      </c>
      <c r="AB146" s="3">
        <f t="shared" si="11"/>
        <v>0</v>
      </c>
      <c r="AC146" s="5"/>
      <c r="AD146" s="39">
        <f>(Table5[[#This Row],[( S/S+T/B) AJD]]*1000)-((Table5[[#This Row],[(STORGE DIFF.) AJD]]*1000)+Table5[[#This Row],[AJD_Evaporation]]+(Table5[[#This Row],[(A/B + A/S) AJD]]*1000))</f>
        <v>0</v>
      </c>
      <c r="AE146" s="41"/>
      <c r="AF146" s="43"/>
      <c r="AG146" s="43"/>
      <c r="AH146" s="6">
        <f>Table5[[#This Row],[ (RESV. STORGE) BER]]/10</f>
        <v>0</v>
      </c>
      <c r="AI146" s="41"/>
      <c r="AJ146" s="41">
        <f>Table5[[#This Row],[(A/B) AJD]]-Table5[[#This Row],[BER_IN]]</f>
        <v>0</v>
      </c>
      <c r="AK146" s="43"/>
      <c r="AL146" s="43"/>
      <c r="AM146" s="32"/>
      <c r="AN146" s="32">
        <f>Table5[[#This Row],[ (RESV. STORGE) SER]]/10</f>
        <v>0</v>
      </c>
      <c r="AO146" s="68"/>
      <c r="AP146" s="104">
        <f>Table5[[#This Row],[(A/S) AJD]]-Table5[[#This Row],[SER_IN]]</f>
        <v>0</v>
      </c>
    </row>
    <row r="147" spans="1:42" ht="18.75" x14ac:dyDescent="0.25">
      <c r="A147" s="10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Table5[[#This Row],[ (T/B) SAR]]+Table5[[#This Row],[ (S/S) SAR]]</f>
        <v>0</v>
      </c>
      <c r="L147" s="45"/>
      <c r="M147" s="46"/>
      <c r="N147" s="46"/>
      <c r="O147" s="40"/>
      <c r="P147" s="3">
        <f>Table5[[#This Row],[ (S/S) SAR]]-Table5[[#This Row],[(S/S) AJD]]</f>
        <v>0</v>
      </c>
      <c r="Q147" s="40"/>
      <c r="R147" s="3">
        <f>Table5[[#This Row],[ (T/B) SAR]]-Table5[[#This Row],[(T/B) AJD]]</f>
        <v>0</v>
      </c>
      <c r="S147" s="3">
        <f>Table5[[#This Row],[S/S_CON.]]+Table5[[#This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Table5[[#This Row],[(RESV. STORGE) AJD]]/10</f>
        <v>0</v>
      </c>
      <c r="AB147" s="3">
        <f t="shared" si="11"/>
        <v>0</v>
      </c>
      <c r="AC147" s="5"/>
      <c r="AD147" s="40">
        <f>(Table5[[#This Row],[( S/S+T/B) AJD]]*1000)-((Table5[[#This Row],[(STORGE DIFF.) AJD]]*1000)+Table5[[#This Row],[AJD_Evaporation]]+(Table5[[#This Row],[(A/B + A/S) AJD]]*1000))</f>
        <v>0</v>
      </c>
      <c r="AE147" s="44"/>
      <c r="AF147" s="45"/>
      <c r="AG147" s="45"/>
      <c r="AH147" s="6">
        <f>Table5[[#This Row],[ (RESV. STORGE) BER]]/10</f>
        <v>0</v>
      </c>
      <c r="AI147" s="44"/>
      <c r="AJ147" s="44">
        <f>Table5[[#This Row],[(A/B) AJD]]-Table5[[#This Row],[BER_IN]]</f>
        <v>0</v>
      </c>
      <c r="AK147" s="45"/>
      <c r="AL147" s="45"/>
      <c r="AM147" s="32"/>
      <c r="AN147" s="32">
        <f>Table5[[#This Row],[ (RESV. STORGE) SER]]/10</f>
        <v>0</v>
      </c>
      <c r="AO147" s="68"/>
      <c r="AP147" s="104">
        <f>Table5[[#This Row],[(A/S) AJD]]-Table5[[#This Row],[SER_IN]]</f>
        <v>0</v>
      </c>
    </row>
    <row r="148" spans="1:42" ht="18.75" x14ac:dyDescent="0.25">
      <c r="A148" s="10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Table5[[#This Row],[ (T/B) SAR]]+Table5[[#This Row],[ (S/S) SAR]]</f>
        <v>0</v>
      </c>
      <c r="L148" s="41"/>
      <c r="M148" s="42"/>
      <c r="N148" s="42"/>
      <c r="O148" s="39"/>
      <c r="P148" s="3">
        <f>Table5[[#This Row],[ (S/S) SAR]]-Table5[[#This Row],[(S/S) AJD]]</f>
        <v>0</v>
      </c>
      <c r="Q148" s="39"/>
      <c r="R148" s="3">
        <f>Table5[[#This Row],[ (T/B) SAR]]-Table5[[#This Row],[(T/B) AJD]]</f>
        <v>0</v>
      </c>
      <c r="S148" s="3">
        <f>Table5[[#This Row],[S/S_CON.]]+Table5[[#This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Table5[[#This Row],[(RESV. STORGE) AJD]]/10</f>
        <v>0</v>
      </c>
      <c r="AB148" s="3">
        <f t="shared" si="11"/>
        <v>0</v>
      </c>
      <c r="AC148" s="5"/>
      <c r="AD148" s="39">
        <f>(Table5[[#This Row],[( S/S+T/B) AJD]]*1000)-((Table5[[#This Row],[(STORGE DIFF.) AJD]]*1000)+Table5[[#This Row],[AJD_Evaporation]]+(Table5[[#This Row],[(A/B + A/S) AJD]]*1000))</f>
        <v>0</v>
      </c>
      <c r="AE148" s="41"/>
      <c r="AF148" s="43"/>
      <c r="AG148" s="43"/>
      <c r="AH148" s="6">
        <f>Table5[[#This Row],[ (RESV. STORGE) BER]]/10</f>
        <v>0</v>
      </c>
      <c r="AI148" s="41"/>
      <c r="AJ148" s="41">
        <f>Table5[[#This Row],[(A/B) AJD]]-Table5[[#This Row],[BER_IN]]</f>
        <v>0</v>
      </c>
      <c r="AK148" s="43"/>
      <c r="AL148" s="43"/>
      <c r="AM148" s="32"/>
      <c r="AN148" s="32">
        <f>Table5[[#This Row],[ (RESV. STORGE) SER]]/10</f>
        <v>0</v>
      </c>
      <c r="AO148" s="68"/>
      <c r="AP148" s="104">
        <f>Table5[[#This Row],[(A/S) AJD]]-Table5[[#This Row],[SER_IN]]</f>
        <v>0</v>
      </c>
    </row>
    <row r="149" spans="1:42" ht="18.75" x14ac:dyDescent="0.25">
      <c r="A149" s="10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Table5[[#This Row],[ (T/B) SAR]]+Table5[[#This Row],[ (S/S) SAR]]</f>
        <v>0</v>
      </c>
      <c r="L149" s="45"/>
      <c r="M149" s="46"/>
      <c r="N149" s="46"/>
      <c r="O149" s="40"/>
      <c r="P149" s="3">
        <f>Table5[[#This Row],[ (S/S) SAR]]-Table5[[#This Row],[(S/S) AJD]]</f>
        <v>0</v>
      </c>
      <c r="Q149" s="40"/>
      <c r="R149" s="3">
        <f>Table5[[#This Row],[ (T/B) SAR]]-Table5[[#This Row],[(T/B) AJD]]</f>
        <v>0</v>
      </c>
      <c r="S149" s="3">
        <f>Table5[[#This Row],[S/S_CON.]]+Table5[[#This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Table5[[#This Row],[(RESV. STORGE) AJD]]/10</f>
        <v>0</v>
      </c>
      <c r="AB149" s="3">
        <f t="shared" si="11"/>
        <v>0</v>
      </c>
      <c r="AC149" s="5"/>
      <c r="AD149" s="40">
        <f>(Table5[[#This Row],[( S/S+T/B) AJD]]*1000)-((Table5[[#This Row],[(STORGE DIFF.) AJD]]*1000)+Table5[[#This Row],[AJD_Evaporation]]+(Table5[[#This Row],[(A/B + A/S) AJD]]*1000))</f>
        <v>0</v>
      </c>
      <c r="AE149" s="44"/>
      <c r="AF149" s="45"/>
      <c r="AG149" s="45"/>
      <c r="AH149" s="6">
        <f>Table5[[#This Row],[ (RESV. STORGE) BER]]/10</f>
        <v>0</v>
      </c>
      <c r="AI149" s="44"/>
      <c r="AJ149" s="44">
        <f>Table5[[#This Row],[(A/B) AJD]]-Table5[[#This Row],[BER_IN]]</f>
        <v>0</v>
      </c>
      <c r="AK149" s="45"/>
      <c r="AL149" s="45"/>
      <c r="AM149" s="32"/>
      <c r="AN149" s="32">
        <f>Table5[[#This Row],[ (RESV. STORGE) SER]]/10</f>
        <v>0</v>
      </c>
      <c r="AO149" s="68"/>
      <c r="AP149" s="104">
        <f>Table5[[#This Row],[(A/S) AJD]]-Table5[[#This Row],[SER_IN]]</f>
        <v>0</v>
      </c>
    </row>
    <row r="150" spans="1:42" ht="18.75" x14ac:dyDescent="0.25">
      <c r="A150" s="10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Table5[[#This Row],[ (T/B) SAR]]+Table5[[#This Row],[ (S/S) SAR]]</f>
        <v>0</v>
      </c>
      <c r="L150" s="41"/>
      <c r="M150" s="42"/>
      <c r="N150" s="42"/>
      <c r="O150" s="39"/>
      <c r="P150" s="3">
        <f>Table5[[#This Row],[ (S/S) SAR]]-Table5[[#This Row],[(S/S) AJD]]</f>
        <v>0</v>
      </c>
      <c r="Q150" s="39"/>
      <c r="R150" s="3">
        <f>Table5[[#This Row],[ (T/B) SAR]]-Table5[[#This Row],[(T/B) AJD]]</f>
        <v>0</v>
      </c>
      <c r="S150" s="3">
        <f>Table5[[#This Row],[S/S_CON.]]+Table5[[#This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Table5[[#This Row],[(RESV. STORGE) AJD]]/10</f>
        <v>0</v>
      </c>
      <c r="AB150" s="3">
        <f t="shared" si="11"/>
        <v>0</v>
      </c>
      <c r="AC150" s="5"/>
      <c r="AD150" s="39">
        <f>(Table5[[#This Row],[( S/S+T/B) AJD]]*1000)-((Table5[[#This Row],[(STORGE DIFF.) AJD]]*1000)+Table5[[#This Row],[AJD_Evaporation]]+(Table5[[#This Row],[(A/B + A/S) AJD]]*1000))</f>
        <v>0</v>
      </c>
      <c r="AE150" s="41"/>
      <c r="AF150" s="43"/>
      <c r="AG150" s="43"/>
      <c r="AH150" s="6">
        <f>Table5[[#This Row],[ (RESV. STORGE) BER]]/10</f>
        <v>0</v>
      </c>
      <c r="AI150" s="41"/>
      <c r="AJ150" s="41">
        <f>Table5[[#This Row],[(A/B) AJD]]-Table5[[#This Row],[BER_IN]]</f>
        <v>0</v>
      </c>
      <c r="AK150" s="43"/>
      <c r="AL150" s="43"/>
      <c r="AM150" s="32"/>
      <c r="AN150" s="32">
        <f>Table5[[#This Row],[ (RESV. STORGE) SER]]/10</f>
        <v>0</v>
      </c>
      <c r="AO150" s="68"/>
      <c r="AP150" s="104">
        <f>Table5[[#This Row],[(A/S) AJD]]-Table5[[#This Row],[SER_IN]]</f>
        <v>0</v>
      </c>
    </row>
    <row r="151" spans="1:42" ht="18.75" x14ac:dyDescent="0.25">
      <c r="A151" s="10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Table5[[#This Row],[ (T/B) SAR]]+Table5[[#This Row],[ (S/S) SAR]]</f>
        <v>0</v>
      </c>
      <c r="L151" s="45"/>
      <c r="M151" s="46"/>
      <c r="N151" s="46"/>
      <c r="O151" s="40"/>
      <c r="P151" s="3">
        <f>Table5[[#This Row],[ (S/S) SAR]]-Table5[[#This Row],[(S/S) AJD]]</f>
        <v>0</v>
      </c>
      <c r="Q151" s="40"/>
      <c r="R151" s="3">
        <f>Table5[[#This Row],[ (T/B) SAR]]-Table5[[#This Row],[(T/B) AJD]]</f>
        <v>0</v>
      </c>
      <c r="S151" s="3">
        <f>Table5[[#This Row],[S/S_CON.]]+Table5[[#This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Table5[[#This Row],[(RESV. STORGE) AJD]]/10</f>
        <v>0</v>
      </c>
      <c r="AB151" s="3">
        <f t="shared" si="11"/>
        <v>0</v>
      </c>
      <c r="AC151" s="5"/>
      <c r="AD151" s="70">
        <f>(Table5[[#This Row],[( S/S+T/B) AJD]]*1000)-((Table5[[#This Row],[(STORGE DIFF.) AJD]]*1000)+Table5[[#This Row],[AJD_Evaporation]]+(Table5[[#This Row],[(A/B + A/S) AJD]]*1000))</f>
        <v>0</v>
      </c>
      <c r="AE151" s="44"/>
      <c r="AF151" s="45"/>
      <c r="AG151" s="45"/>
      <c r="AH151" s="6">
        <f>Table5[[#This Row],[ (RESV. STORGE) BER]]/10</f>
        <v>0</v>
      </c>
      <c r="AI151" s="44"/>
      <c r="AJ151" s="67">
        <f>Table5[[#This Row],[(A/B) AJD]]-Table5[[#This Row],[BER_IN]]</f>
        <v>0</v>
      </c>
      <c r="AK151" s="45"/>
      <c r="AL151" s="45"/>
      <c r="AM151" s="32"/>
      <c r="AN151" s="32">
        <f>Table5[[#This Row],[ (RESV. STORGE) SER]]/10</f>
        <v>0</v>
      </c>
      <c r="AO151" s="68"/>
      <c r="AP151" s="104">
        <f>Table5[[#This Row],[(A/S) AJD]]-Table5[[#This Row],[SER_IN]]</f>
        <v>0</v>
      </c>
    </row>
    <row r="152" spans="1:42" ht="18.75" x14ac:dyDescent="0.25">
      <c r="A152" s="10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Table5[[#This Row],[ (T/B) SAR]]+Table5[[#This Row],[ (S/S) SAR]]</f>
        <v>0</v>
      </c>
      <c r="L152" s="41"/>
      <c r="M152" s="42"/>
      <c r="N152" s="42"/>
      <c r="O152" s="39"/>
      <c r="P152" s="3">
        <f>Table5[[#This Row],[ (S/S) SAR]]-Table5[[#This Row],[(S/S) AJD]]</f>
        <v>0</v>
      </c>
      <c r="Q152" s="39"/>
      <c r="R152" s="3">
        <f>Table5[[#This Row],[ (T/B) SAR]]-Table5[[#This Row],[(T/B) AJD]]</f>
        <v>0</v>
      </c>
      <c r="S152" s="3">
        <f>Table5[[#This Row],[S/S_CON.]]+Table5[[#This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Table5[[#This Row],[(RESV. STORGE) AJD]]/10</f>
        <v>0</v>
      </c>
      <c r="AB152" s="3">
        <f t="shared" si="11"/>
        <v>0</v>
      </c>
      <c r="AC152" s="5"/>
      <c r="AD152" s="39">
        <f>(Table5[[#This Row],[( S/S+T/B) AJD]]*1000)-((Table5[[#This Row],[(STORGE DIFF.) AJD]]*1000)+Table5[[#This Row],[AJD_Evaporation]]+(Table5[[#This Row],[(A/B + A/S) AJD]]*1000))</f>
        <v>0</v>
      </c>
      <c r="AE152" s="41"/>
      <c r="AF152" s="43"/>
      <c r="AG152" s="43"/>
      <c r="AH152" s="6">
        <f>Table5[[#This Row],[ (RESV. STORGE) BER]]/10</f>
        <v>0</v>
      </c>
      <c r="AI152" s="41"/>
      <c r="AJ152" s="41">
        <f>Table5[[#This Row],[(A/B) AJD]]-Table5[[#This Row],[BER_IN]]</f>
        <v>0</v>
      </c>
      <c r="AK152" s="43"/>
      <c r="AL152" s="43"/>
      <c r="AM152" s="32"/>
      <c r="AN152" s="32">
        <f>Table5[[#This Row],[ (RESV. STORGE) SER]]/10</f>
        <v>0</v>
      </c>
      <c r="AO152" s="68"/>
      <c r="AP152" s="104">
        <f>Table5[[#This Row],[(A/S) AJD]]-Table5[[#This Row],[SER_IN]]</f>
        <v>0</v>
      </c>
    </row>
    <row r="153" spans="1:42" ht="18.75" x14ac:dyDescent="0.25">
      <c r="A153" s="10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Table5[[#This Row],[ (T/B) SAR]]+Table5[[#This Row],[ (S/S) SAR]]</f>
        <v>0</v>
      </c>
      <c r="L153" s="41"/>
      <c r="M153" s="42"/>
      <c r="N153" s="42"/>
      <c r="O153" s="39"/>
      <c r="P153" s="10">
        <f>Table5[[#This Row],[ (S/S) SAR]]-Table5[[#This Row],[(S/S) AJD]]</f>
        <v>0</v>
      </c>
      <c r="Q153" s="39"/>
      <c r="R153" s="10">
        <f>Table5[[#This Row],[ (T/B) SAR]]-Table5[[#This Row],[(T/B) AJD]]</f>
        <v>0</v>
      </c>
      <c r="S153" s="10">
        <f>Table5[[#This Row],[S/S_CON.]]+Table5[[#This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Table5[[#This Row],[(RESV. STORGE) AJD]]/10</f>
        <v>0</v>
      </c>
      <c r="AB153" s="3">
        <f t="shared" si="11"/>
        <v>0</v>
      </c>
      <c r="AC153" s="5"/>
      <c r="AD153" s="39">
        <f>(Table5[[#This Row],[( S/S+T/B) AJD]]*1000)-((Table5[[#This Row],[(STORGE DIFF.) AJD]]*1000)+Table5[[#This Row],[AJD_Evaporation]]+(Table5[[#This Row],[(A/B + A/S) AJD]]*1000))</f>
        <v>0</v>
      </c>
      <c r="AE153" s="41"/>
      <c r="AF153" s="43"/>
      <c r="AG153" s="43"/>
      <c r="AH153" s="6">
        <f>Table5[[#This Row],[ (RESV. STORGE) BER]]/10</f>
        <v>0</v>
      </c>
      <c r="AI153" s="41"/>
      <c r="AJ153" s="41">
        <f>Table5[[#This Row],[(A/B) AJD]]-Table5[[#This Row],[BER_IN]]</f>
        <v>0</v>
      </c>
      <c r="AK153" s="43"/>
      <c r="AL153" s="43"/>
      <c r="AM153" s="32"/>
      <c r="AN153" s="32">
        <f>Table5[[#This Row],[ (RESV. STORGE) SER]]/10</f>
        <v>0</v>
      </c>
      <c r="AO153" s="68"/>
      <c r="AP153" s="104">
        <f>Table5[[#This Row],[(A/S) AJD]]-Table5[[#This Row],[SER_IN]]</f>
        <v>0</v>
      </c>
    </row>
    <row r="154" spans="1:42" ht="18.75" x14ac:dyDescent="0.25">
      <c r="A154" s="10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Table5[[#This Row],[ (T/B) SAR]]+Table5[[#This Row],[ (S/S) SAR]]</f>
        <v>0</v>
      </c>
      <c r="L154" s="45"/>
      <c r="M154" s="46"/>
      <c r="N154" s="46"/>
      <c r="O154" s="40"/>
      <c r="P154" s="10">
        <f>Table5[[#This Row],[ (S/S) SAR]]-Table5[[#This Row],[(S/S) AJD]]</f>
        <v>0</v>
      </c>
      <c r="Q154" s="40"/>
      <c r="R154" s="10">
        <f>Table5[[#This Row],[ (T/B) SAR]]-Table5[[#This Row],[(T/B) AJD]]</f>
        <v>0</v>
      </c>
      <c r="S154" s="10">
        <f>Table5[[#This Row],[S/S_CON.]]+Table5[[#This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Table5[[#This Row],[(RESV. STORGE) AJD]]/10</f>
        <v>0</v>
      </c>
      <c r="AB154" s="3">
        <f t="shared" si="11"/>
        <v>0</v>
      </c>
      <c r="AC154" s="5"/>
      <c r="AD154" s="40">
        <f>(Table5[[#This Row],[( S/S+T/B) AJD]]*1000)-((Table5[[#This Row],[(STORGE DIFF.) AJD]]*1000)+Table5[[#This Row],[AJD_Evaporation]]+(Table5[[#This Row],[(A/B + A/S) AJD]]*1000))</f>
        <v>0</v>
      </c>
      <c r="AE154" s="44"/>
      <c r="AF154" s="45"/>
      <c r="AG154" s="45"/>
      <c r="AH154" s="6">
        <f>Table5[[#This Row],[ (RESV. STORGE) BER]]/10</f>
        <v>0</v>
      </c>
      <c r="AI154" s="44"/>
      <c r="AJ154" s="44">
        <f>Table5[[#This Row],[(A/B) AJD]]-Table5[[#This Row],[BER_IN]]</f>
        <v>0</v>
      </c>
      <c r="AK154" s="45"/>
      <c r="AL154" s="45"/>
      <c r="AM154" s="32"/>
      <c r="AN154" s="32">
        <f>Table5[[#This Row],[ (RESV. STORGE) SER]]/10</f>
        <v>0</v>
      </c>
      <c r="AO154" s="68"/>
      <c r="AP154" s="104">
        <f>Table5[[#This Row],[(A/S) AJD]]-Table5[[#This Row],[SER_IN]]</f>
        <v>0</v>
      </c>
    </row>
    <row r="155" spans="1:42" ht="18.75" x14ac:dyDescent="0.25">
      <c r="A155" s="10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Table5[[#This Row],[ (T/B) SAR]]+Table5[[#This Row],[ (S/S) SAR]]</f>
        <v>0</v>
      </c>
      <c r="L155" s="41"/>
      <c r="M155" s="42"/>
      <c r="N155" s="42"/>
      <c r="O155" s="39"/>
      <c r="P155" s="10">
        <f>Table5[[#This Row],[ (S/S) SAR]]-Table5[[#This Row],[(S/S) AJD]]</f>
        <v>0</v>
      </c>
      <c r="Q155" s="39"/>
      <c r="R155" s="10">
        <f>Table5[[#This Row],[ (T/B) SAR]]-Table5[[#This Row],[(T/B) AJD]]</f>
        <v>0</v>
      </c>
      <c r="S155" s="10">
        <f>Table5[[#This Row],[S/S_CON.]]+Table5[[#This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Table5[[#This Row],[(RESV. STORGE) AJD]]/10</f>
        <v>0</v>
      </c>
      <c r="AB155" s="3">
        <f t="shared" si="11"/>
        <v>0</v>
      </c>
      <c r="AC155" s="5"/>
      <c r="AD155" s="39">
        <f>(Table5[[#This Row],[( S/S+T/B) AJD]]*1000)-((Table5[[#This Row],[(STORGE DIFF.) AJD]]*1000)+Table5[[#This Row],[AJD_Evaporation]]+(Table5[[#This Row],[(A/B + A/S) AJD]]*1000))</f>
        <v>0</v>
      </c>
      <c r="AE155" s="41"/>
      <c r="AF155" s="43"/>
      <c r="AG155" s="43"/>
      <c r="AH155" s="6">
        <f>Table5[[#This Row],[ (RESV. STORGE) BER]]/10</f>
        <v>0</v>
      </c>
      <c r="AI155" s="41"/>
      <c r="AJ155" s="41">
        <f>Table5[[#This Row],[(A/B) AJD]]-Table5[[#This Row],[BER_IN]]</f>
        <v>0</v>
      </c>
      <c r="AK155" s="43"/>
      <c r="AL155" s="43"/>
      <c r="AM155" s="32"/>
      <c r="AN155" s="32">
        <f>Table5[[#This Row],[ (RESV. STORGE) SER]]/10</f>
        <v>0</v>
      </c>
      <c r="AO155" s="68"/>
      <c r="AP155" s="104">
        <f>Table5[[#This Row],[(A/S) AJD]]-Table5[[#This Row],[SER_IN]]</f>
        <v>0</v>
      </c>
    </row>
    <row r="156" spans="1:42" ht="18.75" x14ac:dyDescent="0.25">
      <c r="A156" s="10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Table5[[#This Row],[ (T/B) SAR]]+Table5[[#This Row],[ (S/S) SAR]]</f>
        <v>0</v>
      </c>
      <c r="L156" s="45"/>
      <c r="M156" s="46"/>
      <c r="N156" s="46"/>
      <c r="O156" s="40"/>
      <c r="P156" s="10">
        <f>Table5[[#This Row],[ (S/S) SAR]]-Table5[[#This Row],[(S/S) AJD]]</f>
        <v>0</v>
      </c>
      <c r="Q156" s="40"/>
      <c r="R156" s="10">
        <f>Table5[[#This Row],[ (T/B) SAR]]-Table5[[#This Row],[(T/B) AJD]]</f>
        <v>0</v>
      </c>
      <c r="S156" s="10">
        <f>Table5[[#This Row],[S/S_CON.]]+Table5[[#This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Table5[[#This Row],[(RESV. STORGE) AJD]]/10</f>
        <v>0</v>
      </c>
      <c r="AB156" s="3">
        <f t="shared" si="11"/>
        <v>0</v>
      </c>
      <c r="AC156" s="5"/>
      <c r="AD156" s="40">
        <f>(Table5[[#This Row],[( S/S+T/B) AJD]]*1000)-((Table5[[#This Row],[(STORGE DIFF.) AJD]]*1000)+Table5[[#This Row],[AJD_Evaporation]]+(Table5[[#This Row],[(A/B + A/S) AJD]]*1000))</f>
        <v>0</v>
      </c>
      <c r="AE156" s="44"/>
      <c r="AF156" s="45"/>
      <c r="AG156" s="45"/>
      <c r="AH156" s="6">
        <f>Table5[[#This Row],[ (RESV. STORGE) BER]]/10</f>
        <v>0</v>
      </c>
      <c r="AI156" s="44"/>
      <c r="AJ156" s="44">
        <f>Table5[[#This Row],[(A/B) AJD]]-Table5[[#This Row],[BER_IN]]</f>
        <v>0</v>
      </c>
      <c r="AK156" s="45"/>
      <c r="AL156" s="45"/>
      <c r="AM156" s="32"/>
      <c r="AN156" s="32">
        <f>Table5[[#This Row],[ (RESV. STORGE) SER]]/10</f>
        <v>0</v>
      </c>
      <c r="AO156" s="68"/>
      <c r="AP156" s="104">
        <f>Table5[[#This Row],[(A/S) AJD]]-Table5[[#This Row],[SER_IN]]</f>
        <v>0</v>
      </c>
    </row>
    <row r="157" spans="1:42" ht="18.75" x14ac:dyDescent="0.25">
      <c r="A157" s="10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Table5[[#This Row],[ (T/B) SAR]]+Table5[[#This Row],[ (S/S) SAR]]</f>
        <v>0</v>
      </c>
      <c r="L157" s="41"/>
      <c r="M157" s="42"/>
      <c r="N157" s="42"/>
      <c r="O157" s="39"/>
      <c r="P157" s="10">
        <f>Table5[[#This Row],[ (S/S) SAR]]-Table5[[#This Row],[(S/S) AJD]]</f>
        <v>0</v>
      </c>
      <c r="Q157" s="39"/>
      <c r="R157" s="10">
        <f>Table5[[#This Row],[ (T/B) SAR]]-Table5[[#This Row],[(T/B) AJD]]</f>
        <v>0</v>
      </c>
      <c r="S157" s="10">
        <f>Table5[[#This Row],[S/S_CON.]]+Table5[[#This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Table5[[#This Row],[(RESV. STORGE) AJD]]/10</f>
        <v>0</v>
      </c>
      <c r="AB157" s="3">
        <f t="shared" si="11"/>
        <v>0</v>
      </c>
      <c r="AC157" s="5"/>
      <c r="AD157" s="39">
        <f>(Table5[[#This Row],[( S/S+T/B) AJD]]*1000)-((Table5[[#This Row],[(STORGE DIFF.) AJD]]*1000)+Table5[[#This Row],[AJD_Evaporation]]+(Table5[[#This Row],[(A/B + A/S) AJD]]*1000))</f>
        <v>0</v>
      </c>
      <c r="AE157" s="41"/>
      <c r="AF157" s="43"/>
      <c r="AG157" s="43"/>
      <c r="AH157" s="6">
        <f>Table5[[#This Row],[ (RESV. STORGE) BER]]/10</f>
        <v>0</v>
      </c>
      <c r="AI157" s="41"/>
      <c r="AJ157" s="41">
        <f>Table5[[#This Row],[(A/B) AJD]]-Table5[[#This Row],[BER_IN]]</f>
        <v>0</v>
      </c>
      <c r="AK157" s="43"/>
      <c r="AL157" s="43"/>
      <c r="AM157" s="32"/>
      <c r="AN157" s="32">
        <f>Table5[[#This Row],[ (RESV. STORGE) SER]]/10</f>
        <v>0</v>
      </c>
      <c r="AO157" s="68"/>
      <c r="AP157" s="104">
        <f>Table5[[#This Row],[(A/S) AJD]]-Table5[[#This Row],[SER_IN]]</f>
        <v>0</v>
      </c>
    </row>
    <row r="158" spans="1:42" ht="18.75" x14ac:dyDescent="0.25">
      <c r="A158" s="10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Table5[[#This Row],[ (T/B) SAR]]+Table5[[#This Row],[ (S/S) SAR]]</f>
        <v>0</v>
      </c>
      <c r="L158" s="45"/>
      <c r="M158" s="46"/>
      <c r="N158" s="46"/>
      <c r="O158" s="40"/>
      <c r="P158" s="10">
        <f>Table5[[#This Row],[ (S/S) SAR]]-Table5[[#This Row],[(S/S) AJD]]</f>
        <v>0</v>
      </c>
      <c r="Q158" s="40"/>
      <c r="R158" s="10">
        <f>Table5[[#This Row],[ (T/B) SAR]]-Table5[[#This Row],[(T/B) AJD]]</f>
        <v>0</v>
      </c>
      <c r="S158" s="10">
        <f>Table5[[#This Row],[S/S_CON.]]+Table5[[#This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Table5[[#This Row],[(RESV. STORGE) AJD]]/10</f>
        <v>0</v>
      </c>
      <c r="AB158" s="3">
        <f t="shared" si="11"/>
        <v>0</v>
      </c>
      <c r="AC158" s="5"/>
      <c r="AD158" s="40">
        <f>(Table5[[#This Row],[( S/S+T/B) AJD]]*1000)-((Table5[[#This Row],[(STORGE DIFF.) AJD]]*1000)+Table5[[#This Row],[AJD_Evaporation]]+(Table5[[#This Row],[(A/B + A/S) AJD]]*1000))</f>
        <v>0</v>
      </c>
      <c r="AE158" s="44"/>
      <c r="AF158" s="45"/>
      <c r="AG158" s="45"/>
      <c r="AH158" s="6">
        <f>Table5[[#This Row],[ (RESV. STORGE) BER]]/10</f>
        <v>0</v>
      </c>
      <c r="AI158" s="44"/>
      <c r="AJ158" s="44">
        <f>Table5[[#This Row],[(A/B) AJD]]-Table5[[#This Row],[BER_IN]]</f>
        <v>0</v>
      </c>
      <c r="AK158" s="45"/>
      <c r="AL158" s="45"/>
      <c r="AM158" s="32"/>
      <c r="AN158" s="32">
        <f>Table5[[#This Row],[ (RESV. STORGE) SER]]/10</f>
        <v>0</v>
      </c>
      <c r="AO158" s="68"/>
      <c r="AP158" s="104">
        <f>Table5[[#This Row],[(A/S) AJD]]-Table5[[#This Row],[SER_IN]]</f>
        <v>0</v>
      </c>
    </row>
    <row r="159" spans="1:42" ht="18.75" x14ac:dyDescent="0.25">
      <c r="A159" s="10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Table5[[#This Row],[ (T/B) SAR]]+Table5[[#This Row],[ (S/S) SAR]]</f>
        <v>0</v>
      </c>
      <c r="L159" s="41"/>
      <c r="M159" s="42"/>
      <c r="N159" s="42"/>
      <c r="O159" s="39"/>
      <c r="P159" s="10">
        <f>Table5[[#This Row],[ (S/S) SAR]]-Table5[[#This Row],[(S/S) AJD]]</f>
        <v>0</v>
      </c>
      <c r="Q159" s="39"/>
      <c r="R159" s="10">
        <f>Table5[[#This Row],[ (T/B) SAR]]-Table5[[#This Row],[(T/B) AJD]]</f>
        <v>0</v>
      </c>
      <c r="S159" s="10">
        <f>Table5[[#This Row],[S/S_CON.]]+Table5[[#This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Table5[[#This Row],[(RESV. STORGE) AJD]]/10</f>
        <v>0</v>
      </c>
      <c r="AB159" s="3">
        <f t="shared" si="11"/>
        <v>0</v>
      </c>
      <c r="AC159" s="5"/>
      <c r="AD159" s="39">
        <f>(Table5[[#This Row],[( S/S+T/B) AJD]]*1000)-((Table5[[#This Row],[(STORGE DIFF.) AJD]]*1000)+Table5[[#This Row],[AJD_Evaporation]]+(Table5[[#This Row],[(A/B + A/S) AJD]]*1000))</f>
        <v>0</v>
      </c>
      <c r="AE159" s="41"/>
      <c r="AF159" s="43"/>
      <c r="AG159" s="43"/>
      <c r="AH159" s="6">
        <f>Table5[[#This Row],[ (RESV. STORGE) BER]]/10</f>
        <v>0</v>
      </c>
      <c r="AI159" s="41"/>
      <c r="AJ159" s="41">
        <f>Table5[[#This Row],[(A/B) AJD]]-Table5[[#This Row],[BER_IN]]</f>
        <v>0</v>
      </c>
      <c r="AK159" s="43"/>
      <c r="AL159" s="43"/>
      <c r="AM159" s="32"/>
      <c r="AN159" s="32">
        <f>Table5[[#This Row],[ (RESV. STORGE) SER]]/10</f>
        <v>0</v>
      </c>
      <c r="AO159" s="68"/>
      <c r="AP159" s="104">
        <f>Table5[[#This Row],[(A/S) AJD]]-Table5[[#This Row],[SER_IN]]</f>
        <v>0</v>
      </c>
    </row>
    <row r="160" spans="1:42" ht="18.75" x14ac:dyDescent="0.25">
      <c r="A160" s="10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Table5[[#This Row],[ (T/B) SAR]]+Table5[[#This Row],[ (S/S) SAR]]</f>
        <v>0</v>
      </c>
      <c r="L160" s="45"/>
      <c r="M160" s="46"/>
      <c r="N160" s="46"/>
      <c r="O160" s="40"/>
      <c r="P160" s="10">
        <f>Table5[[#This Row],[ (S/S) SAR]]-Table5[[#This Row],[(S/S) AJD]]</f>
        <v>0</v>
      </c>
      <c r="Q160" s="40"/>
      <c r="R160" s="10">
        <f>Table5[[#This Row],[ (T/B) SAR]]-Table5[[#This Row],[(T/B) AJD]]</f>
        <v>0</v>
      </c>
      <c r="S160" s="10">
        <f>Table5[[#This Row],[S/S_CON.]]+Table5[[#This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Table5[[#This Row],[(RESV. STORGE) AJD]]/10</f>
        <v>0</v>
      </c>
      <c r="AB160" s="3">
        <f t="shared" si="11"/>
        <v>0</v>
      </c>
      <c r="AC160" s="5"/>
      <c r="AD160" s="40">
        <f>(Table5[[#This Row],[( S/S+T/B) AJD]]*1000)-((Table5[[#This Row],[(STORGE DIFF.) AJD]]*1000)+Table5[[#This Row],[AJD_Evaporation]]+(Table5[[#This Row],[(A/B + A/S) AJD]]*1000))</f>
        <v>0</v>
      </c>
      <c r="AE160" s="44"/>
      <c r="AF160" s="45"/>
      <c r="AG160" s="45"/>
      <c r="AH160" s="6">
        <f>Table5[[#This Row],[ (RESV. STORGE) BER]]/10</f>
        <v>0</v>
      </c>
      <c r="AI160" s="44"/>
      <c r="AJ160" s="44">
        <f>Table5[[#This Row],[(A/B) AJD]]-Table5[[#This Row],[BER_IN]]</f>
        <v>0</v>
      </c>
      <c r="AK160" s="45"/>
      <c r="AL160" s="45"/>
      <c r="AM160" s="32"/>
      <c r="AN160" s="32">
        <f>Table5[[#This Row],[ (RESV. STORGE) SER]]/10</f>
        <v>0</v>
      </c>
      <c r="AO160" s="68"/>
      <c r="AP160" s="104">
        <f>Table5[[#This Row],[(A/S) AJD]]-Table5[[#This Row],[SER_IN]]</f>
        <v>0</v>
      </c>
    </row>
    <row r="161" spans="1:42" ht="18.75" x14ac:dyDescent="0.25">
      <c r="A161" s="10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Table5[[#This Row],[ (T/B) SAR]]+Table5[[#This Row],[ (S/S) SAR]]</f>
        <v>0</v>
      </c>
      <c r="L161" s="41"/>
      <c r="M161" s="42"/>
      <c r="N161" s="42"/>
      <c r="O161" s="39"/>
      <c r="P161" s="10">
        <f>Table5[[#This Row],[ (S/S) SAR]]-Table5[[#This Row],[(S/S) AJD]]</f>
        <v>0</v>
      </c>
      <c r="Q161" s="39"/>
      <c r="R161" s="10">
        <f>Table5[[#This Row],[ (T/B) SAR]]-Table5[[#This Row],[(T/B) AJD]]</f>
        <v>0</v>
      </c>
      <c r="S161" s="10">
        <f>Table5[[#This Row],[S/S_CON.]]+Table5[[#This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Table5[[#This Row],[(RESV. STORGE) AJD]]/10</f>
        <v>0</v>
      </c>
      <c r="AB161" s="3">
        <f t="shared" si="11"/>
        <v>0</v>
      </c>
      <c r="AC161" s="5"/>
      <c r="AD161" s="39">
        <f>(Table5[[#This Row],[( S/S+T/B) AJD]]*1000)-((Table5[[#This Row],[(STORGE DIFF.) AJD]]*1000)+Table5[[#This Row],[AJD_Evaporation]]+(Table5[[#This Row],[(A/B + A/S) AJD]]*1000))</f>
        <v>0</v>
      </c>
      <c r="AE161" s="41"/>
      <c r="AF161" s="43"/>
      <c r="AG161" s="43"/>
      <c r="AH161" s="6">
        <f>Table5[[#This Row],[ (RESV. STORGE) BER]]/10</f>
        <v>0</v>
      </c>
      <c r="AI161" s="41"/>
      <c r="AJ161" s="41">
        <f>Table5[[#This Row],[(A/B) AJD]]-Table5[[#This Row],[BER_IN]]</f>
        <v>0</v>
      </c>
      <c r="AK161" s="43"/>
      <c r="AL161" s="43"/>
      <c r="AM161" s="32"/>
      <c r="AN161" s="32">
        <f>Table5[[#This Row],[ (RESV. STORGE) SER]]/10</f>
        <v>0</v>
      </c>
      <c r="AO161" s="68"/>
      <c r="AP161" s="104">
        <f>Table5[[#This Row],[(A/S) AJD]]-Table5[[#This Row],[SER_IN]]</f>
        <v>0</v>
      </c>
    </row>
    <row r="162" spans="1:42" ht="18.75" x14ac:dyDescent="0.25">
      <c r="A162" s="10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Table5[[#This Row],[ (T/B) SAR]]+Table5[[#This Row],[ (S/S) SAR]]</f>
        <v>0</v>
      </c>
      <c r="L162" s="45"/>
      <c r="M162" s="46"/>
      <c r="N162" s="46"/>
      <c r="O162" s="40"/>
      <c r="P162" s="10">
        <f>Table5[[#This Row],[ (S/S) SAR]]-Table5[[#This Row],[(S/S) AJD]]</f>
        <v>0</v>
      </c>
      <c r="Q162" s="40"/>
      <c r="R162" s="10">
        <f>Table5[[#This Row],[ (T/B) SAR]]-Table5[[#This Row],[(T/B) AJD]]</f>
        <v>0</v>
      </c>
      <c r="S162" s="10">
        <f>Table5[[#This Row],[S/S_CON.]]+Table5[[#This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Table5[[#This Row],[(RESV. STORGE) AJD]]/10</f>
        <v>0</v>
      </c>
      <c r="AB162" s="3">
        <f t="shared" si="11"/>
        <v>0</v>
      </c>
      <c r="AC162" s="5"/>
      <c r="AD162" s="40">
        <f>(Table5[[#This Row],[( S/S+T/B) AJD]]*1000)-((Table5[[#This Row],[(STORGE DIFF.) AJD]]*1000)+Table5[[#This Row],[AJD_Evaporation]]+(Table5[[#This Row],[(A/B + A/S) AJD]]*1000))</f>
        <v>0</v>
      </c>
      <c r="AE162" s="44"/>
      <c r="AF162" s="45"/>
      <c r="AG162" s="45"/>
      <c r="AH162" s="6">
        <f>Table5[[#This Row],[ (RESV. STORGE) BER]]/10</f>
        <v>0</v>
      </c>
      <c r="AI162" s="44"/>
      <c r="AJ162" s="44">
        <f>Table5[[#This Row],[(A/B) AJD]]-Table5[[#This Row],[BER_IN]]</f>
        <v>0</v>
      </c>
      <c r="AK162" s="45"/>
      <c r="AL162" s="45"/>
      <c r="AM162" s="32"/>
      <c r="AN162" s="32">
        <f>Table5[[#This Row],[ (RESV. STORGE) SER]]/10</f>
        <v>0</v>
      </c>
      <c r="AO162" s="68"/>
      <c r="AP162" s="104">
        <f>Table5[[#This Row],[(A/S) AJD]]-Table5[[#This Row],[SER_IN]]</f>
        <v>0</v>
      </c>
    </row>
    <row r="163" spans="1:42" ht="18.75" x14ac:dyDescent="0.25">
      <c r="A163" s="10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Table5[[#This Row],[ (T/B) SAR]]+Table5[[#This Row],[ (S/S) SAR]]</f>
        <v>0</v>
      </c>
      <c r="L163" s="41"/>
      <c r="M163" s="42"/>
      <c r="N163" s="42"/>
      <c r="O163" s="39"/>
      <c r="P163" s="10">
        <f>Table5[[#This Row],[ (S/S) SAR]]-Table5[[#This Row],[(S/S) AJD]]</f>
        <v>0</v>
      </c>
      <c r="Q163" s="39"/>
      <c r="R163" s="10">
        <f>Table5[[#This Row],[ (T/B) SAR]]-Table5[[#This Row],[(T/B) AJD]]</f>
        <v>0</v>
      </c>
      <c r="S163" s="10">
        <f>Table5[[#This Row],[S/S_CON.]]+Table5[[#This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Table5[[#This Row],[(RESV. STORGE) AJD]]/10</f>
        <v>0</v>
      </c>
      <c r="AB163" s="3">
        <f t="shared" si="11"/>
        <v>0</v>
      </c>
      <c r="AC163" s="5"/>
      <c r="AD163" s="39">
        <f>(Table5[[#This Row],[( S/S+T/B) AJD]]*1000)-((Table5[[#This Row],[(STORGE DIFF.) AJD]]*1000)+Table5[[#This Row],[AJD_Evaporation]]+(Table5[[#This Row],[(A/B + A/S) AJD]]*1000))</f>
        <v>0</v>
      </c>
      <c r="AE163" s="41"/>
      <c r="AF163" s="43"/>
      <c r="AG163" s="43"/>
      <c r="AH163" s="6">
        <f>Table5[[#This Row],[ (RESV. STORGE) BER]]/10</f>
        <v>0</v>
      </c>
      <c r="AI163" s="41"/>
      <c r="AJ163" s="41">
        <f>Table5[[#This Row],[(A/B) AJD]]-Table5[[#This Row],[BER_IN]]</f>
        <v>0</v>
      </c>
      <c r="AK163" s="43"/>
      <c r="AL163" s="43"/>
      <c r="AM163" s="32"/>
      <c r="AN163" s="32">
        <f>Table5[[#This Row],[ (RESV. STORGE) SER]]/10</f>
        <v>0</v>
      </c>
      <c r="AO163" s="68"/>
      <c r="AP163" s="104">
        <f>Table5[[#This Row],[(A/S) AJD]]-Table5[[#This Row],[SER_IN]]</f>
        <v>0</v>
      </c>
    </row>
    <row r="164" spans="1:42" ht="18.75" x14ac:dyDescent="0.25">
      <c r="A164" s="10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Table5[[#This Row],[ (T/B) SAR]]+Table5[[#This Row],[ (S/S) SAR]]</f>
        <v>0</v>
      </c>
      <c r="L164" s="45"/>
      <c r="M164" s="46"/>
      <c r="N164" s="46"/>
      <c r="O164" s="40"/>
      <c r="P164" s="10">
        <f>Table5[[#This Row],[ (S/S) SAR]]-Table5[[#This Row],[(S/S) AJD]]</f>
        <v>0</v>
      </c>
      <c r="Q164" s="40"/>
      <c r="R164" s="10">
        <f>Table5[[#This Row],[ (T/B) SAR]]-Table5[[#This Row],[(T/B) AJD]]</f>
        <v>0</v>
      </c>
      <c r="S164" s="10">
        <f>Table5[[#This Row],[S/S_CON.]]+Table5[[#This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Table5[[#This Row],[(RESV. STORGE) AJD]]/10</f>
        <v>0</v>
      </c>
      <c r="AB164" s="3">
        <f t="shared" si="11"/>
        <v>0</v>
      </c>
      <c r="AC164" s="5"/>
      <c r="AD164" s="40">
        <f>(Table5[[#This Row],[( S/S+T/B) AJD]]*1000)-((Table5[[#This Row],[(STORGE DIFF.) AJD]]*1000)+Table5[[#This Row],[AJD_Evaporation]]+(Table5[[#This Row],[(A/B + A/S) AJD]]*1000))</f>
        <v>0</v>
      </c>
      <c r="AE164" s="44"/>
      <c r="AF164" s="45"/>
      <c r="AG164" s="45"/>
      <c r="AH164" s="6">
        <f>Table5[[#This Row],[ (RESV. STORGE) BER]]/10</f>
        <v>0</v>
      </c>
      <c r="AI164" s="44"/>
      <c r="AJ164" s="44">
        <f>Table5[[#This Row],[(A/B) AJD]]-Table5[[#This Row],[BER_IN]]</f>
        <v>0</v>
      </c>
      <c r="AK164" s="45"/>
      <c r="AL164" s="45"/>
      <c r="AM164" s="32"/>
      <c r="AN164" s="32">
        <f>Table5[[#This Row],[ (RESV. STORGE) SER]]/10</f>
        <v>0</v>
      </c>
      <c r="AO164" s="68"/>
      <c r="AP164" s="104">
        <f>Table5[[#This Row],[(A/S) AJD]]-Table5[[#This Row],[SER_IN]]</f>
        <v>0</v>
      </c>
    </row>
    <row r="165" spans="1:42" ht="18.75" x14ac:dyDescent="0.25">
      <c r="A165" s="10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Table5[[#This Row],[ (T/B) SAR]]+Table5[[#This Row],[ (S/S) SAR]]</f>
        <v>0</v>
      </c>
      <c r="L165" s="41"/>
      <c r="M165" s="42"/>
      <c r="N165" s="42"/>
      <c r="O165" s="39"/>
      <c r="P165" s="10">
        <f>Table5[[#This Row],[ (S/S) SAR]]-Table5[[#This Row],[(S/S) AJD]]</f>
        <v>0</v>
      </c>
      <c r="Q165" s="39"/>
      <c r="R165" s="10">
        <f>Table5[[#This Row],[ (T/B) SAR]]-Table5[[#This Row],[(T/B) AJD]]</f>
        <v>0</v>
      </c>
      <c r="S165" s="10">
        <f>Table5[[#This Row],[S/S_CON.]]+Table5[[#This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Table5[[#This Row],[(RESV. STORGE) AJD]]/10</f>
        <v>0</v>
      </c>
      <c r="AB165" s="3">
        <f t="shared" si="11"/>
        <v>0</v>
      </c>
      <c r="AC165" s="5"/>
      <c r="AD165" s="39">
        <f>(Table5[[#This Row],[( S/S+T/B) AJD]]*1000)-((Table5[[#This Row],[(STORGE DIFF.) AJD]]*1000)+Table5[[#This Row],[AJD_Evaporation]]+(Table5[[#This Row],[(A/B + A/S) AJD]]*1000))</f>
        <v>0</v>
      </c>
      <c r="AE165" s="41"/>
      <c r="AF165" s="43"/>
      <c r="AG165" s="43"/>
      <c r="AH165" s="6">
        <f>Table5[[#This Row],[ (RESV. STORGE) BER]]/10</f>
        <v>0</v>
      </c>
      <c r="AI165" s="41"/>
      <c r="AJ165" s="41">
        <f>Table5[[#This Row],[(A/B) AJD]]-Table5[[#This Row],[BER_IN]]</f>
        <v>0</v>
      </c>
      <c r="AK165" s="43"/>
      <c r="AL165" s="43"/>
      <c r="AM165" s="32"/>
      <c r="AN165" s="32">
        <f>Table5[[#This Row],[ (RESV. STORGE) SER]]/10</f>
        <v>0</v>
      </c>
      <c r="AO165" s="68"/>
      <c r="AP165" s="104">
        <f>Table5[[#This Row],[(A/S) AJD]]-Table5[[#This Row],[SER_IN]]</f>
        <v>0</v>
      </c>
    </row>
    <row r="166" spans="1:42" ht="18.75" x14ac:dyDescent="0.25">
      <c r="A166" s="10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Table5[[#This Row],[ (T/B) SAR]]+Table5[[#This Row],[ (S/S) SAR]]</f>
        <v>0</v>
      </c>
      <c r="L166" s="45"/>
      <c r="M166" s="46"/>
      <c r="N166" s="46"/>
      <c r="O166" s="40"/>
      <c r="P166" s="10">
        <f>Table5[[#This Row],[ (S/S) SAR]]-Table5[[#This Row],[(S/S) AJD]]</f>
        <v>0</v>
      </c>
      <c r="Q166" s="40"/>
      <c r="R166" s="10">
        <f>Table5[[#This Row],[ (T/B) SAR]]-Table5[[#This Row],[(T/B) AJD]]</f>
        <v>0</v>
      </c>
      <c r="S166" s="10">
        <f>Table5[[#This Row],[S/S_CON.]]+Table5[[#This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Table5[[#This Row],[(RESV. STORGE) AJD]]/10</f>
        <v>0</v>
      </c>
      <c r="AB166" s="3">
        <f t="shared" si="11"/>
        <v>0</v>
      </c>
      <c r="AC166" s="5"/>
      <c r="AD166" s="40">
        <f>(Table5[[#This Row],[( S/S+T/B) AJD]]*1000)-((Table5[[#This Row],[(STORGE DIFF.) AJD]]*1000)+Table5[[#This Row],[AJD_Evaporation]]+(Table5[[#This Row],[(A/B + A/S) AJD]]*1000))</f>
        <v>0</v>
      </c>
      <c r="AE166" s="44"/>
      <c r="AF166" s="45"/>
      <c r="AG166" s="45"/>
      <c r="AH166" s="6">
        <f>Table5[[#This Row],[ (RESV. STORGE) BER]]/10</f>
        <v>0</v>
      </c>
      <c r="AI166" s="44"/>
      <c r="AJ166" s="44">
        <f>Table5[[#This Row],[(A/B) AJD]]-Table5[[#This Row],[BER_IN]]</f>
        <v>0</v>
      </c>
      <c r="AK166" s="45"/>
      <c r="AL166" s="45"/>
      <c r="AM166" s="32"/>
      <c r="AN166" s="32">
        <f>Table5[[#This Row],[ (RESV. STORGE) SER]]/10</f>
        <v>0</v>
      </c>
      <c r="AO166" s="68"/>
      <c r="AP166" s="104">
        <f>Table5[[#This Row],[(A/S) AJD]]-Table5[[#This Row],[SER_IN]]</f>
        <v>0</v>
      </c>
    </row>
    <row r="167" spans="1:42" ht="18.75" x14ac:dyDescent="0.25">
      <c r="A167" s="10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Table5[[#This Row],[ (T/B) SAR]]+Table5[[#This Row],[ (S/S) SAR]]</f>
        <v>0</v>
      </c>
      <c r="L167" s="41"/>
      <c r="M167" s="42"/>
      <c r="N167" s="42"/>
      <c r="O167" s="39"/>
      <c r="P167" s="10">
        <f>Table5[[#This Row],[ (S/S) SAR]]-Table5[[#This Row],[(S/S) AJD]]</f>
        <v>0</v>
      </c>
      <c r="Q167" s="39"/>
      <c r="R167" s="10">
        <f>Table5[[#This Row],[ (T/B) SAR]]-Table5[[#This Row],[(T/B) AJD]]</f>
        <v>0</v>
      </c>
      <c r="S167" s="10">
        <f>Table5[[#This Row],[S/S_CON.]]+Table5[[#This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Table5[[#This Row],[(RESV. STORGE) AJD]]/10</f>
        <v>0</v>
      </c>
      <c r="AB167" s="3">
        <f t="shared" si="11"/>
        <v>0</v>
      </c>
      <c r="AC167" s="5"/>
      <c r="AD167" s="39">
        <f>(Table5[[#This Row],[( S/S+T/B) AJD]]*1000)-((Table5[[#This Row],[(STORGE DIFF.) AJD]]*1000)+Table5[[#This Row],[AJD_Evaporation]]+(Table5[[#This Row],[(A/B + A/S) AJD]]*1000))</f>
        <v>0</v>
      </c>
      <c r="AE167" s="41"/>
      <c r="AF167" s="43"/>
      <c r="AG167" s="43"/>
      <c r="AH167" s="6">
        <f>Table5[[#This Row],[ (RESV. STORGE) BER]]/10</f>
        <v>0</v>
      </c>
      <c r="AI167" s="41"/>
      <c r="AJ167" s="41">
        <f>Table5[[#This Row],[(A/B) AJD]]-Table5[[#This Row],[BER_IN]]</f>
        <v>0</v>
      </c>
      <c r="AK167" s="43"/>
      <c r="AL167" s="43"/>
      <c r="AM167" s="32"/>
      <c r="AN167" s="32">
        <f>Table5[[#This Row],[ (RESV. STORGE) SER]]/10</f>
        <v>0</v>
      </c>
      <c r="AO167" s="68"/>
      <c r="AP167" s="104">
        <f>Table5[[#This Row],[(A/S) AJD]]-Table5[[#This Row],[SER_IN]]</f>
        <v>0</v>
      </c>
    </row>
    <row r="168" spans="1:42" ht="18.75" x14ac:dyDescent="0.25">
      <c r="A168" s="10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Table5[[#This Row],[ (T/B) SAR]]+Table5[[#This Row],[ (S/S) SAR]]</f>
        <v>0</v>
      </c>
      <c r="L168" s="45"/>
      <c r="M168" s="46"/>
      <c r="N168" s="46"/>
      <c r="O168" s="40"/>
      <c r="P168" s="10">
        <f>Table5[[#This Row],[ (S/S) SAR]]-Table5[[#This Row],[(S/S) AJD]]</f>
        <v>0</v>
      </c>
      <c r="Q168" s="40"/>
      <c r="R168" s="10">
        <f>Table5[[#This Row],[ (T/B) SAR]]-Table5[[#This Row],[(T/B) AJD]]</f>
        <v>0</v>
      </c>
      <c r="S168" s="10">
        <f>Table5[[#This Row],[S/S_CON.]]+Table5[[#This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Table5[[#This Row],[(RESV. STORGE) AJD]]/10</f>
        <v>0</v>
      </c>
      <c r="AB168" s="3">
        <f t="shared" si="11"/>
        <v>0</v>
      </c>
      <c r="AC168" s="5"/>
      <c r="AD168" s="40">
        <f>(Table5[[#This Row],[( S/S+T/B) AJD]]*1000)-((Table5[[#This Row],[(STORGE DIFF.) AJD]]*1000)+Table5[[#This Row],[AJD_Evaporation]]+(Table5[[#This Row],[(A/B + A/S) AJD]]*1000))</f>
        <v>0</v>
      </c>
      <c r="AE168" s="44"/>
      <c r="AF168" s="45"/>
      <c r="AG168" s="45"/>
      <c r="AH168" s="6">
        <f>Table5[[#This Row],[ (RESV. STORGE) BER]]/10</f>
        <v>0</v>
      </c>
      <c r="AI168" s="44"/>
      <c r="AJ168" s="44">
        <f>Table5[[#This Row],[(A/B) AJD]]-Table5[[#This Row],[BER_IN]]</f>
        <v>0</v>
      </c>
      <c r="AK168" s="45"/>
      <c r="AL168" s="45"/>
      <c r="AM168" s="32"/>
      <c r="AN168" s="32">
        <f>Table5[[#This Row],[ (RESV. STORGE) SER]]/10</f>
        <v>0</v>
      </c>
      <c r="AO168" s="68"/>
      <c r="AP168" s="104">
        <f>Table5[[#This Row],[(A/S) AJD]]-Table5[[#This Row],[SER_IN]]</f>
        <v>0</v>
      </c>
    </row>
    <row r="169" spans="1:42" ht="18.75" x14ac:dyDescent="0.25">
      <c r="A169" s="10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Table5[[#This Row],[ (T/B) SAR]]+Table5[[#This Row],[ (S/S) SAR]]</f>
        <v>0</v>
      </c>
      <c r="L169" s="41"/>
      <c r="M169" s="42"/>
      <c r="N169" s="42"/>
      <c r="O169" s="39"/>
      <c r="P169" s="10">
        <f>Table5[[#This Row],[ (S/S) SAR]]-Table5[[#This Row],[(S/S) AJD]]</f>
        <v>0</v>
      </c>
      <c r="Q169" s="39"/>
      <c r="R169" s="10">
        <f>Table5[[#This Row],[ (T/B) SAR]]-Table5[[#This Row],[(T/B) AJD]]</f>
        <v>0</v>
      </c>
      <c r="S169" s="10">
        <f>Table5[[#This Row],[S/S_CON.]]+Table5[[#This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Table5[[#This Row],[(RESV. STORGE) AJD]]/10</f>
        <v>0</v>
      </c>
      <c r="AB169" s="3">
        <f t="shared" si="11"/>
        <v>0</v>
      </c>
      <c r="AC169" s="5"/>
      <c r="AD169" s="39">
        <f>(Table5[[#This Row],[( S/S+T/B) AJD]]*1000)-((Table5[[#This Row],[(STORGE DIFF.) AJD]]*1000)+Table5[[#This Row],[AJD_Evaporation]]+(Table5[[#This Row],[(A/B + A/S) AJD]]*1000))</f>
        <v>0</v>
      </c>
      <c r="AE169" s="41"/>
      <c r="AF169" s="43"/>
      <c r="AG169" s="43"/>
      <c r="AH169" s="6">
        <f>Table5[[#This Row],[ (RESV. STORGE) BER]]/10</f>
        <v>0</v>
      </c>
      <c r="AI169" s="41"/>
      <c r="AJ169" s="41">
        <f>Table5[[#This Row],[(A/B) AJD]]-Table5[[#This Row],[BER_IN]]</f>
        <v>0</v>
      </c>
      <c r="AK169" s="43"/>
      <c r="AL169" s="43"/>
      <c r="AM169" s="32"/>
      <c r="AN169" s="32">
        <f>Table5[[#This Row],[ (RESV. STORGE) SER]]/10</f>
        <v>0</v>
      </c>
      <c r="AO169" s="68"/>
      <c r="AP169" s="104">
        <f>Table5[[#This Row],[(A/S) AJD]]-Table5[[#This Row],[SER_IN]]</f>
        <v>0</v>
      </c>
    </row>
    <row r="170" spans="1:42" ht="18.75" x14ac:dyDescent="0.25">
      <c r="A170" s="10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Table5[[#This Row],[ (T/B) SAR]]+Table5[[#This Row],[ (S/S) SAR]]</f>
        <v>0</v>
      </c>
      <c r="L170" s="45"/>
      <c r="M170" s="46"/>
      <c r="N170" s="46"/>
      <c r="O170" s="40"/>
      <c r="P170" s="3">
        <f>Table5[[#This Row],[ (S/S) SAR]]-Table5[[#This Row],[(S/S) AJD]]</f>
        <v>0</v>
      </c>
      <c r="Q170" s="40"/>
      <c r="R170" s="3">
        <f>Table5[[#This Row],[ (T/B) SAR]]-Table5[[#This Row],[(T/B) AJD]]</f>
        <v>0</v>
      </c>
      <c r="S170" s="3">
        <f>Table5[[#This Row],[S/S_CON.]]+Table5[[#This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Table5[[#This Row],[(RESV. STORGE) AJD]]/10</f>
        <v>0</v>
      </c>
      <c r="AB170" s="3">
        <f t="shared" si="11"/>
        <v>0</v>
      </c>
      <c r="AC170" s="5"/>
      <c r="AD170" s="40">
        <f>(Table5[[#This Row],[( S/S+T/B) AJD]]*1000)-((Table5[[#This Row],[(STORGE DIFF.) AJD]]*1000)+Table5[[#This Row],[AJD_Evaporation]]+(Table5[[#This Row],[(A/B + A/S) AJD]]*1000))</f>
        <v>0</v>
      </c>
      <c r="AE170" s="44"/>
      <c r="AF170" s="45"/>
      <c r="AG170" s="45"/>
      <c r="AH170" s="6">
        <f>Table5[[#This Row],[ (RESV. STORGE) BER]]/10</f>
        <v>0</v>
      </c>
      <c r="AI170" s="44"/>
      <c r="AJ170" s="44">
        <f>Table5[[#This Row],[(A/B) AJD]]-Table5[[#This Row],[BER_IN]]</f>
        <v>0</v>
      </c>
      <c r="AK170" s="45"/>
      <c r="AL170" s="45"/>
      <c r="AM170" s="32"/>
      <c r="AN170" s="32">
        <f>Table5[[#This Row],[ (RESV. STORGE) SER]]/10</f>
        <v>0</v>
      </c>
      <c r="AO170" s="68"/>
      <c r="AP170" s="104">
        <f>Table5[[#This Row],[(A/S) AJD]]-Table5[[#This Row],[SER_IN]]</f>
        <v>0</v>
      </c>
    </row>
    <row r="171" spans="1:42" ht="18.75" x14ac:dyDescent="0.25">
      <c r="A171" s="10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Table5[[#This Row],[ (T/B) SAR]]+Table5[[#This Row],[ (S/S) SAR]]</f>
        <v>0</v>
      </c>
      <c r="L171" s="41"/>
      <c r="M171" s="42"/>
      <c r="N171" s="42"/>
      <c r="O171" s="39"/>
      <c r="P171" s="3">
        <f>Table5[[#This Row],[ (S/S) SAR]]-Table5[[#This Row],[(S/S) AJD]]</f>
        <v>0</v>
      </c>
      <c r="Q171" s="39"/>
      <c r="R171" s="3">
        <f>Table5[[#This Row],[ (T/B) SAR]]-Table5[[#This Row],[(T/B) AJD]]</f>
        <v>0</v>
      </c>
      <c r="S171" s="3">
        <f>Table5[[#This Row],[S/S_CON.]]+Table5[[#This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Table5[[#This Row],[(RESV. STORGE) AJD]]/10</f>
        <v>0</v>
      </c>
      <c r="AB171" s="3">
        <f t="shared" si="11"/>
        <v>0</v>
      </c>
      <c r="AC171" s="5"/>
      <c r="AD171" s="39">
        <f>(Table5[[#This Row],[( S/S+T/B) AJD]]*1000)-((Table5[[#This Row],[(STORGE DIFF.) AJD]]*1000)+Table5[[#This Row],[AJD_Evaporation]]+(Table5[[#This Row],[(A/B + A/S) AJD]]*1000))</f>
        <v>0</v>
      </c>
      <c r="AE171" s="41"/>
      <c r="AF171" s="43"/>
      <c r="AG171" s="43"/>
      <c r="AH171" s="6">
        <f>Table5[[#This Row],[ (RESV. STORGE) BER]]/10</f>
        <v>0</v>
      </c>
      <c r="AI171" s="41"/>
      <c r="AJ171" s="41">
        <f>Table5[[#This Row],[(A/B) AJD]]-Table5[[#This Row],[BER_IN]]</f>
        <v>0</v>
      </c>
      <c r="AK171" s="43"/>
      <c r="AL171" s="43"/>
      <c r="AM171" s="32"/>
      <c r="AN171" s="32">
        <f>Table5[[#This Row],[ (RESV. STORGE) SER]]/10</f>
        <v>0</v>
      </c>
      <c r="AO171" s="68"/>
      <c r="AP171" s="104">
        <f>Table5[[#This Row],[(A/S) AJD]]-Table5[[#This Row],[SER_IN]]</f>
        <v>0</v>
      </c>
    </row>
    <row r="172" spans="1:42" ht="18.75" x14ac:dyDescent="0.25">
      <c r="A172" s="10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Table5[[#This Row],[ (T/B) SAR]]+Table5[[#This Row],[ (S/S) SAR]]</f>
        <v>0</v>
      </c>
      <c r="L172" s="44"/>
      <c r="M172" s="46"/>
      <c r="N172" s="46"/>
      <c r="O172" s="40"/>
      <c r="P172" s="3">
        <f>Table5[[#This Row],[ (S/S) SAR]]-Table5[[#This Row],[(S/S) AJD]]</f>
        <v>0</v>
      </c>
      <c r="Q172" s="40"/>
      <c r="R172" s="3">
        <f>Table5[[#This Row],[ (T/B) SAR]]-Table5[[#This Row],[(T/B) AJD]]</f>
        <v>0</v>
      </c>
      <c r="S172" s="3">
        <f>Table5[[#This Row],[S/S_CON.]]+Table5[[#This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Table5[[#This Row],[(RESV. STORGE) AJD]]/10</f>
        <v>0</v>
      </c>
      <c r="AB172" s="3">
        <f t="shared" si="11"/>
        <v>0</v>
      </c>
      <c r="AC172" s="5"/>
      <c r="AD172" s="40">
        <f>(Table5[[#This Row],[( S/S+T/B) AJD]]*1000)-((Table5[[#This Row],[(STORGE DIFF.) AJD]]*1000)+Table5[[#This Row],[AJD_Evaporation]]+(Table5[[#This Row],[(A/B + A/S) AJD]]*1000))</f>
        <v>0</v>
      </c>
      <c r="AE172" s="44"/>
      <c r="AF172" s="45"/>
      <c r="AG172" s="45"/>
      <c r="AH172" s="6">
        <f>Table5[[#This Row],[ (RESV. STORGE) BER]]/10</f>
        <v>0</v>
      </c>
      <c r="AI172" s="44"/>
      <c r="AJ172" s="44">
        <f>Table5[[#This Row],[(A/B) AJD]]-Table5[[#This Row],[BER_IN]]</f>
        <v>0</v>
      </c>
      <c r="AK172" s="45"/>
      <c r="AL172" s="45"/>
      <c r="AM172" s="32"/>
      <c r="AN172" s="32">
        <f>Table5[[#This Row],[ (RESV. STORGE) SER]]/10</f>
        <v>0</v>
      </c>
      <c r="AO172" s="68"/>
      <c r="AP172" s="104">
        <f>Table5[[#This Row],[(A/S) AJD]]-Table5[[#This Row],[SER_IN]]</f>
        <v>0</v>
      </c>
    </row>
    <row r="173" spans="1:42" ht="18.75" x14ac:dyDescent="0.25">
      <c r="A173" s="10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Table5[[#This Row],[ (T/B) SAR]]+Table5[[#This Row],[ (S/S) SAR]]</f>
        <v>0</v>
      </c>
      <c r="L173" s="41"/>
      <c r="M173" s="42"/>
      <c r="N173" s="42"/>
      <c r="O173" s="39"/>
      <c r="P173" s="3">
        <f>Table5[[#This Row],[ (S/S) SAR]]-Table5[[#This Row],[(S/S) AJD]]</f>
        <v>0</v>
      </c>
      <c r="Q173" s="39"/>
      <c r="R173" s="3">
        <f>Table5[[#This Row],[ (T/B) SAR]]-Table5[[#This Row],[(T/B) AJD]]</f>
        <v>0</v>
      </c>
      <c r="S173" s="3">
        <f>Table5[[#This Row],[S/S_CON.]]+Table5[[#This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Table5[[#This Row],[(RESV. STORGE) AJD]]/10</f>
        <v>0</v>
      </c>
      <c r="AB173" s="3">
        <f t="shared" si="11"/>
        <v>0</v>
      </c>
      <c r="AC173" s="5"/>
      <c r="AD173" s="39">
        <f>(Table5[[#This Row],[( S/S+T/B) AJD]]*1000)-((Table5[[#This Row],[(STORGE DIFF.) AJD]]*1000)+Table5[[#This Row],[AJD_Evaporation]]+(Table5[[#This Row],[(A/B + A/S) AJD]]*1000))</f>
        <v>0</v>
      </c>
      <c r="AE173" s="41"/>
      <c r="AF173" s="43"/>
      <c r="AG173" s="43"/>
      <c r="AH173" s="6">
        <f>Table5[[#This Row],[ (RESV. STORGE) BER]]/10</f>
        <v>0</v>
      </c>
      <c r="AI173" s="41"/>
      <c r="AJ173" s="41">
        <f>Table5[[#This Row],[(A/B) AJD]]-Table5[[#This Row],[BER_IN]]</f>
        <v>0</v>
      </c>
      <c r="AK173" s="43"/>
      <c r="AL173" s="43"/>
      <c r="AM173" s="32"/>
      <c r="AN173" s="32">
        <f>Table5[[#This Row],[ (RESV. STORGE) SER]]/10</f>
        <v>0</v>
      </c>
      <c r="AO173" s="68"/>
      <c r="AP173" s="104">
        <f>Table5[[#This Row],[(A/S) AJD]]-Table5[[#This Row],[SER_IN]]</f>
        <v>0</v>
      </c>
    </row>
    <row r="174" spans="1:42" ht="18.75" x14ac:dyDescent="0.25">
      <c r="A174" s="10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Table5[[#This Row],[ (T/B) SAR]]+Table5[[#This Row],[ (S/S) SAR]]</f>
        <v>0</v>
      </c>
      <c r="L174" s="45"/>
      <c r="M174" s="46"/>
      <c r="N174" s="46"/>
      <c r="O174" s="40"/>
      <c r="P174" s="3">
        <f>Table5[[#This Row],[ (S/S) SAR]]-Table5[[#This Row],[(S/S) AJD]]</f>
        <v>0</v>
      </c>
      <c r="Q174" s="40"/>
      <c r="R174" s="3">
        <f>Table5[[#This Row],[ (T/B) SAR]]-Table5[[#This Row],[(T/B) AJD]]</f>
        <v>0</v>
      </c>
      <c r="S174" s="3">
        <f>Table5[[#This Row],[S/S_CON.]]+Table5[[#This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Table5[[#This Row],[(RESV. STORGE) AJD]]/10</f>
        <v>0</v>
      </c>
      <c r="AB174" s="3">
        <f t="shared" si="11"/>
        <v>0</v>
      </c>
      <c r="AC174" s="5"/>
      <c r="AD174" s="40">
        <f>(Table5[[#This Row],[( S/S+T/B) AJD]]*1000)-((Table5[[#This Row],[(STORGE DIFF.) AJD]]*1000)+Table5[[#This Row],[AJD_Evaporation]]+(Table5[[#This Row],[(A/B + A/S) AJD]]*1000))</f>
        <v>0</v>
      </c>
      <c r="AE174" s="44"/>
      <c r="AF174" s="45"/>
      <c r="AG174" s="45"/>
      <c r="AH174" s="6">
        <f>Table5[[#This Row],[ (RESV. STORGE) BER]]/10</f>
        <v>0</v>
      </c>
      <c r="AI174" s="44"/>
      <c r="AJ174" s="44">
        <f>Table5[[#This Row],[(A/B) AJD]]-Table5[[#This Row],[BER_IN]]</f>
        <v>0</v>
      </c>
      <c r="AK174" s="45"/>
      <c r="AL174" s="45"/>
      <c r="AM174" s="32"/>
      <c r="AN174" s="32">
        <f>Table5[[#This Row],[ (RESV. STORGE) SER]]/10</f>
        <v>0</v>
      </c>
      <c r="AO174" s="68"/>
      <c r="AP174" s="104">
        <f>Table5[[#This Row],[(A/S) AJD]]-Table5[[#This Row],[SER_IN]]</f>
        <v>0</v>
      </c>
    </row>
    <row r="175" spans="1:42" ht="18.75" x14ac:dyDescent="0.25">
      <c r="A175" s="10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Table5[[#This Row],[ (T/B) SAR]]+Table5[[#This Row],[ (S/S) SAR]]</f>
        <v>0</v>
      </c>
      <c r="L175" s="41"/>
      <c r="M175" s="42"/>
      <c r="N175" s="42"/>
      <c r="O175" s="39"/>
      <c r="P175" s="3">
        <f>Table5[[#This Row],[ (S/S) SAR]]-Table5[[#This Row],[(S/S) AJD]]</f>
        <v>0</v>
      </c>
      <c r="Q175" s="39"/>
      <c r="R175" s="3">
        <f>Table5[[#This Row],[ (T/B) SAR]]-Table5[[#This Row],[(T/B) AJD]]</f>
        <v>0</v>
      </c>
      <c r="S175" s="3">
        <f>Table5[[#This Row],[S/S_CON.]]+Table5[[#This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Table5[[#This Row],[(RESV. STORGE) AJD]]/10</f>
        <v>0</v>
      </c>
      <c r="AB175" s="3">
        <f t="shared" si="11"/>
        <v>0</v>
      </c>
      <c r="AC175" s="5"/>
      <c r="AD175" s="39">
        <f>(Table5[[#This Row],[( S/S+T/B) AJD]]*1000)-((Table5[[#This Row],[(STORGE DIFF.) AJD]]*1000)+Table5[[#This Row],[AJD_Evaporation]]+(Table5[[#This Row],[(A/B + A/S) AJD]]*1000))</f>
        <v>0</v>
      </c>
      <c r="AE175" s="41"/>
      <c r="AF175" s="43"/>
      <c r="AG175" s="43"/>
      <c r="AH175" s="6">
        <f>Table5[[#This Row],[ (RESV. STORGE) BER]]/10</f>
        <v>0</v>
      </c>
      <c r="AI175" s="41"/>
      <c r="AJ175" s="41">
        <f>Table5[[#This Row],[(A/B) AJD]]-Table5[[#This Row],[BER_IN]]</f>
        <v>0</v>
      </c>
      <c r="AK175" s="43"/>
      <c r="AL175" s="43"/>
      <c r="AM175" s="32"/>
      <c r="AN175" s="32">
        <f>Table5[[#This Row],[ (RESV. STORGE) SER]]/10</f>
        <v>0</v>
      </c>
      <c r="AO175" s="68"/>
      <c r="AP175" s="104">
        <f>Table5[[#This Row],[(A/S) AJD]]-Table5[[#This Row],[SER_IN]]</f>
        <v>0</v>
      </c>
    </row>
    <row r="176" spans="1:42" ht="18.75" x14ac:dyDescent="0.25">
      <c r="A176" s="10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Table5[[#This Row],[ (T/B) SAR]]+Table5[[#This Row],[ (S/S) SAR]]</f>
        <v>0</v>
      </c>
      <c r="L176" s="45"/>
      <c r="M176" s="46"/>
      <c r="N176" s="46"/>
      <c r="O176" s="40"/>
      <c r="P176" s="3">
        <f>Table5[[#This Row],[ (S/S) SAR]]-Table5[[#This Row],[(S/S) AJD]]</f>
        <v>0</v>
      </c>
      <c r="Q176" s="40"/>
      <c r="R176" s="3">
        <f>Table5[[#This Row],[ (T/B) SAR]]-Table5[[#This Row],[(T/B) AJD]]</f>
        <v>0</v>
      </c>
      <c r="S176" s="3">
        <f>Table5[[#This Row],[S/S_CON.]]+Table5[[#This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Table5[[#This Row],[(RESV. STORGE) AJD]]/10</f>
        <v>0</v>
      </c>
      <c r="AB176" s="3">
        <f t="shared" si="11"/>
        <v>0</v>
      </c>
      <c r="AC176" s="5"/>
      <c r="AD176" s="40">
        <f>(Table5[[#This Row],[( S/S+T/B) AJD]]*1000)-((Table5[[#This Row],[(STORGE DIFF.) AJD]]*1000)+Table5[[#This Row],[AJD_Evaporation]]+(Table5[[#This Row],[(A/B + A/S) AJD]]*1000))</f>
        <v>0</v>
      </c>
      <c r="AE176" s="44"/>
      <c r="AF176" s="45"/>
      <c r="AG176" s="45"/>
      <c r="AH176" s="6">
        <f>Table5[[#This Row],[ (RESV. STORGE) BER]]/10</f>
        <v>0</v>
      </c>
      <c r="AI176" s="44"/>
      <c r="AJ176" s="44">
        <f>Table5[[#This Row],[(A/B) AJD]]-Table5[[#This Row],[BER_IN]]</f>
        <v>0</v>
      </c>
      <c r="AK176" s="45"/>
      <c r="AL176" s="45"/>
      <c r="AM176" s="32"/>
      <c r="AN176" s="32">
        <f>Table5[[#This Row],[ (RESV. STORGE) SER]]/10</f>
        <v>0</v>
      </c>
      <c r="AO176" s="68"/>
      <c r="AP176" s="104">
        <f>Table5[[#This Row],[(A/S) AJD]]-Table5[[#This Row],[SER_IN]]</f>
        <v>0</v>
      </c>
    </row>
    <row r="177" spans="1:42" ht="18.75" x14ac:dyDescent="0.25">
      <c r="A177" s="10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Table5[[#This Row],[ (T/B) SAR]]+Table5[[#This Row],[ (S/S) SAR]]</f>
        <v>0</v>
      </c>
      <c r="L177" s="41"/>
      <c r="M177" s="42"/>
      <c r="N177" s="42"/>
      <c r="O177" s="39"/>
      <c r="P177" s="3">
        <f>Table5[[#This Row],[ (S/S) SAR]]-Table5[[#This Row],[(S/S) AJD]]</f>
        <v>0</v>
      </c>
      <c r="Q177" s="39"/>
      <c r="R177" s="3">
        <f>Table5[[#This Row],[ (T/B) SAR]]-Table5[[#This Row],[(T/B) AJD]]</f>
        <v>0</v>
      </c>
      <c r="S177" s="3">
        <f>Table5[[#This Row],[S/S_CON.]]+Table5[[#This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Table5[[#This Row],[(RESV. STORGE) AJD]]/10</f>
        <v>0</v>
      </c>
      <c r="AB177" s="3">
        <f t="shared" si="11"/>
        <v>0</v>
      </c>
      <c r="AC177" s="5"/>
      <c r="AD177" s="39">
        <f>(Table5[[#This Row],[( S/S+T/B) AJD]]*1000)-((Table5[[#This Row],[(STORGE DIFF.) AJD]]*1000)+Table5[[#This Row],[AJD_Evaporation]]+(Table5[[#This Row],[(A/B + A/S) AJD]]*1000))</f>
        <v>0</v>
      </c>
      <c r="AE177" s="41"/>
      <c r="AF177" s="43"/>
      <c r="AG177" s="43"/>
      <c r="AH177" s="6">
        <f>Table5[[#This Row],[ (RESV. STORGE) BER]]/10</f>
        <v>0</v>
      </c>
      <c r="AI177" s="41"/>
      <c r="AJ177" s="41">
        <f>Table5[[#This Row],[(A/B) AJD]]-Table5[[#This Row],[BER_IN]]</f>
        <v>0</v>
      </c>
      <c r="AK177" s="43"/>
      <c r="AL177" s="43"/>
      <c r="AM177" s="32"/>
      <c r="AN177" s="32">
        <f>Table5[[#This Row],[ (RESV. STORGE) SER]]/10</f>
        <v>0</v>
      </c>
      <c r="AO177" s="68"/>
      <c r="AP177" s="104">
        <f>Table5[[#This Row],[(A/S) AJD]]-Table5[[#This Row],[SER_IN]]</f>
        <v>0</v>
      </c>
    </row>
    <row r="178" spans="1:42" ht="18.75" x14ac:dyDescent="0.25">
      <c r="A178" s="10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Table5[[#This Row],[ (T/B) SAR]]+Table5[[#This Row],[ (S/S) SAR]]</f>
        <v>0</v>
      </c>
      <c r="L178" s="45"/>
      <c r="M178" s="46"/>
      <c r="N178" s="46"/>
      <c r="O178" s="40"/>
      <c r="P178" s="3">
        <f>Table5[[#This Row],[ (S/S) SAR]]-Table5[[#This Row],[(S/S) AJD]]</f>
        <v>0</v>
      </c>
      <c r="Q178" s="40"/>
      <c r="R178" s="3">
        <f>Table5[[#This Row],[ (T/B) SAR]]-Table5[[#This Row],[(T/B) AJD]]</f>
        <v>0</v>
      </c>
      <c r="S178" s="3">
        <f>Table5[[#This Row],[S/S_CON.]]+Table5[[#This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Table5[[#This Row],[(RESV. STORGE) AJD]]/10</f>
        <v>0</v>
      </c>
      <c r="AB178" s="3">
        <f t="shared" si="11"/>
        <v>0</v>
      </c>
      <c r="AC178" s="5"/>
      <c r="AD178" s="40">
        <f>(Table5[[#This Row],[( S/S+T/B) AJD]]*1000)-((Table5[[#This Row],[(STORGE DIFF.) AJD]]*1000)+Table5[[#This Row],[AJD_Evaporation]]+(Table5[[#This Row],[(A/B + A/S) AJD]]*1000))</f>
        <v>0</v>
      </c>
      <c r="AE178" s="44"/>
      <c r="AF178" s="45"/>
      <c r="AG178" s="45"/>
      <c r="AH178" s="6">
        <f>Table5[[#This Row],[ (RESV. STORGE) BER]]/10</f>
        <v>0</v>
      </c>
      <c r="AI178" s="44"/>
      <c r="AJ178" s="44">
        <f>Table5[[#This Row],[(A/B) AJD]]-Table5[[#This Row],[BER_IN]]</f>
        <v>0</v>
      </c>
      <c r="AK178" s="45"/>
      <c r="AL178" s="45"/>
      <c r="AM178" s="32"/>
      <c r="AN178" s="32">
        <f>Table5[[#This Row],[ (RESV. STORGE) SER]]/10</f>
        <v>0</v>
      </c>
      <c r="AO178" s="68"/>
      <c r="AP178" s="104">
        <f>Table5[[#This Row],[(A/S) AJD]]-Table5[[#This Row],[SER_IN]]</f>
        <v>0</v>
      </c>
    </row>
    <row r="179" spans="1:42" ht="18.75" x14ac:dyDescent="0.25">
      <c r="A179" s="10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Table5[[#This Row],[ (T/B) SAR]]+Table5[[#This Row],[ (S/S) SAR]]</f>
        <v>0</v>
      </c>
      <c r="L179" s="41"/>
      <c r="M179" s="42"/>
      <c r="N179" s="42"/>
      <c r="O179" s="39"/>
      <c r="P179" s="3">
        <f>Table5[[#This Row],[ (S/S) SAR]]-Table5[[#This Row],[(S/S) AJD]]</f>
        <v>0</v>
      </c>
      <c r="Q179" s="39"/>
      <c r="R179" s="3">
        <f>Table5[[#This Row],[ (T/B) SAR]]-Table5[[#This Row],[(T/B) AJD]]</f>
        <v>0</v>
      </c>
      <c r="S179" s="3">
        <f>Table5[[#This Row],[S/S_CON.]]+Table5[[#This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Table5[[#This Row],[(RESV. STORGE) AJD]]/10</f>
        <v>0</v>
      </c>
      <c r="AB179" s="3">
        <f t="shared" si="11"/>
        <v>0</v>
      </c>
      <c r="AC179" s="5"/>
      <c r="AD179" s="39">
        <f>(Table5[[#This Row],[( S/S+T/B) AJD]]*1000)-((Table5[[#This Row],[(STORGE DIFF.) AJD]]*1000)+Table5[[#This Row],[AJD_Evaporation]]+(Table5[[#This Row],[(A/B + A/S) AJD]]*1000))</f>
        <v>0</v>
      </c>
      <c r="AE179" s="41"/>
      <c r="AF179" s="43"/>
      <c r="AG179" s="43"/>
      <c r="AH179" s="6">
        <f>Table5[[#This Row],[ (RESV. STORGE) BER]]/10</f>
        <v>0</v>
      </c>
      <c r="AI179" s="41"/>
      <c r="AJ179" s="41">
        <f>Table5[[#This Row],[(A/B) AJD]]-Table5[[#This Row],[BER_IN]]</f>
        <v>0</v>
      </c>
      <c r="AK179" s="43"/>
      <c r="AL179" s="43"/>
      <c r="AM179" s="32"/>
      <c r="AN179" s="32">
        <f>Table5[[#This Row],[ (RESV. STORGE) SER]]/10</f>
        <v>0</v>
      </c>
      <c r="AO179" s="68"/>
      <c r="AP179" s="104">
        <f>Table5[[#This Row],[(A/S) AJD]]-Table5[[#This Row],[SER_IN]]</f>
        <v>0</v>
      </c>
    </row>
    <row r="180" spans="1:42" ht="18.75" x14ac:dyDescent="0.25">
      <c r="A180" s="10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Table5[[#This Row],[ (T/B) SAR]]+Table5[[#This Row],[ (S/S) SAR]]</f>
        <v>0</v>
      </c>
      <c r="L180" s="45"/>
      <c r="M180" s="46"/>
      <c r="N180" s="46"/>
      <c r="O180" s="40"/>
      <c r="P180" s="3">
        <f>Table5[[#This Row],[ (S/S) SAR]]-Table5[[#This Row],[(S/S) AJD]]</f>
        <v>0</v>
      </c>
      <c r="Q180" s="40"/>
      <c r="R180" s="3">
        <f>Table5[[#This Row],[ (T/B) SAR]]-Table5[[#This Row],[(T/B) AJD]]</f>
        <v>0</v>
      </c>
      <c r="S180" s="3">
        <f>Table5[[#This Row],[S/S_CON.]]+Table5[[#This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Table5[[#This Row],[(RESV. STORGE) AJD]]/10</f>
        <v>0</v>
      </c>
      <c r="AB180" s="3">
        <f t="shared" si="11"/>
        <v>0</v>
      </c>
      <c r="AC180" s="5"/>
      <c r="AD180" s="40">
        <f>(Table5[[#This Row],[( S/S+T/B) AJD]]*1000)-((Table5[[#This Row],[(STORGE DIFF.) AJD]]*1000)+Table5[[#This Row],[AJD_Evaporation]]+(Table5[[#This Row],[(A/B + A/S) AJD]]*1000))</f>
        <v>0</v>
      </c>
      <c r="AE180" s="44"/>
      <c r="AF180" s="45"/>
      <c r="AG180" s="45"/>
      <c r="AH180" s="6">
        <f>Table5[[#This Row],[ (RESV. STORGE) BER]]/10</f>
        <v>0</v>
      </c>
      <c r="AI180" s="44"/>
      <c r="AJ180" s="44">
        <f>Table5[[#This Row],[(A/B) AJD]]-Table5[[#This Row],[BER_IN]]</f>
        <v>0</v>
      </c>
      <c r="AK180" s="45"/>
      <c r="AL180" s="45"/>
      <c r="AM180" s="32"/>
      <c r="AN180" s="32">
        <f>Table5[[#This Row],[ (RESV. STORGE) SER]]/10</f>
        <v>0</v>
      </c>
      <c r="AO180" s="68"/>
      <c r="AP180" s="104">
        <f>Table5[[#This Row],[(A/S) AJD]]-Table5[[#This Row],[SER_IN]]</f>
        <v>0</v>
      </c>
    </row>
    <row r="181" spans="1:42" ht="18.75" x14ac:dyDescent="0.25">
      <c r="A181" s="10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Table5[[#This Row],[ (T/B) SAR]]+Table5[[#This Row],[ (S/S) SAR]]</f>
        <v>0</v>
      </c>
      <c r="L181" s="41"/>
      <c r="M181" s="42"/>
      <c r="N181" s="42"/>
      <c r="O181" s="39"/>
      <c r="P181" s="3">
        <f>Table5[[#This Row],[ (S/S) SAR]]-Table5[[#This Row],[(S/S) AJD]]</f>
        <v>0</v>
      </c>
      <c r="Q181" s="39"/>
      <c r="R181" s="3">
        <f>Table5[[#This Row],[ (T/B) SAR]]-Table5[[#This Row],[(T/B) AJD]]</f>
        <v>0</v>
      </c>
      <c r="S181" s="3">
        <f>Table5[[#This Row],[S/S_CON.]]+Table5[[#This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Table5[[#This Row],[(RESV. STORGE) AJD]]/10</f>
        <v>0</v>
      </c>
      <c r="AB181" s="3">
        <f t="shared" si="11"/>
        <v>0</v>
      </c>
      <c r="AC181" s="5"/>
      <c r="AD181" s="39">
        <f>(Table5[[#This Row],[( S/S+T/B) AJD]]*1000)-((Table5[[#This Row],[(STORGE DIFF.) AJD]]*1000)+Table5[[#This Row],[AJD_Evaporation]]+(Table5[[#This Row],[(A/B + A/S) AJD]]*1000))</f>
        <v>0</v>
      </c>
      <c r="AE181" s="41"/>
      <c r="AF181" s="43"/>
      <c r="AG181" s="43"/>
      <c r="AH181" s="6">
        <f>Table5[[#This Row],[ (RESV. STORGE) BER]]/10</f>
        <v>0</v>
      </c>
      <c r="AI181" s="41"/>
      <c r="AJ181" s="41">
        <f>Table5[[#This Row],[(A/B) AJD]]-Table5[[#This Row],[BER_IN]]</f>
        <v>0</v>
      </c>
      <c r="AK181" s="43"/>
      <c r="AL181" s="43"/>
      <c r="AM181" s="32"/>
      <c r="AN181" s="32">
        <f>Table5[[#This Row],[ (RESV. STORGE) SER]]/10</f>
        <v>0</v>
      </c>
      <c r="AO181" s="68"/>
      <c r="AP181" s="104">
        <f>Table5[[#This Row],[(A/S) AJD]]-Table5[[#This Row],[SER_IN]]</f>
        <v>0</v>
      </c>
    </row>
    <row r="182" spans="1:42" ht="18.75" x14ac:dyDescent="0.25">
      <c r="A182" s="10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Table5[[#This Row],[ (T/B) SAR]]+Table5[[#This Row],[ (S/S) SAR]]</f>
        <v>0</v>
      </c>
      <c r="L182" s="45"/>
      <c r="M182" s="46"/>
      <c r="N182" s="46"/>
      <c r="O182" s="40"/>
      <c r="P182" s="3">
        <f>Table5[[#This Row],[ (S/S) SAR]]-Table5[[#This Row],[(S/S) AJD]]</f>
        <v>0</v>
      </c>
      <c r="Q182" s="40"/>
      <c r="R182" s="3">
        <f>Table5[[#This Row],[ (T/B) SAR]]-Table5[[#This Row],[(T/B) AJD]]</f>
        <v>0</v>
      </c>
      <c r="S182" s="3">
        <f>Table5[[#This Row],[S/S_CON.]]+Table5[[#This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Table5[[#This Row],[(RESV. STORGE) AJD]]/10</f>
        <v>0</v>
      </c>
      <c r="AB182" s="3">
        <f t="shared" si="11"/>
        <v>0</v>
      </c>
      <c r="AC182" s="5"/>
      <c r="AD182" s="40">
        <f>(Table5[[#This Row],[( S/S+T/B) AJD]]*1000)-((Table5[[#This Row],[(STORGE DIFF.) AJD]]*1000)+Table5[[#This Row],[AJD_Evaporation]]+(Table5[[#This Row],[(A/B + A/S) AJD]]*1000))</f>
        <v>0</v>
      </c>
      <c r="AE182" s="44"/>
      <c r="AF182" s="45"/>
      <c r="AG182" s="45"/>
      <c r="AH182" s="6">
        <f>Table5[[#This Row],[ (RESV. STORGE) BER]]/10</f>
        <v>0</v>
      </c>
      <c r="AI182" s="44"/>
      <c r="AJ182" s="44">
        <f>Table5[[#This Row],[(A/B) AJD]]-Table5[[#This Row],[BER_IN]]</f>
        <v>0</v>
      </c>
      <c r="AK182" s="45"/>
      <c r="AL182" s="45"/>
      <c r="AM182" s="32"/>
      <c r="AN182" s="32">
        <f>Table5[[#This Row],[ (RESV. STORGE) SER]]/10</f>
        <v>0</v>
      </c>
      <c r="AO182" s="68"/>
      <c r="AP182" s="104">
        <f>Table5[[#This Row],[(A/S) AJD]]-Table5[[#This Row],[SER_IN]]</f>
        <v>0</v>
      </c>
    </row>
    <row r="183" spans="1:42" ht="18.75" x14ac:dyDescent="0.25">
      <c r="A183" s="10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Table5[[#This Row],[ (T/B) SAR]]+Table5[[#This Row],[ (S/S) SAR]]</f>
        <v>0</v>
      </c>
      <c r="L183" s="41"/>
      <c r="M183" s="42"/>
      <c r="N183" s="42"/>
      <c r="O183" s="39"/>
      <c r="P183" s="12">
        <f>Table5[[#This Row],[ (S/S) SAR]]-Table5[[#This Row],[(S/S) AJD]]</f>
        <v>0</v>
      </c>
      <c r="Q183" s="39"/>
      <c r="R183" s="12">
        <f>Table5[[#This Row],[ (T/B) SAR]]-Table5[[#This Row],[(T/B) AJD]]</f>
        <v>0</v>
      </c>
      <c r="S183" s="12">
        <f>Table5[[#This Row],[S/S_CON.]]+Table5[[#This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Table5[[#This Row],[(RESV. STORGE) AJD]]/10</f>
        <v>0</v>
      </c>
      <c r="AB183" s="3">
        <f t="shared" si="11"/>
        <v>0</v>
      </c>
      <c r="AC183" s="5"/>
      <c r="AD183" s="39">
        <f>(Table5[[#This Row],[( S/S+T/B) AJD]]*1000)-((Table5[[#This Row],[(STORGE DIFF.) AJD]]*1000)+Table5[[#This Row],[AJD_Evaporation]]+(Table5[[#This Row],[(A/B + A/S) AJD]]*1000))</f>
        <v>0</v>
      </c>
      <c r="AE183" s="41"/>
      <c r="AF183" s="43"/>
      <c r="AG183" s="43"/>
      <c r="AH183" s="6">
        <f>Table5[[#This Row],[ (RESV. STORGE) BER]]/10</f>
        <v>0</v>
      </c>
      <c r="AI183" s="41"/>
      <c r="AJ183" s="41">
        <f>Table5[[#This Row],[(A/B) AJD]]-Table5[[#This Row],[BER_IN]]</f>
        <v>0</v>
      </c>
      <c r="AK183" s="43"/>
      <c r="AL183" s="43"/>
      <c r="AM183" s="32"/>
      <c r="AN183" s="32">
        <f>Table5[[#This Row],[ (RESV. STORGE) SER]]/10</f>
        <v>0</v>
      </c>
      <c r="AO183" s="68"/>
      <c r="AP183" s="104">
        <f>Table5[[#This Row],[(A/S) AJD]]-Table5[[#This Row],[SER_IN]]</f>
        <v>0</v>
      </c>
    </row>
    <row r="184" spans="1:42" ht="18.75" x14ac:dyDescent="0.25">
      <c r="A184" s="10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Table5[[#This Row],[ (T/B) SAR]]+Table5[[#This Row],[ (S/S) SAR]]</f>
        <v>0</v>
      </c>
      <c r="L184" s="45"/>
      <c r="M184" s="46"/>
      <c r="N184" s="46"/>
      <c r="O184" s="40"/>
      <c r="P184" s="12">
        <f>Table5[[#This Row],[ (S/S) SAR]]-Table5[[#This Row],[(S/S) AJD]]</f>
        <v>0</v>
      </c>
      <c r="Q184" s="40"/>
      <c r="R184" s="12">
        <f>Table5[[#This Row],[ (T/B) SAR]]-Table5[[#This Row],[(T/B) AJD]]</f>
        <v>0</v>
      </c>
      <c r="S184" s="12">
        <f>Table5[[#This Row],[S/S_CON.]]+Table5[[#This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Table5[[#This Row],[(RESV. STORGE) AJD]]/10</f>
        <v>0</v>
      </c>
      <c r="AB184" s="3">
        <f t="shared" si="11"/>
        <v>0</v>
      </c>
      <c r="AC184" s="5"/>
      <c r="AD184" s="40">
        <f>(Table5[[#This Row],[( S/S+T/B) AJD]]*1000)-((Table5[[#This Row],[(STORGE DIFF.) AJD]]*1000)+Table5[[#This Row],[AJD_Evaporation]]+(Table5[[#This Row],[(A/B + A/S) AJD]]*1000))</f>
        <v>0</v>
      </c>
      <c r="AE184" s="44"/>
      <c r="AF184" s="45"/>
      <c r="AG184" s="45"/>
      <c r="AH184" s="6">
        <f>Table5[[#This Row],[ (RESV. STORGE) BER]]/10</f>
        <v>0</v>
      </c>
      <c r="AI184" s="44"/>
      <c r="AJ184" s="44">
        <f>Table5[[#This Row],[(A/B) AJD]]-Table5[[#This Row],[BER_IN]]</f>
        <v>0</v>
      </c>
      <c r="AK184" s="45"/>
      <c r="AL184" s="45"/>
      <c r="AM184" s="32"/>
      <c r="AN184" s="32">
        <f>Table5[[#This Row],[ (RESV. STORGE) SER]]/10</f>
        <v>0</v>
      </c>
      <c r="AO184" s="68"/>
      <c r="AP184" s="104">
        <f>Table5[[#This Row],[(A/S) AJD]]-Table5[[#This Row],[SER_IN]]</f>
        <v>0</v>
      </c>
    </row>
    <row r="185" spans="1:42" ht="18.75" x14ac:dyDescent="0.25">
      <c r="A185" s="10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Table5[[#This Row],[ (T/B) SAR]]+Table5[[#This Row],[ (S/S) SAR]]</f>
        <v>0</v>
      </c>
      <c r="L185" s="41"/>
      <c r="M185" s="42"/>
      <c r="N185" s="42"/>
      <c r="O185" s="39"/>
      <c r="P185" s="12">
        <f>Table5[[#This Row],[ (S/S) SAR]]-Table5[[#This Row],[(S/S) AJD]]</f>
        <v>0</v>
      </c>
      <c r="Q185" s="39"/>
      <c r="R185" s="12">
        <f>Table5[[#This Row],[ (T/B) SAR]]-Table5[[#This Row],[(T/B) AJD]]</f>
        <v>0</v>
      </c>
      <c r="S185" s="12">
        <f>Table5[[#This Row],[S/S_CON.]]+Table5[[#This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Table5[[#This Row],[(RESV. STORGE) AJD]]/10</f>
        <v>0</v>
      </c>
      <c r="AB185" s="3">
        <f t="shared" si="11"/>
        <v>0</v>
      </c>
      <c r="AC185" s="5"/>
      <c r="AD185" s="39">
        <f>(Table5[[#This Row],[( S/S+T/B) AJD]]*1000)-((Table5[[#This Row],[(STORGE DIFF.) AJD]]*1000)+Table5[[#This Row],[AJD_Evaporation]]+(Table5[[#This Row],[(A/B + A/S) AJD]]*1000))</f>
        <v>0</v>
      </c>
      <c r="AE185" s="41"/>
      <c r="AF185" s="43"/>
      <c r="AG185" s="43"/>
      <c r="AH185" s="6">
        <f>Table5[[#This Row],[ (RESV. STORGE) BER]]/10</f>
        <v>0</v>
      </c>
      <c r="AI185" s="41"/>
      <c r="AJ185" s="41">
        <f>Table5[[#This Row],[(A/B) AJD]]-Table5[[#This Row],[BER_IN]]</f>
        <v>0</v>
      </c>
      <c r="AK185" s="43"/>
      <c r="AL185" s="43"/>
      <c r="AM185" s="32"/>
      <c r="AN185" s="32">
        <f>Table5[[#This Row],[ (RESV. STORGE) SER]]/10</f>
        <v>0</v>
      </c>
      <c r="AO185" s="68"/>
      <c r="AP185" s="104">
        <f>Table5[[#This Row],[(A/S) AJD]]-Table5[[#This Row],[SER_IN]]</f>
        <v>0</v>
      </c>
    </row>
    <row r="186" spans="1:42" ht="18.75" x14ac:dyDescent="0.25">
      <c r="A186" s="10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Table5[[#This Row],[ (T/B) SAR]]+Table5[[#This Row],[ (S/S) SAR]]</f>
        <v>0</v>
      </c>
      <c r="L186" s="45"/>
      <c r="M186" s="46"/>
      <c r="N186" s="46"/>
      <c r="O186" s="40"/>
      <c r="P186" s="12">
        <f>Table5[[#This Row],[ (S/S) SAR]]-Table5[[#This Row],[(S/S) AJD]]</f>
        <v>0</v>
      </c>
      <c r="Q186" s="40"/>
      <c r="R186" s="12">
        <f>Table5[[#This Row],[ (T/B) SAR]]-Table5[[#This Row],[(T/B) AJD]]</f>
        <v>0</v>
      </c>
      <c r="S186" s="12">
        <f>Table5[[#This Row],[S/S_CON.]]+Table5[[#This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Table5[[#This Row],[(RESV. STORGE) AJD]]/10</f>
        <v>0</v>
      </c>
      <c r="AB186" s="3">
        <f t="shared" si="11"/>
        <v>0</v>
      </c>
      <c r="AC186" s="5"/>
      <c r="AD186" s="40">
        <f>(Table5[[#This Row],[( S/S+T/B) AJD]]*1000)-((Table5[[#This Row],[(STORGE DIFF.) AJD]]*1000)+Table5[[#This Row],[AJD_Evaporation]]+(Table5[[#This Row],[(A/B + A/S) AJD]]*1000))</f>
        <v>0</v>
      </c>
      <c r="AE186" s="44"/>
      <c r="AF186" s="45"/>
      <c r="AG186" s="45"/>
      <c r="AH186" s="6">
        <f>Table5[[#This Row],[ (RESV. STORGE) BER]]/10</f>
        <v>0</v>
      </c>
      <c r="AI186" s="44"/>
      <c r="AJ186" s="44">
        <f>Table5[[#This Row],[(A/B) AJD]]-Table5[[#This Row],[BER_IN]]</f>
        <v>0</v>
      </c>
      <c r="AK186" s="45"/>
      <c r="AL186" s="45"/>
      <c r="AM186" s="32"/>
      <c r="AN186" s="32">
        <f>Table5[[#This Row],[ (RESV. STORGE) SER]]/10</f>
        <v>0</v>
      </c>
      <c r="AO186" s="68"/>
      <c r="AP186" s="104">
        <f>Table5[[#This Row],[(A/S) AJD]]-Table5[[#This Row],[SER_IN]]</f>
        <v>0</v>
      </c>
    </row>
    <row r="187" spans="1:42" ht="18.75" x14ac:dyDescent="0.25">
      <c r="A187" s="10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Table5[[#This Row],[ (T/B) SAR]]+Table5[[#This Row],[ (S/S) SAR]]</f>
        <v>0</v>
      </c>
      <c r="L187" s="41"/>
      <c r="M187" s="42"/>
      <c r="N187" s="42"/>
      <c r="O187" s="39"/>
      <c r="P187" s="12">
        <f>Table5[[#This Row],[ (S/S) SAR]]-Table5[[#This Row],[(S/S) AJD]]</f>
        <v>0</v>
      </c>
      <c r="Q187" s="39"/>
      <c r="R187" s="12">
        <f>Table5[[#This Row],[ (T/B) SAR]]-Table5[[#This Row],[(T/B) AJD]]</f>
        <v>0</v>
      </c>
      <c r="S187" s="12">
        <f>Table5[[#This Row],[S/S_CON.]]+Table5[[#This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Table5[[#This Row],[(RESV. STORGE) AJD]]/10</f>
        <v>0</v>
      </c>
      <c r="AB187" s="3">
        <f t="shared" si="11"/>
        <v>0</v>
      </c>
      <c r="AC187" s="5"/>
      <c r="AD187" s="39">
        <f>(Table5[[#This Row],[( S/S+T/B) AJD]]*1000)-((Table5[[#This Row],[(STORGE DIFF.) AJD]]*1000)+Table5[[#This Row],[AJD_Evaporation]]+(Table5[[#This Row],[(A/B + A/S) AJD]]*1000))</f>
        <v>0</v>
      </c>
      <c r="AE187" s="41"/>
      <c r="AF187" s="43"/>
      <c r="AG187" s="43"/>
      <c r="AH187" s="6">
        <f>Table5[[#This Row],[ (RESV. STORGE) BER]]/10</f>
        <v>0</v>
      </c>
      <c r="AI187" s="41"/>
      <c r="AJ187" s="41">
        <f>Table5[[#This Row],[(A/B) AJD]]-Table5[[#This Row],[BER_IN]]</f>
        <v>0</v>
      </c>
      <c r="AK187" s="43"/>
      <c r="AL187" s="43"/>
      <c r="AM187" s="32"/>
      <c r="AN187" s="32">
        <f>Table5[[#This Row],[ (RESV. STORGE) SER]]/10</f>
        <v>0</v>
      </c>
      <c r="AO187" s="68"/>
      <c r="AP187" s="104">
        <f>Table5[[#This Row],[(A/S) AJD]]-Table5[[#This Row],[SER_IN]]</f>
        <v>0</v>
      </c>
    </row>
    <row r="188" spans="1:42" ht="18.75" x14ac:dyDescent="0.25">
      <c r="A188" s="10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Table5[[#This Row],[ (T/B) SAR]]+Table5[[#This Row],[ (S/S) SAR]]</f>
        <v>0</v>
      </c>
      <c r="L188" s="45"/>
      <c r="M188" s="46"/>
      <c r="N188" s="46"/>
      <c r="O188" s="40"/>
      <c r="P188" s="12">
        <f>Table5[[#This Row],[ (S/S) SAR]]-Table5[[#This Row],[(S/S) AJD]]</f>
        <v>0</v>
      </c>
      <c r="Q188" s="40"/>
      <c r="R188" s="12">
        <f>Table5[[#This Row],[ (T/B) SAR]]-Table5[[#This Row],[(T/B) AJD]]</f>
        <v>0</v>
      </c>
      <c r="S188" s="12">
        <f>Table5[[#This Row],[S/S_CON.]]+Table5[[#This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Table5[[#This Row],[(RESV. STORGE) AJD]]/10</f>
        <v>0</v>
      </c>
      <c r="AB188" s="3">
        <f t="shared" si="11"/>
        <v>0</v>
      </c>
      <c r="AC188" s="5"/>
      <c r="AD188" s="40">
        <f>(Table5[[#This Row],[( S/S+T/B) AJD]]*1000)-((Table5[[#This Row],[(STORGE DIFF.) AJD]]*1000)+Table5[[#This Row],[AJD_Evaporation]]+(Table5[[#This Row],[(A/B + A/S) AJD]]*1000))</f>
        <v>0</v>
      </c>
      <c r="AE188" s="44"/>
      <c r="AF188" s="45"/>
      <c r="AG188" s="45"/>
      <c r="AH188" s="6">
        <f>Table5[[#This Row],[ (RESV. STORGE) BER]]/10</f>
        <v>0</v>
      </c>
      <c r="AI188" s="44"/>
      <c r="AJ188" s="44">
        <f>Table5[[#This Row],[(A/B) AJD]]-Table5[[#This Row],[BER_IN]]</f>
        <v>0</v>
      </c>
      <c r="AK188" s="45"/>
      <c r="AL188" s="45"/>
      <c r="AM188" s="32"/>
      <c r="AN188" s="32">
        <f>Table5[[#This Row],[ (RESV. STORGE) SER]]/10</f>
        <v>0</v>
      </c>
      <c r="AO188" s="68"/>
      <c r="AP188" s="104">
        <f>Table5[[#This Row],[(A/S) AJD]]-Table5[[#This Row],[SER_IN]]</f>
        <v>0</v>
      </c>
    </row>
    <row r="189" spans="1:42" ht="18.75" x14ac:dyDescent="0.25">
      <c r="A189" s="10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Table5[[#This Row],[ (T/B) SAR]]+Table5[[#This Row],[ (S/S) SAR]]</f>
        <v>0</v>
      </c>
      <c r="L189" s="41"/>
      <c r="M189" s="42"/>
      <c r="N189" s="42"/>
      <c r="O189" s="39"/>
      <c r="P189" s="12">
        <f>Table5[[#This Row],[ (S/S) SAR]]-Table5[[#This Row],[(S/S) AJD]]</f>
        <v>0</v>
      </c>
      <c r="Q189" s="39"/>
      <c r="R189" s="12">
        <f>Table5[[#This Row],[ (T/B) SAR]]-Table5[[#This Row],[(T/B) AJD]]</f>
        <v>0</v>
      </c>
      <c r="S189" s="12">
        <f>Table5[[#This Row],[S/S_CON.]]+Table5[[#This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Table5[[#This Row],[(RESV. STORGE) AJD]]/10</f>
        <v>0</v>
      </c>
      <c r="AB189" s="3">
        <f t="shared" si="11"/>
        <v>0</v>
      </c>
      <c r="AC189" s="5"/>
      <c r="AD189" s="39">
        <f>(Table5[[#This Row],[( S/S+T/B) AJD]]*1000)-((Table5[[#This Row],[(STORGE DIFF.) AJD]]*1000)+Table5[[#This Row],[AJD_Evaporation]]+(Table5[[#This Row],[(A/B + A/S) AJD]]*1000))</f>
        <v>0</v>
      </c>
      <c r="AE189" s="41"/>
      <c r="AF189" s="43"/>
      <c r="AG189" s="43"/>
      <c r="AH189" s="6">
        <f>Table5[[#This Row],[ (RESV. STORGE) BER]]/10</f>
        <v>0</v>
      </c>
      <c r="AI189" s="41"/>
      <c r="AJ189" s="41">
        <f>Table5[[#This Row],[(A/B) AJD]]-Table5[[#This Row],[BER_IN]]</f>
        <v>0</v>
      </c>
      <c r="AK189" s="43"/>
      <c r="AL189" s="43"/>
      <c r="AM189" s="32"/>
      <c r="AN189" s="32">
        <f>Table5[[#This Row],[ (RESV. STORGE) SER]]/10</f>
        <v>0</v>
      </c>
      <c r="AO189" s="68"/>
      <c r="AP189" s="104">
        <f>Table5[[#This Row],[(A/S) AJD]]-Table5[[#This Row],[SER_IN]]</f>
        <v>0</v>
      </c>
    </row>
    <row r="190" spans="1:42" ht="18.75" x14ac:dyDescent="0.25">
      <c r="A190" s="10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Table5[[#This Row],[ (T/B) SAR]]+Table5[[#This Row],[ (S/S) SAR]]</f>
        <v>0</v>
      </c>
      <c r="L190" s="45"/>
      <c r="M190" s="46"/>
      <c r="N190" s="46"/>
      <c r="O190" s="40"/>
      <c r="P190" s="12">
        <f>Table5[[#This Row],[ (S/S) SAR]]-Table5[[#This Row],[(S/S) AJD]]</f>
        <v>0</v>
      </c>
      <c r="Q190" s="40"/>
      <c r="R190" s="12">
        <f>Table5[[#This Row],[ (T/B) SAR]]-Table5[[#This Row],[(T/B) AJD]]</f>
        <v>0</v>
      </c>
      <c r="S190" s="12">
        <f>Table5[[#This Row],[S/S_CON.]]+Table5[[#This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Table5[[#This Row],[(RESV. STORGE) AJD]]/10</f>
        <v>0</v>
      </c>
      <c r="AB190" s="3">
        <f t="shared" si="11"/>
        <v>0</v>
      </c>
      <c r="AC190" s="5"/>
      <c r="AD190" s="40">
        <f>(Table5[[#This Row],[( S/S+T/B) AJD]]*1000)-((Table5[[#This Row],[(STORGE DIFF.) AJD]]*1000)+Table5[[#This Row],[AJD_Evaporation]]+(Table5[[#This Row],[(A/B + A/S) AJD]]*1000))</f>
        <v>0</v>
      </c>
      <c r="AE190" s="44"/>
      <c r="AF190" s="45"/>
      <c r="AG190" s="45"/>
      <c r="AH190" s="6">
        <f>Table5[[#This Row],[ (RESV. STORGE) BER]]/10</f>
        <v>0</v>
      </c>
      <c r="AI190" s="44"/>
      <c r="AJ190" s="44">
        <f>Table5[[#This Row],[(A/B) AJD]]-Table5[[#This Row],[BER_IN]]</f>
        <v>0</v>
      </c>
      <c r="AK190" s="45"/>
      <c r="AL190" s="45"/>
      <c r="AM190" s="32"/>
      <c r="AN190" s="32">
        <f>Table5[[#This Row],[ (RESV. STORGE) SER]]/10</f>
        <v>0</v>
      </c>
      <c r="AO190" s="68"/>
      <c r="AP190" s="104">
        <f>Table5[[#This Row],[(A/S) AJD]]-Table5[[#This Row],[SER_IN]]</f>
        <v>0</v>
      </c>
    </row>
    <row r="191" spans="1:42" ht="18.75" x14ac:dyDescent="0.25">
      <c r="A191" s="10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Table5[[#This Row],[ (T/B) SAR]]+Table5[[#This Row],[ (S/S) SAR]]</f>
        <v>0</v>
      </c>
      <c r="L191" s="41"/>
      <c r="M191" s="42"/>
      <c r="N191" s="42"/>
      <c r="O191" s="39"/>
      <c r="P191" s="12">
        <f>Table5[[#This Row],[ (S/S) SAR]]-Table5[[#This Row],[(S/S) AJD]]</f>
        <v>0</v>
      </c>
      <c r="Q191" s="39"/>
      <c r="R191" s="12">
        <f>Table5[[#This Row],[ (T/B) SAR]]-Table5[[#This Row],[(T/B) AJD]]</f>
        <v>0</v>
      </c>
      <c r="S191" s="12">
        <f>Table5[[#This Row],[S/S_CON.]]+Table5[[#This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Table5[[#This Row],[(RESV. STORGE) AJD]]/10</f>
        <v>0</v>
      </c>
      <c r="AB191" s="3">
        <f t="shared" si="11"/>
        <v>0</v>
      </c>
      <c r="AC191" s="5"/>
      <c r="AD191" s="39">
        <f>(Table5[[#This Row],[( S/S+T/B) AJD]]*1000)-((Table5[[#This Row],[(STORGE DIFF.) AJD]]*1000)+Table5[[#This Row],[AJD_Evaporation]]+(Table5[[#This Row],[(A/B + A/S) AJD]]*1000))</f>
        <v>0</v>
      </c>
      <c r="AE191" s="41"/>
      <c r="AF191" s="43"/>
      <c r="AG191" s="43"/>
      <c r="AH191" s="6">
        <f>Table5[[#This Row],[ (RESV. STORGE) BER]]/10</f>
        <v>0</v>
      </c>
      <c r="AI191" s="41"/>
      <c r="AJ191" s="41">
        <f>Table5[[#This Row],[(A/B) AJD]]-Table5[[#This Row],[BER_IN]]</f>
        <v>0</v>
      </c>
      <c r="AK191" s="43"/>
      <c r="AL191" s="43"/>
      <c r="AM191" s="32"/>
      <c r="AN191" s="32">
        <f>Table5[[#This Row],[ (RESV. STORGE) SER]]/10</f>
        <v>0</v>
      </c>
      <c r="AO191" s="68"/>
      <c r="AP191" s="104">
        <f>Table5[[#This Row],[(A/S) AJD]]-Table5[[#This Row],[SER_IN]]</f>
        <v>0</v>
      </c>
    </row>
    <row r="192" spans="1:42" ht="18.75" x14ac:dyDescent="0.25">
      <c r="A192" s="10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Table5[[#This Row],[ (T/B) SAR]]+Table5[[#This Row],[ (S/S) SAR]]</f>
        <v>0</v>
      </c>
      <c r="L192" s="45"/>
      <c r="M192" s="46"/>
      <c r="N192" s="46"/>
      <c r="O192" s="40"/>
      <c r="P192" s="12">
        <f>Table5[[#This Row],[ (S/S) SAR]]-Table5[[#This Row],[(S/S) AJD]]</f>
        <v>0</v>
      </c>
      <c r="Q192" s="40"/>
      <c r="R192" s="12">
        <f>Table5[[#This Row],[ (T/B) SAR]]-Table5[[#This Row],[(T/B) AJD]]</f>
        <v>0</v>
      </c>
      <c r="S192" s="12">
        <f>Table5[[#This Row],[S/S_CON.]]+Table5[[#This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Table5[[#This Row],[(RESV. STORGE) AJD]]/10</f>
        <v>0</v>
      </c>
      <c r="AB192" s="3">
        <f t="shared" si="11"/>
        <v>0</v>
      </c>
      <c r="AC192" s="5"/>
      <c r="AD192" s="40">
        <f>(Table5[[#This Row],[( S/S+T/B) AJD]]*1000)-((Table5[[#This Row],[(STORGE DIFF.) AJD]]*1000)+Table5[[#This Row],[AJD_Evaporation]]+(Table5[[#This Row],[(A/B + A/S) AJD]]*1000))</f>
        <v>0</v>
      </c>
      <c r="AE192" s="44"/>
      <c r="AF192" s="45"/>
      <c r="AG192" s="45"/>
      <c r="AH192" s="6">
        <f>Table5[[#This Row],[ (RESV. STORGE) BER]]/10</f>
        <v>0</v>
      </c>
      <c r="AI192" s="44"/>
      <c r="AJ192" s="44">
        <f>Table5[[#This Row],[(A/B) AJD]]-Table5[[#This Row],[BER_IN]]</f>
        <v>0</v>
      </c>
      <c r="AK192" s="45"/>
      <c r="AL192" s="45"/>
      <c r="AM192" s="32"/>
      <c r="AN192" s="32">
        <f>Table5[[#This Row],[ (RESV. STORGE) SER]]/10</f>
        <v>0</v>
      </c>
      <c r="AO192" s="68"/>
      <c r="AP192" s="104">
        <f>Table5[[#This Row],[(A/S) AJD]]-Table5[[#This Row],[SER_IN]]</f>
        <v>0</v>
      </c>
    </row>
    <row r="193" spans="1:42" ht="18.75" x14ac:dyDescent="0.25">
      <c r="A193" s="10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Table5[[#This Row],[ (T/B) SAR]]+Table5[[#This Row],[ (S/S) SAR]]</f>
        <v>0</v>
      </c>
      <c r="L193" s="41"/>
      <c r="M193" s="42"/>
      <c r="N193" s="42"/>
      <c r="O193" s="39"/>
      <c r="P193" s="12">
        <f>Table5[[#This Row],[ (S/S) SAR]]-Table5[[#This Row],[(S/S) AJD]]</f>
        <v>0</v>
      </c>
      <c r="Q193" s="39"/>
      <c r="R193" s="12">
        <f>Table5[[#This Row],[ (T/B) SAR]]-Table5[[#This Row],[(T/B) AJD]]</f>
        <v>0</v>
      </c>
      <c r="S193" s="12">
        <f>Table5[[#This Row],[S/S_CON.]]+Table5[[#This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Table5[[#This Row],[(RESV. STORGE) AJD]]/10</f>
        <v>0</v>
      </c>
      <c r="AB193" s="3">
        <f t="shared" si="11"/>
        <v>0</v>
      </c>
      <c r="AC193" s="5"/>
      <c r="AD193" s="39">
        <f>(Table5[[#This Row],[( S/S+T/B) AJD]]*1000)-((Table5[[#This Row],[(STORGE DIFF.) AJD]]*1000)+Table5[[#This Row],[AJD_Evaporation]]+(Table5[[#This Row],[(A/B + A/S) AJD]]*1000))</f>
        <v>0</v>
      </c>
      <c r="AE193" s="41"/>
      <c r="AF193" s="43"/>
      <c r="AG193" s="68"/>
      <c r="AH193" s="6">
        <f>Table5[[#This Row],[ (RESV. STORGE) BER]]/10</f>
        <v>0</v>
      </c>
      <c r="AI193" s="41"/>
      <c r="AJ193" s="69">
        <f>Table5[[#This Row],[(A/B) AJD]]-Table5[[#This Row],[BER_IN]]</f>
        <v>0</v>
      </c>
      <c r="AK193" s="43"/>
      <c r="AL193" s="43"/>
      <c r="AM193" s="32"/>
      <c r="AN193" s="32">
        <f>Table5[[#This Row],[ (RESV. STORGE) SER]]/10</f>
        <v>0</v>
      </c>
      <c r="AO193" s="68"/>
      <c r="AP193" s="104">
        <f>Table5[[#This Row],[(A/S) AJD]]-Table5[[#This Row],[SER_IN]]</f>
        <v>0</v>
      </c>
    </row>
    <row r="194" spans="1:42" ht="18.75" x14ac:dyDescent="0.25">
      <c r="A194" s="10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Table5[[#This Row],[ (T/B) SAR]]+Table5[[#This Row],[ (S/S) SAR]]</f>
        <v>0</v>
      </c>
      <c r="L194" s="45"/>
      <c r="M194" s="46"/>
      <c r="N194" s="46"/>
      <c r="O194" s="40"/>
      <c r="P194" s="12">
        <f>Table5[[#This Row],[ (S/S) SAR]]-Table5[[#This Row],[(S/S) AJD]]</f>
        <v>0</v>
      </c>
      <c r="Q194" s="40"/>
      <c r="R194" s="12">
        <f>Table5[[#This Row],[ (T/B) SAR]]-Table5[[#This Row],[(T/B) AJD]]</f>
        <v>0</v>
      </c>
      <c r="S194" s="12">
        <f>Table5[[#This Row],[S/S_CON.]]+Table5[[#This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Table5[[#This Row],[(RESV. STORGE) AJD]]/10</f>
        <v>0</v>
      </c>
      <c r="AB194" s="3">
        <f t="shared" si="11"/>
        <v>0</v>
      </c>
      <c r="AC194" s="5"/>
      <c r="AD194" s="40">
        <f>(Table5[[#This Row],[( S/S+T/B) AJD]]*1000)-((Table5[[#This Row],[(STORGE DIFF.) AJD]]*1000)+Table5[[#This Row],[AJD_Evaporation]]+(Table5[[#This Row],[(A/B + A/S) AJD]]*1000))</f>
        <v>0</v>
      </c>
      <c r="AE194" s="44"/>
      <c r="AF194" s="45"/>
      <c r="AG194" s="45"/>
      <c r="AH194" s="6">
        <f>Table5[[#This Row],[ (RESV. STORGE) BER]]/10</f>
        <v>0</v>
      </c>
      <c r="AI194" s="44"/>
      <c r="AJ194" s="44">
        <f>Table5[[#This Row],[(A/B) AJD]]-Table5[[#This Row],[BER_IN]]</f>
        <v>0</v>
      </c>
      <c r="AK194" s="45"/>
      <c r="AL194" s="45"/>
      <c r="AM194" s="32"/>
      <c r="AN194" s="32">
        <f>Table5[[#This Row],[ (RESV. STORGE) SER]]/10</f>
        <v>0</v>
      </c>
      <c r="AO194" s="68"/>
      <c r="AP194" s="104">
        <f>Table5[[#This Row],[(A/S) AJD]]-Table5[[#This Row],[SER_IN]]</f>
        <v>0</v>
      </c>
    </row>
    <row r="195" spans="1:42" ht="18.75" x14ac:dyDescent="0.25">
      <c r="A195" s="10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Table5[[#This Row],[ (T/B) SAR]]+Table5[[#This Row],[ (S/S) SAR]]</f>
        <v>0</v>
      </c>
      <c r="L195" s="41"/>
      <c r="M195" s="42"/>
      <c r="N195" s="42"/>
      <c r="O195" s="39"/>
      <c r="P195" s="12">
        <f>Table5[[#This Row],[ (S/S) SAR]]-Table5[[#This Row],[(S/S) AJD]]</f>
        <v>0</v>
      </c>
      <c r="Q195" s="39"/>
      <c r="R195" s="12">
        <f>Table5[[#This Row],[ (T/B) SAR]]-Table5[[#This Row],[(T/B) AJD]]</f>
        <v>0</v>
      </c>
      <c r="S195" s="12">
        <f>Table5[[#This Row],[S/S_CON.]]+Table5[[#This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Table5[[#This Row],[(RESV. STORGE) AJD]]/10</f>
        <v>0</v>
      </c>
      <c r="AB195" s="3">
        <f t="shared" si="11"/>
        <v>0</v>
      </c>
      <c r="AC195" s="5"/>
      <c r="AD195" s="39">
        <f>(Table5[[#This Row],[( S/S+T/B) AJD]]*1000)-((Table5[[#This Row],[(STORGE DIFF.) AJD]]*1000)+Table5[[#This Row],[AJD_Evaporation]]+(Table5[[#This Row],[(A/B + A/S) AJD]]*1000))</f>
        <v>0</v>
      </c>
      <c r="AE195" s="41"/>
      <c r="AF195" s="43"/>
      <c r="AG195" s="43"/>
      <c r="AH195" s="6">
        <f>Table5[[#This Row],[ (RESV. STORGE) BER]]/10</f>
        <v>0</v>
      </c>
      <c r="AI195" s="41"/>
      <c r="AJ195" s="41">
        <f>Table5[[#This Row],[(A/B) AJD]]-Table5[[#This Row],[BER_IN]]</f>
        <v>0</v>
      </c>
      <c r="AK195" s="43"/>
      <c r="AL195" s="43"/>
      <c r="AM195" s="32"/>
      <c r="AN195" s="32">
        <f>Table5[[#This Row],[ (RESV. STORGE) SER]]/10</f>
        <v>0</v>
      </c>
      <c r="AO195" s="68"/>
      <c r="AP195" s="104">
        <f>Table5[[#This Row],[(A/S) AJD]]-Table5[[#This Row],[SER_IN]]</f>
        <v>0</v>
      </c>
    </row>
    <row r="196" spans="1:42" ht="18.75" x14ac:dyDescent="0.25">
      <c r="A196" s="10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Table5[[#This Row],[ (T/B) SAR]]+Table5[[#This Row],[ (S/S) SAR]]</f>
        <v>0</v>
      </c>
      <c r="L196" s="45"/>
      <c r="M196" s="46"/>
      <c r="N196" s="46"/>
      <c r="O196" s="40"/>
      <c r="P196" s="12">
        <f>Table5[[#This Row],[ (S/S) SAR]]-Table5[[#This Row],[(S/S) AJD]]</f>
        <v>0</v>
      </c>
      <c r="Q196" s="40"/>
      <c r="R196" s="12">
        <f>Table5[[#This Row],[ (T/B) SAR]]-Table5[[#This Row],[(T/B) AJD]]</f>
        <v>0</v>
      </c>
      <c r="S196" s="12">
        <f>Table5[[#This Row],[S/S_CON.]]+Table5[[#This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Table5[[#This Row],[(RESV. STORGE) AJD]]/10</f>
        <v>0</v>
      </c>
      <c r="AB196" s="3">
        <f t="shared" ref="AB196:AB259" si="15">IF(TRIM(Z196)="",,(Z196-Z195)/1000)</f>
        <v>0</v>
      </c>
      <c r="AC196" s="5"/>
      <c r="AD196" s="40">
        <f>(Table5[[#This Row],[( S/S+T/B) AJD]]*1000)-((Table5[[#This Row],[(STORGE DIFF.) AJD]]*1000)+Table5[[#This Row],[AJD_Evaporation]]+(Table5[[#This Row],[(A/B + A/S) AJD]]*1000))</f>
        <v>0</v>
      </c>
      <c r="AE196" s="44"/>
      <c r="AF196" s="45"/>
      <c r="AG196" s="45"/>
      <c r="AH196" s="6">
        <f>Table5[[#This Row],[ (RESV. STORGE) BER]]/10</f>
        <v>0</v>
      </c>
      <c r="AI196" s="44"/>
      <c r="AJ196" s="44">
        <f>Table5[[#This Row],[(A/B) AJD]]-Table5[[#This Row],[BER_IN]]</f>
        <v>0</v>
      </c>
      <c r="AK196" s="45"/>
      <c r="AL196" s="45"/>
      <c r="AM196" s="32"/>
      <c r="AN196" s="32">
        <f>Table5[[#This Row],[ (RESV. STORGE) SER]]/10</f>
        <v>0</v>
      </c>
      <c r="AO196" s="68"/>
      <c r="AP196" s="104">
        <f>Table5[[#This Row],[(A/S) AJD]]-Table5[[#This Row],[SER_IN]]</f>
        <v>0</v>
      </c>
    </row>
    <row r="197" spans="1:42" ht="18.75" x14ac:dyDescent="0.25">
      <c r="A197" s="10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Table5[[#This Row],[ (T/B) SAR]]+Table5[[#This Row],[ (S/S) SAR]]</f>
        <v>0</v>
      </c>
      <c r="L197" s="41"/>
      <c r="M197" s="42"/>
      <c r="N197" s="42"/>
      <c r="O197" s="39"/>
      <c r="P197" s="12">
        <f>Table5[[#This Row],[ (S/S) SAR]]-Table5[[#This Row],[(S/S) AJD]]</f>
        <v>0</v>
      </c>
      <c r="Q197" s="39"/>
      <c r="R197" s="12">
        <f>Table5[[#This Row],[ (T/B) SAR]]-Table5[[#This Row],[(T/B) AJD]]</f>
        <v>0</v>
      </c>
      <c r="S197" s="12">
        <f>Table5[[#This Row],[S/S_CON.]]+Table5[[#This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Table5[[#This Row],[(RESV. STORGE) AJD]]/10</f>
        <v>0</v>
      </c>
      <c r="AB197" s="3">
        <f t="shared" si="15"/>
        <v>0</v>
      </c>
      <c r="AC197" s="5"/>
      <c r="AD197" s="39">
        <f>(Table5[[#This Row],[( S/S+T/B) AJD]]*1000)-((Table5[[#This Row],[(STORGE DIFF.) AJD]]*1000)+Table5[[#This Row],[AJD_Evaporation]]+(Table5[[#This Row],[(A/B + A/S) AJD]]*1000))</f>
        <v>0</v>
      </c>
      <c r="AE197" s="41"/>
      <c r="AF197" s="43"/>
      <c r="AG197" s="43"/>
      <c r="AH197" s="6">
        <f>Table5[[#This Row],[ (RESV. STORGE) BER]]/10</f>
        <v>0</v>
      </c>
      <c r="AI197" s="41"/>
      <c r="AJ197" s="41">
        <f>Table5[[#This Row],[(A/B) AJD]]-Table5[[#This Row],[BER_IN]]</f>
        <v>0</v>
      </c>
      <c r="AK197" s="43"/>
      <c r="AL197" s="43"/>
      <c r="AM197" s="32"/>
      <c r="AN197" s="32">
        <f>Table5[[#This Row],[ (RESV. STORGE) SER]]/10</f>
        <v>0</v>
      </c>
      <c r="AO197" s="68"/>
      <c r="AP197" s="104">
        <f>Table5[[#This Row],[(A/S) AJD]]-Table5[[#This Row],[SER_IN]]</f>
        <v>0</v>
      </c>
    </row>
    <row r="198" spans="1:42" ht="18.75" x14ac:dyDescent="0.25">
      <c r="A198" s="10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Table5[[#This Row],[ (T/B) SAR]]+Table5[[#This Row],[ (S/S) SAR]]</f>
        <v>0</v>
      </c>
      <c r="L198" s="45"/>
      <c r="M198" s="46"/>
      <c r="N198" s="46"/>
      <c r="O198" s="40"/>
      <c r="P198" s="12">
        <f>Table5[[#This Row],[ (S/S) SAR]]-Table5[[#This Row],[(S/S) AJD]]</f>
        <v>0</v>
      </c>
      <c r="Q198" s="40"/>
      <c r="R198" s="12">
        <f>Table5[[#This Row],[ (T/B) SAR]]-Table5[[#This Row],[(T/B) AJD]]</f>
        <v>0</v>
      </c>
      <c r="S198" s="12">
        <f>Table5[[#This Row],[S/S_CON.]]+Table5[[#This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Table5[[#This Row],[(RESV. STORGE) AJD]]/10</f>
        <v>0</v>
      </c>
      <c r="AB198" s="3">
        <f t="shared" si="15"/>
        <v>0</v>
      </c>
      <c r="AC198" s="5"/>
      <c r="AD198" s="40">
        <f>(Table5[[#This Row],[( S/S+T/B) AJD]]*1000)-((Table5[[#This Row],[(STORGE DIFF.) AJD]]*1000)+Table5[[#This Row],[AJD_Evaporation]]+(Table5[[#This Row],[(A/B + A/S) AJD]]*1000))</f>
        <v>0</v>
      </c>
      <c r="AE198" s="44"/>
      <c r="AF198" s="45"/>
      <c r="AG198" s="45"/>
      <c r="AH198" s="6">
        <f>Table5[[#This Row],[ (RESV. STORGE) BER]]/10</f>
        <v>0</v>
      </c>
      <c r="AI198" s="44"/>
      <c r="AJ198" s="44">
        <f>Table5[[#This Row],[(A/B) AJD]]-Table5[[#This Row],[BER_IN]]</f>
        <v>0</v>
      </c>
      <c r="AK198" s="45"/>
      <c r="AL198" s="45"/>
      <c r="AM198" s="32"/>
      <c r="AN198" s="32">
        <f>Table5[[#This Row],[ (RESV. STORGE) SER]]/10</f>
        <v>0</v>
      </c>
      <c r="AO198" s="68"/>
      <c r="AP198" s="104">
        <f>Table5[[#This Row],[(A/S) AJD]]-Table5[[#This Row],[SER_IN]]</f>
        <v>0</v>
      </c>
    </row>
    <row r="199" spans="1:42" ht="18.75" x14ac:dyDescent="0.25">
      <c r="A199" s="10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Table5[[#This Row],[ (T/B) SAR]]+Table5[[#This Row],[ (S/S) SAR]]</f>
        <v>0</v>
      </c>
      <c r="L199" s="41"/>
      <c r="M199" s="42"/>
      <c r="N199" s="42"/>
      <c r="O199" s="39"/>
      <c r="P199" s="12">
        <f>Table5[[#This Row],[ (S/S) SAR]]-Table5[[#This Row],[(S/S) AJD]]</f>
        <v>0</v>
      </c>
      <c r="Q199" s="39"/>
      <c r="R199" s="12">
        <f>Table5[[#This Row],[ (T/B) SAR]]-Table5[[#This Row],[(T/B) AJD]]</f>
        <v>0</v>
      </c>
      <c r="S199" s="12">
        <f>Table5[[#This Row],[S/S_CON.]]+Table5[[#This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Table5[[#This Row],[(RESV. STORGE) AJD]]/10</f>
        <v>0</v>
      </c>
      <c r="AB199" s="3">
        <f t="shared" si="15"/>
        <v>0</v>
      </c>
      <c r="AC199" s="5"/>
      <c r="AD199" s="39">
        <f>(Table5[[#This Row],[( S/S+T/B) AJD]]*1000)-((Table5[[#This Row],[(STORGE DIFF.) AJD]]*1000)+Table5[[#This Row],[AJD_Evaporation]]+(Table5[[#This Row],[(A/B + A/S) AJD]]*1000))</f>
        <v>0</v>
      </c>
      <c r="AE199" s="41"/>
      <c r="AF199" s="43"/>
      <c r="AG199" s="43"/>
      <c r="AH199" s="6">
        <f>Table5[[#This Row],[ (RESV. STORGE) BER]]/10</f>
        <v>0</v>
      </c>
      <c r="AI199" s="41"/>
      <c r="AJ199" s="41">
        <f>Table5[[#This Row],[(A/B) AJD]]-Table5[[#This Row],[BER_IN]]</f>
        <v>0</v>
      </c>
      <c r="AK199" s="43"/>
      <c r="AL199" s="43"/>
      <c r="AM199" s="32"/>
      <c r="AN199" s="32">
        <f>Table5[[#This Row],[ (RESV. STORGE) SER]]/10</f>
        <v>0</v>
      </c>
      <c r="AO199" s="68"/>
      <c r="AP199" s="104">
        <f>Table5[[#This Row],[(A/S) AJD]]-Table5[[#This Row],[SER_IN]]</f>
        <v>0</v>
      </c>
    </row>
    <row r="200" spans="1:42" ht="18.75" x14ac:dyDescent="0.25">
      <c r="A200" s="10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Table5[[#This Row],[ (T/B) SAR]]+Table5[[#This Row],[ (S/S) SAR]]</f>
        <v>0</v>
      </c>
      <c r="L200" s="45"/>
      <c r="M200" s="46"/>
      <c r="N200" s="46"/>
      <c r="O200" s="40"/>
      <c r="P200" s="12">
        <f>Table5[[#This Row],[ (S/S) SAR]]-Table5[[#This Row],[(S/S) AJD]]</f>
        <v>0</v>
      </c>
      <c r="Q200" s="40"/>
      <c r="R200" s="12">
        <f>Table5[[#This Row],[ (T/B) SAR]]-Table5[[#This Row],[(T/B) AJD]]</f>
        <v>0</v>
      </c>
      <c r="S200" s="12">
        <f>Table5[[#This Row],[S/S_CON.]]+Table5[[#This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Table5[[#This Row],[(RESV. STORGE) AJD]]/10</f>
        <v>0</v>
      </c>
      <c r="AB200" s="3">
        <f t="shared" si="15"/>
        <v>0</v>
      </c>
      <c r="AC200" s="5"/>
      <c r="AD200" s="40">
        <f>(Table5[[#This Row],[( S/S+T/B) AJD]]*1000)-((Table5[[#This Row],[(STORGE DIFF.) AJD]]*1000)+Table5[[#This Row],[AJD_Evaporation]]+(Table5[[#This Row],[(A/B + A/S) AJD]]*1000))</f>
        <v>0</v>
      </c>
      <c r="AE200" s="44"/>
      <c r="AF200" s="45"/>
      <c r="AG200" s="45"/>
      <c r="AH200" s="6">
        <f>Table5[[#This Row],[ (RESV. STORGE) BER]]/10</f>
        <v>0</v>
      </c>
      <c r="AI200" s="44"/>
      <c r="AJ200" s="44">
        <f>Table5[[#This Row],[(A/B) AJD]]-Table5[[#This Row],[BER_IN]]</f>
        <v>0</v>
      </c>
      <c r="AK200" s="45"/>
      <c r="AL200" s="45"/>
      <c r="AM200" s="32"/>
      <c r="AN200" s="32">
        <f>Table5[[#This Row],[ (RESV. STORGE) SER]]/10</f>
        <v>0</v>
      </c>
      <c r="AO200" s="68"/>
      <c r="AP200" s="104">
        <f>Table5[[#This Row],[(A/S) AJD]]-Table5[[#This Row],[SER_IN]]</f>
        <v>0</v>
      </c>
    </row>
    <row r="201" spans="1:42" ht="18.75" x14ac:dyDescent="0.25">
      <c r="A201" s="10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Table5[[#This Row],[ (T/B) SAR]]+Table5[[#This Row],[ (S/S) SAR]]</f>
        <v>0</v>
      </c>
      <c r="L201" s="41"/>
      <c r="M201" s="42"/>
      <c r="N201" s="42"/>
      <c r="O201" s="39"/>
      <c r="P201" s="12">
        <f>Table5[[#This Row],[ (S/S) SAR]]-Table5[[#This Row],[(S/S) AJD]]</f>
        <v>0</v>
      </c>
      <c r="Q201" s="39"/>
      <c r="R201" s="12">
        <f>Table5[[#This Row],[ (T/B) SAR]]-Table5[[#This Row],[(T/B) AJD]]</f>
        <v>0</v>
      </c>
      <c r="S201" s="12">
        <f>Table5[[#This Row],[S/S_CON.]]+Table5[[#This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Table5[[#This Row],[(RESV. STORGE) AJD]]/10</f>
        <v>0</v>
      </c>
      <c r="AB201" s="3">
        <f t="shared" si="15"/>
        <v>0</v>
      </c>
      <c r="AC201" s="5"/>
      <c r="AD201" s="39">
        <f>(Table5[[#This Row],[( S/S+T/B) AJD]]*1000)-((Table5[[#This Row],[(STORGE DIFF.) AJD]]*1000)+Table5[[#This Row],[AJD_Evaporation]]+(Table5[[#This Row],[(A/B + A/S) AJD]]*1000))</f>
        <v>0</v>
      </c>
      <c r="AE201" s="41"/>
      <c r="AF201" s="43"/>
      <c r="AG201" s="43"/>
      <c r="AH201" s="6">
        <f>Table5[[#This Row],[ (RESV. STORGE) BER]]/10</f>
        <v>0</v>
      </c>
      <c r="AI201" s="41"/>
      <c r="AJ201" s="41">
        <f>Table5[[#This Row],[(A/B) AJD]]-Table5[[#This Row],[BER_IN]]</f>
        <v>0</v>
      </c>
      <c r="AK201" s="43"/>
      <c r="AL201" s="43"/>
      <c r="AM201" s="32"/>
      <c r="AN201" s="32">
        <f>Table5[[#This Row],[ (RESV. STORGE) SER]]/10</f>
        <v>0</v>
      </c>
      <c r="AO201" s="68"/>
      <c r="AP201" s="104">
        <f>Table5[[#This Row],[(A/S) AJD]]-Table5[[#This Row],[SER_IN]]</f>
        <v>0</v>
      </c>
    </row>
    <row r="202" spans="1:42" ht="18.75" x14ac:dyDescent="0.25">
      <c r="A202" s="10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Table5[[#This Row],[ (T/B) SAR]]+Table5[[#This Row],[ (S/S) SAR]]</f>
        <v>0</v>
      </c>
      <c r="L202" s="45"/>
      <c r="M202" s="46"/>
      <c r="N202" s="46"/>
      <c r="O202" s="40"/>
      <c r="P202" s="12">
        <f>Table5[[#This Row],[ (S/S) SAR]]-Table5[[#This Row],[(S/S) AJD]]</f>
        <v>0</v>
      </c>
      <c r="Q202" s="40"/>
      <c r="R202" s="12">
        <f>Table5[[#This Row],[ (T/B) SAR]]-Table5[[#This Row],[(T/B) AJD]]</f>
        <v>0</v>
      </c>
      <c r="S202" s="12">
        <f>Table5[[#This Row],[S/S_CON.]]+Table5[[#This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Table5[[#This Row],[(RESV. STORGE) AJD]]/10</f>
        <v>0</v>
      </c>
      <c r="AB202" s="3">
        <f t="shared" si="15"/>
        <v>0</v>
      </c>
      <c r="AC202" s="5"/>
      <c r="AD202" s="40">
        <f>(Table5[[#This Row],[( S/S+T/B) AJD]]*1000)-((Table5[[#This Row],[(STORGE DIFF.) AJD]]*1000)+Table5[[#This Row],[AJD_Evaporation]]+(Table5[[#This Row],[(A/B + A/S) AJD]]*1000))</f>
        <v>0</v>
      </c>
      <c r="AE202" s="44"/>
      <c r="AF202" s="45"/>
      <c r="AG202" s="45"/>
      <c r="AH202" s="6">
        <f>Table5[[#This Row],[ (RESV. STORGE) BER]]/10</f>
        <v>0</v>
      </c>
      <c r="AI202" s="44"/>
      <c r="AJ202" s="44">
        <f>Table5[[#This Row],[(A/B) AJD]]-Table5[[#This Row],[BER_IN]]</f>
        <v>0</v>
      </c>
      <c r="AK202" s="45"/>
      <c r="AL202" s="45"/>
      <c r="AM202" s="32"/>
      <c r="AN202" s="32">
        <f>Table5[[#This Row],[ (RESV. STORGE) SER]]/10</f>
        <v>0</v>
      </c>
      <c r="AO202" s="68"/>
      <c r="AP202" s="104">
        <f>Table5[[#This Row],[(A/S) AJD]]-Table5[[#This Row],[SER_IN]]</f>
        <v>0</v>
      </c>
    </row>
    <row r="203" spans="1:42" ht="18.75" x14ac:dyDescent="0.25">
      <c r="A203" s="10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Table5[[#This Row],[ (T/B) SAR]]+Table5[[#This Row],[ (S/S) SAR]]</f>
        <v>0</v>
      </c>
      <c r="L203" s="41"/>
      <c r="M203" s="42"/>
      <c r="N203" s="42"/>
      <c r="O203" s="39"/>
      <c r="P203" s="12">
        <f>Table5[[#This Row],[ (S/S) SAR]]-Table5[[#This Row],[(S/S) AJD]]</f>
        <v>0</v>
      </c>
      <c r="Q203" s="39"/>
      <c r="R203" s="12">
        <f>Table5[[#This Row],[ (T/B) SAR]]-Table5[[#This Row],[(T/B) AJD]]</f>
        <v>0</v>
      </c>
      <c r="S203" s="12">
        <f>Table5[[#This Row],[S/S_CON.]]+Table5[[#This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Table5[[#This Row],[(RESV. STORGE) AJD]]/10</f>
        <v>0</v>
      </c>
      <c r="AB203" s="3">
        <f t="shared" si="15"/>
        <v>0</v>
      </c>
      <c r="AC203" s="5"/>
      <c r="AD203" s="39">
        <f>(Table5[[#This Row],[( S/S+T/B) AJD]]*1000)-((Table5[[#This Row],[(STORGE DIFF.) AJD]]*1000)+Table5[[#This Row],[AJD_Evaporation]]+(Table5[[#This Row],[(A/B + A/S) AJD]]*1000))</f>
        <v>0</v>
      </c>
      <c r="AE203" s="41"/>
      <c r="AF203" s="43"/>
      <c r="AG203" s="43"/>
      <c r="AH203" s="6">
        <f>Table5[[#This Row],[ (RESV. STORGE) BER]]/10</f>
        <v>0</v>
      </c>
      <c r="AI203" s="41"/>
      <c r="AJ203" s="41">
        <f>Table5[[#This Row],[(A/B) AJD]]-Table5[[#This Row],[BER_IN]]</f>
        <v>0</v>
      </c>
      <c r="AK203" s="43"/>
      <c r="AL203" s="43"/>
      <c r="AM203" s="32"/>
      <c r="AN203" s="32">
        <f>Table5[[#This Row],[ (RESV. STORGE) SER]]/10</f>
        <v>0</v>
      </c>
      <c r="AO203" s="68"/>
      <c r="AP203" s="104">
        <f>Table5[[#This Row],[(A/S) AJD]]-Table5[[#This Row],[SER_IN]]</f>
        <v>0</v>
      </c>
    </row>
    <row r="204" spans="1:42" ht="18.75" x14ac:dyDescent="0.25">
      <c r="A204" s="10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Table5[[#This Row],[ (T/B) SAR]]+Table5[[#This Row],[ (S/S) SAR]]</f>
        <v>0</v>
      </c>
      <c r="L204" s="45"/>
      <c r="M204" s="46"/>
      <c r="N204" s="46"/>
      <c r="O204" s="40"/>
      <c r="P204" s="12">
        <f>Table5[[#This Row],[ (S/S) SAR]]-Table5[[#This Row],[(S/S) AJD]]</f>
        <v>0</v>
      </c>
      <c r="Q204" s="40"/>
      <c r="R204" s="12">
        <f>Table5[[#This Row],[ (T/B) SAR]]-Table5[[#This Row],[(T/B) AJD]]</f>
        <v>0</v>
      </c>
      <c r="S204" s="12">
        <f>Table5[[#This Row],[S/S_CON.]]+Table5[[#This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Table5[[#This Row],[(RESV. STORGE) AJD]]/10</f>
        <v>0</v>
      </c>
      <c r="AB204" s="3">
        <f t="shared" si="15"/>
        <v>0</v>
      </c>
      <c r="AC204" s="5"/>
      <c r="AD204" s="40">
        <f>(Table5[[#This Row],[( S/S+T/B) AJD]]*1000)-((Table5[[#This Row],[(STORGE DIFF.) AJD]]*1000)+Table5[[#This Row],[AJD_Evaporation]]+(Table5[[#This Row],[(A/B + A/S) AJD]]*1000))</f>
        <v>0</v>
      </c>
      <c r="AE204" s="44"/>
      <c r="AF204" s="45"/>
      <c r="AG204" s="45"/>
      <c r="AH204" s="6">
        <f>Table5[[#This Row],[ (RESV. STORGE) BER]]/10</f>
        <v>0</v>
      </c>
      <c r="AI204" s="44"/>
      <c r="AJ204" s="44">
        <f>Table5[[#This Row],[(A/B) AJD]]-Table5[[#This Row],[BER_IN]]</f>
        <v>0</v>
      </c>
      <c r="AK204" s="45"/>
      <c r="AL204" s="45"/>
      <c r="AM204" s="32"/>
      <c r="AN204" s="32">
        <f>Table5[[#This Row],[ (RESV. STORGE) SER]]/10</f>
        <v>0</v>
      </c>
      <c r="AO204" s="68"/>
      <c r="AP204" s="104">
        <f>Table5[[#This Row],[(A/S) AJD]]-Table5[[#This Row],[SER_IN]]</f>
        <v>0</v>
      </c>
    </row>
    <row r="205" spans="1:42" ht="18.75" x14ac:dyDescent="0.25">
      <c r="A205" s="10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Table5[[#This Row],[ (T/B) SAR]]+Table5[[#This Row],[ (S/S) SAR]]</f>
        <v>0</v>
      </c>
      <c r="L205" s="41"/>
      <c r="M205" s="42"/>
      <c r="N205" s="42"/>
      <c r="O205" s="39"/>
      <c r="P205" s="12">
        <f>Table5[[#This Row],[ (S/S) SAR]]-Table5[[#This Row],[(S/S) AJD]]</f>
        <v>0</v>
      </c>
      <c r="Q205" s="39"/>
      <c r="R205" s="12">
        <f>Table5[[#This Row],[ (T/B) SAR]]-Table5[[#This Row],[(T/B) AJD]]</f>
        <v>0</v>
      </c>
      <c r="S205" s="12">
        <f>Table5[[#This Row],[S/S_CON.]]+Table5[[#This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Table5[[#This Row],[(RESV. STORGE) AJD]]/10</f>
        <v>0</v>
      </c>
      <c r="AB205" s="3">
        <f t="shared" si="15"/>
        <v>0</v>
      </c>
      <c r="AC205" s="5"/>
      <c r="AD205" s="39">
        <f>(Table5[[#This Row],[( S/S+T/B) AJD]]*1000)-((Table5[[#This Row],[(STORGE DIFF.) AJD]]*1000)+Table5[[#This Row],[AJD_Evaporation]]+(Table5[[#This Row],[(A/B + A/S) AJD]]*1000))</f>
        <v>0</v>
      </c>
      <c r="AE205" s="41"/>
      <c r="AF205" s="43"/>
      <c r="AG205" s="43"/>
      <c r="AH205" s="6">
        <f>Table5[[#This Row],[ (RESV. STORGE) BER]]/10</f>
        <v>0</v>
      </c>
      <c r="AI205" s="41"/>
      <c r="AJ205" s="41">
        <f>Table5[[#This Row],[(A/B) AJD]]-Table5[[#This Row],[BER_IN]]</f>
        <v>0</v>
      </c>
      <c r="AK205" s="43"/>
      <c r="AL205" s="43"/>
      <c r="AM205" s="32"/>
      <c r="AN205" s="32">
        <f>Table5[[#This Row],[ (RESV. STORGE) SER]]/10</f>
        <v>0</v>
      </c>
      <c r="AO205" s="68"/>
      <c r="AP205" s="104">
        <f>Table5[[#This Row],[(A/S) AJD]]-Table5[[#This Row],[SER_IN]]</f>
        <v>0</v>
      </c>
    </row>
    <row r="206" spans="1:42" ht="18.75" x14ac:dyDescent="0.25">
      <c r="A206" s="10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Table5[[#This Row],[ (T/B) SAR]]+Table5[[#This Row],[ (S/S) SAR]]</f>
        <v>0</v>
      </c>
      <c r="L206" s="45"/>
      <c r="M206" s="46"/>
      <c r="N206" s="46"/>
      <c r="O206" s="40"/>
      <c r="P206" s="12">
        <f>Table5[[#This Row],[ (S/S) SAR]]-Table5[[#This Row],[(S/S) AJD]]</f>
        <v>0</v>
      </c>
      <c r="Q206" s="45"/>
      <c r="R206" s="12">
        <f>Table5[[#This Row],[ (T/B) SAR]]-Table5[[#This Row],[(T/B) AJD]]</f>
        <v>0</v>
      </c>
      <c r="S206" s="12">
        <f>Table5[[#This Row],[S/S_CON.]]+Table5[[#This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Table5[[#This Row],[(RESV. STORGE) AJD]]/10</f>
        <v>0</v>
      </c>
      <c r="AB206" s="3">
        <f t="shared" si="15"/>
        <v>0</v>
      </c>
      <c r="AC206" s="5"/>
      <c r="AD206" s="40">
        <f>(Table5[[#This Row],[( S/S+T/B) AJD]]*1000)-((Table5[[#This Row],[(STORGE DIFF.) AJD]]*1000)+Table5[[#This Row],[AJD_Evaporation]]+(Table5[[#This Row],[(A/B + A/S) AJD]]*1000))</f>
        <v>0</v>
      </c>
      <c r="AE206" s="44"/>
      <c r="AF206" s="45"/>
      <c r="AG206" s="45"/>
      <c r="AH206" s="6">
        <f>Table5[[#This Row],[ (RESV. STORGE) BER]]/10</f>
        <v>0</v>
      </c>
      <c r="AI206" s="44"/>
      <c r="AJ206" s="44">
        <f>Table5[[#This Row],[(A/B) AJD]]-Table5[[#This Row],[BER_IN]]</f>
        <v>0</v>
      </c>
      <c r="AK206" s="45"/>
      <c r="AL206" s="45"/>
      <c r="AM206" s="32"/>
      <c r="AN206" s="32">
        <f>Table5[[#This Row],[ (RESV. STORGE) SER]]/10</f>
        <v>0</v>
      </c>
      <c r="AO206" s="68"/>
      <c r="AP206" s="104">
        <f>Table5[[#This Row],[(A/S) AJD]]-Table5[[#This Row],[SER_IN]]</f>
        <v>0</v>
      </c>
    </row>
    <row r="207" spans="1:42" ht="18.75" x14ac:dyDescent="0.25">
      <c r="A207" s="10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Table5[[#This Row],[ (T/B) SAR]]+Table5[[#This Row],[ (S/S) SAR]]</f>
        <v>0</v>
      </c>
      <c r="L207" s="41"/>
      <c r="M207" s="42"/>
      <c r="N207" s="42"/>
      <c r="O207" s="39"/>
      <c r="P207" s="12">
        <f>Table5[[#This Row],[ (S/S) SAR]]-Table5[[#This Row],[(S/S) AJD]]</f>
        <v>0</v>
      </c>
      <c r="Q207" s="43"/>
      <c r="R207" s="12">
        <f>Table5[[#This Row],[ (T/B) SAR]]-Table5[[#This Row],[(T/B) AJD]]</f>
        <v>0</v>
      </c>
      <c r="S207" s="12">
        <f>Table5[[#This Row],[S/S_CON.]]+Table5[[#This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Table5[[#This Row],[(RESV. STORGE) AJD]]/10</f>
        <v>0</v>
      </c>
      <c r="AB207" s="3">
        <f t="shared" si="15"/>
        <v>0</v>
      </c>
      <c r="AC207" s="5"/>
      <c r="AD207" s="39">
        <f>(Table5[[#This Row],[( S/S+T/B) AJD]]*1000)-((Table5[[#This Row],[(STORGE DIFF.) AJD]]*1000)+Table5[[#This Row],[AJD_Evaporation]]+(Table5[[#This Row],[(A/B + A/S) AJD]]*1000))</f>
        <v>0</v>
      </c>
      <c r="AE207" s="41"/>
      <c r="AF207" s="43"/>
      <c r="AG207" s="43"/>
      <c r="AH207" s="6">
        <f>Table5[[#This Row],[ (RESV. STORGE) BER]]/10</f>
        <v>0</v>
      </c>
      <c r="AI207" s="41"/>
      <c r="AJ207" s="41">
        <f>Table5[[#This Row],[(A/B) AJD]]-Table5[[#This Row],[BER_IN]]</f>
        <v>0</v>
      </c>
      <c r="AK207" s="43"/>
      <c r="AL207" s="43"/>
      <c r="AM207" s="32"/>
      <c r="AN207" s="32">
        <f>Table5[[#This Row],[ (RESV. STORGE) SER]]/10</f>
        <v>0</v>
      </c>
      <c r="AO207" s="68"/>
      <c r="AP207" s="104">
        <f>Table5[[#This Row],[(A/S) AJD]]-Table5[[#This Row],[SER_IN]]</f>
        <v>0</v>
      </c>
    </row>
    <row r="208" spans="1:42" ht="18.75" x14ac:dyDescent="0.25">
      <c r="A208" s="10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Table5[[#This Row],[ (T/B) SAR]]+Table5[[#This Row],[ (S/S) SAR]]</f>
        <v>0</v>
      </c>
      <c r="L208" s="45"/>
      <c r="M208" s="46"/>
      <c r="N208" s="46"/>
      <c r="O208" s="40"/>
      <c r="P208" s="12">
        <f>Table5[[#This Row],[ (S/S) SAR]]-Table5[[#This Row],[(S/S) AJD]]</f>
        <v>0</v>
      </c>
      <c r="Q208" s="45"/>
      <c r="R208" s="12">
        <f>Table5[[#This Row],[ (T/B) SAR]]-Table5[[#This Row],[(T/B) AJD]]</f>
        <v>0</v>
      </c>
      <c r="S208" s="12">
        <f>Table5[[#This Row],[S/S_CON.]]+Table5[[#This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Table5[[#This Row],[(RESV. STORGE) AJD]]/10</f>
        <v>0</v>
      </c>
      <c r="AB208" s="3">
        <f t="shared" si="15"/>
        <v>0</v>
      </c>
      <c r="AC208" s="5"/>
      <c r="AD208" s="40">
        <f>(Table5[[#This Row],[( S/S+T/B) AJD]]*1000)-((Table5[[#This Row],[(STORGE DIFF.) AJD]]*1000)+Table5[[#This Row],[AJD_Evaporation]]+(Table5[[#This Row],[(A/B + A/S) AJD]]*1000))</f>
        <v>0</v>
      </c>
      <c r="AE208" s="44"/>
      <c r="AF208" s="45"/>
      <c r="AG208" s="45"/>
      <c r="AH208" s="6">
        <f>Table5[[#This Row],[ (RESV. STORGE) BER]]/10</f>
        <v>0</v>
      </c>
      <c r="AI208" s="44"/>
      <c r="AJ208" s="44">
        <f>Table5[[#This Row],[(A/B) AJD]]-Table5[[#This Row],[BER_IN]]</f>
        <v>0</v>
      </c>
      <c r="AK208" s="45"/>
      <c r="AL208" s="45"/>
      <c r="AM208" s="32"/>
      <c r="AN208" s="32">
        <f>Table5[[#This Row],[ (RESV. STORGE) SER]]/10</f>
        <v>0</v>
      </c>
      <c r="AO208" s="68"/>
      <c r="AP208" s="104">
        <f>Table5[[#This Row],[(A/S) AJD]]-Table5[[#This Row],[SER_IN]]</f>
        <v>0</v>
      </c>
    </row>
    <row r="209" spans="1:42" ht="18.75" x14ac:dyDescent="0.25">
      <c r="A209" s="10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Table5[[#This Row],[ (T/B) SAR]]+Table5[[#This Row],[ (S/S) SAR]]</f>
        <v>0</v>
      </c>
      <c r="L209" s="41"/>
      <c r="M209" s="42"/>
      <c r="N209" s="42"/>
      <c r="O209" s="39"/>
      <c r="P209" s="12">
        <f>Table5[[#This Row],[ (S/S) SAR]]-Table5[[#This Row],[(S/S) AJD]]</f>
        <v>0</v>
      </c>
      <c r="Q209" s="39"/>
      <c r="R209" s="12">
        <f>Table5[[#This Row],[ (T/B) SAR]]-Table5[[#This Row],[(T/B) AJD]]</f>
        <v>0</v>
      </c>
      <c r="S209" s="12">
        <f>Table5[[#This Row],[S/S_CON.]]+Table5[[#This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Table5[[#This Row],[(RESV. STORGE) AJD]]/10</f>
        <v>0</v>
      </c>
      <c r="AB209" s="3">
        <f t="shared" si="15"/>
        <v>0</v>
      </c>
      <c r="AC209" s="5"/>
      <c r="AD209" s="39">
        <f>(Table5[[#This Row],[( S/S+T/B) AJD]]*1000)-((Table5[[#This Row],[(STORGE DIFF.) AJD]]*1000)+Table5[[#This Row],[AJD_Evaporation]]+(Table5[[#This Row],[(A/B + A/S) AJD]]*1000))</f>
        <v>0</v>
      </c>
      <c r="AE209" s="41"/>
      <c r="AF209" s="43"/>
      <c r="AG209" s="43"/>
      <c r="AH209" s="6">
        <f>Table5[[#This Row],[ (RESV. STORGE) BER]]/10</f>
        <v>0</v>
      </c>
      <c r="AI209" s="41"/>
      <c r="AJ209" s="41">
        <f>Table5[[#This Row],[(A/B) AJD]]-Table5[[#This Row],[BER_IN]]</f>
        <v>0</v>
      </c>
      <c r="AK209" s="43"/>
      <c r="AL209" s="43"/>
      <c r="AM209" s="32"/>
      <c r="AN209" s="32">
        <f>Table5[[#This Row],[ (RESV. STORGE) SER]]/10</f>
        <v>0</v>
      </c>
      <c r="AO209" s="68"/>
      <c r="AP209" s="104">
        <f>Table5[[#This Row],[(A/S) AJD]]-Table5[[#This Row],[SER_IN]]</f>
        <v>0</v>
      </c>
    </row>
    <row r="210" spans="1:42" ht="18.75" x14ac:dyDescent="0.25">
      <c r="A210" s="10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Table5[[#This Row],[ (T/B) SAR]]+Table5[[#This Row],[ (S/S) SAR]]</f>
        <v>0</v>
      </c>
      <c r="L210" s="45"/>
      <c r="M210" s="46"/>
      <c r="N210" s="46"/>
      <c r="O210" s="40"/>
      <c r="P210" s="12">
        <f>Table5[[#This Row],[ (S/S) SAR]]-Table5[[#This Row],[(S/S) AJD]]</f>
        <v>0</v>
      </c>
      <c r="Q210" s="40"/>
      <c r="R210" s="12">
        <f>Table5[[#This Row],[ (T/B) SAR]]-Table5[[#This Row],[(T/B) AJD]]</f>
        <v>0</v>
      </c>
      <c r="S210" s="12">
        <f>Table5[[#This Row],[S/S_CON.]]+Table5[[#This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Table5[[#This Row],[(RESV. STORGE) AJD]]/10</f>
        <v>0</v>
      </c>
      <c r="AB210" s="3">
        <f t="shared" si="15"/>
        <v>0</v>
      </c>
      <c r="AC210" s="5"/>
      <c r="AD210" s="40">
        <f>(Table5[[#This Row],[( S/S+T/B) AJD]]*1000)-((Table5[[#This Row],[(STORGE DIFF.) AJD]]*1000)+Table5[[#This Row],[AJD_Evaporation]]+(Table5[[#This Row],[(A/B + A/S) AJD]]*1000))</f>
        <v>0</v>
      </c>
      <c r="AE210" s="44"/>
      <c r="AF210" s="45"/>
      <c r="AG210" s="45"/>
      <c r="AH210" s="6">
        <f>Table5[[#This Row],[ (RESV. STORGE) BER]]/10</f>
        <v>0</v>
      </c>
      <c r="AI210" s="44"/>
      <c r="AJ210" s="44">
        <f>Table5[[#This Row],[(A/B) AJD]]-Table5[[#This Row],[BER_IN]]</f>
        <v>0</v>
      </c>
      <c r="AK210" s="45"/>
      <c r="AL210" s="45"/>
      <c r="AM210" s="32"/>
      <c r="AN210" s="32">
        <f>Table5[[#This Row],[ (RESV. STORGE) SER]]/10</f>
        <v>0</v>
      </c>
      <c r="AO210" s="68"/>
      <c r="AP210" s="104">
        <f>Table5[[#This Row],[(A/S) AJD]]-Table5[[#This Row],[SER_IN]]</f>
        <v>0</v>
      </c>
    </row>
    <row r="211" spans="1:42" ht="18.75" x14ac:dyDescent="0.25">
      <c r="A211" s="10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Table5[[#This Row],[ (T/B) SAR]]+Table5[[#This Row],[ (S/S) SAR]]</f>
        <v>0</v>
      </c>
      <c r="L211" s="41"/>
      <c r="M211" s="42"/>
      <c r="N211" s="42"/>
      <c r="O211" s="39"/>
      <c r="P211" s="12">
        <f>Table5[[#This Row],[ (S/S) SAR]]-Table5[[#This Row],[(S/S) AJD]]</f>
        <v>0</v>
      </c>
      <c r="Q211" s="39"/>
      <c r="R211" s="12">
        <f>Table5[[#This Row],[ (T/B) SAR]]-Table5[[#This Row],[(T/B) AJD]]</f>
        <v>0</v>
      </c>
      <c r="S211" s="12">
        <f>Table5[[#This Row],[S/S_CON.]]+Table5[[#This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Table5[[#This Row],[(RESV. STORGE) AJD]]/10</f>
        <v>0</v>
      </c>
      <c r="AB211" s="3">
        <f t="shared" si="15"/>
        <v>0</v>
      </c>
      <c r="AC211" s="5"/>
      <c r="AD211" s="39">
        <f>(Table5[[#This Row],[( S/S+T/B) AJD]]*1000)-((Table5[[#This Row],[(STORGE DIFF.) AJD]]*1000)+Table5[[#This Row],[AJD_Evaporation]]+(Table5[[#This Row],[(A/B + A/S) AJD]]*1000))</f>
        <v>0</v>
      </c>
      <c r="AE211" s="41"/>
      <c r="AF211" s="43"/>
      <c r="AG211" s="43"/>
      <c r="AH211" s="6">
        <f>Table5[[#This Row],[ (RESV. STORGE) BER]]/10</f>
        <v>0</v>
      </c>
      <c r="AI211" s="41"/>
      <c r="AJ211" s="41">
        <f>Table5[[#This Row],[(A/B) AJD]]-Table5[[#This Row],[BER_IN]]</f>
        <v>0</v>
      </c>
      <c r="AK211" s="43"/>
      <c r="AL211" s="43"/>
      <c r="AM211" s="32"/>
      <c r="AN211" s="32">
        <f>Table5[[#This Row],[ (RESV. STORGE) SER]]/10</f>
        <v>0</v>
      </c>
      <c r="AO211" s="68"/>
      <c r="AP211" s="104">
        <f>Table5[[#This Row],[(A/S) AJD]]-Table5[[#This Row],[SER_IN]]</f>
        <v>0</v>
      </c>
    </row>
    <row r="212" spans="1:42" ht="18.75" x14ac:dyDescent="0.25">
      <c r="A212" s="10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Table5[[#This Row],[ (T/B) SAR]]+Table5[[#This Row],[ (S/S) SAR]]</f>
        <v>0</v>
      </c>
      <c r="L212" s="45"/>
      <c r="M212" s="46"/>
      <c r="N212" s="46"/>
      <c r="O212" s="40"/>
      <c r="P212" s="12">
        <f>Table5[[#This Row],[ (S/S) SAR]]-Table5[[#This Row],[(S/S) AJD]]</f>
        <v>0</v>
      </c>
      <c r="Q212" s="40"/>
      <c r="R212" s="12">
        <f>Table5[[#This Row],[ (T/B) SAR]]-Table5[[#This Row],[(T/B) AJD]]</f>
        <v>0</v>
      </c>
      <c r="S212" s="12">
        <f>Table5[[#This Row],[S/S_CON.]]+Table5[[#This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Table5[[#This Row],[(RESV. STORGE) AJD]]/10</f>
        <v>0</v>
      </c>
      <c r="AB212" s="3">
        <f t="shared" si="15"/>
        <v>0</v>
      </c>
      <c r="AC212" s="5"/>
      <c r="AD212" s="70">
        <f>(Table5[[#This Row],[( S/S+T/B) AJD]]*1000)-((Table5[[#This Row],[(STORGE DIFF.) AJD]]*1000)+Table5[[#This Row],[AJD_Evaporation]]+(Table5[[#This Row],[(A/B + A/S) AJD]]*1000))</f>
        <v>0</v>
      </c>
      <c r="AE212" s="44"/>
      <c r="AF212" s="45"/>
      <c r="AG212" s="45"/>
      <c r="AH212" s="6">
        <f>Table5[[#This Row],[ (RESV. STORGE) BER]]/10</f>
        <v>0</v>
      </c>
      <c r="AI212" s="44"/>
      <c r="AJ212" s="67">
        <f>Table5[[#This Row],[(A/B) AJD]]-Table5[[#This Row],[BER_IN]]</f>
        <v>0</v>
      </c>
      <c r="AK212" s="45"/>
      <c r="AL212" s="45"/>
      <c r="AM212" s="32"/>
      <c r="AN212" s="32">
        <f>Table5[[#This Row],[ (RESV. STORGE) SER]]/10</f>
        <v>0</v>
      </c>
      <c r="AO212" s="68"/>
      <c r="AP212" s="104">
        <f>Table5[[#This Row],[(A/S) AJD]]-Table5[[#This Row],[SER_IN]]</f>
        <v>0</v>
      </c>
    </row>
    <row r="213" spans="1:42" ht="18.75" x14ac:dyDescent="0.25">
      <c r="A213" s="10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Table5[[#This Row],[ (T/B) SAR]]+Table5[[#This Row],[ (S/S) SAR]]</f>
        <v>0</v>
      </c>
      <c r="L213" s="41"/>
      <c r="M213" s="42"/>
      <c r="N213" s="42"/>
      <c r="O213" s="39"/>
      <c r="P213" s="12">
        <f>Table5[[#This Row],[ (S/S) SAR]]-Table5[[#This Row],[(S/S) AJD]]</f>
        <v>0</v>
      </c>
      <c r="Q213" s="39"/>
      <c r="R213" s="12">
        <f>Table5[[#This Row],[ (T/B) SAR]]-Table5[[#This Row],[(T/B) AJD]]</f>
        <v>0</v>
      </c>
      <c r="S213" s="12">
        <f>Table5[[#This Row],[S/S_CON.]]+Table5[[#This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Table5[[#This Row],[(RESV. STORGE) AJD]]/10</f>
        <v>0</v>
      </c>
      <c r="AB213" s="3">
        <f t="shared" si="15"/>
        <v>0</v>
      </c>
      <c r="AC213" s="5"/>
      <c r="AD213" s="39">
        <f>(Table5[[#This Row],[( S/S+T/B) AJD]]*1000)-((Table5[[#This Row],[(STORGE DIFF.) AJD]]*1000)+Table5[[#This Row],[AJD_Evaporation]]+(Table5[[#This Row],[(A/B + A/S) AJD]]*1000))</f>
        <v>0</v>
      </c>
      <c r="AE213" s="41"/>
      <c r="AF213" s="43"/>
      <c r="AG213" s="43"/>
      <c r="AH213" s="6">
        <f>Table5[[#This Row],[ (RESV. STORGE) BER]]/10</f>
        <v>0</v>
      </c>
      <c r="AI213" s="41"/>
      <c r="AJ213" s="41">
        <f>Table5[[#This Row],[(A/B) AJD]]-Table5[[#This Row],[BER_IN]]</f>
        <v>0</v>
      </c>
      <c r="AK213" s="43"/>
      <c r="AL213" s="43"/>
      <c r="AM213" s="32"/>
      <c r="AN213" s="32">
        <f>Table5[[#This Row],[ (RESV. STORGE) SER]]/10</f>
        <v>0</v>
      </c>
      <c r="AO213" s="68"/>
      <c r="AP213" s="104">
        <f>Table5[[#This Row],[(A/S) AJD]]-Table5[[#This Row],[SER_IN]]</f>
        <v>0</v>
      </c>
    </row>
    <row r="214" spans="1:42" ht="18.75" x14ac:dyDescent="0.25">
      <c r="A214" s="10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Table5[[#This Row],[ (T/B) SAR]]+Table5[[#This Row],[ (S/S) SAR]]</f>
        <v>0</v>
      </c>
      <c r="L214" s="41"/>
      <c r="M214" s="42"/>
      <c r="N214" s="42"/>
      <c r="O214" s="39"/>
      <c r="P214" s="3">
        <f>Table5[[#This Row],[ (S/S) SAR]]-Table5[[#This Row],[(S/S) AJD]]</f>
        <v>0</v>
      </c>
      <c r="Q214" s="39"/>
      <c r="R214" s="3">
        <f>Table5[[#This Row],[ (T/B) SAR]]-Table5[[#This Row],[(T/B) AJD]]</f>
        <v>0</v>
      </c>
      <c r="S214" s="3">
        <f>Table5[[#This Row],[S/S_CON.]]+Table5[[#This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Table5[[#This Row],[(RESV. STORGE) AJD]]/10</f>
        <v>0</v>
      </c>
      <c r="AB214" s="3">
        <f t="shared" si="15"/>
        <v>0</v>
      </c>
      <c r="AC214" s="5"/>
      <c r="AD214" s="39">
        <f>(Table5[[#This Row],[( S/S+T/B) AJD]]*1000)-((Table5[[#This Row],[(STORGE DIFF.) AJD]]*1000)+Table5[[#This Row],[AJD_Evaporation]]+(Table5[[#This Row],[(A/B + A/S) AJD]]*1000))</f>
        <v>0</v>
      </c>
      <c r="AE214" s="41"/>
      <c r="AF214" s="43"/>
      <c r="AG214" s="43"/>
      <c r="AH214" s="6">
        <f>Table5[[#This Row],[ (RESV. STORGE) BER]]/10</f>
        <v>0</v>
      </c>
      <c r="AI214" s="41"/>
      <c r="AJ214" s="41">
        <f>Table5[[#This Row],[(A/B) AJD]]-Table5[[#This Row],[BER_IN]]</f>
        <v>0</v>
      </c>
      <c r="AK214" s="43"/>
      <c r="AL214" s="43"/>
      <c r="AM214" s="32"/>
      <c r="AN214" s="32">
        <f>Table5[[#This Row],[ (RESV. STORGE) SER]]/10</f>
        <v>0</v>
      </c>
      <c r="AO214" s="68"/>
      <c r="AP214" s="104">
        <f>Table5[[#This Row],[(A/S) AJD]]-Table5[[#This Row],[SER_IN]]</f>
        <v>0</v>
      </c>
    </row>
    <row r="215" spans="1:42" ht="18.75" x14ac:dyDescent="0.25">
      <c r="A215" s="10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Table5[[#This Row],[ (T/B) SAR]]+Table5[[#This Row],[ (S/S) SAR]]</f>
        <v>0</v>
      </c>
      <c r="L215" s="45"/>
      <c r="M215" s="46"/>
      <c r="N215" s="46"/>
      <c r="O215" s="40"/>
      <c r="P215" s="3">
        <f>Table5[[#This Row],[ (S/S) SAR]]-Table5[[#This Row],[(S/S) AJD]]</f>
        <v>0</v>
      </c>
      <c r="Q215" s="40"/>
      <c r="R215" s="3">
        <f>Table5[[#This Row],[ (T/B) SAR]]-Table5[[#This Row],[(T/B) AJD]]</f>
        <v>0</v>
      </c>
      <c r="S215" s="3">
        <f>Table5[[#This Row],[S/S_CON.]]+Table5[[#This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Table5[[#This Row],[(RESV. STORGE) AJD]]/10</f>
        <v>0</v>
      </c>
      <c r="AB215" s="3">
        <f t="shared" si="15"/>
        <v>0</v>
      </c>
      <c r="AC215" s="5"/>
      <c r="AD215" s="40">
        <f>(Table5[[#This Row],[( S/S+T/B) AJD]]*1000)-((Table5[[#This Row],[(STORGE DIFF.) AJD]]*1000)+Table5[[#This Row],[AJD_Evaporation]]+(Table5[[#This Row],[(A/B + A/S) AJD]]*1000))</f>
        <v>0</v>
      </c>
      <c r="AE215" s="44"/>
      <c r="AF215" s="45"/>
      <c r="AG215" s="45"/>
      <c r="AH215" s="6">
        <f>Table5[[#This Row],[ (RESV. STORGE) BER]]/10</f>
        <v>0</v>
      </c>
      <c r="AI215" s="44"/>
      <c r="AJ215" s="44">
        <f>Table5[[#This Row],[(A/B) AJD]]-Table5[[#This Row],[BER_IN]]</f>
        <v>0</v>
      </c>
      <c r="AK215" s="45"/>
      <c r="AL215" s="45"/>
      <c r="AM215" s="32"/>
      <c r="AN215" s="32">
        <f>Table5[[#This Row],[ (RESV. STORGE) SER]]/10</f>
        <v>0</v>
      </c>
      <c r="AO215" s="68"/>
      <c r="AP215" s="104">
        <f>Table5[[#This Row],[(A/S) AJD]]-Table5[[#This Row],[SER_IN]]</f>
        <v>0</v>
      </c>
    </row>
    <row r="216" spans="1:42" ht="18.75" x14ac:dyDescent="0.25">
      <c r="A216" s="10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Table5[[#This Row],[ (T/B) SAR]]+Table5[[#This Row],[ (S/S) SAR]]</f>
        <v>0</v>
      </c>
      <c r="L216" s="41"/>
      <c r="M216" s="42"/>
      <c r="N216" s="42"/>
      <c r="O216" s="39"/>
      <c r="P216" s="3">
        <f>Table5[[#This Row],[ (S/S) SAR]]-Table5[[#This Row],[(S/S) AJD]]</f>
        <v>0</v>
      </c>
      <c r="Q216" s="39"/>
      <c r="R216" s="3">
        <f>Table5[[#This Row],[ (T/B) SAR]]-Table5[[#This Row],[(T/B) AJD]]</f>
        <v>0</v>
      </c>
      <c r="S216" s="3">
        <f>Table5[[#This Row],[S/S_CON.]]+Table5[[#This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Table5[[#This Row],[(RESV. STORGE) AJD]]/10</f>
        <v>0</v>
      </c>
      <c r="AB216" s="3">
        <f t="shared" si="15"/>
        <v>0</v>
      </c>
      <c r="AC216" s="5"/>
      <c r="AD216" s="39">
        <f>(Table5[[#This Row],[( S/S+T/B) AJD]]*1000)-((Table5[[#This Row],[(STORGE DIFF.) AJD]]*1000)+Table5[[#This Row],[AJD_Evaporation]]+(Table5[[#This Row],[(A/B + A/S) AJD]]*1000))</f>
        <v>0</v>
      </c>
      <c r="AE216" s="41"/>
      <c r="AF216" s="43"/>
      <c r="AG216" s="43"/>
      <c r="AH216" s="6">
        <f>Table5[[#This Row],[ (RESV. STORGE) BER]]/10</f>
        <v>0</v>
      </c>
      <c r="AI216" s="41"/>
      <c r="AJ216" s="41">
        <f>Table5[[#This Row],[(A/B) AJD]]-Table5[[#This Row],[BER_IN]]</f>
        <v>0</v>
      </c>
      <c r="AK216" s="43"/>
      <c r="AL216" s="43"/>
      <c r="AM216" s="32"/>
      <c r="AN216" s="32">
        <f>Table5[[#This Row],[ (RESV. STORGE) SER]]/10</f>
        <v>0</v>
      </c>
      <c r="AO216" s="68"/>
      <c r="AP216" s="104">
        <f>Table5[[#This Row],[(A/S) AJD]]-Table5[[#This Row],[SER_IN]]</f>
        <v>0</v>
      </c>
    </row>
    <row r="217" spans="1:42" ht="18.75" x14ac:dyDescent="0.25">
      <c r="A217" s="10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Table5[[#This Row],[ (T/B) SAR]]+Table5[[#This Row],[ (S/S) SAR]]</f>
        <v>0</v>
      </c>
      <c r="L217" s="45"/>
      <c r="M217" s="46"/>
      <c r="N217" s="46"/>
      <c r="O217" s="40"/>
      <c r="P217" s="3">
        <f>Table5[[#This Row],[ (S/S) SAR]]-Table5[[#This Row],[(S/S) AJD]]</f>
        <v>0</v>
      </c>
      <c r="Q217" s="40"/>
      <c r="R217" s="3">
        <f>Table5[[#This Row],[ (T/B) SAR]]-Table5[[#This Row],[(T/B) AJD]]</f>
        <v>0</v>
      </c>
      <c r="S217" s="3">
        <f>Table5[[#This Row],[S/S_CON.]]+Table5[[#This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Table5[[#This Row],[(RESV. STORGE) AJD]]/10</f>
        <v>0</v>
      </c>
      <c r="AB217" s="3">
        <f t="shared" si="15"/>
        <v>0</v>
      </c>
      <c r="AC217" s="5"/>
      <c r="AD217" s="40">
        <f>(Table5[[#This Row],[( S/S+T/B) AJD]]*1000)-((Table5[[#This Row],[(STORGE DIFF.) AJD]]*1000)+Table5[[#This Row],[AJD_Evaporation]]+(Table5[[#This Row],[(A/B + A/S) AJD]]*1000))</f>
        <v>0</v>
      </c>
      <c r="AE217" s="44"/>
      <c r="AF217" s="45"/>
      <c r="AG217" s="45"/>
      <c r="AH217" s="6">
        <f>Table5[[#This Row],[ (RESV. STORGE) BER]]/10</f>
        <v>0</v>
      </c>
      <c r="AI217" s="44"/>
      <c r="AJ217" s="44">
        <f>Table5[[#This Row],[(A/B) AJD]]-Table5[[#This Row],[BER_IN]]</f>
        <v>0</v>
      </c>
      <c r="AK217" s="45"/>
      <c r="AL217" s="45"/>
      <c r="AM217" s="32"/>
      <c r="AN217" s="32">
        <f>Table5[[#This Row],[ (RESV. STORGE) SER]]/10</f>
        <v>0</v>
      </c>
      <c r="AO217" s="68"/>
      <c r="AP217" s="104">
        <f>Table5[[#This Row],[(A/S) AJD]]-Table5[[#This Row],[SER_IN]]</f>
        <v>0</v>
      </c>
    </row>
    <row r="218" spans="1:42" ht="18.75" x14ac:dyDescent="0.25">
      <c r="A218" s="10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Table5[[#This Row],[ (T/B) SAR]]+Table5[[#This Row],[ (S/S) SAR]]</f>
        <v>0</v>
      </c>
      <c r="L218" s="41"/>
      <c r="M218" s="42"/>
      <c r="N218" s="42"/>
      <c r="O218" s="39"/>
      <c r="P218" s="3">
        <f>Table5[[#This Row],[ (S/S) SAR]]-Table5[[#This Row],[(S/S) AJD]]</f>
        <v>0</v>
      </c>
      <c r="Q218" s="39"/>
      <c r="R218" s="3">
        <f>Table5[[#This Row],[ (T/B) SAR]]-Table5[[#This Row],[(T/B) AJD]]</f>
        <v>0</v>
      </c>
      <c r="S218" s="3">
        <f>Table5[[#This Row],[S/S_CON.]]+Table5[[#This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Table5[[#This Row],[(RESV. STORGE) AJD]]/10</f>
        <v>0</v>
      </c>
      <c r="AB218" s="3">
        <f t="shared" si="15"/>
        <v>0</v>
      </c>
      <c r="AC218" s="5"/>
      <c r="AD218" s="39">
        <f>(Table5[[#This Row],[( S/S+T/B) AJD]]*1000)-((Table5[[#This Row],[(STORGE DIFF.) AJD]]*1000)+Table5[[#This Row],[AJD_Evaporation]]+(Table5[[#This Row],[(A/B + A/S) AJD]]*1000))</f>
        <v>0</v>
      </c>
      <c r="AE218" s="41"/>
      <c r="AF218" s="43"/>
      <c r="AG218" s="43"/>
      <c r="AH218" s="6">
        <f>Table5[[#This Row],[ (RESV. STORGE) BER]]/10</f>
        <v>0</v>
      </c>
      <c r="AI218" s="41"/>
      <c r="AJ218" s="41">
        <f>Table5[[#This Row],[(A/B) AJD]]-Table5[[#This Row],[BER_IN]]</f>
        <v>0</v>
      </c>
      <c r="AK218" s="43"/>
      <c r="AL218" s="43"/>
      <c r="AM218" s="32"/>
      <c r="AN218" s="32">
        <f>Table5[[#This Row],[ (RESV. STORGE) SER]]/10</f>
        <v>0</v>
      </c>
      <c r="AO218" s="68"/>
      <c r="AP218" s="104">
        <f>Table5[[#This Row],[(A/S) AJD]]-Table5[[#This Row],[SER_IN]]</f>
        <v>0</v>
      </c>
    </row>
    <row r="219" spans="1:42" ht="18.75" x14ac:dyDescent="0.25">
      <c r="A219" s="10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Table5[[#This Row],[ (T/B) SAR]]+Table5[[#This Row],[ (S/S) SAR]]</f>
        <v>0</v>
      </c>
      <c r="L219" s="45"/>
      <c r="M219" s="46"/>
      <c r="N219" s="46"/>
      <c r="O219" s="40"/>
      <c r="P219" s="3">
        <f>Table5[[#This Row],[ (S/S) SAR]]-Table5[[#This Row],[(S/S) AJD]]</f>
        <v>0</v>
      </c>
      <c r="Q219" s="40"/>
      <c r="R219" s="3">
        <f>Table5[[#This Row],[ (T/B) SAR]]-Table5[[#This Row],[(T/B) AJD]]</f>
        <v>0</v>
      </c>
      <c r="S219" s="3">
        <f>Table5[[#This Row],[S/S_CON.]]+Table5[[#This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Table5[[#This Row],[(RESV. STORGE) AJD]]/10</f>
        <v>0</v>
      </c>
      <c r="AB219" s="3">
        <f t="shared" si="15"/>
        <v>0</v>
      </c>
      <c r="AC219" s="5"/>
      <c r="AD219" s="40">
        <f>(Table5[[#This Row],[( S/S+T/B) AJD]]*1000)-((Table5[[#This Row],[(STORGE DIFF.) AJD]]*1000)+Table5[[#This Row],[AJD_Evaporation]]+(Table5[[#This Row],[(A/B + A/S) AJD]]*1000))</f>
        <v>0</v>
      </c>
      <c r="AE219" s="44"/>
      <c r="AF219" s="45"/>
      <c r="AG219" s="45"/>
      <c r="AH219" s="6">
        <f>Table5[[#This Row],[ (RESV. STORGE) BER]]/10</f>
        <v>0</v>
      </c>
      <c r="AI219" s="44"/>
      <c r="AJ219" s="44">
        <f>Table5[[#This Row],[(A/B) AJD]]-Table5[[#This Row],[BER_IN]]</f>
        <v>0</v>
      </c>
      <c r="AK219" s="45"/>
      <c r="AL219" s="45"/>
      <c r="AM219" s="32"/>
      <c r="AN219" s="32">
        <f>Table5[[#This Row],[ (RESV. STORGE) SER]]/10</f>
        <v>0</v>
      </c>
      <c r="AO219" s="68"/>
      <c r="AP219" s="104">
        <f>Table5[[#This Row],[(A/S) AJD]]-Table5[[#This Row],[SER_IN]]</f>
        <v>0</v>
      </c>
    </row>
    <row r="220" spans="1:42" ht="18.75" x14ac:dyDescent="0.25">
      <c r="A220" s="10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Table5[[#This Row],[ (T/B) SAR]]+Table5[[#This Row],[ (S/S) SAR]]</f>
        <v>0</v>
      </c>
      <c r="L220" s="41"/>
      <c r="M220" s="42"/>
      <c r="N220" s="42"/>
      <c r="O220" s="39"/>
      <c r="P220" s="3">
        <f>Table5[[#This Row],[ (S/S) SAR]]-Table5[[#This Row],[(S/S) AJD]]</f>
        <v>0</v>
      </c>
      <c r="Q220" s="39"/>
      <c r="R220" s="3">
        <f>Table5[[#This Row],[ (T/B) SAR]]-Table5[[#This Row],[(T/B) AJD]]</f>
        <v>0</v>
      </c>
      <c r="S220" s="3">
        <f>Table5[[#This Row],[S/S_CON.]]+Table5[[#This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Table5[[#This Row],[(RESV. STORGE) AJD]]/10</f>
        <v>0</v>
      </c>
      <c r="AB220" s="3">
        <f t="shared" si="15"/>
        <v>0</v>
      </c>
      <c r="AC220" s="5"/>
      <c r="AD220" s="39">
        <f>(Table5[[#This Row],[( S/S+T/B) AJD]]*1000)-((Table5[[#This Row],[(STORGE DIFF.) AJD]]*1000)+Table5[[#This Row],[AJD_Evaporation]]+(Table5[[#This Row],[(A/B + A/S) AJD]]*1000))</f>
        <v>0</v>
      </c>
      <c r="AE220" s="41"/>
      <c r="AF220" s="43"/>
      <c r="AG220" s="43"/>
      <c r="AH220" s="6">
        <f>Table5[[#This Row],[ (RESV. STORGE) BER]]/10</f>
        <v>0</v>
      </c>
      <c r="AI220" s="41"/>
      <c r="AJ220" s="41">
        <f>Table5[[#This Row],[(A/B) AJD]]-Table5[[#This Row],[BER_IN]]</f>
        <v>0</v>
      </c>
      <c r="AK220" s="43"/>
      <c r="AL220" s="43"/>
      <c r="AM220" s="32"/>
      <c r="AN220" s="32">
        <f>Table5[[#This Row],[ (RESV. STORGE) SER]]/10</f>
        <v>0</v>
      </c>
      <c r="AO220" s="68"/>
      <c r="AP220" s="104">
        <f>Table5[[#This Row],[(A/S) AJD]]-Table5[[#This Row],[SER_IN]]</f>
        <v>0</v>
      </c>
    </row>
    <row r="221" spans="1:42" ht="18.75" x14ac:dyDescent="0.25">
      <c r="A221" s="10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Table5[[#This Row],[ (T/B) SAR]]+Table5[[#This Row],[ (S/S) SAR]]</f>
        <v>0</v>
      </c>
      <c r="L221" s="45"/>
      <c r="M221" s="46"/>
      <c r="N221" s="46"/>
      <c r="O221" s="40"/>
      <c r="P221" s="3">
        <f>Table5[[#This Row],[ (S/S) SAR]]-Table5[[#This Row],[(S/S) AJD]]</f>
        <v>0</v>
      </c>
      <c r="Q221" s="40"/>
      <c r="R221" s="3">
        <f>Table5[[#This Row],[ (T/B) SAR]]-Table5[[#This Row],[(T/B) AJD]]</f>
        <v>0</v>
      </c>
      <c r="S221" s="3">
        <f>Table5[[#This Row],[S/S_CON.]]+Table5[[#This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Table5[[#This Row],[(RESV. STORGE) AJD]]/10</f>
        <v>0</v>
      </c>
      <c r="AB221" s="3">
        <f t="shared" si="15"/>
        <v>0</v>
      </c>
      <c r="AC221" s="5"/>
      <c r="AD221" s="40">
        <f>(Table5[[#This Row],[( S/S+T/B) AJD]]*1000)-((Table5[[#This Row],[(STORGE DIFF.) AJD]]*1000)+Table5[[#This Row],[AJD_Evaporation]]+(Table5[[#This Row],[(A/B + A/S) AJD]]*1000))</f>
        <v>0</v>
      </c>
      <c r="AE221" s="44"/>
      <c r="AF221" s="45"/>
      <c r="AG221" s="45"/>
      <c r="AH221" s="6">
        <f>Table5[[#This Row],[ (RESV. STORGE) BER]]/10</f>
        <v>0</v>
      </c>
      <c r="AI221" s="44"/>
      <c r="AJ221" s="44">
        <f>Table5[[#This Row],[(A/B) AJD]]-Table5[[#This Row],[BER_IN]]</f>
        <v>0</v>
      </c>
      <c r="AK221" s="45"/>
      <c r="AL221" s="45"/>
      <c r="AM221" s="32"/>
      <c r="AN221" s="32">
        <f>Table5[[#This Row],[ (RESV. STORGE) SER]]/10</f>
        <v>0</v>
      </c>
      <c r="AO221" s="68"/>
      <c r="AP221" s="104">
        <f>Table5[[#This Row],[(A/S) AJD]]-Table5[[#This Row],[SER_IN]]</f>
        <v>0</v>
      </c>
    </row>
    <row r="222" spans="1:42" ht="18.75" x14ac:dyDescent="0.25">
      <c r="A222" s="10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Table5[[#This Row],[ (T/B) SAR]]+Table5[[#This Row],[ (S/S) SAR]]</f>
        <v>0</v>
      </c>
      <c r="L222" s="41"/>
      <c r="M222" s="42"/>
      <c r="N222" s="42"/>
      <c r="O222" s="39"/>
      <c r="P222" s="3">
        <f>Table5[[#This Row],[ (S/S) SAR]]-Table5[[#This Row],[(S/S) AJD]]</f>
        <v>0</v>
      </c>
      <c r="Q222" s="39"/>
      <c r="R222" s="3">
        <f>Table5[[#This Row],[ (T/B) SAR]]-Table5[[#This Row],[(T/B) AJD]]</f>
        <v>0</v>
      </c>
      <c r="S222" s="3">
        <f>Table5[[#This Row],[S/S_CON.]]+Table5[[#This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Table5[[#This Row],[(RESV. STORGE) AJD]]/10</f>
        <v>0</v>
      </c>
      <c r="AB222" s="3">
        <f t="shared" si="15"/>
        <v>0</v>
      </c>
      <c r="AC222" s="5"/>
      <c r="AD222" s="39">
        <f>(Table5[[#This Row],[( S/S+T/B) AJD]]*1000)-((Table5[[#This Row],[(STORGE DIFF.) AJD]]*1000)+Table5[[#This Row],[AJD_Evaporation]]+(Table5[[#This Row],[(A/B + A/S) AJD]]*1000))</f>
        <v>0</v>
      </c>
      <c r="AE222" s="41"/>
      <c r="AF222" s="43"/>
      <c r="AG222" s="43"/>
      <c r="AH222" s="6">
        <f>Table5[[#This Row],[ (RESV. STORGE) BER]]/10</f>
        <v>0</v>
      </c>
      <c r="AI222" s="41"/>
      <c r="AJ222" s="41">
        <f>Table5[[#This Row],[(A/B) AJD]]-Table5[[#This Row],[BER_IN]]</f>
        <v>0</v>
      </c>
      <c r="AK222" s="43"/>
      <c r="AL222" s="43"/>
      <c r="AM222" s="32"/>
      <c r="AN222" s="32">
        <f>Table5[[#This Row],[ (RESV. STORGE) SER]]/10</f>
        <v>0</v>
      </c>
      <c r="AO222" s="68"/>
      <c r="AP222" s="104">
        <f>Table5[[#This Row],[(A/S) AJD]]-Table5[[#This Row],[SER_IN]]</f>
        <v>0</v>
      </c>
    </row>
    <row r="223" spans="1:42" ht="18.75" x14ac:dyDescent="0.25">
      <c r="A223" s="10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Table5[[#This Row],[ (T/B) SAR]]+Table5[[#This Row],[ (S/S) SAR]]</f>
        <v>0</v>
      </c>
      <c r="L223" s="45"/>
      <c r="M223" s="46"/>
      <c r="N223" s="46"/>
      <c r="O223" s="40"/>
      <c r="P223" s="3">
        <f>Table5[[#This Row],[ (S/S) SAR]]-Table5[[#This Row],[(S/S) AJD]]</f>
        <v>0</v>
      </c>
      <c r="Q223" s="40"/>
      <c r="R223" s="3">
        <f>Table5[[#This Row],[ (T/B) SAR]]-Table5[[#This Row],[(T/B) AJD]]</f>
        <v>0</v>
      </c>
      <c r="S223" s="3">
        <f>Table5[[#This Row],[S/S_CON.]]+Table5[[#This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Table5[[#This Row],[(RESV. STORGE) AJD]]/10</f>
        <v>0</v>
      </c>
      <c r="AB223" s="3">
        <f t="shared" si="15"/>
        <v>0</v>
      </c>
      <c r="AC223" s="5"/>
      <c r="AD223" s="40">
        <f>(Table5[[#This Row],[( S/S+T/B) AJD]]*1000)-((Table5[[#This Row],[(STORGE DIFF.) AJD]]*1000)+Table5[[#This Row],[AJD_Evaporation]]+(Table5[[#This Row],[(A/B + A/S) AJD]]*1000))</f>
        <v>0</v>
      </c>
      <c r="AE223" s="44"/>
      <c r="AF223" s="45"/>
      <c r="AG223" s="45"/>
      <c r="AH223" s="6">
        <f>Table5[[#This Row],[ (RESV. STORGE) BER]]/10</f>
        <v>0</v>
      </c>
      <c r="AI223" s="44"/>
      <c r="AJ223" s="44">
        <f>Table5[[#This Row],[(A/B) AJD]]-Table5[[#This Row],[BER_IN]]</f>
        <v>0</v>
      </c>
      <c r="AK223" s="45"/>
      <c r="AL223" s="45"/>
      <c r="AM223" s="32"/>
      <c r="AN223" s="32">
        <f>Table5[[#This Row],[ (RESV. STORGE) SER]]/10</f>
        <v>0</v>
      </c>
      <c r="AO223" s="68"/>
      <c r="AP223" s="104">
        <f>Table5[[#This Row],[(A/S) AJD]]-Table5[[#This Row],[SER_IN]]</f>
        <v>0</v>
      </c>
    </row>
    <row r="224" spans="1:42" ht="18.75" x14ac:dyDescent="0.25">
      <c r="A224" s="10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Table5[[#This Row],[ (T/B) SAR]]+Table5[[#This Row],[ (S/S) SAR]]</f>
        <v>0</v>
      </c>
      <c r="L224" s="41"/>
      <c r="M224" s="42"/>
      <c r="N224" s="42"/>
      <c r="O224" s="39"/>
      <c r="P224" s="3">
        <f>Table5[[#This Row],[ (S/S) SAR]]-Table5[[#This Row],[(S/S) AJD]]</f>
        <v>0</v>
      </c>
      <c r="Q224" s="39"/>
      <c r="R224" s="3">
        <f>Table5[[#This Row],[ (T/B) SAR]]-Table5[[#This Row],[(T/B) AJD]]</f>
        <v>0</v>
      </c>
      <c r="S224" s="3">
        <f>Table5[[#This Row],[S/S_CON.]]+Table5[[#This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Table5[[#This Row],[(RESV. STORGE) AJD]]/10</f>
        <v>0</v>
      </c>
      <c r="AB224" s="3">
        <f t="shared" si="15"/>
        <v>0</v>
      </c>
      <c r="AC224" s="5"/>
      <c r="AD224" s="39">
        <f>(Table5[[#This Row],[( S/S+T/B) AJD]]*1000)-((Table5[[#This Row],[(STORGE DIFF.) AJD]]*1000)+Table5[[#This Row],[AJD_Evaporation]]+(Table5[[#This Row],[(A/B + A/S) AJD]]*1000))</f>
        <v>0</v>
      </c>
      <c r="AE224" s="41"/>
      <c r="AF224" s="43"/>
      <c r="AG224" s="68"/>
      <c r="AH224" s="6">
        <f>Table5[[#This Row],[ (RESV. STORGE) BER]]/10</f>
        <v>0</v>
      </c>
      <c r="AI224" s="41"/>
      <c r="AJ224" s="69">
        <f>Table5[[#This Row],[(A/B) AJD]]-Table5[[#This Row],[BER_IN]]</f>
        <v>0</v>
      </c>
      <c r="AK224" s="43"/>
      <c r="AL224" s="43"/>
      <c r="AM224" s="32"/>
      <c r="AN224" s="32">
        <f>Table5[[#This Row],[ (RESV. STORGE) SER]]/10</f>
        <v>0</v>
      </c>
      <c r="AO224" s="68"/>
      <c r="AP224" s="104">
        <f>Table5[[#This Row],[(A/S) AJD]]-Table5[[#This Row],[SER_IN]]</f>
        <v>0</v>
      </c>
    </row>
    <row r="225" spans="1:42" ht="18.75" x14ac:dyDescent="0.25">
      <c r="A225" s="10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Table5[[#This Row],[ (T/B) SAR]]+Table5[[#This Row],[ (S/S) SAR]]</f>
        <v>0</v>
      </c>
      <c r="L225" s="45"/>
      <c r="M225" s="46"/>
      <c r="N225" s="46"/>
      <c r="O225" s="40"/>
      <c r="P225" s="3">
        <f>Table5[[#This Row],[ (S/S) SAR]]-Table5[[#This Row],[(S/S) AJD]]</f>
        <v>0</v>
      </c>
      <c r="Q225" s="40"/>
      <c r="R225" s="3">
        <f>Table5[[#This Row],[ (T/B) SAR]]-Table5[[#This Row],[(T/B) AJD]]</f>
        <v>0</v>
      </c>
      <c r="S225" s="3">
        <f>Table5[[#This Row],[S/S_CON.]]+Table5[[#This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Table5[[#This Row],[(RESV. STORGE) AJD]]/10</f>
        <v>0</v>
      </c>
      <c r="AB225" s="3">
        <f t="shared" si="15"/>
        <v>0</v>
      </c>
      <c r="AC225" s="5"/>
      <c r="AD225" s="40">
        <f>(Table5[[#This Row],[( S/S+T/B) AJD]]*1000)-((Table5[[#This Row],[(STORGE DIFF.) AJD]]*1000)+Table5[[#This Row],[AJD_Evaporation]]+(Table5[[#This Row],[(A/B + A/S) AJD]]*1000))</f>
        <v>0</v>
      </c>
      <c r="AE225" s="44"/>
      <c r="AF225" s="45"/>
      <c r="AG225" s="45"/>
      <c r="AH225" s="6">
        <f>Table5[[#This Row],[ (RESV. STORGE) BER]]/10</f>
        <v>0</v>
      </c>
      <c r="AI225" s="44"/>
      <c r="AJ225" s="44">
        <f>Table5[[#This Row],[(A/B) AJD]]-Table5[[#This Row],[BER_IN]]</f>
        <v>0</v>
      </c>
      <c r="AK225" s="45"/>
      <c r="AL225" s="45"/>
      <c r="AM225" s="32"/>
      <c r="AN225" s="32">
        <f>Table5[[#This Row],[ (RESV. STORGE) SER]]/10</f>
        <v>0</v>
      </c>
      <c r="AO225" s="68"/>
      <c r="AP225" s="104">
        <f>Table5[[#This Row],[(A/S) AJD]]-Table5[[#This Row],[SER_IN]]</f>
        <v>0</v>
      </c>
    </row>
    <row r="226" spans="1:42" ht="18.75" x14ac:dyDescent="0.25">
      <c r="A226" s="10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Table5[[#This Row],[ (T/B) SAR]]+Table5[[#This Row],[ (S/S) SAR]]</f>
        <v>0</v>
      </c>
      <c r="L226" s="41"/>
      <c r="M226" s="42"/>
      <c r="N226" s="42"/>
      <c r="O226" s="39"/>
      <c r="P226" s="3">
        <f>Table5[[#This Row],[ (S/S) SAR]]-Table5[[#This Row],[(S/S) AJD]]</f>
        <v>0</v>
      </c>
      <c r="Q226" s="39"/>
      <c r="R226" s="3">
        <f>Table5[[#This Row],[ (T/B) SAR]]-Table5[[#This Row],[(T/B) AJD]]</f>
        <v>0</v>
      </c>
      <c r="S226" s="3">
        <f>Table5[[#This Row],[S/S_CON.]]+Table5[[#This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Table5[[#This Row],[(RESV. STORGE) AJD]]/10</f>
        <v>0</v>
      </c>
      <c r="AB226" s="3">
        <f t="shared" si="15"/>
        <v>0</v>
      </c>
      <c r="AC226" s="5"/>
      <c r="AD226" s="39">
        <f>(Table5[[#This Row],[( S/S+T/B) AJD]]*1000)-((Table5[[#This Row],[(STORGE DIFF.) AJD]]*1000)+Table5[[#This Row],[AJD_Evaporation]]+(Table5[[#This Row],[(A/B + A/S) AJD]]*1000))</f>
        <v>0</v>
      </c>
      <c r="AE226" s="41"/>
      <c r="AF226" s="43"/>
      <c r="AG226" s="43"/>
      <c r="AH226" s="6">
        <f>Table5[[#This Row],[ (RESV. STORGE) BER]]/10</f>
        <v>0</v>
      </c>
      <c r="AI226" s="41"/>
      <c r="AJ226" s="41">
        <f>Table5[[#This Row],[(A/B) AJD]]-Table5[[#This Row],[BER_IN]]</f>
        <v>0</v>
      </c>
      <c r="AK226" s="43"/>
      <c r="AL226" s="43"/>
      <c r="AM226" s="32"/>
      <c r="AN226" s="32">
        <f>Table5[[#This Row],[ (RESV. STORGE) SER]]/10</f>
        <v>0</v>
      </c>
      <c r="AO226" s="68"/>
      <c r="AP226" s="104">
        <f>Table5[[#This Row],[(A/S) AJD]]-Table5[[#This Row],[SER_IN]]</f>
        <v>0</v>
      </c>
    </row>
    <row r="227" spans="1:42" ht="18.75" x14ac:dyDescent="0.25">
      <c r="A227" s="10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Table5[[#This Row],[ (T/B) SAR]]+Table5[[#This Row],[ (S/S) SAR]]</f>
        <v>0</v>
      </c>
      <c r="L227" s="45"/>
      <c r="M227" s="46"/>
      <c r="N227" s="46"/>
      <c r="O227" s="40"/>
      <c r="P227" s="3">
        <f>Table5[[#This Row],[ (S/S) SAR]]-Table5[[#This Row],[(S/S) AJD]]</f>
        <v>0</v>
      </c>
      <c r="Q227" s="40"/>
      <c r="R227" s="3">
        <f>Table5[[#This Row],[ (T/B) SAR]]-Table5[[#This Row],[(T/B) AJD]]</f>
        <v>0</v>
      </c>
      <c r="S227" s="3">
        <f>Table5[[#This Row],[S/S_CON.]]+Table5[[#This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Table5[[#This Row],[(RESV. STORGE) AJD]]/10</f>
        <v>0</v>
      </c>
      <c r="AB227" s="3">
        <f t="shared" si="15"/>
        <v>0</v>
      </c>
      <c r="AC227" s="5"/>
      <c r="AD227" s="40">
        <f>(Table5[[#This Row],[( S/S+T/B) AJD]]*1000)-((Table5[[#This Row],[(STORGE DIFF.) AJD]]*1000)+Table5[[#This Row],[AJD_Evaporation]]+(Table5[[#This Row],[(A/B + A/S) AJD]]*1000))</f>
        <v>0</v>
      </c>
      <c r="AE227" s="44"/>
      <c r="AF227" s="45"/>
      <c r="AG227" s="45"/>
      <c r="AH227" s="6">
        <f>Table5[[#This Row],[ (RESV. STORGE) BER]]/10</f>
        <v>0</v>
      </c>
      <c r="AI227" s="44"/>
      <c r="AJ227" s="44">
        <f>Table5[[#This Row],[(A/B) AJD]]-Table5[[#This Row],[BER_IN]]</f>
        <v>0</v>
      </c>
      <c r="AK227" s="45"/>
      <c r="AL227" s="45"/>
      <c r="AM227" s="32"/>
      <c r="AN227" s="32">
        <f>Table5[[#This Row],[ (RESV. STORGE) SER]]/10</f>
        <v>0</v>
      </c>
      <c r="AO227" s="68"/>
      <c r="AP227" s="104">
        <f>Table5[[#This Row],[(A/S) AJD]]-Table5[[#This Row],[SER_IN]]</f>
        <v>0</v>
      </c>
    </row>
    <row r="228" spans="1:42" ht="18.75" x14ac:dyDescent="0.25">
      <c r="A228" s="10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Table5[[#This Row],[ (T/B) SAR]]+Table5[[#This Row],[ (S/S) SAR]]</f>
        <v>0</v>
      </c>
      <c r="L228" s="41"/>
      <c r="M228" s="42"/>
      <c r="N228" s="42"/>
      <c r="O228" s="39"/>
      <c r="P228" s="3">
        <f>Table5[[#This Row],[ (S/S) SAR]]-Table5[[#This Row],[(S/S) AJD]]</f>
        <v>0</v>
      </c>
      <c r="Q228" s="39"/>
      <c r="R228" s="3">
        <f>Table5[[#This Row],[ (T/B) SAR]]-Table5[[#This Row],[(T/B) AJD]]</f>
        <v>0</v>
      </c>
      <c r="S228" s="3">
        <f>Table5[[#This Row],[S/S_CON.]]+Table5[[#This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Table5[[#This Row],[(RESV. STORGE) AJD]]/10</f>
        <v>0</v>
      </c>
      <c r="AB228" s="3">
        <f t="shared" si="15"/>
        <v>0</v>
      </c>
      <c r="AC228" s="5"/>
      <c r="AD228" s="39">
        <f>(Table5[[#This Row],[( S/S+T/B) AJD]]*1000)-((Table5[[#This Row],[(STORGE DIFF.) AJD]]*1000)+Table5[[#This Row],[AJD_Evaporation]]+(Table5[[#This Row],[(A/B + A/S) AJD]]*1000))</f>
        <v>0</v>
      </c>
      <c r="AE228" s="41"/>
      <c r="AF228" s="43"/>
      <c r="AG228" s="43"/>
      <c r="AH228" s="6">
        <f>Table5[[#This Row],[ (RESV. STORGE) BER]]/10</f>
        <v>0</v>
      </c>
      <c r="AI228" s="41"/>
      <c r="AJ228" s="41">
        <f>Table5[[#This Row],[(A/B) AJD]]-Table5[[#This Row],[BER_IN]]</f>
        <v>0</v>
      </c>
      <c r="AK228" s="43"/>
      <c r="AL228" s="43"/>
      <c r="AM228" s="32"/>
      <c r="AN228" s="32">
        <f>Table5[[#This Row],[ (RESV. STORGE) SER]]/10</f>
        <v>0</v>
      </c>
      <c r="AO228" s="68"/>
      <c r="AP228" s="104">
        <f>Table5[[#This Row],[(A/S) AJD]]-Table5[[#This Row],[SER_IN]]</f>
        <v>0</v>
      </c>
    </row>
    <row r="229" spans="1:42" ht="18.75" x14ac:dyDescent="0.25">
      <c r="A229" s="10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Table5[[#This Row],[ (T/B) SAR]]+Table5[[#This Row],[ (S/S) SAR]]</f>
        <v>0</v>
      </c>
      <c r="L229" s="45"/>
      <c r="M229" s="46"/>
      <c r="N229" s="46"/>
      <c r="O229" s="40"/>
      <c r="P229" s="3">
        <f>Table5[[#This Row],[ (S/S) SAR]]-Table5[[#This Row],[(S/S) AJD]]</f>
        <v>0</v>
      </c>
      <c r="Q229" s="40"/>
      <c r="R229" s="3">
        <f>Table5[[#This Row],[ (T/B) SAR]]-Table5[[#This Row],[(T/B) AJD]]</f>
        <v>0</v>
      </c>
      <c r="S229" s="3">
        <f>Table5[[#This Row],[S/S_CON.]]+Table5[[#This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Table5[[#This Row],[(RESV. STORGE) AJD]]/10</f>
        <v>0</v>
      </c>
      <c r="AB229" s="3">
        <f t="shared" si="15"/>
        <v>0</v>
      </c>
      <c r="AC229" s="5"/>
      <c r="AD229" s="40">
        <f>(Table5[[#This Row],[( S/S+T/B) AJD]]*1000)-((Table5[[#This Row],[(STORGE DIFF.) AJD]]*1000)+Table5[[#This Row],[AJD_Evaporation]]+(Table5[[#This Row],[(A/B + A/S) AJD]]*1000))</f>
        <v>0</v>
      </c>
      <c r="AE229" s="44"/>
      <c r="AF229" s="45"/>
      <c r="AG229" s="45"/>
      <c r="AH229" s="6">
        <f>Table5[[#This Row],[ (RESV. STORGE) BER]]/10</f>
        <v>0</v>
      </c>
      <c r="AI229" s="44"/>
      <c r="AJ229" s="44">
        <f>Table5[[#This Row],[(A/B) AJD]]-Table5[[#This Row],[BER_IN]]</f>
        <v>0</v>
      </c>
      <c r="AK229" s="45"/>
      <c r="AL229" s="45"/>
      <c r="AM229" s="32"/>
      <c r="AN229" s="32">
        <f>Table5[[#This Row],[ (RESV. STORGE) SER]]/10</f>
        <v>0</v>
      </c>
      <c r="AO229" s="68"/>
      <c r="AP229" s="104">
        <f>Table5[[#This Row],[(A/S) AJD]]-Table5[[#This Row],[SER_IN]]</f>
        <v>0</v>
      </c>
    </row>
    <row r="230" spans="1:42" ht="18.75" x14ac:dyDescent="0.25">
      <c r="A230" s="10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Table5[[#This Row],[ (T/B) SAR]]+Table5[[#This Row],[ (S/S) SAR]]</f>
        <v>0</v>
      </c>
      <c r="L230" s="41"/>
      <c r="M230" s="42"/>
      <c r="N230" s="42"/>
      <c r="O230" s="39"/>
      <c r="P230" s="3">
        <f>Table5[[#This Row],[ (S/S) SAR]]-Table5[[#This Row],[(S/S) AJD]]</f>
        <v>0</v>
      </c>
      <c r="Q230" s="39"/>
      <c r="R230" s="3">
        <f>Table5[[#This Row],[ (T/B) SAR]]-Table5[[#This Row],[(T/B) AJD]]</f>
        <v>0</v>
      </c>
      <c r="S230" s="3">
        <f>Table5[[#This Row],[S/S_CON.]]+Table5[[#This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Table5[[#This Row],[(RESV. STORGE) AJD]]/10</f>
        <v>0</v>
      </c>
      <c r="AB230" s="3">
        <f t="shared" si="15"/>
        <v>0</v>
      </c>
      <c r="AC230" s="5"/>
      <c r="AD230" s="39">
        <f>(Table5[[#This Row],[( S/S+T/B) AJD]]*1000)-((Table5[[#This Row],[(STORGE DIFF.) AJD]]*1000)+Table5[[#This Row],[AJD_Evaporation]]+(Table5[[#This Row],[(A/B + A/S) AJD]]*1000))</f>
        <v>0</v>
      </c>
      <c r="AE230" s="41"/>
      <c r="AF230" s="43"/>
      <c r="AG230" s="43"/>
      <c r="AH230" s="6">
        <f>Table5[[#This Row],[ (RESV. STORGE) BER]]/10</f>
        <v>0</v>
      </c>
      <c r="AI230" s="41"/>
      <c r="AJ230" s="41">
        <f>Table5[[#This Row],[(A/B) AJD]]-Table5[[#This Row],[BER_IN]]</f>
        <v>0</v>
      </c>
      <c r="AK230" s="43"/>
      <c r="AL230" s="43"/>
      <c r="AM230" s="32"/>
      <c r="AN230" s="32">
        <f>Table5[[#This Row],[ (RESV. STORGE) SER]]/10</f>
        <v>0</v>
      </c>
      <c r="AO230" s="68"/>
      <c r="AP230" s="104">
        <f>Table5[[#This Row],[(A/S) AJD]]-Table5[[#This Row],[SER_IN]]</f>
        <v>0</v>
      </c>
    </row>
    <row r="231" spans="1:42" ht="18.75" x14ac:dyDescent="0.25">
      <c r="A231" s="10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Table5[[#This Row],[ (T/B) SAR]]+Table5[[#This Row],[ (S/S) SAR]]</f>
        <v>0</v>
      </c>
      <c r="L231" s="45"/>
      <c r="M231" s="46"/>
      <c r="N231" s="46"/>
      <c r="O231" s="40"/>
      <c r="P231" s="3">
        <f>Table5[[#This Row],[ (S/S) SAR]]-Table5[[#This Row],[(S/S) AJD]]</f>
        <v>0</v>
      </c>
      <c r="Q231" s="40"/>
      <c r="R231" s="3">
        <f>Table5[[#This Row],[ (T/B) SAR]]-Table5[[#This Row],[(T/B) AJD]]</f>
        <v>0</v>
      </c>
      <c r="S231" s="3">
        <f>Table5[[#This Row],[S/S_CON.]]+Table5[[#This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Table5[[#This Row],[(RESV. STORGE) AJD]]/10</f>
        <v>0</v>
      </c>
      <c r="AB231" s="3">
        <f t="shared" si="15"/>
        <v>0</v>
      </c>
      <c r="AC231" s="5"/>
      <c r="AD231" s="40">
        <f>(Table5[[#This Row],[( S/S+T/B) AJD]]*1000)-((Table5[[#This Row],[(STORGE DIFF.) AJD]]*1000)+Table5[[#This Row],[AJD_Evaporation]]+(Table5[[#This Row],[(A/B + A/S) AJD]]*1000))</f>
        <v>0</v>
      </c>
      <c r="AE231" s="44"/>
      <c r="AF231" s="45"/>
      <c r="AG231" s="45"/>
      <c r="AH231" s="6">
        <f>Table5[[#This Row],[ (RESV. STORGE) BER]]/10</f>
        <v>0</v>
      </c>
      <c r="AI231" s="44"/>
      <c r="AJ231" s="44">
        <f>Table5[[#This Row],[(A/B) AJD]]-Table5[[#This Row],[BER_IN]]</f>
        <v>0</v>
      </c>
      <c r="AK231" s="45"/>
      <c r="AL231" s="45"/>
      <c r="AM231" s="32"/>
      <c r="AN231" s="32">
        <f>Table5[[#This Row],[ (RESV. STORGE) SER]]/10</f>
        <v>0</v>
      </c>
      <c r="AO231" s="68"/>
      <c r="AP231" s="104">
        <f>Table5[[#This Row],[(A/S) AJD]]-Table5[[#This Row],[SER_IN]]</f>
        <v>0</v>
      </c>
    </row>
    <row r="232" spans="1:42" ht="18.75" x14ac:dyDescent="0.25">
      <c r="A232" s="102">
        <v>47349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Table5[[#This Row],[ (T/B) SAR]]+Table5[[#This Row],[ (S/S) SAR]]</f>
        <v>0</v>
      </c>
      <c r="L232" s="41"/>
      <c r="M232" s="42"/>
      <c r="N232" s="42"/>
      <c r="O232" s="39"/>
      <c r="P232" s="3">
        <f>Table5[[#This Row],[ (S/S) SAR]]-Table5[[#This Row],[(S/S) AJD]]</f>
        <v>0</v>
      </c>
      <c r="Q232" s="39"/>
      <c r="R232" s="3">
        <f>Table5[[#This Row],[ (T/B) SAR]]-Table5[[#This Row],[(T/B) AJD]]</f>
        <v>0</v>
      </c>
      <c r="S232" s="3">
        <f>Table5[[#This Row],[S/S_CON.]]+Table5[[#This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Table5[[#This Row],[(RESV. STORGE) AJD]]/10</f>
        <v>0</v>
      </c>
      <c r="AB232" s="3">
        <f t="shared" si="15"/>
        <v>0</v>
      </c>
      <c r="AC232" s="5"/>
      <c r="AD232" s="39">
        <f>(Table5[[#This Row],[( S/S+T/B) AJD]]*1000)-((Table5[[#This Row],[(STORGE DIFF.) AJD]]*1000)+Table5[[#This Row],[AJD_Evaporation]]+(Table5[[#This Row],[(A/B + A/S) AJD]]*1000))</f>
        <v>0</v>
      </c>
      <c r="AE232" s="41"/>
      <c r="AF232" s="43"/>
      <c r="AG232" s="43"/>
      <c r="AH232" s="6">
        <f>Table5[[#This Row],[ (RESV. STORGE) BER]]/10</f>
        <v>0</v>
      </c>
      <c r="AI232" s="41"/>
      <c r="AJ232" s="41">
        <f>Table5[[#This Row],[(A/B) AJD]]-Table5[[#This Row],[BER_IN]]</f>
        <v>0</v>
      </c>
      <c r="AK232" s="43"/>
      <c r="AL232" s="43"/>
      <c r="AM232" s="32"/>
      <c r="AN232" s="32">
        <f>Table5[[#This Row],[ (RESV. STORGE) SER]]/10</f>
        <v>0</v>
      </c>
      <c r="AO232" s="68"/>
      <c r="AP232" s="104">
        <f>Table5[[#This Row],[(A/S) AJD]]-Table5[[#This Row],[SER_IN]]</f>
        <v>0</v>
      </c>
    </row>
    <row r="233" spans="1:42" ht="18.75" x14ac:dyDescent="0.25">
      <c r="A233" s="10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Table5[[#This Row],[ (T/B) SAR]]+Table5[[#This Row],[ (S/S) SAR]]</f>
        <v>0</v>
      </c>
      <c r="L233" s="45"/>
      <c r="M233" s="46"/>
      <c r="N233" s="46"/>
      <c r="O233" s="40"/>
      <c r="P233" s="3">
        <f>Table5[[#This Row],[ (S/S) SAR]]-Table5[[#This Row],[(S/S) AJD]]</f>
        <v>0</v>
      </c>
      <c r="Q233" s="40"/>
      <c r="R233" s="3">
        <f>Table5[[#This Row],[ (T/B) SAR]]-Table5[[#This Row],[(T/B) AJD]]</f>
        <v>0</v>
      </c>
      <c r="S233" s="3">
        <f>Table5[[#This Row],[S/S_CON.]]+Table5[[#This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Table5[[#This Row],[(RESV. STORGE) AJD]]/10</f>
        <v>0</v>
      </c>
      <c r="AB233" s="3">
        <f t="shared" si="15"/>
        <v>0</v>
      </c>
      <c r="AC233" s="5"/>
      <c r="AD233" s="40">
        <f>(Table5[[#This Row],[( S/S+T/B) AJD]]*1000)-((Table5[[#This Row],[(STORGE DIFF.) AJD]]*1000)+Table5[[#This Row],[AJD_Evaporation]]+(Table5[[#This Row],[(A/B + A/S) AJD]]*1000))</f>
        <v>0</v>
      </c>
      <c r="AE233" s="44"/>
      <c r="AF233" s="45"/>
      <c r="AG233" s="45"/>
      <c r="AH233" s="6">
        <f>Table5[[#This Row],[ (RESV. STORGE) BER]]/10</f>
        <v>0</v>
      </c>
      <c r="AI233" s="44"/>
      <c r="AJ233" s="44">
        <f>Table5[[#This Row],[(A/B) AJD]]-Table5[[#This Row],[BER_IN]]</f>
        <v>0</v>
      </c>
      <c r="AK233" s="45"/>
      <c r="AL233" s="45"/>
      <c r="AM233" s="32"/>
      <c r="AN233" s="32">
        <f>Table5[[#This Row],[ (RESV. STORGE) SER]]/10</f>
        <v>0</v>
      </c>
      <c r="AO233" s="68"/>
      <c r="AP233" s="104">
        <f>Table5[[#This Row],[(A/S) AJD]]-Table5[[#This Row],[SER_IN]]</f>
        <v>0</v>
      </c>
    </row>
    <row r="234" spans="1:42" ht="18.75" x14ac:dyDescent="0.25">
      <c r="A234" s="10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Table5[[#This Row],[ (T/B) SAR]]+Table5[[#This Row],[ (S/S) SAR]]</f>
        <v>0</v>
      </c>
      <c r="L234" s="41"/>
      <c r="M234" s="42"/>
      <c r="N234" s="42"/>
      <c r="O234" s="39"/>
      <c r="P234" s="3">
        <f>Table5[[#This Row],[ (S/S) SAR]]-Table5[[#This Row],[(S/S) AJD]]</f>
        <v>0</v>
      </c>
      <c r="Q234" s="39"/>
      <c r="R234" s="3">
        <f>Table5[[#This Row],[ (T/B) SAR]]-Table5[[#This Row],[(T/B) AJD]]</f>
        <v>0</v>
      </c>
      <c r="S234" s="3">
        <f>Table5[[#This Row],[S/S_CON.]]+Table5[[#This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Table5[[#This Row],[(RESV. STORGE) AJD]]/10</f>
        <v>0</v>
      </c>
      <c r="AB234" s="3">
        <f t="shared" si="15"/>
        <v>0</v>
      </c>
      <c r="AC234" s="5"/>
      <c r="AD234" s="39">
        <f>(Table5[[#This Row],[( S/S+T/B) AJD]]*1000)-((Table5[[#This Row],[(STORGE DIFF.) AJD]]*1000)+Table5[[#This Row],[AJD_Evaporation]]+(Table5[[#This Row],[(A/B + A/S) AJD]]*1000))</f>
        <v>0</v>
      </c>
      <c r="AE234" s="41"/>
      <c r="AF234" s="43"/>
      <c r="AG234" s="43"/>
      <c r="AH234" s="6">
        <f>Table5[[#This Row],[ (RESV. STORGE) BER]]/10</f>
        <v>0</v>
      </c>
      <c r="AI234" s="41"/>
      <c r="AJ234" s="41">
        <f>Table5[[#This Row],[(A/B) AJD]]-Table5[[#This Row],[BER_IN]]</f>
        <v>0</v>
      </c>
      <c r="AK234" s="43"/>
      <c r="AL234" s="43"/>
      <c r="AM234" s="32"/>
      <c r="AN234" s="32">
        <f>Table5[[#This Row],[ (RESV. STORGE) SER]]/10</f>
        <v>0</v>
      </c>
      <c r="AO234" s="68"/>
      <c r="AP234" s="104">
        <f>Table5[[#This Row],[(A/S) AJD]]-Table5[[#This Row],[SER_IN]]</f>
        <v>0</v>
      </c>
    </row>
    <row r="235" spans="1:42" ht="18.75" x14ac:dyDescent="0.25">
      <c r="A235" s="10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Table5[[#This Row],[ (T/B) SAR]]+Table5[[#This Row],[ (S/S) SAR]]</f>
        <v>0</v>
      </c>
      <c r="L235" s="45"/>
      <c r="M235" s="46"/>
      <c r="N235" s="46"/>
      <c r="O235" s="40"/>
      <c r="P235" s="3">
        <f>Table5[[#This Row],[ (S/S) SAR]]-Table5[[#This Row],[(S/S) AJD]]</f>
        <v>0</v>
      </c>
      <c r="Q235" s="40"/>
      <c r="R235" s="3">
        <f>Table5[[#This Row],[ (T/B) SAR]]-Table5[[#This Row],[(T/B) AJD]]</f>
        <v>0</v>
      </c>
      <c r="S235" s="3">
        <f>Table5[[#This Row],[S/S_CON.]]+Table5[[#This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Table5[[#This Row],[(RESV. STORGE) AJD]]/10</f>
        <v>0</v>
      </c>
      <c r="AB235" s="3">
        <f t="shared" si="15"/>
        <v>0</v>
      </c>
      <c r="AC235" s="5"/>
      <c r="AD235" s="40">
        <f>(Table5[[#This Row],[( S/S+T/B) AJD]]*1000)-((Table5[[#This Row],[(STORGE DIFF.) AJD]]*1000)+Table5[[#This Row],[AJD_Evaporation]]+(Table5[[#This Row],[(A/B + A/S) AJD]]*1000))</f>
        <v>0</v>
      </c>
      <c r="AE235" s="44"/>
      <c r="AF235" s="45"/>
      <c r="AG235" s="45"/>
      <c r="AH235" s="6">
        <f>Table5[[#This Row],[ (RESV. STORGE) BER]]/10</f>
        <v>0</v>
      </c>
      <c r="AI235" s="44"/>
      <c r="AJ235" s="44">
        <f>Table5[[#This Row],[(A/B) AJD]]-Table5[[#This Row],[BER_IN]]</f>
        <v>0</v>
      </c>
      <c r="AK235" s="45"/>
      <c r="AL235" s="45"/>
      <c r="AM235" s="32"/>
      <c r="AN235" s="32">
        <f>Table5[[#This Row],[ (RESV. STORGE) SER]]/10</f>
        <v>0</v>
      </c>
      <c r="AO235" s="68"/>
      <c r="AP235" s="104">
        <f>Table5[[#This Row],[(A/S) AJD]]-Table5[[#This Row],[SER_IN]]</f>
        <v>0</v>
      </c>
    </row>
    <row r="236" spans="1:42" ht="18.75" x14ac:dyDescent="0.25">
      <c r="A236" s="10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Table5[[#This Row],[ (T/B) SAR]]+Table5[[#This Row],[ (S/S) SAR]]</f>
        <v>0</v>
      </c>
      <c r="L236" s="41"/>
      <c r="M236" s="42"/>
      <c r="N236" s="42"/>
      <c r="O236" s="39"/>
      <c r="P236" s="3">
        <f>Table5[[#This Row],[ (S/S) SAR]]-Table5[[#This Row],[(S/S) AJD]]</f>
        <v>0</v>
      </c>
      <c r="Q236" s="39"/>
      <c r="R236" s="3">
        <f>Table5[[#This Row],[ (T/B) SAR]]-Table5[[#This Row],[(T/B) AJD]]</f>
        <v>0</v>
      </c>
      <c r="S236" s="3">
        <f>Table5[[#This Row],[S/S_CON.]]+Table5[[#This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Table5[[#This Row],[(RESV. STORGE) AJD]]/10</f>
        <v>0</v>
      </c>
      <c r="AB236" s="3">
        <f t="shared" si="15"/>
        <v>0</v>
      </c>
      <c r="AC236" s="5"/>
      <c r="AD236" s="39">
        <f>(Table5[[#This Row],[( S/S+T/B) AJD]]*1000)-((Table5[[#This Row],[(STORGE DIFF.) AJD]]*1000)+Table5[[#This Row],[AJD_Evaporation]]+(Table5[[#This Row],[(A/B + A/S) AJD]]*1000))</f>
        <v>0</v>
      </c>
      <c r="AE236" s="41"/>
      <c r="AF236" s="43"/>
      <c r="AG236" s="43"/>
      <c r="AH236" s="6">
        <f>Table5[[#This Row],[ (RESV. STORGE) BER]]/10</f>
        <v>0</v>
      </c>
      <c r="AI236" s="41"/>
      <c r="AJ236" s="41">
        <f>Table5[[#This Row],[(A/B) AJD]]-Table5[[#This Row],[BER_IN]]</f>
        <v>0</v>
      </c>
      <c r="AK236" s="43"/>
      <c r="AL236" s="43"/>
      <c r="AM236" s="32"/>
      <c r="AN236" s="32">
        <f>Table5[[#This Row],[ (RESV. STORGE) SER]]/10</f>
        <v>0</v>
      </c>
      <c r="AO236" s="68"/>
      <c r="AP236" s="104">
        <f>Table5[[#This Row],[(A/S) AJD]]-Table5[[#This Row],[SER_IN]]</f>
        <v>0</v>
      </c>
    </row>
    <row r="237" spans="1:42" ht="18.75" x14ac:dyDescent="0.25">
      <c r="A237" s="10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Table5[[#This Row],[ (T/B) SAR]]+Table5[[#This Row],[ (S/S) SAR]]</f>
        <v>0</v>
      </c>
      <c r="L237" s="45"/>
      <c r="M237" s="46"/>
      <c r="N237" s="46"/>
      <c r="O237" s="40"/>
      <c r="P237" s="3">
        <f>Table5[[#This Row],[ (S/S) SAR]]-Table5[[#This Row],[(S/S) AJD]]</f>
        <v>0</v>
      </c>
      <c r="Q237" s="40"/>
      <c r="R237" s="3">
        <f>Table5[[#This Row],[ (T/B) SAR]]-Table5[[#This Row],[(T/B) AJD]]</f>
        <v>0</v>
      </c>
      <c r="S237" s="3">
        <f>Table5[[#This Row],[S/S_CON.]]+Table5[[#This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Table5[[#This Row],[(RESV. STORGE) AJD]]/10</f>
        <v>0</v>
      </c>
      <c r="AB237" s="3">
        <f t="shared" si="15"/>
        <v>0</v>
      </c>
      <c r="AC237" s="5"/>
      <c r="AD237" s="40">
        <f>(Table5[[#This Row],[( S/S+T/B) AJD]]*1000)-((Table5[[#This Row],[(STORGE DIFF.) AJD]]*1000)+Table5[[#This Row],[AJD_Evaporation]]+(Table5[[#This Row],[(A/B + A/S) AJD]]*1000))</f>
        <v>0</v>
      </c>
      <c r="AE237" s="44"/>
      <c r="AF237" s="45"/>
      <c r="AG237" s="45"/>
      <c r="AH237" s="6">
        <f>Table5[[#This Row],[ (RESV. STORGE) BER]]/10</f>
        <v>0</v>
      </c>
      <c r="AI237" s="44"/>
      <c r="AJ237" s="44">
        <f>Table5[[#This Row],[(A/B) AJD]]-Table5[[#This Row],[BER_IN]]</f>
        <v>0</v>
      </c>
      <c r="AK237" s="45"/>
      <c r="AL237" s="45"/>
      <c r="AM237" s="32"/>
      <c r="AN237" s="32">
        <f>Table5[[#This Row],[ (RESV. STORGE) SER]]/10</f>
        <v>0</v>
      </c>
      <c r="AO237" s="68"/>
      <c r="AP237" s="104">
        <f>Table5[[#This Row],[(A/S) AJD]]-Table5[[#This Row],[SER_IN]]</f>
        <v>0</v>
      </c>
    </row>
    <row r="238" spans="1:42" ht="18.75" x14ac:dyDescent="0.25">
      <c r="A238" s="10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Table5[[#This Row],[ (T/B) SAR]]+Table5[[#This Row],[ (S/S) SAR]]</f>
        <v>0</v>
      </c>
      <c r="L238" s="41"/>
      <c r="M238" s="42"/>
      <c r="N238" s="42"/>
      <c r="O238" s="39"/>
      <c r="P238" s="3">
        <f>Table5[[#This Row],[ (S/S) SAR]]-Table5[[#This Row],[(S/S) AJD]]</f>
        <v>0</v>
      </c>
      <c r="Q238" s="39"/>
      <c r="R238" s="3">
        <f>Table5[[#This Row],[ (T/B) SAR]]-Table5[[#This Row],[(T/B) AJD]]</f>
        <v>0</v>
      </c>
      <c r="S238" s="3">
        <f>Table5[[#This Row],[S/S_CON.]]+Table5[[#This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Table5[[#This Row],[(RESV. STORGE) AJD]]/10</f>
        <v>0</v>
      </c>
      <c r="AB238" s="3">
        <f t="shared" si="15"/>
        <v>0</v>
      </c>
      <c r="AC238" s="5"/>
      <c r="AD238" s="39">
        <f>(Table5[[#This Row],[( S/S+T/B) AJD]]*1000)-((Table5[[#This Row],[(STORGE DIFF.) AJD]]*1000)+Table5[[#This Row],[AJD_Evaporation]]+(Table5[[#This Row],[(A/B + A/S) AJD]]*1000))</f>
        <v>0</v>
      </c>
      <c r="AE238" s="41"/>
      <c r="AF238" s="43"/>
      <c r="AG238" s="43"/>
      <c r="AH238" s="6">
        <f>Table5[[#This Row],[ (RESV. STORGE) BER]]/10</f>
        <v>0</v>
      </c>
      <c r="AI238" s="41"/>
      <c r="AJ238" s="41">
        <f>Table5[[#This Row],[(A/B) AJD]]-Table5[[#This Row],[BER_IN]]</f>
        <v>0</v>
      </c>
      <c r="AK238" s="43"/>
      <c r="AL238" s="43"/>
      <c r="AM238" s="32"/>
      <c r="AN238" s="32">
        <f>Table5[[#This Row],[ (RESV. STORGE) SER]]/10</f>
        <v>0</v>
      </c>
      <c r="AO238" s="68"/>
      <c r="AP238" s="104">
        <f>Table5[[#This Row],[(A/S) AJD]]-Table5[[#This Row],[SER_IN]]</f>
        <v>0</v>
      </c>
    </row>
    <row r="239" spans="1:42" ht="18.75" x14ac:dyDescent="0.25">
      <c r="A239" s="10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Table5[[#This Row],[ (T/B) SAR]]+Table5[[#This Row],[ (S/S) SAR]]</f>
        <v>0</v>
      </c>
      <c r="L239" s="45"/>
      <c r="M239" s="46"/>
      <c r="N239" s="46"/>
      <c r="O239" s="40"/>
      <c r="P239" s="3">
        <f>Table5[[#This Row],[ (S/S) SAR]]-Table5[[#This Row],[(S/S) AJD]]</f>
        <v>0</v>
      </c>
      <c r="Q239" s="40"/>
      <c r="R239" s="3">
        <f>Table5[[#This Row],[ (T/B) SAR]]-Table5[[#This Row],[(T/B) AJD]]</f>
        <v>0</v>
      </c>
      <c r="S239" s="3">
        <f>Table5[[#This Row],[S/S_CON.]]+Table5[[#This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Table5[[#This Row],[(RESV. STORGE) AJD]]/10</f>
        <v>0</v>
      </c>
      <c r="AB239" s="3">
        <f t="shared" si="15"/>
        <v>0</v>
      </c>
      <c r="AC239" s="5"/>
      <c r="AD239" s="40">
        <f>(Table5[[#This Row],[( S/S+T/B) AJD]]*1000)-((Table5[[#This Row],[(STORGE DIFF.) AJD]]*1000)+Table5[[#This Row],[AJD_Evaporation]]+(Table5[[#This Row],[(A/B + A/S) AJD]]*1000))</f>
        <v>0</v>
      </c>
      <c r="AE239" s="44"/>
      <c r="AF239" s="45"/>
      <c r="AG239" s="45"/>
      <c r="AH239" s="6">
        <f>Table5[[#This Row],[ (RESV. STORGE) BER]]/10</f>
        <v>0</v>
      </c>
      <c r="AI239" s="44"/>
      <c r="AJ239" s="44">
        <f>Table5[[#This Row],[(A/B) AJD]]-Table5[[#This Row],[BER_IN]]</f>
        <v>0</v>
      </c>
      <c r="AK239" s="45"/>
      <c r="AL239" s="45"/>
      <c r="AM239" s="32"/>
      <c r="AN239" s="32">
        <f>Table5[[#This Row],[ (RESV. STORGE) SER]]/10</f>
        <v>0</v>
      </c>
      <c r="AO239" s="68"/>
      <c r="AP239" s="104">
        <f>Table5[[#This Row],[(A/S) AJD]]-Table5[[#This Row],[SER_IN]]</f>
        <v>0</v>
      </c>
    </row>
    <row r="240" spans="1:42" ht="18.75" x14ac:dyDescent="0.25">
      <c r="A240" s="10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Table5[[#This Row],[ (T/B) SAR]]+Table5[[#This Row],[ (S/S) SAR]]</f>
        <v>0</v>
      </c>
      <c r="L240" s="41"/>
      <c r="M240" s="42"/>
      <c r="N240" s="42"/>
      <c r="O240" s="39"/>
      <c r="P240" s="3">
        <f>Table5[[#This Row],[ (S/S) SAR]]-Table5[[#This Row],[(S/S) AJD]]</f>
        <v>0</v>
      </c>
      <c r="Q240" s="39"/>
      <c r="R240" s="3">
        <f>Table5[[#This Row],[ (T/B) SAR]]-Table5[[#This Row],[(T/B) AJD]]</f>
        <v>0</v>
      </c>
      <c r="S240" s="3">
        <f>Table5[[#This Row],[S/S_CON.]]+Table5[[#This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Table5[[#This Row],[(RESV. STORGE) AJD]]/10</f>
        <v>0</v>
      </c>
      <c r="AB240" s="3">
        <f t="shared" si="15"/>
        <v>0</v>
      </c>
      <c r="AC240" s="5"/>
      <c r="AD240" s="39">
        <f>(Table5[[#This Row],[( S/S+T/B) AJD]]*1000)-((Table5[[#This Row],[(STORGE DIFF.) AJD]]*1000)+Table5[[#This Row],[AJD_Evaporation]]+(Table5[[#This Row],[(A/B + A/S) AJD]]*1000))</f>
        <v>0</v>
      </c>
      <c r="AE240" s="41"/>
      <c r="AF240" s="43"/>
      <c r="AG240" s="43"/>
      <c r="AH240" s="6">
        <f>Table5[[#This Row],[ (RESV. STORGE) BER]]/10</f>
        <v>0</v>
      </c>
      <c r="AI240" s="41"/>
      <c r="AJ240" s="41">
        <f>Table5[[#This Row],[(A/B) AJD]]-Table5[[#This Row],[BER_IN]]</f>
        <v>0</v>
      </c>
      <c r="AK240" s="43"/>
      <c r="AL240" s="43"/>
      <c r="AM240" s="32"/>
      <c r="AN240" s="32">
        <f>Table5[[#This Row],[ (RESV. STORGE) SER]]/10</f>
        <v>0</v>
      </c>
      <c r="AO240" s="68"/>
      <c r="AP240" s="104">
        <f>Table5[[#This Row],[(A/S) AJD]]-Table5[[#This Row],[SER_IN]]</f>
        <v>0</v>
      </c>
    </row>
    <row r="241" spans="1:42" ht="18.75" x14ac:dyDescent="0.25">
      <c r="A241" s="10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Table5[[#This Row],[ (T/B) SAR]]+Table5[[#This Row],[ (S/S) SAR]]</f>
        <v>0</v>
      </c>
      <c r="L241" s="45"/>
      <c r="M241" s="46"/>
      <c r="N241" s="46"/>
      <c r="O241" s="40"/>
      <c r="P241" s="3">
        <f>Table5[[#This Row],[ (S/S) SAR]]-Table5[[#This Row],[(S/S) AJD]]</f>
        <v>0</v>
      </c>
      <c r="Q241" s="40"/>
      <c r="R241" s="3">
        <f>Table5[[#This Row],[ (T/B) SAR]]-Table5[[#This Row],[(T/B) AJD]]</f>
        <v>0</v>
      </c>
      <c r="S241" s="3">
        <f>Table5[[#This Row],[S/S_CON.]]+Table5[[#This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Table5[[#This Row],[(RESV. STORGE) AJD]]/10</f>
        <v>0</v>
      </c>
      <c r="AB241" s="3">
        <f t="shared" si="15"/>
        <v>0</v>
      </c>
      <c r="AC241" s="5"/>
      <c r="AD241" s="40">
        <f>(Table5[[#This Row],[( S/S+T/B) AJD]]*1000)-((Table5[[#This Row],[(STORGE DIFF.) AJD]]*1000)+Table5[[#This Row],[AJD_Evaporation]]+(Table5[[#This Row],[(A/B + A/S) AJD]]*1000))</f>
        <v>0</v>
      </c>
      <c r="AE241" s="44"/>
      <c r="AF241" s="45"/>
      <c r="AG241" s="45"/>
      <c r="AH241" s="6">
        <f>Table5[[#This Row],[ (RESV. STORGE) BER]]/10</f>
        <v>0</v>
      </c>
      <c r="AI241" s="44"/>
      <c r="AJ241" s="44">
        <f>Table5[[#This Row],[(A/B) AJD]]-Table5[[#This Row],[BER_IN]]</f>
        <v>0</v>
      </c>
      <c r="AK241" s="45"/>
      <c r="AL241" s="45"/>
      <c r="AM241" s="32"/>
      <c r="AN241" s="32">
        <f>Table5[[#This Row],[ (RESV. STORGE) SER]]/10</f>
        <v>0</v>
      </c>
      <c r="AO241" s="68"/>
      <c r="AP241" s="104">
        <f>Table5[[#This Row],[(A/S) AJD]]-Table5[[#This Row],[SER_IN]]</f>
        <v>0</v>
      </c>
    </row>
    <row r="242" spans="1:42" ht="18.75" x14ac:dyDescent="0.25">
      <c r="A242" s="10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Table5[[#This Row],[ (T/B) SAR]]+Table5[[#This Row],[ (S/S) SAR]]</f>
        <v>0</v>
      </c>
      <c r="L242" s="41"/>
      <c r="M242" s="42"/>
      <c r="N242" s="42"/>
      <c r="O242" s="39"/>
      <c r="P242" s="3">
        <f>Table5[[#This Row],[ (S/S) SAR]]-Table5[[#This Row],[(S/S) AJD]]</f>
        <v>0</v>
      </c>
      <c r="Q242" s="39"/>
      <c r="R242" s="3">
        <f>Table5[[#This Row],[ (T/B) SAR]]-Table5[[#This Row],[(T/B) AJD]]</f>
        <v>0</v>
      </c>
      <c r="S242" s="3">
        <f>Table5[[#This Row],[S/S_CON.]]+Table5[[#This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Table5[[#This Row],[(RESV. STORGE) AJD]]/10</f>
        <v>0</v>
      </c>
      <c r="AB242" s="3">
        <f t="shared" si="15"/>
        <v>0</v>
      </c>
      <c r="AC242" s="5"/>
      <c r="AD242" s="39">
        <f>(Table5[[#This Row],[( S/S+T/B) AJD]]*1000)-((Table5[[#This Row],[(STORGE DIFF.) AJD]]*1000)+Table5[[#This Row],[AJD_Evaporation]]+(Table5[[#This Row],[(A/B + A/S) AJD]]*1000))</f>
        <v>0</v>
      </c>
      <c r="AE242" s="41"/>
      <c r="AF242" s="43"/>
      <c r="AG242" s="43"/>
      <c r="AH242" s="6">
        <f>Table5[[#This Row],[ (RESV. STORGE) BER]]/10</f>
        <v>0</v>
      </c>
      <c r="AI242" s="41"/>
      <c r="AJ242" s="41">
        <f>Table5[[#This Row],[(A/B) AJD]]-Table5[[#This Row],[BER_IN]]</f>
        <v>0</v>
      </c>
      <c r="AK242" s="43"/>
      <c r="AL242" s="43"/>
      <c r="AM242" s="32"/>
      <c r="AN242" s="32">
        <f>Table5[[#This Row],[ (RESV. STORGE) SER]]/10</f>
        <v>0</v>
      </c>
      <c r="AO242" s="68"/>
      <c r="AP242" s="104">
        <f>Table5[[#This Row],[(A/S) AJD]]-Table5[[#This Row],[SER_IN]]</f>
        <v>0</v>
      </c>
    </row>
    <row r="243" spans="1:42" ht="18.75" x14ac:dyDescent="0.25">
      <c r="A243" s="10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Table5[[#This Row],[ (T/B) SAR]]+Table5[[#This Row],[ (S/S) SAR]]</f>
        <v>0</v>
      </c>
      <c r="L243" s="45"/>
      <c r="M243" s="46"/>
      <c r="N243" s="46"/>
      <c r="O243" s="40"/>
      <c r="P243" s="3">
        <f>Table5[[#This Row],[ (S/S) SAR]]-Table5[[#This Row],[(S/S) AJD]]</f>
        <v>0</v>
      </c>
      <c r="Q243" s="40"/>
      <c r="R243" s="3">
        <f>Table5[[#This Row],[ (T/B) SAR]]-Table5[[#This Row],[(T/B) AJD]]</f>
        <v>0</v>
      </c>
      <c r="S243" s="3">
        <f>Table5[[#This Row],[S/S_CON.]]+Table5[[#This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Table5[[#This Row],[(RESV. STORGE) AJD]]/10</f>
        <v>0</v>
      </c>
      <c r="AB243" s="3">
        <f t="shared" si="15"/>
        <v>0</v>
      </c>
      <c r="AC243" s="5"/>
      <c r="AD243" s="70">
        <f>(Table5[[#This Row],[( S/S+T/B) AJD]]*1000)-((Table5[[#This Row],[(STORGE DIFF.) AJD]]*1000)+Table5[[#This Row],[AJD_Evaporation]]+(Table5[[#This Row],[(A/B + A/S) AJD]]*1000))</f>
        <v>0</v>
      </c>
      <c r="AE243" s="44"/>
      <c r="AF243" s="45"/>
      <c r="AG243" s="45"/>
      <c r="AH243" s="6">
        <f>Table5[[#This Row],[ (RESV. STORGE) BER]]/10</f>
        <v>0</v>
      </c>
      <c r="AI243" s="44"/>
      <c r="AJ243" s="67">
        <f>Table5[[#This Row],[(A/B) AJD]]-Table5[[#This Row],[BER_IN]]</f>
        <v>0</v>
      </c>
      <c r="AK243" s="45"/>
      <c r="AL243" s="45"/>
      <c r="AM243" s="32"/>
      <c r="AN243" s="32">
        <f>Table5[[#This Row],[ (RESV. STORGE) SER]]/10</f>
        <v>0</v>
      </c>
      <c r="AO243" s="68"/>
      <c r="AP243" s="104">
        <f>Table5[[#This Row],[(A/S) AJD]]-Table5[[#This Row],[SER_IN]]</f>
        <v>0</v>
      </c>
    </row>
    <row r="244" spans="1:42" ht="18.75" x14ac:dyDescent="0.25">
      <c r="A244" s="10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Table5[[#This Row],[ (T/B) SAR]]+Table5[[#This Row],[ (S/S) SAR]]</f>
        <v>0</v>
      </c>
      <c r="L244" s="41"/>
      <c r="M244" s="42"/>
      <c r="N244" s="42"/>
      <c r="O244" s="39"/>
      <c r="P244" s="3">
        <f>Table5[[#This Row],[ (S/S) SAR]]-Table5[[#This Row],[(S/S) AJD]]</f>
        <v>0</v>
      </c>
      <c r="Q244" s="39"/>
      <c r="R244" s="3">
        <f>Table5[[#This Row],[ (T/B) SAR]]-Table5[[#This Row],[(T/B) AJD]]</f>
        <v>0</v>
      </c>
      <c r="S244" s="3">
        <f>Table5[[#This Row],[S/S_CON.]]+Table5[[#This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Table5[[#This Row],[(RESV. STORGE) AJD]]/10</f>
        <v>0</v>
      </c>
      <c r="AB244" s="3">
        <f t="shared" si="15"/>
        <v>0</v>
      </c>
      <c r="AC244" s="5"/>
      <c r="AD244" s="39">
        <f>(Table5[[#This Row],[( S/S+T/B) AJD]]*1000)-((Table5[[#This Row],[(STORGE DIFF.) AJD]]*1000)+Table5[[#This Row],[AJD_Evaporation]]+(Table5[[#This Row],[(A/B + A/S) AJD]]*1000))</f>
        <v>0</v>
      </c>
      <c r="AE244" s="41"/>
      <c r="AF244" s="43"/>
      <c r="AG244" s="43"/>
      <c r="AH244" s="6">
        <f>Table5[[#This Row],[ (RESV. STORGE) BER]]/10</f>
        <v>0</v>
      </c>
      <c r="AI244" s="41"/>
      <c r="AJ244" s="41">
        <f>Table5[[#This Row],[(A/B) AJD]]-Table5[[#This Row],[BER_IN]]</f>
        <v>0</v>
      </c>
      <c r="AK244" s="43"/>
      <c r="AL244" s="43"/>
      <c r="AM244" s="32"/>
      <c r="AN244" s="32">
        <f>Table5[[#This Row],[ (RESV. STORGE) SER]]/10</f>
        <v>0</v>
      </c>
      <c r="AO244" s="68"/>
      <c r="AP244" s="104">
        <f>Table5[[#This Row],[(A/S) AJD]]-Table5[[#This Row],[SER_IN]]</f>
        <v>0</v>
      </c>
    </row>
    <row r="245" spans="1:42" ht="18.75" x14ac:dyDescent="0.25">
      <c r="A245" s="10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Table5[[#This Row],[ (T/B) SAR]]+Table5[[#This Row],[ (S/S) SAR]]</f>
        <v>0</v>
      </c>
      <c r="L245" s="41"/>
      <c r="M245" s="42"/>
      <c r="N245" s="42"/>
      <c r="O245" s="39"/>
      <c r="P245" s="14">
        <f>Table5[[#This Row],[ (S/S) SAR]]-Table5[[#This Row],[(S/S) AJD]]</f>
        <v>0</v>
      </c>
      <c r="Q245" s="39"/>
      <c r="R245" s="14">
        <f>Table5[[#This Row],[ (T/B) SAR]]-Table5[[#This Row],[(T/B) AJD]]</f>
        <v>0</v>
      </c>
      <c r="S245" s="14">
        <f>Table5[[#This Row],[S/S_CON.]]+Table5[[#This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Table5[[#This Row],[(RESV. STORGE) AJD]]/10</f>
        <v>0</v>
      </c>
      <c r="AB245" s="3">
        <f t="shared" si="15"/>
        <v>0</v>
      </c>
      <c r="AC245" s="5"/>
      <c r="AD245" s="39">
        <f>(Table5[[#This Row],[( S/S+T/B) AJD]]*1000)-((Table5[[#This Row],[(STORGE DIFF.) AJD]]*1000)+Table5[[#This Row],[AJD_Evaporation]]+(Table5[[#This Row],[(A/B + A/S) AJD]]*1000))</f>
        <v>0</v>
      </c>
      <c r="AE245" s="41"/>
      <c r="AF245" s="43"/>
      <c r="AG245" s="43"/>
      <c r="AH245" s="6">
        <f>Table5[[#This Row],[ (RESV. STORGE) BER]]/10</f>
        <v>0</v>
      </c>
      <c r="AI245" s="41"/>
      <c r="AJ245" s="41">
        <f>Table5[[#This Row],[(A/B) AJD]]-Table5[[#This Row],[BER_IN]]</f>
        <v>0</v>
      </c>
      <c r="AK245" s="43"/>
      <c r="AL245" s="43"/>
      <c r="AM245" s="32"/>
      <c r="AN245" s="32">
        <f>Table5[[#This Row],[ (RESV. STORGE) SER]]/10</f>
        <v>0</v>
      </c>
      <c r="AO245" s="68"/>
      <c r="AP245" s="104">
        <f>Table5[[#This Row],[(A/S) AJD]]-Table5[[#This Row],[SER_IN]]</f>
        <v>0</v>
      </c>
    </row>
    <row r="246" spans="1:42" ht="18.75" x14ac:dyDescent="0.25">
      <c r="A246" s="10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Table5[[#This Row],[ (T/B) SAR]]+Table5[[#This Row],[ (S/S) SAR]]</f>
        <v>0</v>
      </c>
      <c r="L246" s="45"/>
      <c r="M246" s="46"/>
      <c r="N246" s="46"/>
      <c r="O246" s="40"/>
      <c r="P246" s="14">
        <f>Table5[[#This Row],[ (S/S) SAR]]-Table5[[#This Row],[(S/S) AJD]]</f>
        <v>0</v>
      </c>
      <c r="Q246" s="40"/>
      <c r="R246" s="14">
        <f>Table5[[#This Row],[ (T/B) SAR]]-Table5[[#This Row],[(T/B) AJD]]</f>
        <v>0</v>
      </c>
      <c r="S246" s="14">
        <f>Table5[[#This Row],[S/S_CON.]]+Table5[[#This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Table5[[#This Row],[(RESV. STORGE) AJD]]/10</f>
        <v>0</v>
      </c>
      <c r="AB246" s="3">
        <f t="shared" si="15"/>
        <v>0</v>
      </c>
      <c r="AC246" s="5"/>
      <c r="AD246" s="40">
        <f>(Table5[[#This Row],[( S/S+T/B) AJD]]*1000)-((Table5[[#This Row],[(STORGE DIFF.) AJD]]*1000)+Table5[[#This Row],[AJD_Evaporation]]+(Table5[[#This Row],[(A/B + A/S) AJD]]*1000))</f>
        <v>0</v>
      </c>
      <c r="AE246" s="44"/>
      <c r="AF246" s="45"/>
      <c r="AG246" s="45"/>
      <c r="AH246" s="6">
        <f>Table5[[#This Row],[ (RESV. STORGE) BER]]/10</f>
        <v>0</v>
      </c>
      <c r="AI246" s="44"/>
      <c r="AJ246" s="44">
        <f>Table5[[#This Row],[(A/B) AJD]]-Table5[[#This Row],[BER_IN]]</f>
        <v>0</v>
      </c>
      <c r="AK246" s="45"/>
      <c r="AL246" s="45"/>
      <c r="AM246" s="32"/>
      <c r="AN246" s="32">
        <f>Table5[[#This Row],[ (RESV. STORGE) SER]]/10</f>
        <v>0</v>
      </c>
      <c r="AO246" s="68"/>
      <c r="AP246" s="104">
        <f>Table5[[#This Row],[(A/S) AJD]]-Table5[[#This Row],[SER_IN]]</f>
        <v>0</v>
      </c>
    </row>
    <row r="247" spans="1:42" ht="18.75" x14ac:dyDescent="0.25">
      <c r="A247" s="10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Table5[[#This Row],[ (T/B) SAR]]+Table5[[#This Row],[ (S/S) SAR]]</f>
        <v>0</v>
      </c>
      <c r="L247" s="41"/>
      <c r="M247" s="42"/>
      <c r="N247" s="42"/>
      <c r="O247" s="39"/>
      <c r="P247" s="14">
        <f>Table5[[#This Row],[ (S/S) SAR]]-Table5[[#This Row],[(S/S) AJD]]</f>
        <v>0</v>
      </c>
      <c r="Q247" s="39"/>
      <c r="R247" s="14">
        <f>Table5[[#This Row],[ (T/B) SAR]]-Table5[[#This Row],[(T/B) AJD]]</f>
        <v>0</v>
      </c>
      <c r="S247" s="14">
        <f>Table5[[#This Row],[S/S_CON.]]+Table5[[#This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Table5[[#This Row],[(RESV. STORGE) AJD]]/10</f>
        <v>0</v>
      </c>
      <c r="AB247" s="3">
        <f t="shared" si="15"/>
        <v>0</v>
      </c>
      <c r="AC247" s="5"/>
      <c r="AD247" s="39">
        <f>(Table5[[#This Row],[( S/S+T/B) AJD]]*1000)-((Table5[[#This Row],[(STORGE DIFF.) AJD]]*1000)+Table5[[#This Row],[AJD_Evaporation]]+(Table5[[#This Row],[(A/B + A/S) AJD]]*1000))</f>
        <v>0</v>
      </c>
      <c r="AE247" s="41"/>
      <c r="AF247" s="43"/>
      <c r="AG247" s="43"/>
      <c r="AH247" s="6">
        <f>Table5[[#This Row],[ (RESV. STORGE) BER]]/10</f>
        <v>0</v>
      </c>
      <c r="AI247" s="41"/>
      <c r="AJ247" s="41">
        <f>Table5[[#This Row],[(A/B) AJD]]-Table5[[#This Row],[BER_IN]]</f>
        <v>0</v>
      </c>
      <c r="AK247" s="43"/>
      <c r="AL247" s="43"/>
      <c r="AM247" s="32"/>
      <c r="AN247" s="32">
        <f>Table5[[#This Row],[ (RESV. STORGE) SER]]/10</f>
        <v>0</v>
      </c>
      <c r="AO247" s="68"/>
      <c r="AP247" s="104">
        <f>Table5[[#This Row],[(A/S) AJD]]-Table5[[#This Row],[SER_IN]]</f>
        <v>0</v>
      </c>
    </row>
    <row r="248" spans="1:42" ht="18.75" x14ac:dyDescent="0.25">
      <c r="A248" s="10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Table5[[#This Row],[ (T/B) SAR]]+Table5[[#This Row],[ (S/S) SAR]]</f>
        <v>0</v>
      </c>
      <c r="L248" s="45"/>
      <c r="M248" s="46"/>
      <c r="N248" s="46"/>
      <c r="O248" s="40"/>
      <c r="P248" s="14">
        <f>Table5[[#This Row],[ (S/S) SAR]]-Table5[[#This Row],[(S/S) AJD]]</f>
        <v>0</v>
      </c>
      <c r="Q248" s="40"/>
      <c r="R248" s="14">
        <f>Table5[[#This Row],[ (T/B) SAR]]-Table5[[#This Row],[(T/B) AJD]]</f>
        <v>0</v>
      </c>
      <c r="S248" s="14">
        <f>Table5[[#This Row],[S/S_CON.]]+Table5[[#This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Table5[[#This Row],[(RESV. STORGE) AJD]]/10</f>
        <v>0</v>
      </c>
      <c r="AB248" s="3">
        <f t="shared" si="15"/>
        <v>0</v>
      </c>
      <c r="AC248" s="5"/>
      <c r="AD248" s="40">
        <f>(Table5[[#This Row],[( S/S+T/B) AJD]]*1000)-((Table5[[#This Row],[(STORGE DIFF.) AJD]]*1000)+Table5[[#This Row],[AJD_Evaporation]]+(Table5[[#This Row],[(A/B + A/S) AJD]]*1000))</f>
        <v>0</v>
      </c>
      <c r="AE248" s="44"/>
      <c r="AF248" s="45"/>
      <c r="AG248" s="45"/>
      <c r="AH248" s="6">
        <f>Table5[[#This Row],[ (RESV. STORGE) BER]]/10</f>
        <v>0</v>
      </c>
      <c r="AI248" s="44"/>
      <c r="AJ248" s="44">
        <f>Table5[[#This Row],[(A/B) AJD]]-Table5[[#This Row],[BER_IN]]</f>
        <v>0</v>
      </c>
      <c r="AK248" s="45"/>
      <c r="AL248" s="45"/>
      <c r="AM248" s="32"/>
      <c r="AN248" s="32">
        <f>Table5[[#This Row],[ (RESV. STORGE) SER]]/10</f>
        <v>0</v>
      </c>
      <c r="AO248" s="68"/>
      <c r="AP248" s="104">
        <f>Table5[[#This Row],[(A/S) AJD]]-Table5[[#This Row],[SER_IN]]</f>
        <v>0</v>
      </c>
    </row>
    <row r="249" spans="1:42" ht="18.75" x14ac:dyDescent="0.25">
      <c r="A249" s="10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Table5[[#This Row],[ (T/B) SAR]]+Table5[[#This Row],[ (S/S) SAR]]</f>
        <v>0</v>
      </c>
      <c r="L249" s="41"/>
      <c r="M249" s="42"/>
      <c r="N249" s="42"/>
      <c r="O249" s="39"/>
      <c r="P249" s="14">
        <f>Table5[[#This Row],[ (S/S) SAR]]-Table5[[#This Row],[(S/S) AJD]]</f>
        <v>0</v>
      </c>
      <c r="Q249" s="39"/>
      <c r="R249" s="14">
        <f>Table5[[#This Row],[ (T/B) SAR]]-Table5[[#This Row],[(T/B) AJD]]</f>
        <v>0</v>
      </c>
      <c r="S249" s="14">
        <f>Table5[[#This Row],[S/S_CON.]]+Table5[[#This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Table5[[#This Row],[(RESV. STORGE) AJD]]/10</f>
        <v>0</v>
      </c>
      <c r="AB249" s="3">
        <f t="shared" si="15"/>
        <v>0</v>
      </c>
      <c r="AC249" s="5"/>
      <c r="AD249" s="39">
        <f>(Table5[[#This Row],[( S/S+T/B) AJD]]*1000)-((Table5[[#This Row],[(STORGE DIFF.) AJD]]*1000)+Table5[[#This Row],[AJD_Evaporation]]+(Table5[[#This Row],[(A/B + A/S) AJD]]*1000))</f>
        <v>0</v>
      </c>
      <c r="AE249" s="41"/>
      <c r="AF249" s="43"/>
      <c r="AG249" s="43"/>
      <c r="AH249" s="6">
        <f>Table5[[#This Row],[ (RESV. STORGE) BER]]/10</f>
        <v>0</v>
      </c>
      <c r="AI249" s="41"/>
      <c r="AJ249" s="41">
        <f>Table5[[#This Row],[(A/B) AJD]]-Table5[[#This Row],[BER_IN]]</f>
        <v>0</v>
      </c>
      <c r="AK249" s="43"/>
      <c r="AL249" s="43"/>
      <c r="AM249" s="32"/>
      <c r="AN249" s="32">
        <f>Table5[[#This Row],[ (RESV. STORGE) SER]]/10</f>
        <v>0</v>
      </c>
      <c r="AO249" s="68"/>
      <c r="AP249" s="104">
        <f>Table5[[#This Row],[(A/S) AJD]]-Table5[[#This Row],[SER_IN]]</f>
        <v>0</v>
      </c>
    </row>
    <row r="250" spans="1:42" ht="18.75" x14ac:dyDescent="0.25">
      <c r="A250" s="10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Table5[[#This Row],[ (T/B) SAR]]+Table5[[#This Row],[ (S/S) SAR]]</f>
        <v>0</v>
      </c>
      <c r="L250" s="45"/>
      <c r="M250" s="46"/>
      <c r="N250" s="46"/>
      <c r="O250" s="40"/>
      <c r="P250" s="9">
        <f>Table5[[#This Row],[ (S/S) SAR]]-Table5[[#This Row],[(S/S) AJD]]</f>
        <v>0</v>
      </c>
      <c r="Q250" s="40"/>
      <c r="R250" s="9">
        <f>Table5[[#This Row],[ (T/B) SAR]]-Table5[[#This Row],[(T/B) AJD]]</f>
        <v>0</v>
      </c>
      <c r="S250" s="9">
        <f>Table5[[#This Row],[S/S_CON.]]+Table5[[#This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Table5[[#This Row],[(RESV. STORGE) AJD]]/10</f>
        <v>0</v>
      </c>
      <c r="AB250" s="3">
        <f t="shared" si="15"/>
        <v>0</v>
      </c>
      <c r="AC250" s="5"/>
      <c r="AD250" s="40">
        <f>(Table5[[#This Row],[( S/S+T/B) AJD]]*1000)-((Table5[[#This Row],[(STORGE DIFF.) AJD]]*1000)+Table5[[#This Row],[AJD_Evaporation]]+(Table5[[#This Row],[(A/B + A/S) AJD]]*1000))</f>
        <v>0</v>
      </c>
      <c r="AE250" s="44"/>
      <c r="AF250" s="45"/>
      <c r="AG250" s="45"/>
      <c r="AH250" s="6">
        <f>Table5[[#This Row],[ (RESV. STORGE) BER]]/10</f>
        <v>0</v>
      </c>
      <c r="AI250" s="44"/>
      <c r="AJ250" s="44">
        <f>Table5[[#This Row],[(A/B) AJD]]-Table5[[#This Row],[BER_IN]]</f>
        <v>0</v>
      </c>
      <c r="AK250" s="45"/>
      <c r="AL250" s="45"/>
      <c r="AM250" s="32"/>
      <c r="AN250" s="32">
        <f>Table5[[#This Row],[ (RESV. STORGE) SER]]/10</f>
        <v>0</v>
      </c>
      <c r="AO250" s="68"/>
      <c r="AP250" s="104">
        <f>Table5[[#This Row],[(A/S) AJD]]-Table5[[#This Row],[SER_IN]]</f>
        <v>0</v>
      </c>
    </row>
    <row r="251" spans="1:42" ht="18.75" x14ac:dyDescent="0.25">
      <c r="A251" s="10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Table5[[#This Row],[ (T/B) SAR]]+Table5[[#This Row],[ (S/S) SAR]]</f>
        <v>0</v>
      </c>
      <c r="L251" s="41"/>
      <c r="M251" s="42"/>
      <c r="N251" s="42"/>
      <c r="O251" s="39"/>
      <c r="P251" s="9">
        <f>Table5[[#This Row],[ (S/S) SAR]]-Table5[[#This Row],[(S/S) AJD]]</f>
        <v>0</v>
      </c>
      <c r="Q251" s="39"/>
      <c r="R251" s="9">
        <f>Table5[[#This Row],[ (T/B) SAR]]-Table5[[#This Row],[(T/B) AJD]]</f>
        <v>0</v>
      </c>
      <c r="S251" s="9">
        <f>Table5[[#This Row],[S/S_CON.]]+Table5[[#This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Table5[[#This Row],[(RESV. STORGE) AJD]]/10</f>
        <v>0</v>
      </c>
      <c r="AB251" s="3">
        <f t="shared" si="15"/>
        <v>0</v>
      </c>
      <c r="AC251" s="5"/>
      <c r="AD251" s="39">
        <f>(Table5[[#This Row],[( S/S+T/B) AJD]]*1000)-((Table5[[#This Row],[(STORGE DIFF.) AJD]]*1000)+Table5[[#This Row],[AJD_Evaporation]]+(Table5[[#This Row],[(A/B + A/S) AJD]]*1000))</f>
        <v>0</v>
      </c>
      <c r="AE251" s="41"/>
      <c r="AF251" s="43"/>
      <c r="AG251" s="43"/>
      <c r="AH251" s="6">
        <f>Table5[[#This Row],[ (RESV. STORGE) BER]]/10</f>
        <v>0</v>
      </c>
      <c r="AI251" s="41"/>
      <c r="AJ251" s="41">
        <f>Table5[[#This Row],[(A/B) AJD]]-Table5[[#This Row],[BER_IN]]</f>
        <v>0</v>
      </c>
      <c r="AK251" s="43"/>
      <c r="AL251" s="43"/>
      <c r="AM251" s="32"/>
      <c r="AN251" s="32">
        <f>Table5[[#This Row],[ (RESV. STORGE) SER]]/10</f>
        <v>0</v>
      </c>
      <c r="AO251" s="68"/>
      <c r="AP251" s="104">
        <f>Table5[[#This Row],[(A/S) AJD]]-Table5[[#This Row],[SER_IN]]</f>
        <v>0</v>
      </c>
    </row>
    <row r="252" spans="1:42" ht="18.75" x14ac:dyDescent="0.25">
      <c r="A252" s="10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Table5[[#This Row],[ (T/B) SAR]]+Table5[[#This Row],[ (S/S) SAR]]</f>
        <v>0</v>
      </c>
      <c r="L252" s="45"/>
      <c r="M252" s="46"/>
      <c r="N252" s="46"/>
      <c r="O252" s="40"/>
      <c r="P252" s="9">
        <f>Table5[[#This Row],[ (S/S) SAR]]-Table5[[#This Row],[(S/S) AJD]]</f>
        <v>0</v>
      </c>
      <c r="Q252" s="40"/>
      <c r="R252" s="9">
        <f>Table5[[#This Row],[ (T/B) SAR]]-Table5[[#This Row],[(T/B) AJD]]</f>
        <v>0</v>
      </c>
      <c r="S252" s="9">
        <f>Table5[[#This Row],[S/S_CON.]]+Table5[[#This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Table5[[#This Row],[(RESV. STORGE) AJD]]/10</f>
        <v>0</v>
      </c>
      <c r="AB252" s="3">
        <f t="shared" si="15"/>
        <v>0</v>
      </c>
      <c r="AC252" s="5"/>
      <c r="AD252" s="40">
        <f>(Table5[[#This Row],[( S/S+T/B) AJD]]*1000)-((Table5[[#This Row],[(STORGE DIFF.) AJD]]*1000)+Table5[[#This Row],[AJD_Evaporation]]+(Table5[[#This Row],[(A/B + A/S) AJD]]*1000))</f>
        <v>0</v>
      </c>
      <c r="AE252" s="44"/>
      <c r="AF252" s="45"/>
      <c r="AG252" s="45"/>
      <c r="AH252" s="6">
        <f>Table5[[#This Row],[ (RESV. STORGE) BER]]/10</f>
        <v>0</v>
      </c>
      <c r="AI252" s="44"/>
      <c r="AJ252" s="44">
        <f>Table5[[#This Row],[(A/B) AJD]]-Table5[[#This Row],[BER_IN]]</f>
        <v>0</v>
      </c>
      <c r="AK252" s="45"/>
      <c r="AL252" s="45"/>
      <c r="AM252" s="32"/>
      <c r="AN252" s="32">
        <f>Table5[[#This Row],[ (RESV. STORGE) SER]]/10</f>
        <v>0</v>
      </c>
      <c r="AO252" s="68"/>
      <c r="AP252" s="104">
        <f>Table5[[#This Row],[(A/S) AJD]]-Table5[[#This Row],[SER_IN]]</f>
        <v>0</v>
      </c>
    </row>
    <row r="253" spans="1:42" ht="18.75" x14ac:dyDescent="0.25">
      <c r="A253" s="10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Table5[[#This Row],[ (T/B) SAR]]+Table5[[#This Row],[ (S/S) SAR]]</f>
        <v>0</v>
      </c>
      <c r="L253" s="41"/>
      <c r="M253" s="42"/>
      <c r="N253" s="42"/>
      <c r="O253" s="39"/>
      <c r="P253" s="9">
        <f>Table5[[#This Row],[ (S/S) SAR]]-Table5[[#This Row],[(S/S) AJD]]</f>
        <v>0</v>
      </c>
      <c r="Q253" s="39"/>
      <c r="R253" s="9">
        <f>Table5[[#This Row],[ (T/B) SAR]]-Table5[[#This Row],[(T/B) AJD]]</f>
        <v>0</v>
      </c>
      <c r="S253" s="9">
        <f>Table5[[#This Row],[S/S_CON.]]+Table5[[#This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Table5[[#This Row],[(RESV. STORGE) AJD]]/10</f>
        <v>0</v>
      </c>
      <c r="AB253" s="3">
        <f t="shared" si="15"/>
        <v>0</v>
      </c>
      <c r="AC253" s="5"/>
      <c r="AD253" s="39">
        <f>(Table5[[#This Row],[( S/S+T/B) AJD]]*1000)-((Table5[[#This Row],[(STORGE DIFF.) AJD]]*1000)+Table5[[#This Row],[AJD_Evaporation]]+(Table5[[#This Row],[(A/B + A/S) AJD]]*1000))</f>
        <v>0</v>
      </c>
      <c r="AE253" s="41"/>
      <c r="AF253" s="43"/>
      <c r="AG253" s="43"/>
      <c r="AH253" s="6">
        <f>Table5[[#This Row],[ (RESV. STORGE) BER]]/10</f>
        <v>0</v>
      </c>
      <c r="AI253" s="41"/>
      <c r="AJ253" s="41">
        <f>Table5[[#This Row],[(A/B) AJD]]-Table5[[#This Row],[BER_IN]]</f>
        <v>0</v>
      </c>
      <c r="AK253" s="43"/>
      <c r="AL253" s="43"/>
      <c r="AM253" s="32"/>
      <c r="AN253" s="32">
        <f>Table5[[#This Row],[ (RESV. STORGE) SER]]/10</f>
        <v>0</v>
      </c>
      <c r="AO253" s="68"/>
      <c r="AP253" s="104">
        <f>Table5[[#This Row],[(A/S) AJD]]-Table5[[#This Row],[SER_IN]]</f>
        <v>0</v>
      </c>
    </row>
    <row r="254" spans="1:42" ht="18.75" x14ac:dyDescent="0.25">
      <c r="A254" s="10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Table5[[#This Row],[ (T/B) SAR]]+Table5[[#This Row],[ (S/S) SAR]]</f>
        <v>0</v>
      </c>
      <c r="L254" s="45"/>
      <c r="M254" s="46"/>
      <c r="N254" s="46"/>
      <c r="O254" s="40"/>
      <c r="P254" s="9">
        <f>Table5[[#This Row],[ (S/S) SAR]]-Table5[[#This Row],[(S/S) AJD]]</f>
        <v>0</v>
      </c>
      <c r="Q254" s="40"/>
      <c r="R254" s="9">
        <f>Table5[[#This Row],[ (T/B) SAR]]-Table5[[#This Row],[(T/B) AJD]]</f>
        <v>0</v>
      </c>
      <c r="S254" s="9">
        <f>Table5[[#This Row],[S/S_CON.]]+Table5[[#This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Table5[[#This Row],[(RESV. STORGE) AJD]]/10</f>
        <v>0</v>
      </c>
      <c r="AB254" s="3">
        <f t="shared" si="15"/>
        <v>0</v>
      </c>
      <c r="AC254" s="5"/>
      <c r="AD254" s="40">
        <f>(Table5[[#This Row],[( S/S+T/B) AJD]]*1000)-((Table5[[#This Row],[(STORGE DIFF.) AJD]]*1000)+Table5[[#This Row],[AJD_Evaporation]]+(Table5[[#This Row],[(A/B + A/S) AJD]]*1000))</f>
        <v>0</v>
      </c>
      <c r="AE254" s="44"/>
      <c r="AF254" s="45"/>
      <c r="AG254" s="45"/>
      <c r="AH254" s="6">
        <f>Table5[[#This Row],[ (RESV. STORGE) BER]]/10</f>
        <v>0</v>
      </c>
      <c r="AI254" s="44"/>
      <c r="AJ254" s="44">
        <f>Table5[[#This Row],[(A/B) AJD]]-Table5[[#This Row],[BER_IN]]</f>
        <v>0</v>
      </c>
      <c r="AK254" s="45"/>
      <c r="AL254" s="45"/>
      <c r="AM254" s="32"/>
      <c r="AN254" s="32">
        <f>Table5[[#This Row],[ (RESV. STORGE) SER]]/10</f>
        <v>0</v>
      </c>
      <c r="AO254" s="68"/>
      <c r="AP254" s="104">
        <f>Table5[[#This Row],[(A/S) AJD]]-Table5[[#This Row],[SER_IN]]</f>
        <v>0</v>
      </c>
    </row>
    <row r="255" spans="1:42" ht="18.75" x14ac:dyDescent="0.25">
      <c r="A255" s="10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Table5[[#This Row],[ (T/B) SAR]]+Table5[[#This Row],[ (S/S) SAR]]</f>
        <v>0</v>
      </c>
      <c r="L255" s="41"/>
      <c r="M255" s="42"/>
      <c r="N255" s="42"/>
      <c r="O255" s="39"/>
      <c r="P255" s="9">
        <f>Table5[[#This Row],[ (S/S) SAR]]-Table5[[#This Row],[(S/S) AJD]]</f>
        <v>0</v>
      </c>
      <c r="Q255" s="39"/>
      <c r="R255" s="9">
        <f>Table5[[#This Row],[ (T/B) SAR]]-Table5[[#This Row],[(T/B) AJD]]</f>
        <v>0</v>
      </c>
      <c r="S255" s="9">
        <f>Table5[[#This Row],[S/S_CON.]]+Table5[[#This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Table5[[#This Row],[(RESV. STORGE) AJD]]/10</f>
        <v>0</v>
      </c>
      <c r="AB255" s="3">
        <f t="shared" si="15"/>
        <v>0</v>
      </c>
      <c r="AC255" s="5"/>
      <c r="AD255" s="39">
        <f>(Table5[[#This Row],[( S/S+T/B) AJD]]*1000)-((Table5[[#This Row],[(STORGE DIFF.) AJD]]*1000)+Table5[[#This Row],[AJD_Evaporation]]+(Table5[[#This Row],[(A/B + A/S) AJD]]*1000))</f>
        <v>0</v>
      </c>
      <c r="AE255" s="41"/>
      <c r="AF255" s="43"/>
      <c r="AG255" s="43"/>
      <c r="AH255" s="6">
        <f>Table5[[#This Row],[ (RESV. STORGE) BER]]/10</f>
        <v>0</v>
      </c>
      <c r="AI255" s="41"/>
      <c r="AJ255" s="41">
        <f>Table5[[#This Row],[(A/B) AJD]]-Table5[[#This Row],[BER_IN]]</f>
        <v>0</v>
      </c>
      <c r="AK255" s="43"/>
      <c r="AL255" s="43"/>
      <c r="AM255" s="32"/>
      <c r="AN255" s="32">
        <f>Table5[[#This Row],[ (RESV. STORGE) SER]]/10</f>
        <v>0</v>
      </c>
      <c r="AO255" s="68"/>
      <c r="AP255" s="104">
        <f>Table5[[#This Row],[(A/S) AJD]]-Table5[[#This Row],[SER_IN]]</f>
        <v>0</v>
      </c>
    </row>
    <row r="256" spans="1:42" ht="18.75" x14ac:dyDescent="0.25">
      <c r="A256" s="10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Table5[[#This Row],[ (T/B) SAR]]+Table5[[#This Row],[ (S/S) SAR]]</f>
        <v>0</v>
      </c>
      <c r="L256" s="45"/>
      <c r="M256" s="46"/>
      <c r="N256" s="46"/>
      <c r="O256" s="40"/>
      <c r="P256" s="9">
        <f>Table5[[#This Row],[ (S/S) SAR]]-Table5[[#This Row],[(S/S) AJD]]</f>
        <v>0</v>
      </c>
      <c r="Q256" s="40"/>
      <c r="R256" s="9">
        <f>Table5[[#This Row],[ (T/B) SAR]]-Table5[[#This Row],[(T/B) AJD]]</f>
        <v>0</v>
      </c>
      <c r="S256" s="9">
        <f>Table5[[#This Row],[S/S_CON.]]+Table5[[#This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Table5[[#This Row],[(RESV. STORGE) AJD]]/10</f>
        <v>0</v>
      </c>
      <c r="AB256" s="3">
        <f t="shared" si="15"/>
        <v>0</v>
      </c>
      <c r="AC256" s="5"/>
      <c r="AD256" s="40">
        <f>(Table5[[#This Row],[( S/S+T/B) AJD]]*1000)-((Table5[[#This Row],[(STORGE DIFF.) AJD]]*1000)+Table5[[#This Row],[AJD_Evaporation]]+(Table5[[#This Row],[(A/B + A/S) AJD]]*1000))</f>
        <v>0</v>
      </c>
      <c r="AE256" s="44"/>
      <c r="AF256" s="45"/>
      <c r="AG256" s="45"/>
      <c r="AH256" s="6">
        <f>Table5[[#This Row],[ (RESV. STORGE) BER]]/10</f>
        <v>0</v>
      </c>
      <c r="AI256" s="44"/>
      <c r="AJ256" s="44">
        <f>Table5[[#This Row],[(A/B) AJD]]-Table5[[#This Row],[BER_IN]]</f>
        <v>0</v>
      </c>
      <c r="AK256" s="45"/>
      <c r="AL256" s="45"/>
      <c r="AM256" s="32"/>
      <c r="AN256" s="32">
        <f>Table5[[#This Row],[ (RESV. STORGE) SER]]/10</f>
        <v>0</v>
      </c>
      <c r="AO256" s="68"/>
      <c r="AP256" s="104">
        <f>Table5[[#This Row],[(A/S) AJD]]-Table5[[#This Row],[SER_IN]]</f>
        <v>0</v>
      </c>
    </row>
    <row r="257" spans="1:42" ht="18.75" x14ac:dyDescent="0.25">
      <c r="A257" s="10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Table5[[#This Row],[ (T/B) SAR]]+Table5[[#This Row],[ (S/S) SAR]]</f>
        <v>0</v>
      </c>
      <c r="L257" s="41"/>
      <c r="M257" s="42"/>
      <c r="N257" s="42"/>
      <c r="O257" s="39"/>
      <c r="P257" s="9">
        <f>Table5[[#This Row],[ (S/S) SAR]]-Table5[[#This Row],[(S/S) AJD]]</f>
        <v>0</v>
      </c>
      <c r="Q257" s="39"/>
      <c r="R257" s="9">
        <f>Table5[[#This Row],[ (T/B) SAR]]-Table5[[#This Row],[(T/B) AJD]]</f>
        <v>0</v>
      </c>
      <c r="S257" s="9">
        <f>Table5[[#This Row],[S/S_CON.]]+Table5[[#This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Table5[[#This Row],[(RESV. STORGE) AJD]]/10</f>
        <v>0</v>
      </c>
      <c r="AB257" s="3">
        <f t="shared" si="15"/>
        <v>0</v>
      </c>
      <c r="AC257" s="5"/>
      <c r="AD257" s="39">
        <f>(Table5[[#This Row],[( S/S+T/B) AJD]]*1000)-((Table5[[#This Row],[(STORGE DIFF.) AJD]]*1000)+Table5[[#This Row],[AJD_Evaporation]]+(Table5[[#This Row],[(A/B + A/S) AJD]]*1000))</f>
        <v>0</v>
      </c>
      <c r="AE257" s="41"/>
      <c r="AF257" s="43"/>
      <c r="AG257" s="43"/>
      <c r="AH257" s="6">
        <f>Table5[[#This Row],[ (RESV. STORGE) BER]]/10</f>
        <v>0</v>
      </c>
      <c r="AI257" s="41"/>
      <c r="AJ257" s="41">
        <f>Table5[[#This Row],[(A/B) AJD]]-Table5[[#This Row],[BER_IN]]</f>
        <v>0</v>
      </c>
      <c r="AK257" s="43"/>
      <c r="AL257" s="43"/>
      <c r="AM257" s="32"/>
      <c r="AN257" s="32">
        <f>Table5[[#This Row],[ (RESV. STORGE) SER]]/10</f>
        <v>0</v>
      </c>
      <c r="AO257" s="68"/>
      <c r="AP257" s="104">
        <f>Table5[[#This Row],[(A/S) AJD]]-Table5[[#This Row],[SER_IN]]</f>
        <v>0</v>
      </c>
    </row>
    <row r="258" spans="1:42" ht="18.75" x14ac:dyDescent="0.25">
      <c r="A258" s="10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Table5[[#This Row],[ (T/B) SAR]]+Table5[[#This Row],[ (S/S) SAR]]</f>
        <v>0</v>
      </c>
      <c r="L258" s="45"/>
      <c r="M258" s="46"/>
      <c r="N258" s="46"/>
      <c r="O258" s="40"/>
      <c r="P258" s="9">
        <f>Table5[[#This Row],[ (S/S) SAR]]-Table5[[#This Row],[(S/S) AJD]]</f>
        <v>0</v>
      </c>
      <c r="Q258" s="40"/>
      <c r="R258" s="9">
        <f>Table5[[#This Row],[ (T/B) SAR]]-Table5[[#This Row],[(T/B) AJD]]</f>
        <v>0</v>
      </c>
      <c r="S258" s="9">
        <f>Table5[[#This Row],[S/S_CON.]]+Table5[[#This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Table5[[#This Row],[(RESV. STORGE) AJD]]/10</f>
        <v>0</v>
      </c>
      <c r="AB258" s="3">
        <f t="shared" si="15"/>
        <v>0</v>
      </c>
      <c r="AC258" s="5"/>
      <c r="AD258" s="40">
        <f>(Table5[[#This Row],[( S/S+T/B) AJD]]*1000)-((Table5[[#This Row],[(STORGE DIFF.) AJD]]*1000)+Table5[[#This Row],[AJD_Evaporation]]+(Table5[[#This Row],[(A/B + A/S) AJD]]*1000))</f>
        <v>0</v>
      </c>
      <c r="AE258" s="44"/>
      <c r="AF258" s="45"/>
      <c r="AG258" s="45"/>
      <c r="AH258" s="6">
        <f>Table5[[#This Row],[ (RESV. STORGE) BER]]/10</f>
        <v>0</v>
      </c>
      <c r="AI258" s="44"/>
      <c r="AJ258" s="44">
        <f>Table5[[#This Row],[(A/B) AJD]]-Table5[[#This Row],[BER_IN]]</f>
        <v>0</v>
      </c>
      <c r="AK258" s="45"/>
      <c r="AL258" s="45"/>
      <c r="AM258" s="32"/>
      <c r="AN258" s="32">
        <f>Table5[[#This Row],[ (RESV. STORGE) SER]]/10</f>
        <v>0</v>
      </c>
      <c r="AO258" s="68"/>
      <c r="AP258" s="104">
        <f>Table5[[#This Row],[(A/S) AJD]]-Table5[[#This Row],[SER_IN]]</f>
        <v>0</v>
      </c>
    </row>
    <row r="259" spans="1:42" ht="18.75" x14ac:dyDescent="0.25">
      <c r="A259" s="10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Table5[[#This Row],[ (T/B) SAR]]+Table5[[#This Row],[ (S/S) SAR]]</f>
        <v>0</v>
      </c>
      <c r="L259" s="41"/>
      <c r="M259" s="42"/>
      <c r="N259" s="42"/>
      <c r="O259" s="39"/>
      <c r="P259" s="9">
        <f>Table5[[#This Row],[ (S/S) SAR]]-Table5[[#This Row],[(S/S) AJD]]</f>
        <v>0</v>
      </c>
      <c r="Q259" s="39"/>
      <c r="R259" s="9">
        <f>Table5[[#This Row],[ (T/B) SAR]]-Table5[[#This Row],[(T/B) AJD]]</f>
        <v>0</v>
      </c>
      <c r="S259" s="9">
        <f>Table5[[#This Row],[S/S_CON.]]+Table5[[#This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Table5[[#This Row],[(RESV. STORGE) AJD]]/10</f>
        <v>0</v>
      </c>
      <c r="AB259" s="3">
        <f t="shared" si="15"/>
        <v>0</v>
      </c>
      <c r="AC259" s="5"/>
      <c r="AD259" s="39">
        <f>(Table5[[#This Row],[( S/S+T/B) AJD]]*1000)-((Table5[[#This Row],[(STORGE DIFF.) AJD]]*1000)+Table5[[#This Row],[AJD_Evaporation]]+(Table5[[#This Row],[(A/B + A/S) AJD]]*1000))</f>
        <v>0</v>
      </c>
      <c r="AE259" s="41"/>
      <c r="AF259" s="43"/>
      <c r="AG259" s="43"/>
      <c r="AH259" s="6">
        <f>Table5[[#This Row],[ (RESV. STORGE) BER]]/10</f>
        <v>0</v>
      </c>
      <c r="AI259" s="41"/>
      <c r="AJ259" s="41">
        <f>Table5[[#This Row],[(A/B) AJD]]-Table5[[#This Row],[BER_IN]]</f>
        <v>0</v>
      </c>
      <c r="AK259" s="43"/>
      <c r="AL259" s="43"/>
      <c r="AM259" s="32"/>
      <c r="AN259" s="32">
        <f>Table5[[#This Row],[ (RESV. STORGE) SER]]/10</f>
        <v>0</v>
      </c>
      <c r="AO259" s="68"/>
      <c r="AP259" s="104">
        <f>Table5[[#This Row],[(A/S) AJD]]-Table5[[#This Row],[SER_IN]]</f>
        <v>0</v>
      </c>
    </row>
    <row r="260" spans="1:42" ht="18.75" x14ac:dyDescent="0.25">
      <c r="A260" s="10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Table5[[#This Row],[ (T/B) SAR]]+Table5[[#This Row],[ (S/S) SAR]]</f>
        <v>0</v>
      </c>
      <c r="L260" s="45"/>
      <c r="M260" s="46"/>
      <c r="N260" s="46"/>
      <c r="O260" s="40"/>
      <c r="P260" s="9">
        <f>Table5[[#This Row],[ (S/S) SAR]]-Table5[[#This Row],[(S/S) AJD]]</f>
        <v>0</v>
      </c>
      <c r="Q260" s="40"/>
      <c r="R260" s="9">
        <f>Table5[[#This Row],[ (T/B) SAR]]-Table5[[#This Row],[(T/B) AJD]]</f>
        <v>0</v>
      </c>
      <c r="S260" s="9">
        <f>Table5[[#This Row],[S/S_CON.]]+Table5[[#This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Table5[[#This Row],[(RESV. STORGE) AJD]]/10</f>
        <v>0</v>
      </c>
      <c r="AB260" s="3">
        <f t="shared" ref="AB260:AB323" si="19">IF(TRIM(Z260)="",,(Z260-Z259)/1000)</f>
        <v>0</v>
      </c>
      <c r="AC260" s="5"/>
      <c r="AD260" s="40">
        <f>(Table5[[#This Row],[( S/S+T/B) AJD]]*1000)-((Table5[[#This Row],[(STORGE DIFF.) AJD]]*1000)+Table5[[#This Row],[AJD_Evaporation]]+(Table5[[#This Row],[(A/B + A/S) AJD]]*1000))</f>
        <v>0</v>
      </c>
      <c r="AE260" s="44"/>
      <c r="AF260" s="45"/>
      <c r="AG260" s="45"/>
      <c r="AH260" s="6">
        <f>Table5[[#This Row],[ (RESV. STORGE) BER]]/10</f>
        <v>0</v>
      </c>
      <c r="AI260" s="44"/>
      <c r="AJ260" s="44">
        <f>Table5[[#This Row],[(A/B) AJD]]-Table5[[#This Row],[BER_IN]]</f>
        <v>0</v>
      </c>
      <c r="AK260" s="45"/>
      <c r="AL260" s="45"/>
      <c r="AM260" s="32"/>
      <c r="AN260" s="32">
        <f>Table5[[#This Row],[ (RESV. STORGE) SER]]/10</f>
        <v>0</v>
      </c>
      <c r="AO260" s="68"/>
      <c r="AP260" s="104">
        <f>Table5[[#This Row],[(A/S) AJD]]-Table5[[#This Row],[SER_IN]]</f>
        <v>0</v>
      </c>
    </row>
    <row r="261" spans="1:42" ht="18.75" x14ac:dyDescent="0.25">
      <c r="A261" s="10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Table5[[#This Row],[ (T/B) SAR]]+Table5[[#This Row],[ (S/S) SAR]]</f>
        <v>0</v>
      </c>
      <c r="L261" s="41"/>
      <c r="M261" s="42"/>
      <c r="N261" s="42"/>
      <c r="O261" s="39"/>
      <c r="P261" s="9">
        <f>Table5[[#This Row],[ (S/S) SAR]]-Table5[[#This Row],[(S/S) AJD]]</f>
        <v>0</v>
      </c>
      <c r="Q261" s="39"/>
      <c r="R261" s="9">
        <f>Table5[[#This Row],[ (T/B) SAR]]-Table5[[#This Row],[(T/B) AJD]]</f>
        <v>0</v>
      </c>
      <c r="S261" s="9">
        <f>Table5[[#This Row],[S/S_CON.]]+Table5[[#This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Table5[[#This Row],[(RESV. STORGE) AJD]]/10</f>
        <v>0</v>
      </c>
      <c r="AB261" s="3">
        <f t="shared" si="19"/>
        <v>0</v>
      </c>
      <c r="AC261" s="5"/>
      <c r="AD261" s="39">
        <f>(Table5[[#This Row],[( S/S+T/B) AJD]]*1000)-((Table5[[#This Row],[(STORGE DIFF.) AJD]]*1000)+Table5[[#This Row],[AJD_Evaporation]]+(Table5[[#This Row],[(A/B + A/S) AJD]]*1000))</f>
        <v>0</v>
      </c>
      <c r="AE261" s="41"/>
      <c r="AF261" s="43"/>
      <c r="AG261" s="43"/>
      <c r="AH261" s="6">
        <f>Table5[[#This Row],[ (RESV. STORGE) BER]]/10</f>
        <v>0</v>
      </c>
      <c r="AI261" s="41"/>
      <c r="AJ261" s="41">
        <f>Table5[[#This Row],[(A/B) AJD]]-Table5[[#This Row],[BER_IN]]</f>
        <v>0</v>
      </c>
      <c r="AK261" s="43"/>
      <c r="AL261" s="43"/>
      <c r="AM261" s="32"/>
      <c r="AN261" s="32">
        <f>Table5[[#This Row],[ (RESV. STORGE) SER]]/10</f>
        <v>0</v>
      </c>
      <c r="AO261" s="68"/>
      <c r="AP261" s="104">
        <f>Table5[[#This Row],[(A/S) AJD]]-Table5[[#This Row],[SER_IN]]</f>
        <v>0</v>
      </c>
    </row>
    <row r="262" spans="1:42" ht="18.75" x14ac:dyDescent="0.25">
      <c r="A262" s="10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Table5[[#This Row],[ (T/B) SAR]]+Table5[[#This Row],[ (S/S) SAR]]</f>
        <v>0</v>
      </c>
      <c r="L262" s="45"/>
      <c r="M262" s="46"/>
      <c r="N262" s="46"/>
      <c r="O262" s="40"/>
      <c r="P262" s="9">
        <f>Table5[[#This Row],[ (S/S) SAR]]-Table5[[#This Row],[(S/S) AJD]]</f>
        <v>0</v>
      </c>
      <c r="Q262" s="40"/>
      <c r="R262" s="9">
        <f>Table5[[#This Row],[ (T/B) SAR]]-Table5[[#This Row],[(T/B) AJD]]</f>
        <v>0</v>
      </c>
      <c r="S262" s="9">
        <f>Table5[[#This Row],[S/S_CON.]]+Table5[[#This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Table5[[#This Row],[(RESV. STORGE) AJD]]/10</f>
        <v>0</v>
      </c>
      <c r="AB262" s="3">
        <f t="shared" si="19"/>
        <v>0</v>
      </c>
      <c r="AC262" s="5"/>
      <c r="AD262" s="40">
        <f>(Table5[[#This Row],[( S/S+T/B) AJD]]*1000)-((Table5[[#This Row],[(STORGE DIFF.) AJD]]*1000)+Table5[[#This Row],[AJD_Evaporation]]+(Table5[[#This Row],[(A/B + A/S) AJD]]*1000))</f>
        <v>0</v>
      </c>
      <c r="AE262" s="44"/>
      <c r="AF262" s="45"/>
      <c r="AG262" s="45"/>
      <c r="AH262" s="6">
        <f>Table5[[#This Row],[ (RESV. STORGE) BER]]/10</f>
        <v>0</v>
      </c>
      <c r="AI262" s="44"/>
      <c r="AJ262" s="44">
        <f>Table5[[#This Row],[(A/B) AJD]]-Table5[[#This Row],[BER_IN]]</f>
        <v>0</v>
      </c>
      <c r="AK262" s="45"/>
      <c r="AL262" s="45"/>
      <c r="AM262" s="32"/>
      <c r="AN262" s="32">
        <f>Table5[[#This Row],[ (RESV. STORGE) SER]]/10</f>
        <v>0</v>
      </c>
      <c r="AO262" s="68"/>
      <c r="AP262" s="104">
        <f>Table5[[#This Row],[(A/S) AJD]]-Table5[[#This Row],[SER_IN]]</f>
        <v>0</v>
      </c>
    </row>
    <row r="263" spans="1:42" ht="18.75" x14ac:dyDescent="0.25">
      <c r="A263" s="10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Table5[[#This Row],[ (T/B) SAR]]+Table5[[#This Row],[ (S/S) SAR]]</f>
        <v>0</v>
      </c>
      <c r="L263" s="41"/>
      <c r="M263" s="42"/>
      <c r="N263" s="42"/>
      <c r="O263" s="39"/>
      <c r="P263" s="9">
        <f>Table5[[#This Row],[ (S/S) SAR]]-Table5[[#This Row],[(S/S) AJD]]</f>
        <v>0</v>
      </c>
      <c r="Q263" s="39"/>
      <c r="R263" s="9">
        <f>Table5[[#This Row],[ (T/B) SAR]]-Table5[[#This Row],[(T/B) AJD]]</f>
        <v>0</v>
      </c>
      <c r="S263" s="9">
        <f>Table5[[#This Row],[S/S_CON.]]+Table5[[#This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Table5[[#This Row],[(RESV. STORGE) AJD]]/10</f>
        <v>0</v>
      </c>
      <c r="AB263" s="3">
        <f t="shared" si="19"/>
        <v>0</v>
      </c>
      <c r="AC263" s="5"/>
      <c r="AD263" s="39">
        <f>(Table5[[#This Row],[( S/S+T/B) AJD]]*1000)-((Table5[[#This Row],[(STORGE DIFF.) AJD]]*1000)+Table5[[#This Row],[AJD_Evaporation]]+(Table5[[#This Row],[(A/B + A/S) AJD]]*1000))</f>
        <v>0</v>
      </c>
      <c r="AE263" s="41"/>
      <c r="AF263" s="43"/>
      <c r="AG263" s="43"/>
      <c r="AH263" s="6">
        <f>Table5[[#This Row],[ (RESV. STORGE) BER]]/10</f>
        <v>0</v>
      </c>
      <c r="AI263" s="41"/>
      <c r="AJ263" s="41">
        <f>Table5[[#This Row],[(A/B) AJD]]-Table5[[#This Row],[BER_IN]]</f>
        <v>0</v>
      </c>
      <c r="AK263" s="43"/>
      <c r="AL263" s="43"/>
      <c r="AM263" s="32"/>
      <c r="AN263" s="32">
        <f>Table5[[#This Row],[ (RESV. STORGE) SER]]/10</f>
        <v>0</v>
      </c>
      <c r="AO263" s="68"/>
      <c r="AP263" s="104">
        <f>Table5[[#This Row],[(A/S) AJD]]-Table5[[#This Row],[SER_IN]]</f>
        <v>0</v>
      </c>
    </row>
    <row r="264" spans="1:42" ht="18.75" x14ac:dyDescent="0.25">
      <c r="A264" s="10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Table5[[#This Row],[ (T/B) SAR]]+Table5[[#This Row],[ (S/S) SAR]]</f>
        <v>0</v>
      </c>
      <c r="L264" s="45"/>
      <c r="M264" s="46"/>
      <c r="N264" s="46"/>
      <c r="O264" s="40"/>
      <c r="P264" s="9">
        <f>Table5[[#This Row],[ (S/S) SAR]]-Table5[[#This Row],[(S/S) AJD]]</f>
        <v>0</v>
      </c>
      <c r="Q264" s="40"/>
      <c r="R264" s="9">
        <f>Table5[[#This Row],[ (T/B) SAR]]-Table5[[#This Row],[(T/B) AJD]]</f>
        <v>0</v>
      </c>
      <c r="S264" s="9">
        <f>Table5[[#This Row],[S/S_CON.]]+Table5[[#This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Table5[[#This Row],[(RESV. STORGE) AJD]]/10</f>
        <v>0</v>
      </c>
      <c r="AB264" s="3">
        <f t="shared" si="19"/>
        <v>0</v>
      </c>
      <c r="AC264" s="5"/>
      <c r="AD264" s="40">
        <f>(Table5[[#This Row],[( S/S+T/B) AJD]]*1000)-((Table5[[#This Row],[(STORGE DIFF.) AJD]]*1000)+Table5[[#This Row],[AJD_Evaporation]]+(Table5[[#This Row],[(A/B + A/S) AJD]]*1000))</f>
        <v>0</v>
      </c>
      <c r="AE264" s="44"/>
      <c r="AF264" s="45"/>
      <c r="AG264" s="45"/>
      <c r="AH264" s="6">
        <f>Table5[[#This Row],[ (RESV. STORGE) BER]]/10</f>
        <v>0</v>
      </c>
      <c r="AI264" s="44"/>
      <c r="AJ264" s="44">
        <f>Table5[[#This Row],[(A/B) AJD]]-Table5[[#This Row],[BER_IN]]</f>
        <v>0</v>
      </c>
      <c r="AK264" s="45"/>
      <c r="AL264" s="45"/>
      <c r="AM264" s="32"/>
      <c r="AN264" s="32">
        <f>Table5[[#This Row],[ (RESV. STORGE) SER]]/10</f>
        <v>0</v>
      </c>
      <c r="AO264" s="68"/>
      <c r="AP264" s="104">
        <f>Table5[[#This Row],[(A/S) AJD]]-Table5[[#This Row],[SER_IN]]</f>
        <v>0</v>
      </c>
    </row>
    <row r="265" spans="1:42" ht="18.75" x14ac:dyDescent="0.25">
      <c r="A265" s="10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Table5[[#This Row],[ (T/B) SAR]]+Table5[[#This Row],[ (S/S) SAR]]</f>
        <v>0</v>
      </c>
      <c r="L265" s="41"/>
      <c r="M265" s="42"/>
      <c r="N265" s="42"/>
      <c r="O265" s="39"/>
      <c r="P265" s="9">
        <f>Table5[[#This Row],[ (S/S) SAR]]-Table5[[#This Row],[(S/S) AJD]]</f>
        <v>0</v>
      </c>
      <c r="Q265" s="39"/>
      <c r="R265" s="9">
        <f>Table5[[#This Row],[ (T/B) SAR]]-Table5[[#This Row],[(T/B) AJD]]</f>
        <v>0</v>
      </c>
      <c r="S265" s="9">
        <f>Table5[[#This Row],[S/S_CON.]]+Table5[[#This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Table5[[#This Row],[(RESV. STORGE) AJD]]/10</f>
        <v>0</v>
      </c>
      <c r="AB265" s="3">
        <f t="shared" si="19"/>
        <v>0</v>
      </c>
      <c r="AC265" s="5"/>
      <c r="AD265" s="39">
        <f>(Table5[[#This Row],[( S/S+T/B) AJD]]*1000)-((Table5[[#This Row],[(STORGE DIFF.) AJD]]*1000)+Table5[[#This Row],[AJD_Evaporation]]+(Table5[[#This Row],[(A/B + A/S) AJD]]*1000))</f>
        <v>0</v>
      </c>
      <c r="AE265" s="41"/>
      <c r="AF265" s="43"/>
      <c r="AG265" s="43"/>
      <c r="AH265" s="6">
        <f>Table5[[#This Row],[ (RESV. STORGE) BER]]/10</f>
        <v>0</v>
      </c>
      <c r="AI265" s="41"/>
      <c r="AJ265" s="41">
        <f>Table5[[#This Row],[(A/B) AJD]]-Table5[[#This Row],[BER_IN]]</f>
        <v>0</v>
      </c>
      <c r="AK265" s="43"/>
      <c r="AL265" s="43"/>
      <c r="AM265" s="32"/>
      <c r="AN265" s="32">
        <f>Table5[[#This Row],[ (RESV. STORGE) SER]]/10</f>
        <v>0</v>
      </c>
      <c r="AO265" s="68"/>
      <c r="AP265" s="104">
        <f>Table5[[#This Row],[(A/S) AJD]]-Table5[[#This Row],[SER_IN]]</f>
        <v>0</v>
      </c>
    </row>
    <row r="266" spans="1:42" ht="18.75" x14ac:dyDescent="0.25">
      <c r="A266" s="10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Table5[[#This Row],[ (T/B) SAR]]+Table5[[#This Row],[ (S/S) SAR]]</f>
        <v>0</v>
      </c>
      <c r="L266" s="45"/>
      <c r="M266" s="46"/>
      <c r="N266" s="46"/>
      <c r="O266" s="40"/>
      <c r="P266" s="9">
        <f>Table5[[#This Row],[ (S/S) SAR]]-Table5[[#This Row],[(S/S) AJD]]</f>
        <v>0</v>
      </c>
      <c r="Q266" s="40"/>
      <c r="R266" s="9">
        <f>Table5[[#This Row],[ (T/B) SAR]]-Table5[[#This Row],[(T/B) AJD]]</f>
        <v>0</v>
      </c>
      <c r="S266" s="9">
        <f>Table5[[#This Row],[S/S_CON.]]+Table5[[#This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Table5[[#This Row],[(RESV. STORGE) AJD]]/10</f>
        <v>0</v>
      </c>
      <c r="AB266" s="3">
        <f t="shared" si="19"/>
        <v>0</v>
      </c>
      <c r="AC266" s="5"/>
      <c r="AD266" s="40">
        <f>(Table5[[#This Row],[( S/S+T/B) AJD]]*1000)-((Table5[[#This Row],[(STORGE DIFF.) AJD]]*1000)+Table5[[#This Row],[AJD_Evaporation]]+(Table5[[#This Row],[(A/B + A/S) AJD]]*1000))</f>
        <v>0</v>
      </c>
      <c r="AE266" s="44"/>
      <c r="AF266" s="45"/>
      <c r="AG266" s="45"/>
      <c r="AH266" s="6">
        <f>Table5[[#This Row],[ (RESV. STORGE) BER]]/10</f>
        <v>0</v>
      </c>
      <c r="AI266" s="44"/>
      <c r="AJ266" s="44">
        <f>Table5[[#This Row],[(A/B) AJD]]-Table5[[#This Row],[BER_IN]]</f>
        <v>0</v>
      </c>
      <c r="AK266" s="45"/>
      <c r="AL266" s="45"/>
      <c r="AM266" s="32"/>
      <c r="AN266" s="32">
        <f>Table5[[#This Row],[ (RESV. STORGE) SER]]/10</f>
        <v>0</v>
      </c>
      <c r="AO266" s="68"/>
      <c r="AP266" s="104">
        <f>Table5[[#This Row],[(A/S) AJD]]-Table5[[#This Row],[SER_IN]]</f>
        <v>0</v>
      </c>
    </row>
    <row r="267" spans="1:42" ht="18.75" x14ac:dyDescent="0.25">
      <c r="A267" s="10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Table5[[#This Row],[ (T/B) SAR]]+Table5[[#This Row],[ (S/S) SAR]]</f>
        <v>0</v>
      </c>
      <c r="L267" s="41"/>
      <c r="M267" s="42"/>
      <c r="N267" s="42"/>
      <c r="O267" s="39"/>
      <c r="P267" s="9">
        <f>Table5[[#This Row],[ (S/S) SAR]]-Table5[[#This Row],[(S/S) AJD]]</f>
        <v>0</v>
      </c>
      <c r="Q267" s="39"/>
      <c r="R267" s="9">
        <f>Table5[[#This Row],[ (T/B) SAR]]-Table5[[#This Row],[(T/B) AJD]]</f>
        <v>0</v>
      </c>
      <c r="S267" s="9">
        <f>Table5[[#This Row],[S/S_CON.]]+Table5[[#This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Table5[[#This Row],[(RESV. STORGE) AJD]]/10</f>
        <v>0</v>
      </c>
      <c r="AB267" s="3">
        <f t="shared" si="19"/>
        <v>0</v>
      </c>
      <c r="AC267" s="5"/>
      <c r="AD267" s="39">
        <f>(Table5[[#This Row],[( S/S+T/B) AJD]]*1000)-((Table5[[#This Row],[(STORGE DIFF.) AJD]]*1000)+Table5[[#This Row],[AJD_Evaporation]]+(Table5[[#This Row],[(A/B + A/S) AJD]]*1000))</f>
        <v>0</v>
      </c>
      <c r="AE267" s="41"/>
      <c r="AF267" s="43"/>
      <c r="AG267" s="43"/>
      <c r="AH267" s="6">
        <f>Table5[[#This Row],[ (RESV. STORGE) BER]]/10</f>
        <v>0</v>
      </c>
      <c r="AI267" s="41"/>
      <c r="AJ267" s="41">
        <f>Table5[[#This Row],[(A/B) AJD]]-Table5[[#This Row],[BER_IN]]</f>
        <v>0</v>
      </c>
      <c r="AK267" s="43"/>
      <c r="AL267" s="43"/>
      <c r="AM267" s="32"/>
      <c r="AN267" s="32">
        <f>Table5[[#This Row],[ (RESV. STORGE) SER]]/10</f>
        <v>0</v>
      </c>
      <c r="AO267" s="68"/>
      <c r="AP267" s="104">
        <f>Table5[[#This Row],[(A/S) AJD]]-Table5[[#This Row],[SER_IN]]</f>
        <v>0</v>
      </c>
    </row>
    <row r="268" spans="1:42" ht="18.75" x14ac:dyDescent="0.25">
      <c r="A268" s="10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Table5[[#This Row],[ (T/B) SAR]]+Table5[[#This Row],[ (S/S) SAR]]</f>
        <v>0</v>
      </c>
      <c r="L268" s="45"/>
      <c r="M268" s="46"/>
      <c r="N268" s="46"/>
      <c r="O268" s="40"/>
      <c r="P268" s="9">
        <f>Table5[[#This Row],[ (S/S) SAR]]-Table5[[#This Row],[(S/S) AJD]]</f>
        <v>0</v>
      </c>
      <c r="Q268" s="40"/>
      <c r="R268" s="9">
        <f>Table5[[#This Row],[ (T/B) SAR]]-Table5[[#This Row],[(T/B) AJD]]</f>
        <v>0</v>
      </c>
      <c r="S268" s="9">
        <f>Table5[[#This Row],[S/S_CON.]]+Table5[[#This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Table5[[#This Row],[(RESV. STORGE) AJD]]/10</f>
        <v>0</v>
      </c>
      <c r="AB268" s="3">
        <f t="shared" si="19"/>
        <v>0</v>
      </c>
      <c r="AC268" s="5"/>
      <c r="AD268" s="40">
        <f>(Table5[[#This Row],[( S/S+T/B) AJD]]*1000)-((Table5[[#This Row],[(STORGE DIFF.) AJD]]*1000)+Table5[[#This Row],[AJD_Evaporation]]+(Table5[[#This Row],[(A/B + A/S) AJD]]*1000))</f>
        <v>0</v>
      </c>
      <c r="AE268" s="44"/>
      <c r="AF268" s="45"/>
      <c r="AG268" s="45"/>
      <c r="AH268" s="6">
        <f>Table5[[#This Row],[ (RESV. STORGE) BER]]/10</f>
        <v>0</v>
      </c>
      <c r="AI268" s="44"/>
      <c r="AJ268" s="44">
        <f>Table5[[#This Row],[(A/B) AJD]]-Table5[[#This Row],[BER_IN]]</f>
        <v>0</v>
      </c>
      <c r="AK268" s="45"/>
      <c r="AL268" s="45"/>
      <c r="AM268" s="32"/>
      <c r="AN268" s="32">
        <f>Table5[[#This Row],[ (RESV. STORGE) SER]]/10</f>
        <v>0</v>
      </c>
      <c r="AO268" s="68"/>
      <c r="AP268" s="104">
        <f>Table5[[#This Row],[(A/S) AJD]]-Table5[[#This Row],[SER_IN]]</f>
        <v>0</v>
      </c>
    </row>
    <row r="269" spans="1:42" ht="18.75" x14ac:dyDescent="0.25">
      <c r="A269" s="10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Table5[[#This Row],[ (T/B) SAR]]+Table5[[#This Row],[ (S/S) SAR]]</f>
        <v>0</v>
      </c>
      <c r="L269" s="41"/>
      <c r="M269" s="42"/>
      <c r="N269" s="42"/>
      <c r="O269" s="39"/>
      <c r="P269" s="9">
        <f>Table5[[#This Row],[ (S/S) SAR]]-Table5[[#This Row],[(S/S) AJD]]</f>
        <v>0</v>
      </c>
      <c r="Q269" s="39"/>
      <c r="R269" s="9">
        <f>Table5[[#This Row],[ (T/B) SAR]]-Table5[[#This Row],[(T/B) AJD]]</f>
        <v>0</v>
      </c>
      <c r="S269" s="9">
        <f>Table5[[#This Row],[S/S_CON.]]+Table5[[#This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Table5[[#This Row],[(RESV. STORGE) AJD]]/10</f>
        <v>0</v>
      </c>
      <c r="AB269" s="3">
        <f t="shared" si="19"/>
        <v>0</v>
      </c>
      <c r="AC269" s="5"/>
      <c r="AD269" s="39">
        <f>(Table5[[#This Row],[( S/S+T/B) AJD]]*1000)-((Table5[[#This Row],[(STORGE DIFF.) AJD]]*1000)+Table5[[#This Row],[AJD_Evaporation]]+(Table5[[#This Row],[(A/B + A/S) AJD]]*1000))</f>
        <v>0</v>
      </c>
      <c r="AE269" s="41"/>
      <c r="AF269" s="43"/>
      <c r="AG269" s="43"/>
      <c r="AH269" s="6">
        <f>Table5[[#This Row],[ (RESV. STORGE) BER]]/10</f>
        <v>0</v>
      </c>
      <c r="AI269" s="41"/>
      <c r="AJ269" s="41">
        <f>Table5[[#This Row],[(A/B) AJD]]-Table5[[#This Row],[BER_IN]]</f>
        <v>0</v>
      </c>
      <c r="AK269" s="43"/>
      <c r="AL269" s="43"/>
      <c r="AM269" s="32"/>
      <c r="AN269" s="32">
        <f>Table5[[#This Row],[ (RESV. STORGE) SER]]/10</f>
        <v>0</v>
      </c>
      <c r="AO269" s="68"/>
      <c r="AP269" s="104">
        <f>Table5[[#This Row],[(A/S) AJD]]-Table5[[#This Row],[SER_IN]]</f>
        <v>0</v>
      </c>
    </row>
    <row r="270" spans="1:42" ht="18.75" x14ac:dyDescent="0.25">
      <c r="A270" s="10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Table5[[#This Row],[ (T/B) SAR]]+Table5[[#This Row],[ (S/S) SAR]]</f>
        <v>0</v>
      </c>
      <c r="L270" s="45"/>
      <c r="M270" s="46"/>
      <c r="N270" s="46"/>
      <c r="O270" s="40"/>
      <c r="P270" s="9">
        <f>Table5[[#This Row],[ (S/S) SAR]]-Table5[[#This Row],[(S/S) AJD]]</f>
        <v>0</v>
      </c>
      <c r="Q270" s="40"/>
      <c r="R270" s="9">
        <f>Table5[[#This Row],[ (T/B) SAR]]-Table5[[#This Row],[(T/B) AJD]]</f>
        <v>0</v>
      </c>
      <c r="S270" s="9">
        <f>Table5[[#This Row],[S/S_CON.]]+Table5[[#This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Table5[[#This Row],[(RESV. STORGE) AJD]]/10</f>
        <v>0</v>
      </c>
      <c r="AB270" s="3">
        <f t="shared" si="19"/>
        <v>0</v>
      </c>
      <c r="AC270" s="5"/>
      <c r="AD270" s="40">
        <f>(Table5[[#This Row],[( S/S+T/B) AJD]]*1000)-((Table5[[#This Row],[(STORGE DIFF.) AJD]]*1000)+Table5[[#This Row],[AJD_Evaporation]]+(Table5[[#This Row],[(A/B + A/S) AJD]]*1000))</f>
        <v>0</v>
      </c>
      <c r="AE270" s="44"/>
      <c r="AF270" s="45"/>
      <c r="AG270" s="45"/>
      <c r="AH270" s="6">
        <f>Table5[[#This Row],[ (RESV. STORGE) BER]]/10</f>
        <v>0</v>
      </c>
      <c r="AI270" s="44"/>
      <c r="AJ270" s="44">
        <f>Table5[[#This Row],[(A/B) AJD]]-Table5[[#This Row],[BER_IN]]</f>
        <v>0</v>
      </c>
      <c r="AK270" s="45"/>
      <c r="AL270" s="45"/>
      <c r="AM270" s="32"/>
      <c r="AN270" s="32">
        <f>Table5[[#This Row],[ (RESV. STORGE) SER]]/10</f>
        <v>0</v>
      </c>
      <c r="AO270" s="68"/>
      <c r="AP270" s="104">
        <f>Table5[[#This Row],[(A/S) AJD]]-Table5[[#This Row],[SER_IN]]</f>
        <v>0</v>
      </c>
    </row>
    <row r="271" spans="1:42" ht="18.75" x14ac:dyDescent="0.25">
      <c r="A271" s="10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Table5[[#This Row],[ (T/B) SAR]]+Table5[[#This Row],[ (S/S) SAR]]</f>
        <v>0</v>
      </c>
      <c r="L271" s="41"/>
      <c r="M271" s="42"/>
      <c r="N271" s="42"/>
      <c r="O271" s="39"/>
      <c r="P271" s="9">
        <f>Table5[[#This Row],[ (S/S) SAR]]-Table5[[#This Row],[(S/S) AJD]]</f>
        <v>0</v>
      </c>
      <c r="Q271" s="9"/>
      <c r="R271" s="9">
        <f>Table5[[#This Row],[ (T/B) SAR]]-Table5[[#This Row],[(T/B) AJD]]</f>
        <v>0</v>
      </c>
      <c r="S271" s="9">
        <f>Table5[[#This Row],[S/S_CON.]]+Table5[[#This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Table5[[#This Row],[(RESV. STORGE) AJD]]/10</f>
        <v>0</v>
      </c>
      <c r="AB271" s="3">
        <f t="shared" si="19"/>
        <v>0</v>
      </c>
      <c r="AC271" s="5"/>
      <c r="AD271" s="39">
        <f>(Table5[[#This Row],[( S/S+T/B) AJD]]*1000)-((Table5[[#This Row],[(STORGE DIFF.) AJD]]*1000)+Table5[[#This Row],[AJD_Evaporation]]+(Table5[[#This Row],[(A/B + A/S) AJD]]*1000))</f>
        <v>0</v>
      </c>
      <c r="AE271" s="41"/>
      <c r="AF271" s="43"/>
      <c r="AG271" s="43"/>
      <c r="AH271" s="6">
        <f>Table5[[#This Row],[ (RESV. STORGE) BER]]/10</f>
        <v>0</v>
      </c>
      <c r="AI271" s="41"/>
      <c r="AJ271" s="41">
        <f>Table5[[#This Row],[(A/B) AJD]]-Table5[[#This Row],[BER_IN]]</f>
        <v>0</v>
      </c>
      <c r="AK271" s="43"/>
      <c r="AL271" s="43"/>
      <c r="AM271" s="32"/>
      <c r="AN271" s="32">
        <f>Table5[[#This Row],[ (RESV. STORGE) SER]]/10</f>
        <v>0</v>
      </c>
      <c r="AO271" s="68"/>
      <c r="AP271" s="104">
        <f>Table5[[#This Row],[(A/S) AJD]]-Table5[[#This Row],[SER_IN]]</f>
        <v>0</v>
      </c>
    </row>
    <row r="272" spans="1:42" ht="18.75" x14ac:dyDescent="0.25">
      <c r="A272" s="10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Table5[[#This Row],[ (T/B) SAR]]+Table5[[#This Row],[ (S/S) SAR]]</f>
        <v>0</v>
      </c>
      <c r="L272" s="45"/>
      <c r="M272" s="46"/>
      <c r="N272" s="46"/>
      <c r="O272" s="9"/>
      <c r="P272" s="9">
        <f>Table5[[#This Row],[ (S/S) SAR]]-Table5[[#This Row],[(S/S) AJD]]</f>
        <v>0</v>
      </c>
      <c r="Q272" s="9"/>
      <c r="R272" s="9">
        <f>Table5[[#This Row],[ (T/B) SAR]]-Table5[[#This Row],[(T/B) AJD]]</f>
        <v>0</v>
      </c>
      <c r="S272" s="9">
        <f>Table5[[#This Row],[S/S_CON.]]+Table5[[#This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Table5[[#This Row],[(RESV. STORGE) AJD]]/10</f>
        <v>0</v>
      </c>
      <c r="AB272" s="3">
        <f t="shared" si="19"/>
        <v>0</v>
      </c>
      <c r="AC272" s="5"/>
      <c r="AD272" s="40">
        <f>(Table5[[#This Row],[( S/S+T/B) AJD]]*1000)-((Table5[[#This Row],[(STORGE DIFF.) AJD]]*1000)+Table5[[#This Row],[AJD_Evaporation]]+(Table5[[#This Row],[(A/B + A/S) AJD]]*1000))</f>
        <v>0</v>
      </c>
      <c r="AE272" s="44"/>
      <c r="AF272" s="45"/>
      <c r="AG272" s="45"/>
      <c r="AH272" s="6">
        <f>Table5[[#This Row],[ (RESV. STORGE) BER]]/10</f>
        <v>0</v>
      </c>
      <c r="AI272" s="6"/>
      <c r="AJ272" s="33">
        <f>Table5[[#This Row],[(A/B) AJD]]-Table5[[#This Row],[BER_IN]]</f>
        <v>0</v>
      </c>
      <c r="AK272" s="6"/>
      <c r="AL272" s="6"/>
      <c r="AM272" s="32"/>
      <c r="AN272" s="32">
        <f>Table5[[#This Row],[ (RESV. STORGE) SER]]/10</f>
        <v>0</v>
      </c>
      <c r="AO272" s="68"/>
      <c r="AP272" s="104">
        <f>Table5[[#This Row],[(A/S) AJD]]-Table5[[#This Row],[SER_IN]]</f>
        <v>0</v>
      </c>
    </row>
    <row r="273" spans="1:42" ht="18.75" x14ac:dyDescent="0.25">
      <c r="A273" s="10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Table5[[#This Row],[ (T/B) SAR]]+Table5[[#This Row],[ (S/S) SAR]]</f>
        <v>0</v>
      </c>
      <c r="L273" s="28"/>
      <c r="M273" s="29"/>
      <c r="N273" s="30"/>
      <c r="O273" s="9"/>
      <c r="P273" s="9">
        <f>Table5[[#This Row],[ (S/S) SAR]]-Table5[[#This Row],[(S/S) AJD]]</f>
        <v>0</v>
      </c>
      <c r="Q273" s="9"/>
      <c r="R273" s="9">
        <f>Table5[[#This Row],[ (T/B) SAR]]-Table5[[#This Row],[(T/B) AJD]]</f>
        <v>0</v>
      </c>
      <c r="S273" s="9">
        <f>Table5[[#This Row],[S/S_CON.]]+Table5[[#This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Table5[[#This Row],[(RESV. STORGE) AJD]]/10</f>
        <v>0</v>
      </c>
      <c r="AB273" s="3">
        <f t="shared" si="19"/>
        <v>0</v>
      </c>
      <c r="AC273" s="5"/>
      <c r="AD273" s="39">
        <f>(Table5[[#This Row],[( S/S+T/B) AJD]]*1000)-((Table5[[#This Row],[(STORGE DIFF.) AJD]]*1000)+Table5[[#This Row],[AJD_Evaporation]]+(Table5[[#This Row],[(A/B + A/S) AJD]]*1000))</f>
        <v>0</v>
      </c>
      <c r="AE273" s="41"/>
      <c r="AF273" s="43"/>
      <c r="AG273" s="43"/>
      <c r="AH273" s="6">
        <f>Table5[[#This Row],[ (RESV. STORGE) BER]]/10</f>
        <v>0</v>
      </c>
      <c r="AI273" s="6"/>
      <c r="AJ273" s="33">
        <f>Table5[[#This Row],[(A/B) AJD]]-Table5[[#This Row],[BER_IN]]</f>
        <v>0</v>
      </c>
      <c r="AK273" s="6"/>
      <c r="AL273" s="6"/>
      <c r="AM273" s="32"/>
      <c r="AN273" s="32">
        <f>Table5[[#This Row],[ (RESV. STORGE) SER]]/10</f>
        <v>0</v>
      </c>
      <c r="AO273" s="68"/>
      <c r="AP273" s="104">
        <f>Table5[[#This Row],[(A/S) AJD]]-Table5[[#This Row],[SER_IN]]</f>
        <v>0</v>
      </c>
    </row>
    <row r="274" spans="1:42" ht="18.75" x14ac:dyDescent="0.25">
      <c r="A274" s="10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Table5[[#This Row],[ (T/B) SAR]]+Table5[[#This Row],[ (S/S) SAR]]</f>
        <v>0</v>
      </c>
      <c r="L274" s="28"/>
      <c r="M274" s="29"/>
      <c r="N274" s="30"/>
      <c r="O274" s="9"/>
      <c r="P274" s="9">
        <f>Table5[[#This Row],[ (S/S) SAR]]-Table5[[#This Row],[(S/S) AJD]]</f>
        <v>0</v>
      </c>
      <c r="Q274" s="9"/>
      <c r="R274" s="9">
        <f>Table5[[#This Row],[ (T/B) SAR]]-Table5[[#This Row],[(T/B) AJD]]</f>
        <v>0</v>
      </c>
      <c r="S274" s="9">
        <f>Table5[[#This Row],[S/S_CON.]]+Table5[[#This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Table5[[#This Row],[(RESV. STORGE) AJD]]/10</f>
        <v>0</v>
      </c>
      <c r="AB274" s="3">
        <f t="shared" si="19"/>
        <v>0</v>
      </c>
      <c r="AC274" s="5"/>
      <c r="AD274" s="6">
        <f>(Table5[[#This Row],[( S/S+T/B) AJD]]*1000)-((Table5[[#This Row],[(STORGE DIFF.) AJD]]*1000)+Table5[[#This Row],[AJD_Evaporation]]+(Table5[[#This Row],[(A/B + A/S) AJD]]*1000))</f>
        <v>0</v>
      </c>
      <c r="AE274" s="33"/>
      <c r="AF274" s="6"/>
      <c r="AG274" s="6"/>
      <c r="AH274" s="6">
        <f>Table5[[#This Row],[ (RESV. STORGE) BER]]/10</f>
        <v>0</v>
      </c>
      <c r="AI274" s="6"/>
      <c r="AJ274" s="33">
        <f>Table5[[#This Row],[(A/B) AJD]]-Table5[[#This Row],[BER_IN]]</f>
        <v>0</v>
      </c>
      <c r="AK274" s="6"/>
      <c r="AL274" s="6"/>
      <c r="AM274" s="32"/>
      <c r="AN274" s="32">
        <f>Table5[[#This Row],[ (RESV. STORGE) SER]]/10</f>
        <v>0</v>
      </c>
      <c r="AO274" s="68"/>
      <c r="AP274" s="104">
        <f>Table5[[#This Row],[(A/S) AJD]]-Table5[[#This Row],[SER_IN]]</f>
        <v>0</v>
      </c>
    </row>
    <row r="275" spans="1:42" ht="18.75" x14ac:dyDescent="0.25">
      <c r="A275" s="10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Table5[[#This Row],[ (T/B) SAR]]+Table5[[#This Row],[ (S/S) SAR]]</f>
        <v>0</v>
      </c>
      <c r="L275" s="28"/>
      <c r="M275" s="29"/>
      <c r="N275" s="30"/>
      <c r="O275" s="14"/>
      <c r="P275" s="9">
        <f>Table5[[#This Row],[ (S/S) SAR]]-Table5[[#This Row],[(S/S) AJD]]</f>
        <v>0</v>
      </c>
      <c r="Q275" s="14"/>
      <c r="R275" s="9">
        <f>Table5[[#This Row],[ (T/B) SAR]]-Table5[[#This Row],[(T/B) AJD]]</f>
        <v>0</v>
      </c>
      <c r="S275" s="9">
        <f>Table5[[#This Row],[S/S_CON.]]+Table5[[#This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Table5[[#This Row],[(RESV. STORGE) AJD]]/10</f>
        <v>0</v>
      </c>
      <c r="AB275" s="3">
        <f t="shared" si="19"/>
        <v>0</v>
      </c>
      <c r="AC275" s="5"/>
      <c r="AD275" s="6">
        <f>(Table5[[#This Row],[( S/S+T/B) AJD]]*1000)-((Table5[[#This Row],[(STORGE DIFF.) AJD]]*1000)+Table5[[#This Row],[AJD_Evaporation]]+(Table5[[#This Row],[(A/B + A/S) AJD]]*1000))</f>
        <v>0</v>
      </c>
      <c r="AE275" s="33"/>
      <c r="AF275" s="6"/>
      <c r="AG275" s="6"/>
      <c r="AH275" s="6">
        <f>Table5[[#This Row],[ (RESV. STORGE) BER]]/10</f>
        <v>0</v>
      </c>
      <c r="AI275" s="6"/>
      <c r="AJ275" s="33">
        <f>Table5[[#This Row],[(A/B) AJD]]-Table5[[#This Row],[BER_IN]]</f>
        <v>0</v>
      </c>
      <c r="AK275" s="6"/>
      <c r="AL275" s="6"/>
      <c r="AM275" s="32"/>
      <c r="AN275" s="32">
        <f>Table5[[#This Row],[ (RESV. STORGE) SER]]/10</f>
        <v>0</v>
      </c>
      <c r="AO275" s="68"/>
      <c r="AP275" s="104">
        <f>Table5[[#This Row],[(A/S) AJD]]-Table5[[#This Row],[SER_IN]]</f>
        <v>0</v>
      </c>
    </row>
    <row r="276" spans="1:42" ht="18.75" x14ac:dyDescent="0.25">
      <c r="A276" s="10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Table5[[#This Row],[ (T/B) SAR]]+Table5[[#This Row],[ (S/S) SAR]]</f>
        <v>0</v>
      </c>
      <c r="L276" s="28"/>
      <c r="M276" s="29"/>
      <c r="N276" s="30"/>
      <c r="O276" s="14"/>
      <c r="P276" s="9">
        <f>Table5[[#This Row],[ (S/S) SAR]]-Table5[[#This Row],[(S/S) AJD]]</f>
        <v>0</v>
      </c>
      <c r="Q276" s="14"/>
      <c r="R276" s="9">
        <f>Table5[[#This Row],[ (T/B) SAR]]-Table5[[#This Row],[(T/B) AJD]]</f>
        <v>0</v>
      </c>
      <c r="S276" s="9">
        <f>Table5[[#This Row],[S/S_CON.]]+Table5[[#This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Table5[[#This Row],[(RESV. STORGE) AJD]]/10</f>
        <v>0</v>
      </c>
      <c r="AB276" s="3">
        <f t="shared" si="19"/>
        <v>0</v>
      </c>
      <c r="AC276" s="5"/>
      <c r="AD276" s="6">
        <f>(Table5[[#This Row],[( S/S+T/B) AJD]]*1000)-((Table5[[#This Row],[(STORGE DIFF.) AJD]]*1000)+Table5[[#This Row],[AJD_Evaporation]]+(Table5[[#This Row],[(A/B + A/S) AJD]]*1000))</f>
        <v>0</v>
      </c>
      <c r="AE276" s="33"/>
      <c r="AF276" s="6"/>
      <c r="AG276" s="6"/>
      <c r="AH276" s="6">
        <f>Table5[[#This Row],[ (RESV. STORGE) BER]]/10</f>
        <v>0</v>
      </c>
      <c r="AI276" s="6"/>
      <c r="AJ276" s="33">
        <f>Table5[[#This Row],[(A/B) AJD]]-Table5[[#This Row],[BER_IN]]</f>
        <v>0</v>
      </c>
      <c r="AK276" s="6"/>
      <c r="AL276" s="6"/>
      <c r="AM276" s="32"/>
      <c r="AN276" s="32">
        <f>Table5[[#This Row],[ (RESV. STORGE) SER]]/10</f>
        <v>0</v>
      </c>
      <c r="AO276" s="68"/>
      <c r="AP276" s="104">
        <f>Table5[[#This Row],[(A/S) AJD]]-Table5[[#This Row],[SER_IN]]</f>
        <v>0</v>
      </c>
    </row>
    <row r="277" spans="1:42" ht="18.75" x14ac:dyDescent="0.25">
      <c r="A277" s="10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Table5[[#This Row],[ (T/B) SAR]]+Table5[[#This Row],[ (S/S) SAR]]</f>
        <v>0</v>
      </c>
      <c r="L277" s="28"/>
      <c r="M277" s="29"/>
      <c r="N277" s="30"/>
      <c r="O277" s="14"/>
      <c r="P277" s="9">
        <f>Table5[[#This Row],[ (S/S) SAR]]-Table5[[#This Row],[(S/S) AJD]]</f>
        <v>0</v>
      </c>
      <c r="Q277" s="14"/>
      <c r="R277" s="9">
        <f>Table5[[#This Row],[ (T/B) SAR]]-Table5[[#This Row],[(T/B) AJD]]</f>
        <v>0</v>
      </c>
      <c r="S277" s="9">
        <f>Table5[[#This Row],[S/S_CON.]]+Table5[[#This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Table5[[#This Row],[(RESV. STORGE) AJD]]/10</f>
        <v>0</v>
      </c>
      <c r="AB277" s="3">
        <f t="shared" si="19"/>
        <v>0</v>
      </c>
      <c r="AC277" s="5"/>
      <c r="AD277" s="6">
        <f>(Table5[[#This Row],[( S/S+T/B) AJD]]*1000)-((Table5[[#This Row],[(STORGE DIFF.) AJD]]*1000)+Table5[[#This Row],[AJD_Evaporation]]+(Table5[[#This Row],[(A/B + A/S) AJD]]*1000))</f>
        <v>0</v>
      </c>
      <c r="AE277" s="33"/>
      <c r="AF277" s="6"/>
      <c r="AG277" s="6"/>
      <c r="AH277" s="6">
        <f>Table5[[#This Row],[ (RESV. STORGE) BER]]/10</f>
        <v>0</v>
      </c>
      <c r="AI277" s="6"/>
      <c r="AJ277" s="33">
        <f>Table5[[#This Row],[(A/B) AJD]]-Table5[[#This Row],[BER_IN]]</f>
        <v>0</v>
      </c>
      <c r="AK277" s="6"/>
      <c r="AL277" s="6"/>
      <c r="AM277" s="32"/>
      <c r="AN277" s="32">
        <f>Table5[[#This Row],[ (RESV. STORGE) SER]]/10</f>
        <v>0</v>
      </c>
      <c r="AO277" s="68"/>
      <c r="AP277" s="104">
        <f>Table5[[#This Row],[(A/S) AJD]]-Table5[[#This Row],[SER_IN]]</f>
        <v>0</v>
      </c>
    </row>
    <row r="278" spans="1:42" ht="18.75" x14ac:dyDescent="0.25">
      <c r="A278" s="10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Table5[[#This Row],[ (T/B) SAR]]+Table5[[#This Row],[ (S/S) SAR]]</f>
        <v>0</v>
      </c>
      <c r="L278" s="28"/>
      <c r="M278" s="29"/>
      <c r="N278" s="30"/>
      <c r="O278" s="14"/>
      <c r="P278" s="9">
        <f>Table5[[#This Row],[ (S/S) SAR]]-Table5[[#This Row],[(S/S) AJD]]</f>
        <v>0</v>
      </c>
      <c r="Q278" s="14"/>
      <c r="R278" s="9">
        <f>Table5[[#This Row],[ (T/B) SAR]]-Table5[[#This Row],[(T/B) AJD]]</f>
        <v>0</v>
      </c>
      <c r="S278" s="9">
        <f>Table5[[#This Row],[S/S_CON.]]+Table5[[#This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Table5[[#This Row],[(RESV. STORGE) AJD]]/10</f>
        <v>0</v>
      </c>
      <c r="AB278" s="3">
        <f t="shared" si="19"/>
        <v>0</v>
      </c>
      <c r="AC278" s="5"/>
      <c r="AD278" s="6">
        <f>(Table5[[#This Row],[( S/S+T/B) AJD]]*1000)-((Table5[[#This Row],[(STORGE DIFF.) AJD]]*1000)+Table5[[#This Row],[AJD_Evaporation]]+(Table5[[#This Row],[(A/B + A/S) AJD]]*1000))</f>
        <v>0</v>
      </c>
      <c r="AE278" s="33"/>
      <c r="AF278" s="6"/>
      <c r="AG278" s="6"/>
      <c r="AH278" s="6">
        <f>Table5[[#This Row],[ (RESV. STORGE) BER]]/10</f>
        <v>0</v>
      </c>
      <c r="AI278" s="6"/>
      <c r="AJ278" s="33">
        <f>Table5[[#This Row],[(A/B) AJD]]-Table5[[#This Row],[BER_IN]]</f>
        <v>0</v>
      </c>
      <c r="AK278" s="6"/>
      <c r="AL278" s="6"/>
      <c r="AM278" s="32"/>
      <c r="AN278" s="32">
        <f>Table5[[#This Row],[ (RESV. STORGE) SER]]/10</f>
        <v>0</v>
      </c>
      <c r="AO278" s="68"/>
      <c r="AP278" s="104">
        <f>Table5[[#This Row],[(A/S) AJD]]-Table5[[#This Row],[SER_IN]]</f>
        <v>0</v>
      </c>
    </row>
    <row r="279" spans="1:42" ht="18.75" x14ac:dyDescent="0.25">
      <c r="A279" s="10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Table5[[#This Row],[ (T/B) SAR]]+Table5[[#This Row],[ (S/S) SAR]]</f>
        <v>0</v>
      </c>
      <c r="L279" s="28"/>
      <c r="M279" s="29"/>
      <c r="N279" s="30"/>
      <c r="O279" s="14"/>
      <c r="P279" s="9">
        <f>Table5[[#This Row],[ (S/S) SAR]]-Table5[[#This Row],[(S/S) AJD]]</f>
        <v>0</v>
      </c>
      <c r="Q279" s="14"/>
      <c r="R279" s="9">
        <f>Table5[[#This Row],[ (T/B) SAR]]-Table5[[#This Row],[(T/B) AJD]]</f>
        <v>0</v>
      </c>
      <c r="S279" s="9">
        <f>Table5[[#This Row],[S/S_CON.]]+Table5[[#This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Table5[[#This Row],[(RESV. STORGE) AJD]]/10</f>
        <v>0</v>
      </c>
      <c r="AB279" s="3">
        <f t="shared" si="19"/>
        <v>0</v>
      </c>
      <c r="AC279" s="5"/>
      <c r="AD279" s="6">
        <f>(Table5[[#This Row],[( S/S+T/B) AJD]]*1000)-((Table5[[#This Row],[(STORGE DIFF.) AJD]]*1000)+Table5[[#This Row],[AJD_Evaporation]]+(Table5[[#This Row],[(A/B + A/S) AJD]]*1000))</f>
        <v>0</v>
      </c>
      <c r="AE279" s="33"/>
      <c r="AF279" s="6"/>
      <c r="AG279" s="6"/>
      <c r="AH279" s="6">
        <f>Table5[[#This Row],[ (RESV. STORGE) BER]]/10</f>
        <v>0</v>
      </c>
      <c r="AI279" s="6"/>
      <c r="AJ279" s="33">
        <f>Table5[[#This Row],[(A/B) AJD]]-Table5[[#This Row],[BER_IN]]</f>
        <v>0</v>
      </c>
      <c r="AK279" s="6"/>
      <c r="AL279" s="6"/>
      <c r="AM279" s="32"/>
      <c r="AN279" s="32">
        <f>Table5[[#This Row],[ (RESV. STORGE) SER]]/10</f>
        <v>0</v>
      </c>
      <c r="AO279" s="68"/>
      <c r="AP279" s="104">
        <f>Table5[[#This Row],[(A/S) AJD]]-Table5[[#This Row],[SER_IN]]</f>
        <v>0</v>
      </c>
    </row>
    <row r="280" spans="1:42" ht="18.75" x14ac:dyDescent="0.25">
      <c r="A280" s="10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Table5[[#This Row],[ (T/B) SAR]]+Table5[[#This Row],[ (S/S) SAR]]</f>
        <v>0</v>
      </c>
      <c r="L280" s="28"/>
      <c r="M280" s="29"/>
      <c r="N280" s="30"/>
      <c r="O280" s="14"/>
      <c r="P280" s="9">
        <f>Table5[[#This Row],[ (S/S) SAR]]-Table5[[#This Row],[(S/S) AJD]]</f>
        <v>0</v>
      </c>
      <c r="Q280" s="14"/>
      <c r="R280" s="9">
        <f>Table5[[#This Row],[ (T/B) SAR]]-Table5[[#This Row],[(T/B) AJD]]</f>
        <v>0</v>
      </c>
      <c r="S280" s="9">
        <f>Table5[[#This Row],[S/S_CON.]]+Table5[[#This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Table5[[#This Row],[(RESV. STORGE) AJD]]/10</f>
        <v>0</v>
      </c>
      <c r="AB280" s="3">
        <f t="shared" si="19"/>
        <v>0</v>
      </c>
      <c r="AC280" s="5"/>
      <c r="AD280" s="6">
        <f>(Table5[[#This Row],[( S/S+T/B) AJD]]*1000)-((Table5[[#This Row],[(STORGE DIFF.) AJD]]*1000)+Table5[[#This Row],[AJD_Evaporation]]+(Table5[[#This Row],[(A/B + A/S) AJD]]*1000))</f>
        <v>0</v>
      </c>
      <c r="AE280" s="33"/>
      <c r="AF280" s="6"/>
      <c r="AG280" s="6"/>
      <c r="AH280" s="6">
        <f>Table5[[#This Row],[ (RESV. STORGE) BER]]/10</f>
        <v>0</v>
      </c>
      <c r="AI280" s="6"/>
      <c r="AJ280" s="33">
        <f>Table5[[#This Row],[(A/B) AJD]]-Table5[[#This Row],[BER_IN]]</f>
        <v>0</v>
      </c>
      <c r="AK280" s="6"/>
      <c r="AL280" s="6"/>
      <c r="AM280" s="32"/>
      <c r="AN280" s="32">
        <f>Table5[[#This Row],[ (RESV. STORGE) SER]]/10</f>
        <v>0</v>
      </c>
      <c r="AO280" s="68"/>
      <c r="AP280" s="104">
        <f>Table5[[#This Row],[(A/S) AJD]]-Table5[[#This Row],[SER_IN]]</f>
        <v>0</v>
      </c>
    </row>
    <row r="281" spans="1:42" ht="18.75" x14ac:dyDescent="0.25">
      <c r="A281" s="10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Table5[[#This Row],[ (T/B) SAR]]+Table5[[#This Row],[ (S/S) SAR]]</f>
        <v>0</v>
      </c>
      <c r="L281" s="28"/>
      <c r="M281" s="29"/>
      <c r="N281" s="30"/>
      <c r="O281" s="14"/>
      <c r="P281" s="9">
        <f>Table5[[#This Row],[ (S/S) SAR]]-Table5[[#This Row],[(S/S) AJD]]</f>
        <v>0</v>
      </c>
      <c r="Q281" s="14"/>
      <c r="R281" s="9">
        <f>Table5[[#This Row],[ (T/B) SAR]]-Table5[[#This Row],[(T/B) AJD]]</f>
        <v>0</v>
      </c>
      <c r="S281" s="9">
        <f>Table5[[#This Row],[S/S_CON.]]+Table5[[#This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Table5[[#This Row],[(RESV. STORGE) AJD]]/10</f>
        <v>0</v>
      </c>
      <c r="AB281" s="3">
        <f t="shared" si="19"/>
        <v>0</v>
      </c>
      <c r="AC281" s="5"/>
      <c r="AD281" s="6">
        <f>(Table5[[#This Row],[( S/S+T/B) AJD]]*1000)-((Table5[[#This Row],[(STORGE DIFF.) AJD]]*1000)+Table5[[#This Row],[AJD_Evaporation]]+(Table5[[#This Row],[(A/B + A/S) AJD]]*1000))</f>
        <v>0</v>
      </c>
      <c r="AE281" s="33"/>
      <c r="AF281" s="6"/>
      <c r="AG281" s="6"/>
      <c r="AH281" s="6">
        <f>Table5[[#This Row],[ (RESV. STORGE) BER]]/10</f>
        <v>0</v>
      </c>
      <c r="AI281" s="6"/>
      <c r="AJ281" s="33">
        <f>Table5[[#This Row],[(A/B) AJD]]-Table5[[#This Row],[BER_IN]]</f>
        <v>0</v>
      </c>
      <c r="AK281" s="6"/>
      <c r="AL281" s="6"/>
      <c r="AM281" s="32"/>
      <c r="AN281" s="32">
        <f>Table5[[#This Row],[ (RESV. STORGE) SER]]/10</f>
        <v>0</v>
      </c>
      <c r="AO281" s="68"/>
      <c r="AP281" s="104">
        <f>Table5[[#This Row],[(A/S) AJD]]-Table5[[#This Row],[SER_IN]]</f>
        <v>0</v>
      </c>
    </row>
    <row r="282" spans="1:42" ht="18.75" x14ac:dyDescent="0.25">
      <c r="A282" s="10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Table5[[#This Row],[ (T/B) SAR]]+Table5[[#This Row],[ (S/S) SAR]]</f>
        <v>0</v>
      </c>
      <c r="L282" s="28"/>
      <c r="M282" s="29"/>
      <c r="N282" s="30"/>
      <c r="O282" s="14"/>
      <c r="P282" s="9">
        <f>Table5[[#This Row],[ (S/S) SAR]]-Table5[[#This Row],[(S/S) AJD]]</f>
        <v>0</v>
      </c>
      <c r="Q282" s="14"/>
      <c r="R282" s="9">
        <f>Table5[[#This Row],[ (T/B) SAR]]-Table5[[#This Row],[(T/B) AJD]]</f>
        <v>0</v>
      </c>
      <c r="S282" s="9">
        <f>Table5[[#This Row],[S/S_CON.]]+Table5[[#This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Table5[[#This Row],[(RESV. STORGE) AJD]]/10</f>
        <v>0</v>
      </c>
      <c r="AB282" s="3">
        <f t="shared" si="19"/>
        <v>0</v>
      </c>
      <c r="AC282" s="5"/>
      <c r="AD282" s="6">
        <f>(Table5[[#This Row],[( S/S+T/B) AJD]]*1000)-((Table5[[#This Row],[(STORGE DIFF.) AJD]]*1000)+Table5[[#This Row],[AJD_Evaporation]]+(Table5[[#This Row],[(A/B + A/S) AJD]]*1000))</f>
        <v>0</v>
      </c>
      <c r="AE282" s="33"/>
      <c r="AF282" s="6"/>
      <c r="AG282" s="6"/>
      <c r="AH282" s="6">
        <f>Table5[[#This Row],[ (RESV. STORGE) BER]]/10</f>
        <v>0</v>
      </c>
      <c r="AI282" s="6"/>
      <c r="AJ282" s="33">
        <f>Table5[[#This Row],[(A/B) AJD]]-Table5[[#This Row],[BER_IN]]</f>
        <v>0</v>
      </c>
      <c r="AK282" s="6"/>
      <c r="AL282" s="6"/>
      <c r="AM282" s="32"/>
      <c r="AN282" s="32">
        <f>Table5[[#This Row],[ (RESV. STORGE) SER]]/10</f>
        <v>0</v>
      </c>
      <c r="AO282" s="68"/>
      <c r="AP282" s="104">
        <f>Table5[[#This Row],[(A/S) AJD]]-Table5[[#This Row],[SER_IN]]</f>
        <v>0</v>
      </c>
    </row>
    <row r="283" spans="1:42" ht="18.75" x14ac:dyDescent="0.25">
      <c r="A283" s="10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Table5[[#This Row],[ (T/B) SAR]]+Table5[[#This Row],[ (S/S) SAR]]</f>
        <v>0</v>
      </c>
      <c r="L283" s="28"/>
      <c r="M283" s="29"/>
      <c r="N283" s="30"/>
      <c r="O283" s="14"/>
      <c r="P283" s="9">
        <f>Table5[[#This Row],[ (S/S) SAR]]-Table5[[#This Row],[(S/S) AJD]]</f>
        <v>0</v>
      </c>
      <c r="Q283" s="14"/>
      <c r="R283" s="9">
        <f>Table5[[#This Row],[ (T/B) SAR]]-Table5[[#This Row],[(T/B) AJD]]</f>
        <v>0</v>
      </c>
      <c r="S283" s="9">
        <f>Table5[[#This Row],[S/S_CON.]]+Table5[[#This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Table5[[#This Row],[(RESV. STORGE) AJD]]/10</f>
        <v>0</v>
      </c>
      <c r="AB283" s="3">
        <f t="shared" si="19"/>
        <v>0</v>
      </c>
      <c r="AC283" s="5"/>
      <c r="AD283" s="6">
        <f>(Table5[[#This Row],[( S/S+T/B) AJD]]*1000)-((Table5[[#This Row],[(STORGE DIFF.) AJD]]*1000)+Table5[[#This Row],[AJD_Evaporation]]+(Table5[[#This Row],[(A/B + A/S) AJD]]*1000))</f>
        <v>0</v>
      </c>
      <c r="AE283" s="33"/>
      <c r="AF283" s="6"/>
      <c r="AG283" s="6"/>
      <c r="AH283" s="6">
        <f>Table5[[#This Row],[ (RESV. STORGE) BER]]/10</f>
        <v>0</v>
      </c>
      <c r="AI283" s="6"/>
      <c r="AJ283" s="33">
        <f>Table5[[#This Row],[(A/B) AJD]]-Table5[[#This Row],[BER_IN]]</f>
        <v>0</v>
      </c>
      <c r="AK283" s="6"/>
      <c r="AL283" s="6"/>
      <c r="AM283" s="32"/>
      <c r="AN283" s="32">
        <f>Table5[[#This Row],[ (RESV. STORGE) SER]]/10</f>
        <v>0</v>
      </c>
      <c r="AO283" s="68"/>
      <c r="AP283" s="104">
        <f>Table5[[#This Row],[(A/S) AJD]]-Table5[[#This Row],[SER_IN]]</f>
        <v>0</v>
      </c>
    </row>
    <row r="284" spans="1:42" ht="18.75" x14ac:dyDescent="0.25">
      <c r="A284" s="10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Table5[[#This Row],[ (T/B) SAR]]+Table5[[#This Row],[ (S/S) SAR]]</f>
        <v>0</v>
      </c>
      <c r="L284" s="28"/>
      <c r="M284" s="29"/>
      <c r="N284" s="30"/>
      <c r="O284" s="14"/>
      <c r="P284" s="9">
        <f>Table5[[#This Row],[ (S/S) SAR]]-Table5[[#This Row],[(S/S) AJD]]</f>
        <v>0</v>
      </c>
      <c r="Q284" s="14"/>
      <c r="R284" s="9">
        <f>Table5[[#This Row],[ (T/B) SAR]]-Table5[[#This Row],[(T/B) AJD]]</f>
        <v>0</v>
      </c>
      <c r="S284" s="9">
        <f>Table5[[#This Row],[S/S_CON.]]+Table5[[#This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Table5[[#This Row],[(RESV. STORGE) AJD]]/10</f>
        <v>0</v>
      </c>
      <c r="AB284" s="3">
        <f t="shared" si="19"/>
        <v>0</v>
      </c>
      <c r="AC284" s="5"/>
      <c r="AD284" s="6">
        <f>(Table5[[#This Row],[( S/S+T/B) AJD]]*1000)-((Table5[[#This Row],[(STORGE DIFF.) AJD]]*1000)+Table5[[#This Row],[AJD_Evaporation]]+(Table5[[#This Row],[(A/B + A/S) AJD]]*1000))</f>
        <v>0</v>
      </c>
      <c r="AE284" s="33"/>
      <c r="AF284" s="6"/>
      <c r="AG284" s="6"/>
      <c r="AH284" s="6">
        <f>Table5[[#This Row],[ (RESV. STORGE) BER]]/10</f>
        <v>0</v>
      </c>
      <c r="AI284" s="6"/>
      <c r="AJ284" s="33">
        <f>Table5[[#This Row],[(A/B) AJD]]-Table5[[#This Row],[BER_IN]]</f>
        <v>0</v>
      </c>
      <c r="AK284" s="6"/>
      <c r="AL284" s="6"/>
      <c r="AM284" s="32"/>
      <c r="AN284" s="32">
        <f>Table5[[#This Row],[ (RESV. STORGE) SER]]/10</f>
        <v>0</v>
      </c>
      <c r="AO284" s="68"/>
      <c r="AP284" s="104">
        <f>Table5[[#This Row],[(A/S) AJD]]-Table5[[#This Row],[SER_IN]]</f>
        <v>0</v>
      </c>
    </row>
    <row r="285" spans="1:42" ht="18.75" x14ac:dyDescent="0.25">
      <c r="A285" s="10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Table5[[#This Row],[ (T/B) SAR]]+Table5[[#This Row],[ (S/S) SAR]]</f>
        <v>0</v>
      </c>
      <c r="L285" s="28"/>
      <c r="M285" s="29"/>
      <c r="N285" s="30"/>
      <c r="O285" s="14"/>
      <c r="P285" s="9">
        <f>Table5[[#This Row],[ (S/S) SAR]]-Table5[[#This Row],[(S/S) AJD]]</f>
        <v>0</v>
      </c>
      <c r="Q285" s="14"/>
      <c r="R285" s="9">
        <f>Table5[[#This Row],[ (T/B) SAR]]-Table5[[#This Row],[(T/B) AJD]]</f>
        <v>0</v>
      </c>
      <c r="S285" s="9">
        <f>Table5[[#This Row],[S/S_CON.]]+Table5[[#This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Table5[[#This Row],[(RESV. STORGE) AJD]]/10</f>
        <v>0</v>
      </c>
      <c r="AB285" s="3">
        <f t="shared" si="19"/>
        <v>0</v>
      </c>
      <c r="AC285" s="5"/>
      <c r="AD285" s="6">
        <f>(Table5[[#This Row],[( S/S+T/B) AJD]]*1000)-((Table5[[#This Row],[(STORGE DIFF.) AJD]]*1000)+Table5[[#This Row],[AJD_Evaporation]]+(Table5[[#This Row],[(A/B + A/S) AJD]]*1000))</f>
        <v>0</v>
      </c>
      <c r="AE285" s="33"/>
      <c r="AF285" s="6"/>
      <c r="AG285" s="6"/>
      <c r="AH285" s="6">
        <f>Table5[[#This Row],[ (RESV. STORGE) BER]]/10</f>
        <v>0</v>
      </c>
      <c r="AI285" s="6"/>
      <c r="AJ285" s="33">
        <f>Table5[[#This Row],[(A/B) AJD]]-Table5[[#This Row],[BER_IN]]</f>
        <v>0</v>
      </c>
      <c r="AK285" s="6"/>
      <c r="AL285" s="6"/>
      <c r="AM285" s="32"/>
      <c r="AN285" s="32">
        <f>Table5[[#This Row],[ (RESV. STORGE) SER]]/10</f>
        <v>0</v>
      </c>
      <c r="AO285" s="68"/>
      <c r="AP285" s="104">
        <f>Table5[[#This Row],[(A/S) AJD]]-Table5[[#This Row],[SER_IN]]</f>
        <v>0</v>
      </c>
    </row>
    <row r="286" spans="1:42" ht="18.75" x14ac:dyDescent="0.25">
      <c r="A286" s="10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Table5[[#This Row],[ (T/B) SAR]]+Table5[[#This Row],[ (S/S) SAR]]</f>
        <v>0</v>
      </c>
      <c r="L286" s="28"/>
      <c r="M286" s="29"/>
      <c r="N286" s="30"/>
      <c r="O286" s="14"/>
      <c r="P286" s="9">
        <f>Table5[[#This Row],[ (S/S) SAR]]-Table5[[#This Row],[(S/S) AJD]]</f>
        <v>0</v>
      </c>
      <c r="Q286" s="14"/>
      <c r="R286" s="9">
        <f>Table5[[#This Row],[ (T/B) SAR]]-Table5[[#This Row],[(T/B) AJD]]</f>
        <v>0</v>
      </c>
      <c r="S286" s="9">
        <f>Table5[[#This Row],[S/S_CON.]]+Table5[[#This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Table5[[#This Row],[(RESV. STORGE) AJD]]/10</f>
        <v>0</v>
      </c>
      <c r="AB286" s="3">
        <f t="shared" si="19"/>
        <v>0</v>
      </c>
      <c r="AC286" s="5"/>
      <c r="AD286" s="6">
        <f>(Table5[[#This Row],[( S/S+T/B) AJD]]*1000)-((Table5[[#This Row],[(STORGE DIFF.) AJD]]*1000)+Table5[[#This Row],[AJD_Evaporation]]+(Table5[[#This Row],[(A/B + A/S) AJD]]*1000))</f>
        <v>0</v>
      </c>
      <c r="AE286" s="33"/>
      <c r="AF286" s="6"/>
      <c r="AG286" s="6"/>
      <c r="AH286" s="6">
        <f>Table5[[#This Row],[ (RESV. STORGE) BER]]/10</f>
        <v>0</v>
      </c>
      <c r="AI286" s="6"/>
      <c r="AJ286" s="33">
        <f>Table5[[#This Row],[(A/B) AJD]]-Table5[[#This Row],[BER_IN]]</f>
        <v>0</v>
      </c>
      <c r="AK286" s="6"/>
      <c r="AL286" s="6"/>
      <c r="AM286" s="32"/>
      <c r="AN286" s="32">
        <f>Table5[[#This Row],[ (RESV. STORGE) SER]]/10</f>
        <v>0</v>
      </c>
      <c r="AO286" s="68"/>
      <c r="AP286" s="104">
        <f>Table5[[#This Row],[(A/S) AJD]]-Table5[[#This Row],[SER_IN]]</f>
        <v>0</v>
      </c>
    </row>
    <row r="287" spans="1:42" ht="18.75" x14ac:dyDescent="0.25">
      <c r="A287" s="10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Table5[[#This Row],[ (T/B) SAR]]+Table5[[#This Row],[ (S/S) SAR]]</f>
        <v>0</v>
      </c>
      <c r="L287" s="28"/>
      <c r="M287" s="29"/>
      <c r="N287" s="30"/>
      <c r="O287" s="14"/>
      <c r="P287" s="9">
        <f>Table5[[#This Row],[ (S/S) SAR]]-Table5[[#This Row],[(S/S) AJD]]</f>
        <v>0</v>
      </c>
      <c r="Q287" s="14"/>
      <c r="R287" s="9">
        <f>Table5[[#This Row],[ (T/B) SAR]]-Table5[[#This Row],[(T/B) AJD]]</f>
        <v>0</v>
      </c>
      <c r="S287" s="9">
        <f>Table5[[#This Row],[S/S_CON.]]+Table5[[#This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Table5[[#This Row],[(RESV. STORGE) AJD]]/10</f>
        <v>0</v>
      </c>
      <c r="AB287" s="3">
        <f t="shared" si="19"/>
        <v>0</v>
      </c>
      <c r="AC287" s="5"/>
      <c r="AD287" s="6">
        <f>(Table5[[#This Row],[( S/S+T/B) AJD]]*1000)-((Table5[[#This Row],[(STORGE DIFF.) AJD]]*1000)+Table5[[#This Row],[AJD_Evaporation]]+(Table5[[#This Row],[(A/B + A/S) AJD]]*1000))</f>
        <v>0</v>
      </c>
      <c r="AE287" s="33"/>
      <c r="AF287" s="6"/>
      <c r="AG287" s="6"/>
      <c r="AH287" s="6">
        <f>Table5[[#This Row],[ (RESV. STORGE) BER]]/10</f>
        <v>0</v>
      </c>
      <c r="AI287" s="6"/>
      <c r="AJ287" s="33">
        <f>Table5[[#This Row],[(A/B) AJD]]-Table5[[#This Row],[BER_IN]]</f>
        <v>0</v>
      </c>
      <c r="AK287" s="6"/>
      <c r="AL287" s="6"/>
      <c r="AM287" s="32"/>
      <c r="AN287" s="32">
        <f>Table5[[#This Row],[ (RESV. STORGE) SER]]/10</f>
        <v>0</v>
      </c>
      <c r="AO287" s="68"/>
      <c r="AP287" s="104">
        <f>Table5[[#This Row],[(A/S) AJD]]-Table5[[#This Row],[SER_IN]]</f>
        <v>0</v>
      </c>
    </row>
    <row r="288" spans="1:42" ht="18.75" x14ac:dyDescent="0.25">
      <c r="A288" s="10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Table5[[#This Row],[ (T/B) SAR]]+Table5[[#This Row],[ (S/S) SAR]]</f>
        <v>0</v>
      </c>
      <c r="L288" s="28"/>
      <c r="M288" s="29"/>
      <c r="N288" s="30"/>
      <c r="O288" s="14"/>
      <c r="P288" s="9">
        <f>Table5[[#This Row],[ (S/S) SAR]]-Table5[[#This Row],[(S/S) AJD]]</f>
        <v>0</v>
      </c>
      <c r="Q288" s="14"/>
      <c r="R288" s="9">
        <f>Table5[[#This Row],[ (T/B) SAR]]-Table5[[#This Row],[(T/B) AJD]]</f>
        <v>0</v>
      </c>
      <c r="S288" s="9">
        <f>Table5[[#This Row],[S/S_CON.]]+Table5[[#This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Table5[[#This Row],[(RESV. STORGE) AJD]]/10</f>
        <v>0</v>
      </c>
      <c r="AB288" s="3">
        <f t="shared" si="19"/>
        <v>0</v>
      </c>
      <c r="AC288" s="5"/>
      <c r="AD288" s="6">
        <f>(Table5[[#This Row],[( S/S+T/B) AJD]]*1000)-((Table5[[#This Row],[(STORGE DIFF.) AJD]]*1000)+Table5[[#This Row],[AJD_Evaporation]]+(Table5[[#This Row],[(A/B + A/S) AJD]]*1000))</f>
        <v>0</v>
      </c>
      <c r="AE288" s="33"/>
      <c r="AF288" s="6"/>
      <c r="AG288" s="6"/>
      <c r="AH288" s="6">
        <f>Table5[[#This Row],[ (RESV. STORGE) BER]]/10</f>
        <v>0</v>
      </c>
      <c r="AI288" s="6"/>
      <c r="AJ288" s="33">
        <f>Table5[[#This Row],[(A/B) AJD]]-Table5[[#This Row],[BER_IN]]</f>
        <v>0</v>
      </c>
      <c r="AK288" s="6"/>
      <c r="AL288" s="6"/>
      <c r="AM288" s="32"/>
      <c r="AN288" s="32">
        <f>Table5[[#This Row],[ (RESV. STORGE) SER]]/10</f>
        <v>0</v>
      </c>
      <c r="AO288" s="68"/>
      <c r="AP288" s="104">
        <f>Table5[[#This Row],[(A/S) AJD]]-Table5[[#This Row],[SER_IN]]</f>
        <v>0</v>
      </c>
    </row>
    <row r="289" spans="1:42" ht="18.75" x14ac:dyDescent="0.25">
      <c r="A289" s="10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Table5[[#This Row],[ (T/B) SAR]]+Table5[[#This Row],[ (S/S) SAR]]</f>
        <v>0</v>
      </c>
      <c r="L289" s="28"/>
      <c r="M289" s="29"/>
      <c r="N289" s="30"/>
      <c r="O289" s="14"/>
      <c r="P289" s="9">
        <f>Table5[[#This Row],[ (S/S) SAR]]-Table5[[#This Row],[(S/S) AJD]]</f>
        <v>0</v>
      </c>
      <c r="Q289" s="14"/>
      <c r="R289" s="9">
        <f>Table5[[#This Row],[ (T/B) SAR]]-Table5[[#This Row],[(T/B) AJD]]</f>
        <v>0</v>
      </c>
      <c r="S289" s="9">
        <f>Table5[[#This Row],[S/S_CON.]]+Table5[[#This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Table5[[#This Row],[(RESV. STORGE) AJD]]/10</f>
        <v>0</v>
      </c>
      <c r="AB289" s="3">
        <f t="shared" si="19"/>
        <v>0</v>
      </c>
      <c r="AC289" s="5"/>
      <c r="AD289" s="6">
        <f>(Table5[[#This Row],[( S/S+T/B) AJD]]*1000)-((Table5[[#This Row],[(STORGE DIFF.) AJD]]*1000)+Table5[[#This Row],[AJD_Evaporation]]+(Table5[[#This Row],[(A/B + A/S) AJD]]*1000))</f>
        <v>0</v>
      </c>
      <c r="AE289" s="33"/>
      <c r="AF289" s="6"/>
      <c r="AG289" s="6"/>
      <c r="AH289" s="6">
        <f>Table5[[#This Row],[ (RESV. STORGE) BER]]/10</f>
        <v>0</v>
      </c>
      <c r="AI289" s="6"/>
      <c r="AJ289" s="33">
        <f>Table5[[#This Row],[(A/B) AJD]]-Table5[[#This Row],[BER_IN]]</f>
        <v>0</v>
      </c>
      <c r="AK289" s="6"/>
      <c r="AL289" s="6"/>
      <c r="AM289" s="32"/>
      <c r="AN289" s="32">
        <f>Table5[[#This Row],[ (RESV. STORGE) SER]]/10</f>
        <v>0</v>
      </c>
      <c r="AO289" s="68"/>
      <c r="AP289" s="104">
        <f>Table5[[#This Row],[(A/S) AJD]]-Table5[[#This Row],[SER_IN]]</f>
        <v>0</v>
      </c>
    </row>
    <row r="290" spans="1:42" ht="18.75" x14ac:dyDescent="0.25">
      <c r="A290" s="10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Table5[[#This Row],[ (T/B) SAR]]+Table5[[#This Row],[ (S/S) SAR]]</f>
        <v>0</v>
      </c>
      <c r="L290" s="28"/>
      <c r="M290" s="29"/>
      <c r="N290" s="30"/>
      <c r="O290" s="14"/>
      <c r="P290" s="9">
        <f>Table5[[#This Row],[ (S/S) SAR]]-Table5[[#This Row],[(S/S) AJD]]</f>
        <v>0</v>
      </c>
      <c r="Q290" s="14"/>
      <c r="R290" s="9">
        <f>Table5[[#This Row],[ (T/B) SAR]]-Table5[[#This Row],[(T/B) AJD]]</f>
        <v>0</v>
      </c>
      <c r="S290" s="9">
        <f>Table5[[#This Row],[S/S_CON.]]+Table5[[#This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Table5[[#This Row],[(RESV. STORGE) AJD]]/10</f>
        <v>0</v>
      </c>
      <c r="AB290" s="3">
        <f t="shared" si="19"/>
        <v>0</v>
      </c>
      <c r="AC290" s="5"/>
      <c r="AD290" s="6">
        <f>(Table5[[#This Row],[( S/S+T/B) AJD]]*1000)-((Table5[[#This Row],[(STORGE DIFF.) AJD]]*1000)+Table5[[#This Row],[AJD_Evaporation]]+(Table5[[#This Row],[(A/B + A/S) AJD]]*1000))</f>
        <v>0</v>
      </c>
      <c r="AE290" s="33"/>
      <c r="AF290" s="6"/>
      <c r="AG290" s="6"/>
      <c r="AH290" s="6">
        <f>Table5[[#This Row],[ (RESV. STORGE) BER]]/10</f>
        <v>0</v>
      </c>
      <c r="AI290" s="6"/>
      <c r="AJ290" s="33">
        <f>Table5[[#This Row],[(A/B) AJD]]-Table5[[#This Row],[BER_IN]]</f>
        <v>0</v>
      </c>
      <c r="AK290" s="6"/>
      <c r="AL290" s="6"/>
      <c r="AM290" s="32"/>
      <c r="AN290" s="32">
        <f>Table5[[#This Row],[ (RESV. STORGE) SER]]/10</f>
        <v>0</v>
      </c>
      <c r="AO290" s="68"/>
      <c r="AP290" s="104">
        <f>Table5[[#This Row],[(A/S) AJD]]-Table5[[#This Row],[SER_IN]]</f>
        <v>0</v>
      </c>
    </row>
    <row r="291" spans="1:42" ht="18.75" x14ac:dyDescent="0.25">
      <c r="A291" s="10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Table5[[#This Row],[ (T/B) SAR]]+Table5[[#This Row],[ (S/S) SAR]]</f>
        <v>0</v>
      </c>
      <c r="L291" s="28"/>
      <c r="M291" s="29"/>
      <c r="N291" s="30"/>
      <c r="O291" s="14"/>
      <c r="P291" s="9">
        <f>Table5[[#This Row],[ (S/S) SAR]]-Table5[[#This Row],[(S/S) AJD]]</f>
        <v>0</v>
      </c>
      <c r="Q291" s="14"/>
      <c r="R291" s="9">
        <f>Table5[[#This Row],[ (T/B) SAR]]-Table5[[#This Row],[(T/B) AJD]]</f>
        <v>0</v>
      </c>
      <c r="S291" s="9">
        <f>Table5[[#This Row],[S/S_CON.]]+Table5[[#This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Table5[[#This Row],[(RESV. STORGE) AJD]]/10</f>
        <v>0</v>
      </c>
      <c r="AB291" s="3">
        <f t="shared" si="19"/>
        <v>0</v>
      </c>
      <c r="AC291" s="5"/>
      <c r="AD291" s="6">
        <f>(Table5[[#This Row],[( S/S+T/B) AJD]]*1000)-((Table5[[#This Row],[(STORGE DIFF.) AJD]]*1000)+Table5[[#This Row],[AJD_Evaporation]]+(Table5[[#This Row],[(A/B + A/S) AJD]]*1000))</f>
        <v>0</v>
      </c>
      <c r="AE291" s="33"/>
      <c r="AF291" s="6"/>
      <c r="AG291" s="6"/>
      <c r="AH291" s="6">
        <f>Table5[[#This Row],[ (RESV. STORGE) BER]]/10</f>
        <v>0</v>
      </c>
      <c r="AI291" s="6"/>
      <c r="AJ291" s="33">
        <f>Table5[[#This Row],[(A/B) AJD]]-Table5[[#This Row],[BER_IN]]</f>
        <v>0</v>
      </c>
      <c r="AK291" s="6"/>
      <c r="AL291" s="6"/>
      <c r="AM291" s="32"/>
      <c r="AN291" s="32">
        <f>Table5[[#This Row],[ (RESV. STORGE) SER]]/10</f>
        <v>0</v>
      </c>
      <c r="AO291" s="68"/>
      <c r="AP291" s="104">
        <f>Table5[[#This Row],[(A/S) AJD]]-Table5[[#This Row],[SER_IN]]</f>
        <v>0</v>
      </c>
    </row>
    <row r="292" spans="1:42" ht="18.75" x14ac:dyDescent="0.25">
      <c r="A292" s="10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Table5[[#This Row],[ (T/B) SAR]]+Table5[[#This Row],[ (S/S) SAR]]</f>
        <v>0</v>
      </c>
      <c r="L292" s="28"/>
      <c r="M292" s="29"/>
      <c r="N292" s="30"/>
      <c r="O292" s="9"/>
      <c r="P292" s="9">
        <f>Table5[[#This Row],[ (S/S) SAR]]-Table5[[#This Row],[(S/S) AJD]]</f>
        <v>0</v>
      </c>
      <c r="Q292" s="9"/>
      <c r="R292" s="9">
        <f>Table5[[#This Row],[ (T/B) SAR]]-Table5[[#This Row],[(T/B) AJD]]</f>
        <v>0</v>
      </c>
      <c r="S292" s="9">
        <f>Table5[[#This Row],[S/S_CON.]]+Table5[[#This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Table5[[#This Row],[(RESV. STORGE) AJD]]/10</f>
        <v>0</v>
      </c>
      <c r="AB292" s="3">
        <f t="shared" si="19"/>
        <v>0</v>
      </c>
      <c r="AC292" s="5"/>
      <c r="AD292" s="6">
        <f>(Table5[[#This Row],[( S/S+T/B) AJD]]*1000)-((Table5[[#This Row],[(STORGE DIFF.) AJD]]*1000)+Table5[[#This Row],[AJD_Evaporation]]+(Table5[[#This Row],[(A/B + A/S) AJD]]*1000))</f>
        <v>0</v>
      </c>
      <c r="AE292" s="33"/>
      <c r="AF292" s="6"/>
      <c r="AG292" s="6"/>
      <c r="AH292" s="6">
        <f>Table5[[#This Row],[ (RESV. STORGE) BER]]/10</f>
        <v>0</v>
      </c>
      <c r="AI292" s="6"/>
      <c r="AJ292" s="33">
        <f>Table5[[#This Row],[(A/B) AJD]]-Table5[[#This Row],[BER_IN]]</f>
        <v>0</v>
      </c>
      <c r="AK292" s="6"/>
      <c r="AL292" s="6"/>
      <c r="AM292" s="32"/>
      <c r="AN292" s="32">
        <f>Table5[[#This Row],[ (RESV. STORGE) SER]]/10</f>
        <v>0</v>
      </c>
      <c r="AO292" s="68"/>
      <c r="AP292" s="104">
        <f>Table5[[#This Row],[(A/S) AJD]]-Table5[[#This Row],[SER_IN]]</f>
        <v>0</v>
      </c>
    </row>
    <row r="293" spans="1:42" ht="18.75" x14ac:dyDescent="0.25">
      <c r="A293" s="10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Table5[[#This Row],[ (T/B) SAR]]+Table5[[#This Row],[ (S/S) SAR]]</f>
        <v>0</v>
      </c>
      <c r="L293" s="28"/>
      <c r="M293" s="29"/>
      <c r="N293" s="30"/>
      <c r="O293" s="9"/>
      <c r="P293" s="9">
        <f>Table5[[#This Row],[ (S/S) SAR]]-Table5[[#This Row],[(S/S) AJD]]</f>
        <v>0</v>
      </c>
      <c r="Q293" s="9"/>
      <c r="R293" s="9">
        <f>Table5[[#This Row],[ (T/B) SAR]]-Table5[[#This Row],[(T/B) AJD]]</f>
        <v>0</v>
      </c>
      <c r="S293" s="9">
        <f>Table5[[#This Row],[S/S_CON.]]+Table5[[#This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Table5[[#This Row],[(RESV. STORGE) AJD]]/10</f>
        <v>0</v>
      </c>
      <c r="AB293" s="3">
        <f t="shared" si="19"/>
        <v>0</v>
      </c>
      <c r="AC293" s="5"/>
      <c r="AD293" s="6">
        <f>(Table5[[#This Row],[( S/S+T/B) AJD]]*1000)-((Table5[[#This Row],[(STORGE DIFF.) AJD]]*1000)+Table5[[#This Row],[AJD_Evaporation]]+(Table5[[#This Row],[(A/B + A/S) AJD]]*1000))</f>
        <v>0</v>
      </c>
      <c r="AE293" s="33"/>
      <c r="AF293" s="6"/>
      <c r="AG293" s="6"/>
      <c r="AH293" s="6">
        <f>Table5[[#This Row],[ (RESV. STORGE) BER]]/10</f>
        <v>0</v>
      </c>
      <c r="AI293" s="6"/>
      <c r="AJ293" s="33">
        <f>Table5[[#This Row],[(A/B) AJD]]-Table5[[#This Row],[BER_IN]]</f>
        <v>0</v>
      </c>
      <c r="AK293" s="6"/>
      <c r="AL293" s="6"/>
      <c r="AM293" s="32"/>
      <c r="AN293" s="32">
        <f>Table5[[#This Row],[ (RESV. STORGE) SER]]/10</f>
        <v>0</v>
      </c>
      <c r="AO293" s="68"/>
      <c r="AP293" s="104">
        <f>Table5[[#This Row],[(A/S) AJD]]-Table5[[#This Row],[SER_IN]]</f>
        <v>0</v>
      </c>
    </row>
    <row r="294" spans="1:42" ht="18.75" x14ac:dyDescent="0.25">
      <c r="A294" s="10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Table5[[#This Row],[ (T/B) SAR]]+Table5[[#This Row],[ (S/S) SAR]]</f>
        <v>0</v>
      </c>
      <c r="L294" s="28"/>
      <c r="M294" s="29"/>
      <c r="N294" s="30"/>
      <c r="O294" s="9"/>
      <c r="P294" s="9">
        <f>Table5[[#This Row],[ (S/S) SAR]]-Table5[[#This Row],[(S/S) AJD]]</f>
        <v>0</v>
      </c>
      <c r="Q294" s="9"/>
      <c r="R294" s="9">
        <f>Table5[[#This Row],[ (T/B) SAR]]-Table5[[#This Row],[(T/B) AJD]]</f>
        <v>0</v>
      </c>
      <c r="S294" s="9">
        <f>Table5[[#This Row],[S/S_CON.]]+Table5[[#This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Table5[[#This Row],[(RESV. STORGE) AJD]]/10</f>
        <v>0</v>
      </c>
      <c r="AB294" s="3">
        <f t="shared" si="19"/>
        <v>0</v>
      </c>
      <c r="AC294" s="5"/>
      <c r="AD294" s="6">
        <f>(Table5[[#This Row],[( S/S+T/B) AJD]]*1000)-((Table5[[#This Row],[(STORGE DIFF.) AJD]]*1000)+Table5[[#This Row],[AJD_Evaporation]]+(Table5[[#This Row],[(A/B + A/S) AJD]]*1000))</f>
        <v>0</v>
      </c>
      <c r="AE294" s="33"/>
      <c r="AF294" s="6"/>
      <c r="AG294" s="6"/>
      <c r="AH294" s="6">
        <f>Table5[[#This Row],[ (RESV. STORGE) BER]]/10</f>
        <v>0</v>
      </c>
      <c r="AI294" s="6"/>
      <c r="AJ294" s="33">
        <f>Table5[[#This Row],[(A/B) AJD]]-Table5[[#This Row],[BER_IN]]</f>
        <v>0</v>
      </c>
      <c r="AK294" s="6"/>
      <c r="AL294" s="6"/>
      <c r="AM294" s="32"/>
      <c r="AN294" s="32">
        <f>Table5[[#This Row],[ (RESV. STORGE) SER]]/10</f>
        <v>0</v>
      </c>
      <c r="AO294" s="68"/>
      <c r="AP294" s="104">
        <f>Table5[[#This Row],[(A/S) AJD]]-Table5[[#This Row],[SER_IN]]</f>
        <v>0</v>
      </c>
    </row>
    <row r="295" spans="1:42" ht="18.75" x14ac:dyDescent="0.25">
      <c r="A295" s="10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Table5[[#This Row],[ (T/B) SAR]]+Table5[[#This Row],[ (S/S) SAR]]</f>
        <v>0</v>
      </c>
      <c r="L295" s="28"/>
      <c r="M295" s="29"/>
      <c r="N295" s="30"/>
      <c r="O295" s="9"/>
      <c r="P295" s="9">
        <f>Table5[[#This Row],[ (S/S) SAR]]-Table5[[#This Row],[(S/S) AJD]]</f>
        <v>0</v>
      </c>
      <c r="Q295" s="9"/>
      <c r="R295" s="9">
        <f>Table5[[#This Row],[ (T/B) SAR]]-Table5[[#This Row],[(T/B) AJD]]</f>
        <v>0</v>
      </c>
      <c r="S295" s="9">
        <f>Table5[[#This Row],[S/S_CON.]]+Table5[[#This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Table5[[#This Row],[(RESV. STORGE) AJD]]/10</f>
        <v>0</v>
      </c>
      <c r="AB295" s="3">
        <f t="shared" si="19"/>
        <v>0</v>
      </c>
      <c r="AC295" s="5"/>
      <c r="AD295" s="6">
        <f>(Table5[[#This Row],[( S/S+T/B) AJD]]*1000)-((Table5[[#This Row],[(STORGE DIFF.) AJD]]*1000)+Table5[[#This Row],[AJD_Evaporation]]+(Table5[[#This Row],[(A/B + A/S) AJD]]*1000))</f>
        <v>0</v>
      </c>
      <c r="AE295" s="33"/>
      <c r="AF295" s="6"/>
      <c r="AG295" s="6"/>
      <c r="AH295" s="6">
        <f>Table5[[#This Row],[ (RESV. STORGE) BER]]/10</f>
        <v>0</v>
      </c>
      <c r="AI295" s="6"/>
      <c r="AJ295" s="33">
        <f>Table5[[#This Row],[(A/B) AJD]]-Table5[[#This Row],[BER_IN]]</f>
        <v>0</v>
      </c>
      <c r="AK295" s="6"/>
      <c r="AL295" s="6"/>
      <c r="AM295" s="32"/>
      <c r="AN295" s="32">
        <f>Table5[[#This Row],[ (RESV. STORGE) SER]]/10</f>
        <v>0</v>
      </c>
      <c r="AO295" s="68"/>
      <c r="AP295" s="104">
        <f>Table5[[#This Row],[(A/S) AJD]]-Table5[[#This Row],[SER_IN]]</f>
        <v>0</v>
      </c>
    </row>
    <row r="296" spans="1:42" ht="18.75" x14ac:dyDescent="0.25">
      <c r="A296" s="10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Table5[[#This Row],[ (T/B) SAR]]+Table5[[#This Row],[ (S/S) SAR]]</f>
        <v>0</v>
      </c>
      <c r="L296" s="28"/>
      <c r="M296" s="29"/>
      <c r="N296" s="30"/>
      <c r="O296" s="9"/>
      <c r="P296" s="9">
        <f>Table5[[#This Row],[ (S/S) SAR]]-Table5[[#This Row],[(S/S) AJD]]</f>
        <v>0</v>
      </c>
      <c r="Q296" s="9"/>
      <c r="R296" s="9">
        <f>Table5[[#This Row],[ (T/B) SAR]]-Table5[[#This Row],[(T/B) AJD]]</f>
        <v>0</v>
      </c>
      <c r="S296" s="9">
        <f>Table5[[#This Row],[S/S_CON.]]+Table5[[#This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Table5[[#This Row],[(RESV. STORGE) AJD]]/10</f>
        <v>0</v>
      </c>
      <c r="AB296" s="3">
        <f t="shared" si="19"/>
        <v>0</v>
      </c>
      <c r="AC296" s="5"/>
      <c r="AD296" s="6">
        <f>(Table5[[#This Row],[( S/S+T/B) AJD]]*1000)-((Table5[[#This Row],[(STORGE DIFF.) AJD]]*1000)+Table5[[#This Row],[AJD_Evaporation]]+(Table5[[#This Row],[(A/B + A/S) AJD]]*1000))</f>
        <v>0</v>
      </c>
      <c r="AE296" s="33"/>
      <c r="AF296" s="6"/>
      <c r="AG296" s="6"/>
      <c r="AH296" s="6">
        <f>Table5[[#This Row],[ (RESV. STORGE) BER]]/10</f>
        <v>0</v>
      </c>
      <c r="AI296" s="6"/>
      <c r="AJ296" s="33">
        <f>Table5[[#This Row],[(A/B) AJD]]-Table5[[#This Row],[BER_IN]]</f>
        <v>0</v>
      </c>
      <c r="AK296" s="6"/>
      <c r="AL296" s="6"/>
      <c r="AM296" s="32"/>
      <c r="AN296" s="32">
        <f>Table5[[#This Row],[ (RESV. STORGE) SER]]/10</f>
        <v>0</v>
      </c>
      <c r="AO296" s="68"/>
      <c r="AP296" s="104">
        <f>Table5[[#This Row],[(A/S) AJD]]-Table5[[#This Row],[SER_IN]]</f>
        <v>0</v>
      </c>
    </row>
    <row r="297" spans="1:42" ht="18.75" x14ac:dyDescent="0.25">
      <c r="A297" s="10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Table5[[#This Row],[ (T/B) SAR]]+Table5[[#This Row],[ (S/S) SAR]]</f>
        <v>0</v>
      </c>
      <c r="L297" s="28"/>
      <c r="M297" s="29"/>
      <c r="N297" s="30"/>
      <c r="O297" s="9"/>
      <c r="P297" s="9">
        <f>Table5[[#This Row],[ (S/S) SAR]]-Table5[[#This Row],[(S/S) AJD]]</f>
        <v>0</v>
      </c>
      <c r="Q297" s="9"/>
      <c r="R297" s="9">
        <f>Table5[[#This Row],[ (T/B) SAR]]-Table5[[#This Row],[(T/B) AJD]]</f>
        <v>0</v>
      </c>
      <c r="S297" s="9">
        <f>Table5[[#This Row],[S/S_CON.]]+Table5[[#This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Table5[[#This Row],[(RESV. STORGE) AJD]]/10</f>
        <v>0</v>
      </c>
      <c r="AB297" s="3">
        <f t="shared" si="19"/>
        <v>0</v>
      </c>
      <c r="AC297" s="5"/>
      <c r="AD297" s="6">
        <f>(Table5[[#This Row],[( S/S+T/B) AJD]]*1000)-((Table5[[#This Row],[(STORGE DIFF.) AJD]]*1000)+Table5[[#This Row],[AJD_Evaporation]]+(Table5[[#This Row],[(A/B + A/S) AJD]]*1000))</f>
        <v>0</v>
      </c>
      <c r="AE297" s="33"/>
      <c r="AF297" s="6"/>
      <c r="AG297" s="6"/>
      <c r="AH297" s="6">
        <f>Table5[[#This Row],[ (RESV. STORGE) BER]]/10</f>
        <v>0</v>
      </c>
      <c r="AI297" s="6"/>
      <c r="AJ297" s="33">
        <f>Table5[[#This Row],[(A/B) AJD]]-Table5[[#This Row],[BER_IN]]</f>
        <v>0</v>
      </c>
      <c r="AK297" s="6"/>
      <c r="AL297" s="6"/>
      <c r="AM297" s="32"/>
      <c r="AN297" s="32">
        <f>Table5[[#This Row],[ (RESV. STORGE) SER]]/10</f>
        <v>0</v>
      </c>
      <c r="AO297" s="68"/>
      <c r="AP297" s="104">
        <f>Table5[[#This Row],[(A/S) AJD]]-Table5[[#This Row],[SER_IN]]</f>
        <v>0</v>
      </c>
    </row>
    <row r="298" spans="1:42" ht="18.75" x14ac:dyDescent="0.25">
      <c r="A298" s="10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Table5[[#This Row],[ (T/B) SAR]]+Table5[[#This Row],[ (S/S) SAR]]</f>
        <v>0</v>
      </c>
      <c r="L298" s="28"/>
      <c r="M298" s="29"/>
      <c r="N298" s="30"/>
      <c r="O298" s="9"/>
      <c r="P298" s="9">
        <f>Table5[[#This Row],[ (S/S) SAR]]-Table5[[#This Row],[(S/S) AJD]]</f>
        <v>0</v>
      </c>
      <c r="Q298" s="9"/>
      <c r="R298" s="9">
        <f>Table5[[#This Row],[ (T/B) SAR]]-Table5[[#This Row],[(T/B) AJD]]</f>
        <v>0</v>
      </c>
      <c r="S298" s="9">
        <f>Table5[[#This Row],[S/S_CON.]]+Table5[[#This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Table5[[#This Row],[(RESV. STORGE) AJD]]/10</f>
        <v>0</v>
      </c>
      <c r="AB298" s="3">
        <f t="shared" si="19"/>
        <v>0</v>
      </c>
      <c r="AC298" s="5"/>
      <c r="AD298" s="6">
        <f>(Table5[[#This Row],[( S/S+T/B) AJD]]*1000)-((Table5[[#This Row],[(STORGE DIFF.) AJD]]*1000)+Table5[[#This Row],[AJD_Evaporation]]+(Table5[[#This Row],[(A/B + A/S) AJD]]*1000))</f>
        <v>0</v>
      </c>
      <c r="AE298" s="33"/>
      <c r="AF298" s="6"/>
      <c r="AG298" s="6"/>
      <c r="AH298" s="6">
        <f>Table5[[#This Row],[ (RESV. STORGE) BER]]/10</f>
        <v>0</v>
      </c>
      <c r="AI298" s="6"/>
      <c r="AJ298" s="33">
        <f>Table5[[#This Row],[(A/B) AJD]]-Table5[[#This Row],[BER_IN]]</f>
        <v>0</v>
      </c>
      <c r="AK298" s="6"/>
      <c r="AL298" s="6"/>
      <c r="AM298" s="32"/>
      <c r="AN298" s="32">
        <f>Table5[[#This Row],[ (RESV. STORGE) SER]]/10</f>
        <v>0</v>
      </c>
      <c r="AO298" s="68"/>
      <c r="AP298" s="104">
        <f>Table5[[#This Row],[(A/S) AJD]]-Table5[[#This Row],[SER_IN]]</f>
        <v>0</v>
      </c>
    </row>
    <row r="299" spans="1:42" ht="18.75" x14ac:dyDescent="0.25">
      <c r="A299" s="10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Table5[[#This Row],[ (T/B) SAR]]+Table5[[#This Row],[ (S/S) SAR]]</f>
        <v>0</v>
      </c>
      <c r="L299" s="28"/>
      <c r="M299" s="29"/>
      <c r="N299" s="30"/>
      <c r="O299" s="9"/>
      <c r="P299" s="9">
        <f>Table5[[#This Row],[ (S/S) SAR]]-Table5[[#This Row],[(S/S) AJD]]</f>
        <v>0</v>
      </c>
      <c r="Q299" s="9"/>
      <c r="R299" s="9">
        <f>Table5[[#This Row],[ (T/B) SAR]]-Table5[[#This Row],[(T/B) AJD]]</f>
        <v>0</v>
      </c>
      <c r="S299" s="9">
        <f>Table5[[#This Row],[S/S_CON.]]+Table5[[#This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Table5[[#This Row],[(RESV. STORGE) AJD]]/10</f>
        <v>0</v>
      </c>
      <c r="AB299" s="3">
        <f t="shared" si="19"/>
        <v>0</v>
      </c>
      <c r="AC299" s="5"/>
      <c r="AD299" s="6">
        <f>(Table5[[#This Row],[( S/S+T/B) AJD]]*1000)-((Table5[[#This Row],[(STORGE DIFF.) AJD]]*1000)+Table5[[#This Row],[AJD_Evaporation]]+(Table5[[#This Row],[(A/B + A/S) AJD]]*1000))</f>
        <v>0</v>
      </c>
      <c r="AE299" s="33"/>
      <c r="AF299" s="6"/>
      <c r="AG299" s="6"/>
      <c r="AH299" s="6">
        <f>Table5[[#This Row],[ (RESV. STORGE) BER]]/10</f>
        <v>0</v>
      </c>
      <c r="AI299" s="6"/>
      <c r="AJ299" s="33">
        <f>Table5[[#This Row],[(A/B) AJD]]-Table5[[#This Row],[BER_IN]]</f>
        <v>0</v>
      </c>
      <c r="AK299" s="6"/>
      <c r="AL299" s="6"/>
      <c r="AM299" s="32"/>
      <c r="AN299" s="32">
        <f>Table5[[#This Row],[ (RESV. STORGE) SER]]/10</f>
        <v>0</v>
      </c>
      <c r="AO299" s="68"/>
      <c r="AP299" s="104">
        <f>Table5[[#This Row],[(A/S) AJD]]-Table5[[#This Row],[SER_IN]]</f>
        <v>0</v>
      </c>
    </row>
    <row r="300" spans="1:42" ht="18.75" x14ac:dyDescent="0.25">
      <c r="A300" s="10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Table5[[#This Row],[ (T/B) SAR]]+Table5[[#This Row],[ (S/S) SAR]]</f>
        <v>0</v>
      </c>
      <c r="L300" s="28"/>
      <c r="M300" s="29"/>
      <c r="N300" s="30"/>
      <c r="O300" s="9"/>
      <c r="P300" s="9">
        <f>Table5[[#This Row],[ (S/S) SAR]]-Table5[[#This Row],[(S/S) AJD]]</f>
        <v>0</v>
      </c>
      <c r="Q300" s="9"/>
      <c r="R300" s="9">
        <f>Table5[[#This Row],[ (T/B) SAR]]-Table5[[#This Row],[(T/B) AJD]]</f>
        <v>0</v>
      </c>
      <c r="S300" s="9">
        <f>Table5[[#This Row],[S/S_CON.]]+Table5[[#This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Table5[[#This Row],[(RESV. STORGE) AJD]]/10</f>
        <v>0</v>
      </c>
      <c r="AB300" s="3">
        <f t="shared" si="19"/>
        <v>0</v>
      </c>
      <c r="AC300" s="5"/>
      <c r="AD300" s="6">
        <f>(Table5[[#This Row],[( S/S+T/B) AJD]]*1000)-((Table5[[#This Row],[(STORGE DIFF.) AJD]]*1000)+Table5[[#This Row],[AJD_Evaporation]]+(Table5[[#This Row],[(A/B + A/S) AJD]]*1000))</f>
        <v>0</v>
      </c>
      <c r="AE300" s="33"/>
      <c r="AF300" s="6"/>
      <c r="AG300" s="6"/>
      <c r="AH300" s="6">
        <f>Table5[[#This Row],[ (RESV. STORGE) BER]]/10</f>
        <v>0</v>
      </c>
      <c r="AI300" s="6"/>
      <c r="AJ300" s="33">
        <f>Table5[[#This Row],[(A/B) AJD]]-Table5[[#This Row],[BER_IN]]</f>
        <v>0</v>
      </c>
      <c r="AK300" s="6"/>
      <c r="AL300" s="6"/>
      <c r="AM300" s="32"/>
      <c r="AN300" s="32">
        <f>Table5[[#This Row],[ (RESV. STORGE) SER]]/10</f>
        <v>0</v>
      </c>
      <c r="AO300" s="68"/>
      <c r="AP300" s="104">
        <f>Table5[[#This Row],[(A/S) AJD]]-Table5[[#This Row],[SER_IN]]</f>
        <v>0</v>
      </c>
    </row>
    <row r="301" spans="1:42" ht="18.75" x14ac:dyDescent="0.25">
      <c r="A301" s="10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Table5[[#This Row],[ (T/B) SAR]]+Table5[[#This Row],[ (S/S) SAR]]</f>
        <v>0</v>
      </c>
      <c r="L301" s="28"/>
      <c r="M301" s="29"/>
      <c r="N301" s="30"/>
      <c r="O301" s="9"/>
      <c r="P301" s="9">
        <f>Table5[[#This Row],[ (S/S) SAR]]-Table5[[#This Row],[(S/S) AJD]]</f>
        <v>0</v>
      </c>
      <c r="Q301" s="9"/>
      <c r="R301" s="9">
        <f>Table5[[#This Row],[ (T/B) SAR]]-Table5[[#This Row],[(T/B) AJD]]</f>
        <v>0</v>
      </c>
      <c r="S301" s="9">
        <f>Table5[[#This Row],[S/S_CON.]]+Table5[[#This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Table5[[#This Row],[(RESV. STORGE) AJD]]/10</f>
        <v>0</v>
      </c>
      <c r="AB301" s="3">
        <f t="shared" si="19"/>
        <v>0</v>
      </c>
      <c r="AC301" s="5"/>
      <c r="AD301" s="6">
        <f>(Table5[[#This Row],[( S/S+T/B) AJD]]*1000)-((Table5[[#This Row],[(STORGE DIFF.) AJD]]*1000)+Table5[[#This Row],[AJD_Evaporation]]+(Table5[[#This Row],[(A/B + A/S) AJD]]*1000))</f>
        <v>0</v>
      </c>
      <c r="AE301" s="33"/>
      <c r="AF301" s="6"/>
      <c r="AG301" s="6"/>
      <c r="AH301" s="6">
        <f>Table5[[#This Row],[ (RESV. STORGE) BER]]/10</f>
        <v>0</v>
      </c>
      <c r="AI301" s="6"/>
      <c r="AJ301" s="33">
        <f>Table5[[#This Row],[(A/B) AJD]]-Table5[[#This Row],[BER_IN]]</f>
        <v>0</v>
      </c>
      <c r="AK301" s="6"/>
      <c r="AL301" s="6"/>
      <c r="AM301" s="32"/>
      <c r="AN301" s="32">
        <f>Table5[[#This Row],[ (RESV. STORGE) SER]]/10</f>
        <v>0</v>
      </c>
      <c r="AO301" s="68"/>
      <c r="AP301" s="104">
        <f>Table5[[#This Row],[(A/S) AJD]]-Table5[[#This Row],[SER_IN]]</f>
        <v>0</v>
      </c>
    </row>
    <row r="302" spans="1:42" ht="18.75" x14ac:dyDescent="0.25">
      <c r="A302" s="10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Table5[[#This Row],[ (T/B) SAR]]+Table5[[#This Row],[ (S/S) SAR]]</f>
        <v>0</v>
      </c>
      <c r="L302" s="28"/>
      <c r="M302" s="29"/>
      <c r="N302" s="30"/>
      <c r="O302" s="9"/>
      <c r="P302" s="9">
        <f>Table5[[#This Row],[ (S/S) SAR]]-Table5[[#This Row],[(S/S) AJD]]</f>
        <v>0</v>
      </c>
      <c r="Q302" s="9"/>
      <c r="R302" s="9">
        <f>Table5[[#This Row],[ (T/B) SAR]]-Table5[[#This Row],[(T/B) AJD]]</f>
        <v>0</v>
      </c>
      <c r="S302" s="9">
        <f>Table5[[#This Row],[S/S_CON.]]+Table5[[#This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Table5[[#This Row],[(RESV. STORGE) AJD]]/10</f>
        <v>0</v>
      </c>
      <c r="AB302" s="3">
        <f t="shared" si="19"/>
        <v>0</v>
      </c>
      <c r="AC302" s="5"/>
      <c r="AD302" s="6">
        <f>(Table5[[#This Row],[( S/S+T/B) AJD]]*1000)-((Table5[[#This Row],[(STORGE DIFF.) AJD]]*1000)+Table5[[#This Row],[AJD_Evaporation]]+(Table5[[#This Row],[(A/B + A/S) AJD]]*1000))</f>
        <v>0</v>
      </c>
      <c r="AE302" s="33"/>
      <c r="AF302" s="6"/>
      <c r="AG302" s="6"/>
      <c r="AH302" s="6">
        <f>Table5[[#This Row],[ (RESV. STORGE) BER]]/10</f>
        <v>0</v>
      </c>
      <c r="AI302" s="6"/>
      <c r="AJ302" s="33">
        <f>Table5[[#This Row],[(A/B) AJD]]-Table5[[#This Row],[BER_IN]]</f>
        <v>0</v>
      </c>
      <c r="AK302" s="6"/>
      <c r="AL302" s="6"/>
      <c r="AM302" s="32"/>
      <c r="AN302" s="32">
        <f>Table5[[#This Row],[ (RESV. STORGE) SER]]/10</f>
        <v>0</v>
      </c>
      <c r="AO302" s="68"/>
      <c r="AP302" s="104">
        <f>Table5[[#This Row],[(A/S) AJD]]-Table5[[#This Row],[SER_IN]]</f>
        <v>0</v>
      </c>
    </row>
    <row r="303" spans="1:42" ht="18.75" x14ac:dyDescent="0.25">
      <c r="A303" s="10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Table5[[#This Row],[ (T/B) SAR]]+Table5[[#This Row],[ (S/S) SAR]]</f>
        <v>0</v>
      </c>
      <c r="L303" s="28"/>
      <c r="M303" s="29"/>
      <c r="N303" s="30"/>
      <c r="O303" s="9"/>
      <c r="P303" s="9">
        <f>Table5[[#This Row],[ (S/S) SAR]]-Table5[[#This Row],[(S/S) AJD]]</f>
        <v>0</v>
      </c>
      <c r="Q303" s="9"/>
      <c r="R303" s="9">
        <f>Table5[[#This Row],[ (T/B) SAR]]-Table5[[#This Row],[(T/B) AJD]]</f>
        <v>0</v>
      </c>
      <c r="S303" s="9">
        <f>Table5[[#This Row],[S/S_CON.]]+Table5[[#This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Table5[[#This Row],[(RESV. STORGE) AJD]]/10</f>
        <v>0</v>
      </c>
      <c r="AB303" s="3">
        <f t="shared" si="19"/>
        <v>0</v>
      </c>
      <c r="AC303" s="5"/>
      <c r="AD303" s="6">
        <f>(Table5[[#This Row],[( S/S+T/B) AJD]]*1000)-((Table5[[#This Row],[(STORGE DIFF.) AJD]]*1000)+Table5[[#This Row],[AJD_Evaporation]]+(Table5[[#This Row],[(A/B + A/S) AJD]]*1000))</f>
        <v>0</v>
      </c>
      <c r="AE303" s="33"/>
      <c r="AF303" s="6"/>
      <c r="AG303" s="6"/>
      <c r="AH303" s="6">
        <f>Table5[[#This Row],[ (RESV. STORGE) BER]]/10</f>
        <v>0</v>
      </c>
      <c r="AI303" s="6"/>
      <c r="AJ303" s="33">
        <f>Table5[[#This Row],[(A/B) AJD]]-Table5[[#This Row],[BER_IN]]</f>
        <v>0</v>
      </c>
      <c r="AK303" s="6"/>
      <c r="AL303" s="6"/>
      <c r="AM303" s="32"/>
      <c r="AN303" s="32">
        <f>Table5[[#This Row],[ (RESV. STORGE) SER]]/10</f>
        <v>0</v>
      </c>
      <c r="AO303" s="68"/>
      <c r="AP303" s="104">
        <f>Table5[[#This Row],[(A/S) AJD]]-Table5[[#This Row],[SER_IN]]</f>
        <v>0</v>
      </c>
    </row>
    <row r="304" spans="1:42" ht="18.75" x14ac:dyDescent="0.25">
      <c r="A304" s="10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Table5[[#This Row],[ (T/B) SAR]]+Table5[[#This Row],[ (S/S) SAR]]</f>
        <v>0</v>
      </c>
      <c r="L304" s="28"/>
      <c r="M304" s="29"/>
      <c r="N304" s="30"/>
      <c r="O304" s="9"/>
      <c r="P304" s="9">
        <f>Table5[[#This Row],[ (S/S) SAR]]-Table5[[#This Row],[(S/S) AJD]]</f>
        <v>0</v>
      </c>
      <c r="Q304" s="9"/>
      <c r="R304" s="9">
        <f>Table5[[#This Row],[ (T/B) SAR]]-Table5[[#This Row],[(T/B) AJD]]</f>
        <v>0</v>
      </c>
      <c r="S304" s="9">
        <f>Table5[[#This Row],[S/S_CON.]]+Table5[[#This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Table5[[#This Row],[(RESV. STORGE) AJD]]/10</f>
        <v>0</v>
      </c>
      <c r="AB304" s="3">
        <f t="shared" si="19"/>
        <v>0</v>
      </c>
      <c r="AC304" s="5"/>
      <c r="AD304" s="6">
        <f>(Table5[[#This Row],[( S/S+T/B) AJD]]*1000)-((Table5[[#This Row],[(STORGE DIFF.) AJD]]*1000)+Table5[[#This Row],[AJD_Evaporation]]+(Table5[[#This Row],[(A/B + A/S) AJD]]*1000))</f>
        <v>0</v>
      </c>
      <c r="AE304" s="33"/>
      <c r="AF304" s="6"/>
      <c r="AG304" s="6"/>
      <c r="AH304" s="6">
        <f>Table5[[#This Row],[ (RESV. STORGE) BER]]/10</f>
        <v>0</v>
      </c>
      <c r="AI304" s="6"/>
      <c r="AJ304" s="33">
        <f>Table5[[#This Row],[(A/B) AJD]]-Table5[[#This Row],[BER_IN]]</f>
        <v>0</v>
      </c>
      <c r="AK304" s="6"/>
      <c r="AL304" s="6"/>
      <c r="AM304" s="32"/>
      <c r="AN304" s="32">
        <f>Table5[[#This Row],[ (RESV. STORGE) SER]]/10</f>
        <v>0</v>
      </c>
      <c r="AO304" s="68"/>
      <c r="AP304" s="104">
        <f>Table5[[#This Row],[(A/S) AJD]]-Table5[[#This Row],[SER_IN]]</f>
        <v>0</v>
      </c>
    </row>
    <row r="305" spans="1:42" ht="18.75" x14ac:dyDescent="0.25">
      <c r="A305" s="10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Table5[[#This Row],[ (T/B) SAR]]+Table5[[#This Row],[ (S/S) SAR]]</f>
        <v>0</v>
      </c>
      <c r="L305" s="28"/>
      <c r="M305" s="29"/>
      <c r="N305" s="30"/>
      <c r="O305" s="9"/>
      <c r="P305" s="9">
        <f>Table5[[#This Row],[ (S/S) SAR]]-Table5[[#This Row],[(S/S) AJD]]</f>
        <v>0</v>
      </c>
      <c r="Q305" s="9"/>
      <c r="R305" s="9">
        <f>Table5[[#This Row],[ (T/B) SAR]]-Table5[[#This Row],[(T/B) AJD]]</f>
        <v>0</v>
      </c>
      <c r="S305" s="9">
        <f>Table5[[#This Row],[S/S_CON.]]+Table5[[#This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Table5[[#This Row],[(RESV. STORGE) AJD]]/10</f>
        <v>0</v>
      </c>
      <c r="AB305" s="3">
        <f t="shared" si="19"/>
        <v>0</v>
      </c>
      <c r="AC305" s="5"/>
      <c r="AD305" s="6">
        <f>(Table5[[#This Row],[( S/S+T/B) AJD]]*1000)-((Table5[[#This Row],[(STORGE DIFF.) AJD]]*1000)+Table5[[#This Row],[AJD_Evaporation]]+(Table5[[#This Row],[(A/B + A/S) AJD]]*1000))</f>
        <v>0</v>
      </c>
      <c r="AE305" s="33"/>
      <c r="AF305" s="6"/>
      <c r="AG305" s="6"/>
      <c r="AH305" s="6">
        <f>Table5[[#This Row],[ (RESV. STORGE) BER]]/10</f>
        <v>0</v>
      </c>
      <c r="AI305" s="6"/>
      <c r="AJ305" s="33">
        <f>Table5[[#This Row],[(A/B) AJD]]-Table5[[#This Row],[BER_IN]]</f>
        <v>0</v>
      </c>
      <c r="AK305" s="6"/>
      <c r="AL305" s="6"/>
      <c r="AM305" s="32"/>
      <c r="AN305" s="32">
        <f>Table5[[#This Row],[ (RESV. STORGE) SER]]/10</f>
        <v>0</v>
      </c>
      <c r="AO305" s="68"/>
      <c r="AP305" s="104">
        <f>Table5[[#This Row],[(A/S) AJD]]-Table5[[#This Row],[SER_IN]]</f>
        <v>0</v>
      </c>
    </row>
    <row r="306" spans="1:42" ht="18.75" x14ac:dyDescent="0.25">
      <c r="A306" s="10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Table5[[#This Row],[ (T/B) SAR]]+Table5[[#This Row],[ (S/S) SAR]]</f>
        <v>0</v>
      </c>
      <c r="L306" s="28"/>
      <c r="M306" s="29"/>
      <c r="N306" s="30"/>
      <c r="O306" s="39"/>
      <c r="P306" s="9">
        <f>Table5[[#This Row],[ (S/S) SAR]]-Table5[[#This Row],[(S/S) AJD]]</f>
        <v>0</v>
      </c>
      <c r="Q306" s="9"/>
      <c r="R306" s="9">
        <f>Table5[[#This Row],[ (T/B) SAR]]-Table5[[#This Row],[(T/B) AJD]]</f>
        <v>0</v>
      </c>
      <c r="S306" s="9">
        <f>Table5[[#This Row],[S/S_CON.]]+Table5[[#This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Table5[[#This Row],[(RESV. STORGE) AJD]]/10</f>
        <v>0</v>
      </c>
      <c r="AB306" s="3">
        <f t="shared" si="19"/>
        <v>0</v>
      </c>
      <c r="AC306" s="5"/>
      <c r="AD306" s="6">
        <f>(Table5[[#This Row],[( S/S+T/B) AJD]]*1000)-((Table5[[#This Row],[(STORGE DIFF.) AJD]]*1000)+Table5[[#This Row],[AJD_Evaporation]]+(Table5[[#This Row],[(A/B + A/S) AJD]]*1000))</f>
        <v>0</v>
      </c>
      <c r="AE306" s="33"/>
      <c r="AF306" s="6"/>
      <c r="AG306" s="6"/>
      <c r="AH306" s="6">
        <f>Table5[[#This Row],[ (RESV. STORGE) BER]]/10</f>
        <v>0</v>
      </c>
      <c r="AI306" s="6"/>
      <c r="AJ306" s="33">
        <f>Table5[[#This Row],[(A/B) AJD]]-Table5[[#This Row],[BER_IN]]</f>
        <v>0</v>
      </c>
      <c r="AK306" s="6"/>
      <c r="AL306" s="6"/>
      <c r="AM306" s="32"/>
      <c r="AN306" s="32">
        <f>Table5[[#This Row],[ (RESV. STORGE) SER]]/10</f>
        <v>0</v>
      </c>
      <c r="AO306" s="68"/>
      <c r="AP306" s="104">
        <f>Table5[[#This Row],[(A/S) AJD]]-Table5[[#This Row],[SER_IN]]</f>
        <v>0</v>
      </c>
    </row>
    <row r="307" spans="1:42" ht="18.75" x14ac:dyDescent="0.25">
      <c r="A307" s="10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Table5[[#This Row],[ (T/B) SAR]]+Table5[[#This Row],[ (S/S) SAR]]</f>
        <v>0</v>
      </c>
      <c r="L307" s="28"/>
      <c r="M307" s="29"/>
      <c r="N307" s="30"/>
      <c r="O307" s="40"/>
      <c r="P307" s="9">
        <f>Table5[[#This Row],[ (S/S) SAR]]-Table5[[#This Row],[(S/S) AJD]]</f>
        <v>0</v>
      </c>
      <c r="Q307" s="9"/>
      <c r="R307" s="9">
        <f>Table5[[#This Row],[ (T/B) SAR]]-Table5[[#This Row],[(T/B) AJD]]</f>
        <v>0</v>
      </c>
      <c r="S307" s="9">
        <f>Table5[[#This Row],[S/S_CON.]]+Table5[[#This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Table5[[#This Row],[(RESV. STORGE) AJD]]/10</f>
        <v>0</v>
      </c>
      <c r="AB307" s="3">
        <f t="shared" si="19"/>
        <v>0</v>
      </c>
      <c r="AC307" s="5"/>
      <c r="AD307" s="6">
        <f>(Table5[[#This Row],[( S/S+T/B) AJD]]*1000)-((Table5[[#This Row],[(STORGE DIFF.) AJD]]*1000)+Table5[[#This Row],[AJD_Evaporation]]+(Table5[[#This Row],[(A/B + A/S) AJD]]*1000))</f>
        <v>0</v>
      </c>
      <c r="AE307" s="33"/>
      <c r="AF307" s="6"/>
      <c r="AG307" s="6"/>
      <c r="AH307" s="6">
        <f>Table5[[#This Row],[ (RESV. STORGE) BER]]/10</f>
        <v>0</v>
      </c>
      <c r="AI307" s="6"/>
      <c r="AJ307" s="33">
        <f>Table5[[#This Row],[(A/B) AJD]]-Table5[[#This Row],[BER_IN]]</f>
        <v>0</v>
      </c>
      <c r="AK307" s="6"/>
      <c r="AL307" s="6"/>
      <c r="AM307" s="32"/>
      <c r="AN307" s="32">
        <f>Table5[[#This Row],[ (RESV. STORGE) SER]]/10</f>
        <v>0</v>
      </c>
      <c r="AO307" s="68"/>
      <c r="AP307" s="104">
        <f>Table5[[#This Row],[(A/S) AJD]]-Table5[[#This Row],[SER_IN]]</f>
        <v>0</v>
      </c>
    </row>
    <row r="308" spans="1:42" ht="18.75" x14ac:dyDescent="0.25">
      <c r="A308" s="10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Table5[[#This Row],[ (T/B) SAR]]+Table5[[#This Row],[ (S/S) SAR]]</f>
        <v>0</v>
      </c>
      <c r="L308" s="28"/>
      <c r="M308" s="29"/>
      <c r="N308" s="30"/>
      <c r="O308" s="39"/>
      <c r="P308" s="9">
        <f>Table5[[#This Row],[ (S/S) SAR]]-Table5[[#This Row],[(S/S) AJD]]</f>
        <v>0</v>
      </c>
      <c r="Q308" s="9"/>
      <c r="R308" s="9">
        <f>Table5[[#This Row],[ (T/B) SAR]]-Table5[[#This Row],[(T/B) AJD]]</f>
        <v>0</v>
      </c>
      <c r="S308" s="9">
        <f>Table5[[#This Row],[S/S_CON.]]+Table5[[#This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Table5[[#This Row],[(RESV. STORGE) AJD]]/10</f>
        <v>0</v>
      </c>
      <c r="AB308" s="3">
        <f t="shared" si="19"/>
        <v>0</v>
      </c>
      <c r="AC308" s="5"/>
      <c r="AD308" s="6">
        <f>(Table5[[#This Row],[( S/S+T/B) AJD]]*1000)-((Table5[[#This Row],[(STORGE DIFF.) AJD]]*1000)+Table5[[#This Row],[AJD_Evaporation]]+(Table5[[#This Row],[(A/B + A/S) AJD]]*1000))</f>
        <v>0</v>
      </c>
      <c r="AE308" s="33"/>
      <c r="AF308" s="6"/>
      <c r="AG308" s="6"/>
      <c r="AH308" s="6">
        <f>Table5[[#This Row],[ (RESV. STORGE) BER]]/10</f>
        <v>0</v>
      </c>
      <c r="AI308" s="6"/>
      <c r="AJ308" s="33">
        <f>Table5[[#This Row],[(A/B) AJD]]-Table5[[#This Row],[BER_IN]]</f>
        <v>0</v>
      </c>
      <c r="AK308" s="6"/>
      <c r="AL308" s="6"/>
      <c r="AM308" s="32"/>
      <c r="AN308" s="32">
        <f>Table5[[#This Row],[ (RESV. STORGE) SER]]/10</f>
        <v>0</v>
      </c>
      <c r="AO308" s="68"/>
      <c r="AP308" s="104">
        <f>Table5[[#This Row],[(A/S) AJD]]-Table5[[#This Row],[SER_IN]]</f>
        <v>0</v>
      </c>
    </row>
    <row r="309" spans="1:42" ht="18.75" x14ac:dyDescent="0.25">
      <c r="A309" s="10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Table5[[#This Row],[ (T/B) SAR]]+Table5[[#This Row],[ (S/S) SAR]]</f>
        <v>0</v>
      </c>
      <c r="L309" s="28"/>
      <c r="M309" s="29"/>
      <c r="N309" s="30"/>
      <c r="O309" s="40"/>
      <c r="P309" s="9">
        <f>Table5[[#This Row],[ (S/S) SAR]]-Table5[[#This Row],[(S/S) AJD]]</f>
        <v>0</v>
      </c>
      <c r="Q309" s="9"/>
      <c r="R309" s="9">
        <f>Table5[[#This Row],[ (T/B) SAR]]-Table5[[#This Row],[(T/B) AJD]]</f>
        <v>0</v>
      </c>
      <c r="S309" s="9">
        <f>Table5[[#This Row],[S/S_CON.]]+Table5[[#This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Table5[[#This Row],[(RESV. STORGE) AJD]]/10</f>
        <v>0</v>
      </c>
      <c r="AB309" s="3">
        <f t="shared" si="19"/>
        <v>0</v>
      </c>
      <c r="AC309" s="5"/>
      <c r="AD309" s="6">
        <f>(Table5[[#This Row],[( S/S+T/B) AJD]]*1000)-((Table5[[#This Row],[(STORGE DIFF.) AJD]]*1000)+Table5[[#This Row],[AJD_Evaporation]]+(Table5[[#This Row],[(A/B + A/S) AJD]]*1000))</f>
        <v>0</v>
      </c>
      <c r="AE309" s="33"/>
      <c r="AF309" s="6"/>
      <c r="AG309" s="6"/>
      <c r="AH309" s="6">
        <f>Table5[[#This Row],[ (RESV. STORGE) BER]]/10</f>
        <v>0</v>
      </c>
      <c r="AI309" s="6"/>
      <c r="AJ309" s="33">
        <f>Table5[[#This Row],[(A/B) AJD]]-Table5[[#This Row],[BER_IN]]</f>
        <v>0</v>
      </c>
      <c r="AK309" s="6"/>
      <c r="AL309" s="6"/>
      <c r="AM309" s="32"/>
      <c r="AN309" s="32">
        <f>Table5[[#This Row],[ (RESV. STORGE) SER]]/10</f>
        <v>0</v>
      </c>
      <c r="AO309" s="68"/>
      <c r="AP309" s="104">
        <f>Table5[[#This Row],[(A/S) AJD]]-Table5[[#This Row],[SER_IN]]</f>
        <v>0</v>
      </c>
    </row>
    <row r="310" spans="1:42" ht="18.75" x14ac:dyDescent="0.25">
      <c r="A310" s="10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Table5[[#This Row],[ (T/B) SAR]]+Table5[[#This Row],[ (S/S) SAR]]</f>
        <v>0</v>
      </c>
      <c r="L310" s="28"/>
      <c r="M310" s="29"/>
      <c r="N310" s="30"/>
      <c r="O310" s="39"/>
      <c r="P310" s="9">
        <f>Table5[[#This Row],[ (S/S) SAR]]-Table5[[#This Row],[(S/S) AJD]]</f>
        <v>0</v>
      </c>
      <c r="Q310" s="9"/>
      <c r="R310" s="9">
        <f>Table5[[#This Row],[ (T/B) SAR]]-Table5[[#This Row],[(T/B) AJD]]</f>
        <v>0</v>
      </c>
      <c r="S310" s="9">
        <f>Table5[[#This Row],[S/S_CON.]]+Table5[[#This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Table5[[#This Row],[(RESV. STORGE) AJD]]/10</f>
        <v>0</v>
      </c>
      <c r="AB310" s="3">
        <f t="shared" si="19"/>
        <v>0</v>
      </c>
      <c r="AC310" s="5"/>
      <c r="AD310" s="6">
        <f>(Table5[[#This Row],[( S/S+T/B) AJD]]*1000)-((Table5[[#This Row],[(STORGE DIFF.) AJD]]*1000)+Table5[[#This Row],[AJD_Evaporation]]+(Table5[[#This Row],[(A/B + A/S) AJD]]*1000))</f>
        <v>0</v>
      </c>
      <c r="AE310" s="33"/>
      <c r="AF310" s="6"/>
      <c r="AG310" s="6"/>
      <c r="AH310" s="6">
        <f>Table5[[#This Row],[ (RESV. STORGE) BER]]/10</f>
        <v>0</v>
      </c>
      <c r="AI310" s="6"/>
      <c r="AJ310" s="33">
        <f>Table5[[#This Row],[(A/B) AJD]]-Table5[[#This Row],[BER_IN]]</f>
        <v>0</v>
      </c>
      <c r="AK310" s="6"/>
      <c r="AL310" s="6"/>
      <c r="AM310" s="32"/>
      <c r="AN310" s="32">
        <f>Table5[[#This Row],[ (RESV. STORGE) SER]]/10</f>
        <v>0</v>
      </c>
      <c r="AO310" s="68"/>
      <c r="AP310" s="104">
        <f>Table5[[#This Row],[(A/S) AJD]]-Table5[[#This Row],[SER_IN]]</f>
        <v>0</v>
      </c>
    </row>
    <row r="311" spans="1:42" ht="18.75" x14ac:dyDescent="0.25">
      <c r="A311" s="10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Table5[[#This Row],[ (T/B) SAR]]+Table5[[#This Row],[ (S/S) SAR]]</f>
        <v>0</v>
      </c>
      <c r="L311" s="28"/>
      <c r="M311" s="29"/>
      <c r="N311" s="30"/>
      <c r="O311" s="40"/>
      <c r="P311" s="9">
        <f>Table5[[#This Row],[ (S/S) SAR]]-Table5[[#This Row],[(S/S) AJD]]</f>
        <v>0</v>
      </c>
      <c r="Q311" s="9"/>
      <c r="R311" s="9">
        <f>Table5[[#This Row],[ (T/B) SAR]]-Table5[[#This Row],[(T/B) AJD]]</f>
        <v>0</v>
      </c>
      <c r="S311" s="9">
        <f>Table5[[#This Row],[S/S_CON.]]+Table5[[#This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Table5[[#This Row],[(RESV. STORGE) AJD]]/10</f>
        <v>0</v>
      </c>
      <c r="AB311" s="3">
        <f t="shared" si="19"/>
        <v>0</v>
      </c>
      <c r="AC311" s="5"/>
      <c r="AD311" s="6">
        <f>(Table5[[#This Row],[( S/S+T/B) AJD]]*1000)-((Table5[[#This Row],[(STORGE DIFF.) AJD]]*1000)+Table5[[#This Row],[AJD_Evaporation]]+(Table5[[#This Row],[(A/B + A/S) AJD]]*1000))</f>
        <v>0</v>
      </c>
      <c r="AE311" s="33"/>
      <c r="AF311" s="6"/>
      <c r="AG311" s="6"/>
      <c r="AH311" s="6">
        <f>Table5[[#This Row],[ (RESV. STORGE) BER]]/10</f>
        <v>0</v>
      </c>
      <c r="AI311" s="6"/>
      <c r="AJ311" s="33">
        <f>Table5[[#This Row],[(A/B) AJD]]-Table5[[#This Row],[BER_IN]]</f>
        <v>0</v>
      </c>
      <c r="AK311" s="6"/>
      <c r="AL311" s="6"/>
      <c r="AM311" s="32"/>
      <c r="AN311" s="32">
        <f>Table5[[#This Row],[ (RESV. STORGE) SER]]/10</f>
        <v>0</v>
      </c>
      <c r="AO311" s="68"/>
      <c r="AP311" s="104">
        <f>Table5[[#This Row],[(A/S) AJD]]-Table5[[#This Row],[SER_IN]]</f>
        <v>0</v>
      </c>
    </row>
    <row r="312" spans="1:42" ht="18.75" x14ac:dyDescent="0.25">
      <c r="A312" s="10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Table5[[#This Row],[ (T/B) SAR]]+Table5[[#This Row],[ (S/S) SAR]]</f>
        <v>0</v>
      </c>
      <c r="L312" s="28"/>
      <c r="M312" s="29"/>
      <c r="N312" s="30"/>
      <c r="O312" s="39"/>
      <c r="P312" s="9">
        <f>Table5[[#This Row],[ (S/S) SAR]]-Table5[[#This Row],[(S/S) AJD]]</f>
        <v>0</v>
      </c>
      <c r="Q312" s="9"/>
      <c r="R312" s="9">
        <f>Table5[[#This Row],[ (T/B) SAR]]-Table5[[#This Row],[(T/B) AJD]]</f>
        <v>0</v>
      </c>
      <c r="S312" s="9">
        <f>Table5[[#This Row],[S/S_CON.]]+Table5[[#This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Table5[[#This Row],[(RESV. STORGE) AJD]]/10</f>
        <v>0</v>
      </c>
      <c r="AB312" s="3">
        <f t="shared" si="19"/>
        <v>0</v>
      </c>
      <c r="AC312" s="5"/>
      <c r="AD312" s="6">
        <f>(Table5[[#This Row],[( S/S+T/B) AJD]]*1000)-((Table5[[#This Row],[(STORGE DIFF.) AJD]]*1000)+Table5[[#This Row],[AJD_Evaporation]]+(Table5[[#This Row],[(A/B + A/S) AJD]]*1000))</f>
        <v>0</v>
      </c>
      <c r="AE312" s="33"/>
      <c r="AF312" s="6"/>
      <c r="AG312" s="6"/>
      <c r="AH312" s="6">
        <f>Table5[[#This Row],[ (RESV. STORGE) BER]]/10</f>
        <v>0</v>
      </c>
      <c r="AI312" s="6"/>
      <c r="AJ312" s="33">
        <f>Table5[[#This Row],[(A/B) AJD]]-Table5[[#This Row],[BER_IN]]</f>
        <v>0</v>
      </c>
      <c r="AK312" s="6"/>
      <c r="AL312" s="6"/>
      <c r="AM312" s="32"/>
      <c r="AN312" s="32">
        <f>Table5[[#This Row],[ (RESV. STORGE) SER]]/10</f>
        <v>0</v>
      </c>
      <c r="AO312" s="68"/>
      <c r="AP312" s="104">
        <f>Table5[[#This Row],[(A/S) AJD]]-Table5[[#This Row],[SER_IN]]</f>
        <v>0</v>
      </c>
    </row>
    <row r="313" spans="1:42" ht="18.75" x14ac:dyDescent="0.25">
      <c r="A313" s="10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Table5[[#This Row],[ (T/B) SAR]]+Table5[[#This Row],[ (S/S) SAR]]</f>
        <v>0</v>
      </c>
      <c r="L313" s="28"/>
      <c r="M313" s="29"/>
      <c r="N313" s="30"/>
      <c r="O313" s="40"/>
      <c r="P313" s="9">
        <f>Table5[[#This Row],[ (S/S) SAR]]-Table5[[#This Row],[(S/S) AJD]]</f>
        <v>0</v>
      </c>
      <c r="Q313" s="9"/>
      <c r="R313" s="9">
        <f>Table5[[#This Row],[ (T/B) SAR]]-Table5[[#This Row],[(T/B) AJD]]</f>
        <v>0</v>
      </c>
      <c r="S313" s="9">
        <f>Table5[[#This Row],[S/S_CON.]]+Table5[[#This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Table5[[#This Row],[(RESV. STORGE) AJD]]/10</f>
        <v>0</v>
      </c>
      <c r="AB313" s="3">
        <f t="shared" si="19"/>
        <v>0</v>
      </c>
      <c r="AC313" s="5"/>
      <c r="AD313" s="6">
        <f>(Table5[[#This Row],[( S/S+T/B) AJD]]*1000)-((Table5[[#This Row],[(STORGE DIFF.) AJD]]*1000)+Table5[[#This Row],[AJD_Evaporation]]+(Table5[[#This Row],[(A/B + A/S) AJD]]*1000))</f>
        <v>0</v>
      </c>
      <c r="AE313" s="33"/>
      <c r="AF313" s="6"/>
      <c r="AG313" s="6"/>
      <c r="AH313" s="6">
        <f>Table5[[#This Row],[ (RESV. STORGE) BER]]/10</f>
        <v>0</v>
      </c>
      <c r="AI313" s="6"/>
      <c r="AJ313" s="33">
        <f>Table5[[#This Row],[(A/B) AJD]]-Table5[[#This Row],[BER_IN]]</f>
        <v>0</v>
      </c>
      <c r="AK313" s="6"/>
      <c r="AL313" s="6"/>
      <c r="AM313" s="32"/>
      <c r="AN313" s="32">
        <f>Table5[[#This Row],[ (RESV. STORGE) SER]]/10</f>
        <v>0</v>
      </c>
      <c r="AO313" s="68"/>
      <c r="AP313" s="104">
        <f>Table5[[#This Row],[(A/S) AJD]]-Table5[[#This Row],[SER_IN]]</f>
        <v>0</v>
      </c>
    </row>
    <row r="314" spans="1:42" ht="18.75" x14ac:dyDescent="0.25">
      <c r="A314" s="10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Table5[[#This Row],[ (T/B) SAR]]+Table5[[#This Row],[ (S/S) SAR]]</f>
        <v>0</v>
      </c>
      <c r="L314" s="28"/>
      <c r="M314" s="29"/>
      <c r="N314" s="30"/>
      <c r="O314" s="39"/>
      <c r="P314" s="9">
        <f>Table5[[#This Row],[ (S/S) SAR]]-Table5[[#This Row],[(S/S) AJD]]</f>
        <v>0</v>
      </c>
      <c r="Q314" s="9"/>
      <c r="R314" s="9">
        <f>Table5[[#This Row],[ (T/B) SAR]]-Table5[[#This Row],[(T/B) AJD]]</f>
        <v>0</v>
      </c>
      <c r="S314" s="9">
        <f>Table5[[#This Row],[S/S_CON.]]+Table5[[#This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Table5[[#This Row],[(RESV. STORGE) AJD]]/10</f>
        <v>0</v>
      </c>
      <c r="AB314" s="3">
        <f t="shared" si="19"/>
        <v>0</v>
      </c>
      <c r="AC314" s="5"/>
      <c r="AD314" s="6">
        <f>(Table5[[#This Row],[( S/S+T/B) AJD]]*1000)-((Table5[[#This Row],[(STORGE DIFF.) AJD]]*1000)+Table5[[#This Row],[AJD_Evaporation]]+(Table5[[#This Row],[(A/B + A/S) AJD]]*1000))</f>
        <v>0</v>
      </c>
      <c r="AE314" s="33"/>
      <c r="AF314" s="6"/>
      <c r="AG314" s="6"/>
      <c r="AH314" s="6">
        <f>Table5[[#This Row],[ (RESV. STORGE) BER]]/10</f>
        <v>0</v>
      </c>
      <c r="AI314" s="6"/>
      <c r="AJ314" s="33">
        <f>Table5[[#This Row],[(A/B) AJD]]-Table5[[#This Row],[BER_IN]]</f>
        <v>0</v>
      </c>
      <c r="AK314" s="6"/>
      <c r="AL314" s="6"/>
      <c r="AM314" s="32"/>
      <c r="AN314" s="32">
        <f>Table5[[#This Row],[ (RESV. STORGE) SER]]/10</f>
        <v>0</v>
      </c>
      <c r="AO314" s="68"/>
      <c r="AP314" s="104">
        <f>Table5[[#This Row],[(A/S) AJD]]-Table5[[#This Row],[SER_IN]]</f>
        <v>0</v>
      </c>
    </row>
    <row r="315" spans="1:42" ht="18.75" x14ac:dyDescent="0.25">
      <c r="A315" s="10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Table5[[#This Row],[ (T/B) SAR]]+Table5[[#This Row],[ (S/S) SAR]]</f>
        <v>0</v>
      </c>
      <c r="L315" s="28"/>
      <c r="M315" s="29"/>
      <c r="N315" s="30"/>
      <c r="O315" s="40"/>
      <c r="P315" s="9">
        <f>Table5[[#This Row],[ (S/S) SAR]]-Table5[[#This Row],[(S/S) AJD]]</f>
        <v>0</v>
      </c>
      <c r="Q315" s="9"/>
      <c r="R315" s="9">
        <f>Table5[[#This Row],[ (T/B) SAR]]-Table5[[#This Row],[(T/B) AJD]]</f>
        <v>0</v>
      </c>
      <c r="S315" s="9">
        <f>Table5[[#This Row],[S/S_CON.]]+Table5[[#This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Table5[[#This Row],[(RESV. STORGE) AJD]]/10</f>
        <v>0</v>
      </c>
      <c r="AB315" s="3">
        <f t="shared" si="19"/>
        <v>0</v>
      </c>
      <c r="AC315" s="5"/>
      <c r="AD315" s="6">
        <f>(Table5[[#This Row],[( S/S+T/B) AJD]]*1000)-((Table5[[#This Row],[(STORGE DIFF.) AJD]]*1000)+Table5[[#This Row],[AJD_Evaporation]]+(Table5[[#This Row],[(A/B + A/S) AJD]]*1000))</f>
        <v>0</v>
      </c>
      <c r="AE315" s="33"/>
      <c r="AF315" s="6"/>
      <c r="AG315" s="6"/>
      <c r="AH315" s="6">
        <f>Table5[[#This Row],[ (RESV. STORGE) BER]]/10</f>
        <v>0</v>
      </c>
      <c r="AI315" s="6"/>
      <c r="AJ315" s="33">
        <f>Table5[[#This Row],[(A/B) AJD]]-Table5[[#This Row],[BER_IN]]</f>
        <v>0</v>
      </c>
      <c r="AK315" s="6"/>
      <c r="AL315" s="6"/>
      <c r="AM315" s="32"/>
      <c r="AN315" s="32">
        <f>Table5[[#This Row],[ (RESV. STORGE) SER]]/10</f>
        <v>0</v>
      </c>
      <c r="AO315" s="68"/>
      <c r="AP315" s="104">
        <f>Table5[[#This Row],[(A/S) AJD]]-Table5[[#This Row],[SER_IN]]</f>
        <v>0</v>
      </c>
    </row>
    <row r="316" spans="1:42" ht="18.75" x14ac:dyDescent="0.25">
      <c r="A316" s="10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Table5[[#This Row],[ (T/B) SAR]]+Table5[[#This Row],[ (S/S) SAR]]</f>
        <v>0</v>
      </c>
      <c r="L316" s="28"/>
      <c r="M316" s="29"/>
      <c r="N316" s="30"/>
      <c r="O316" s="39"/>
      <c r="P316" s="9">
        <f>Table5[[#This Row],[ (S/S) SAR]]-Table5[[#This Row],[(S/S) AJD]]</f>
        <v>0</v>
      </c>
      <c r="Q316" s="9"/>
      <c r="R316" s="9">
        <f>Table5[[#This Row],[ (T/B) SAR]]-Table5[[#This Row],[(T/B) AJD]]</f>
        <v>0</v>
      </c>
      <c r="S316" s="9">
        <f>Table5[[#This Row],[S/S_CON.]]+Table5[[#This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Table5[[#This Row],[(RESV. STORGE) AJD]]/10</f>
        <v>0</v>
      </c>
      <c r="AB316" s="3">
        <f t="shared" si="19"/>
        <v>0</v>
      </c>
      <c r="AC316" s="5"/>
      <c r="AD316" s="6">
        <f>(Table5[[#This Row],[( S/S+T/B) AJD]]*1000)-((Table5[[#This Row],[(STORGE DIFF.) AJD]]*1000)+Table5[[#This Row],[AJD_Evaporation]]+(Table5[[#This Row],[(A/B + A/S) AJD]]*1000))</f>
        <v>0</v>
      </c>
      <c r="AE316" s="33"/>
      <c r="AF316" s="6"/>
      <c r="AG316" s="6"/>
      <c r="AH316" s="6">
        <f>Table5[[#This Row],[ (RESV. STORGE) BER]]/10</f>
        <v>0</v>
      </c>
      <c r="AI316" s="6"/>
      <c r="AJ316" s="33">
        <f>Table5[[#This Row],[(A/B) AJD]]-Table5[[#This Row],[BER_IN]]</f>
        <v>0</v>
      </c>
      <c r="AK316" s="6"/>
      <c r="AL316" s="6"/>
      <c r="AM316" s="32"/>
      <c r="AN316" s="32">
        <f>Table5[[#This Row],[ (RESV. STORGE) SER]]/10</f>
        <v>0</v>
      </c>
      <c r="AO316" s="68"/>
      <c r="AP316" s="104">
        <f>Table5[[#This Row],[(A/S) AJD]]-Table5[[#This Row],[SER_IN]]</f>
        <v>0</v>
      </c>
    </row>
    <row r="317" spans="1:42" ht="18.75" x14ac:dyDescent="0.25">
      <c r="A317" s="10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Table5[[#This Row],[ (T/B) SAR]]+Table5[[#This Row],[ (S/S) SAR]]</f>
        <v>0</v>
      </c>
      <c r="L317" s="28"/>
      <c r="M317" s="29"/>
      <c r="N317" s="30"/>
      <c r="O317" s="40"/>
      <c r="P317" s="9">
        <f>Table5[[#This Row],[ (S/S) SAR]]-Table5[[#This Row],[(S/S) AJD]]</f>
        <v>0</v>
      </c>
      <c r="Q317" s="9"/>
      <c r="R317" s="9">
        <f>Table5[[#This Row],[ (T/B) SAR]]-Table5[[#This Row],[(T/B) AJD]]</f>
        <v>0</v>
      </c>
      <c r="S317" s="9">
        <f>Table5[[#This Row],[S/S_CON.]]+Table5[[#This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Table5[[#This Row],[(RESV. STORGE) AJD]]/10</f>
        <v>0</v>
      </c>
      <c r="AB317" s="3">
        <f t="shared" si="19"/>
        <v>0</v>
      </c>
      <c r="AC317" s="5"/>
      <c r="AD317" s="6">
        <f>(Table5[[#This Row],[( S/S+T/B) AJD]]*1000)-((Table5[[#This Row],[(STORGE DIFF.) AJD]]*1000)+Table5[[#This Row],[AJD_Evaporation]]+(Table5[[#This Row],[(A/B + A/S) AJD]]*1000))</f>
        <v>0</v>
      </c>
      <c r="AE317" s="33"/>
      <c r="AF317" s="6"/>
      <c r="AG317" s="6"/>
      <c r="AH317" s="6">
        <f>Table5[[#This Row],[ (RESV. STORGE) BER]]/10</f>
        <v>0</v>
      </c>
      <c r="AI317" s="6"/>
      <c r="AJ317" s="33">
        <f>Table5[[#This Row],[(A/B) AJD]]-Table5[[#This Row],[BER_IN]]</f>
        <v>0</v>
      </c>
      <c r="AK317" s="6"/>
      <c r="AL317" s="6"/>
      <c r="AM317" s="32"/>
      <c r="AN317" s="32">
        <f>Table5[[#This Row],[ (RESV. STORGE) SER]]/10</f>
        <v>0</v>
      </c>
      <c r="AO317" s="68"/>
      <c r="AP317" s="104">
        <f>Table5[[#This Row],[(A/S) AJD]]-Table5[[#This Row],[SER_IN]]</f>
        <v>0</v>
      </c>
    </row>
    <row r="318" spans="1:42" ht="18.75" x14ac:dyDescent="0.25">
      <c r="A318" s="10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Table5[[#This Row],[ (T/B) SAR]]+Table5[[#This Row],[ (S/S) SAR]]</f>
        <v>0</v>
      </c>
      <c r="L318" s="28"/>
      <c r="M318" s="29"/>
      <c r="N318" s="30"/>
      <c r="O318" s="39"/>
      <c r="P318" s="9">
        <f>Table5[[#This Row],[ (S/S) SAR]]-Table5[[#This Row],[(S/S) AJD]]</f>
        <v>0</v>
      </c>
      <c r="Q318" s="9"/>
      <c r="R318" s="9">
        <f>Table5[[#This Row],[ (T/B) SAR]]-Table5[[#This Row],[(T/B) AJD]]</f>
        <v>0</v>
      </c>
      <c r="S318" s="9">
        <f>Table5[[#This Row],[S/S_CON.]]+Table5[[#This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Table5[[#This Row],[(RESV. STORGE) AJD]]/10</f>
        <v>0</v>
      </c>
      <c r="AB318" s="3">
        <f t="shared" si="19"/>
        <v>0</v>
      </c>
      <c r="AC318" s="5"/>
      <c r="AD318" s="6">
        <f>(Table5[[#This Row],[( S/S+T/B) AJD]]*1000)-((Table5[[#This Row],[(STORGE DIFF.) AJD]]*1000)+Table5[[#This Row],[AJD_Evaporation]]+(Table5[[#This Row],[(A/B + A/S) AJD]]*1000))</f>
        <v>0</v>
      </c>
      <c r="AE318" s="33"/>
      <c r="AF318" s="6"/>
      <c r="AG318" s="6"/>
      <c r="AH318" s="6">
        <f>Table5[[#This Row],[ (RESV. STORGE) BER]]/10</f>
        <v>0</v>
      </c>
      <c r="AI318" s="6"/>
      <c r="AJ318" s="33">
        <f>Table5[[#This Row],[(A/B) AJD]]-Table5[[#This Row],[BER_IN]]</f>
        <v>0</v>
      </c>
      <c r="AK318" s="6"/>
      <c r="AL318" s="6"/>
      <c r="AM318" s="32"/>
      <c r="AN318" s="32">
        <f>Table5[[#This Row],[ (RESV. STORGE) SER]]/10</f>
        <v>0</v>
      </c>
      <c r="AO318" s="68"/>
      <c r="AP318" s="104">
        <f>Table5[[#This Row],[(A/S) AJD]]-Table5[[#This Row],[SER_IN]]</f>
        <v>0</v>
      </c>
    </row>
    <row r="319" spans="1:42" ht="18.75" x14ac:dyDescent="0.25">
      <c r="A319" s="10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Table5[[#This Row],[ (T/B) SAR]]+Table5[[#This Row],[ (S/S) SAR]]</f>
        <v>0</v>
      </c>
      <c r="L319" s="28"/>
      <c r="M319" s="29"/>
      <c r="N319" s="30"/>
      <c r="O319" s="40"/>
      <c r="P319" s="9">
        <f>Table5[[#This Row],[ (S/S) SAR]]-Table5[[#This Row],[(S/S) AJD]]</f>
        <v>0</v>
      </c>
      <c r="Q319" s="9"/>
      <c r="R319" s="9">
        <f>Table5[[#This Row],[ (T/B) SAR]]-Table5[[#This Row],[(T/B) AJD]]</f>
        <v>0</v>
      </c>
      <c r="S319" s="9">
        <f>Table5[[#This Row],[S/S_CON.]]+Table5[[#This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Table5[[#This Row],[(RESV. STORGE) AJD]]/10</f>
        <v>0</v>
      </c>
      <c r="AB319" s="3">
        <f t="shared" si="19"/>
        <v>0</v>
      </c>
      <c r="AC319" s="5"/>
      <c r="AD319" s="6">
        <f>(Table5[[#This Row],[( S/S+T/B) AJD]]*1000)-((Table5[[#This Row],[(STORGE DIFF.) AJD]]*1000)+Table5[[#This Row],[AJD_Evaporation]]+(Table5[[#This Row],[(A/B + A/S) AJD]]*1000))</f>
        <v>0</v>
      </c>
      <c r="AE319" s="33"/>
      <c r="AF319" s="6"/>
      <c r="AG319" s="6"/>
      <c r="AH319" s="6">
        <f>Table5[[#This Row],[ (RESV. STORGE) BER]]/10</f>
        <v>0</v>
      </c>
      <c r="AI319" s="6"/>
      <c r="AJ319" s="33">
        <f>Table5[[#This Row],[(A/B) AJD]]-Table5[[#This Row],[BER_IN]]</f>
        <v>0</v>
      </c>
      <c r="AK319" s="6"/>
      <c r="AL319" s="6"/>
      <c r="AM319" s="32"/>
      <c r="AN319" s="32">
        <f>Table5[[#This Row],[ (RESV. STORGE) SER]]/10</f>
        <v>0</v>
      </c>
      <c r="AO319" s="68"/>
      <c r="AP319" s="104">
        <f>Table5[[#This Row],[(A/S) AJD]]-Table5[[#This Row],[SER_IN]]</f>
        <v>0</v>
      </c>
    </row>
    <row r="320" spans="1:42" ht="18.75" x14ac:dyDescent="0.25">
      <c r="A320" s="10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Table5[[#This Row],[ (T/B) SAR]]+Table5[[#This Row],[ (S/S) SAR]]</f>
        <v>0</v>
      </c>
      <c r="L320" s="28"/>
      <c r="M320" s="29"/>
      <c r="N320" s="30"/>
      <c r="O320" s="39"/>
      <c r="P320" s="9">
        <f>Table5[[#This Row],[ (S/S) SAR]]-Table5[[#This Row],[(S/S) AJD]]</f>
        <v>0</v>
      </c>
      <c r="Q320" s="9"/>
      <c r="R320" s="9">
        <f>Table5[[#This Row],[ (T/B) SAR]]-Table5[[#This Row],[(T/B) AJD]]</f>
        <v>0</v>
      </c>
      <c r="S320" s="9">
        <f>Table5[[#This Row],[S/S_CON.]]+Table5[[#This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Table5[[#This Row],[(RESV. STORGE) AJD]]/10</f>
        <v>0</v>
      </c>
      <c r="AB320" s="3">
        <f t="shared" si="19"/>
        <v>0</v>
      </c>
      <c r="AC320" s="5"/>
      <c r="AD320" s="6">
        <f>(Table5[[#This Row],[( S/S+T/B) AJD]]*1000)-((Table5[[#This Row],[(STORGE DIFF.) AJD]]*1000)+Table5[[#This Row],[AJD_Evaporation]]+(Table5[[#This Row],[(A/B + A/S) AJD]]*1000))</f>
        <v>0</v>
      </c>
      <c r="AE320" s="33"/>
      <c r="AF320" s="6"/>
      <c r="AG320" s="6"/>
      <c r="AH320" s="6">
        <f>Table5[[#This Row],[ (RESV. STORGE) BER]]/10</f>
        <v>0</v>
      </c>
      <c r="AI320" s="6"/>
      <c r="AJ320" s="33">
        <f>Table5[[#This Row],[(A/B) AJD]]-Table5[[#This Row],[BER_IN]]</f>
        <v>0</v>
      </c>
      <c r="AK320" s="6"/>
      <c r="AL320" s="6"/>
      <c r="AM320" s="32"/>
      <c r="AN320" s="32">
        <f>Table5[[#This Row],[ (RESV. STORGE) SER]]/10</f>
        <v>0</v>
      </c>
      <c r="AO320" s="68"/>
      <c r="AP320" s="104">
        <f>Table5[[#This Row],[(A/S) AJD]]-Table5[[#This Row],[SER_IN]]</f>
        <v>0</v>
      </c>
    </row>
    <row r="321" spans="1:42" ht="18.75" x14ac:dyDescent="0.25">
      <c r="A321" s="10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Table5[[#This Row],[ (T/B) SAR]]+Table5[[#This Row],[ (S/S) SAR]]</f>
        <v>0</v>
      </c>
      <c r="L321" s="28"/>
      <c r="M321" s="29"/>
      <c r="N321" s="30"/>
      <c r="O321" s="40"/>
      <c r="P321" s="9">
        <f>Table5[[#This Row],[ (S/S) SAR]]-Table5[[#This Row],[(S/S) AJD]]</f>
        <v>0</v>
      </c>
      <c r="Q321" s="9"/>
      <c r="R321" s="9">
        <f>Table5[[#This Row],[ (T/B) SAR]]-Table5[[#This Row],[(T/B) AJD]]</f>
        <v>0</v>
      </c>
      <c r="S321" s="9">
        <f>Table5[[#This Row],[S/S_CON.]]+Table5[[#This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Table5[[#This Row],[(RESV. STORGE) AJD]]/10</f>
        <v>0</v>
      </c>
      <c r="AB321" s="3">
        <f t="shared" si="19"/>
        <v>0</v>
      </c>
      <c r="AC321" s="5"/>
      <c r="AD321" s="6">
        <f>(Table5[[#This Row],[( S/S+T/B) AJD]]*1000)-((Table5[[#This Row],[(STORGE DIFF.) AJD]]*1000)+Table5[[#This Row],[AJD_Evaporation]]+(Table5[[#This Row],[(A/B + A/S) AJD]]*1000))</f>
        <v>0</v>
      </c>
      <c r="AE321" s="33"/>
      <c r="AF321" s="6"/>
      <c r="AG321" s="6"/>
      <c r="AH321" s="6">
        <f>Table5[[#This Row],[ (RESV. STORGE) BER]]/10</f>
        <v>0</v>
      </c>
      <c r="AI321" s="6"/>
      <c r="AJ321" s="33">
        <f>Table5[[#This Row],[(A/B) AJD]]-Table5[[#This Row],[BER_IN]]</f>
        <v>0</v>
      </c>
      <c r="AK321" s="6"/>
      <c r="AL321" s="6"/>
      <c r="AM321" s="32"/>
      <c r="AN321" s="32">
        <f>Table5[[#This Row],[ (RESV. STORGE) SER]]/10</f>
        <v>0</v>
      </c>
      <c r="AO321" s="68"/>
      <c r="AP321" s="104">
        <f>Table5[[#This Row],[(A/S) AJD]]-Table5[[#This Row],[SER_IN]]</f>
        <v>0</v>
      </c>
    </row>
    <row r="322" spans="1:42" ht="18.75" x14ac:dyDescent="0.25">
      <c r="A322" s="10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Table5[[#This Row],[ (T/B) SAR]]+Table5[[#This Row],[ (S/S) SAR]]</f>
        <v>0</v>
      </c>
      <c r="L322" s="28"/>
      <c r="M322" s="29"/>
      <c r="N322" s="30"/>
      <c r="O322" s="39"/>
      <c r="P322" s="9">
        <f>Table5[[#This Row],[ (S/S) SAR]]-Table5[[#This Row],[(S/S) AJD]]</f>
        <v>0</v>
      </c>
      <c r="Q322" s="9"/>
      <c r="R322" s="9">
        <f>Table5[[#This Row],[ (T/B) SAR]]-Table5[[#This Row],[(T/B) AJD]]</f>
        <v>0</v>
      </c>
      <c r="S322" s="9">
        <f>Table5[[#This Row],[S/S_CON.]]+Table5[[#This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Table5[[#This Row],[(RESV. STORGE) AJD]]/10</f>
        <v>0</v>
      </c>
      <c r="AB322" s="3">
        <f t="shared" si="19"/>
        <v>0</v>
      </c>
      <c r="AC322" s="5"/>
      <c r="AD322" s="6">
        <f>(Table5[[#This Row],[( S/S+T/B) AJD]]*1000)-((Table5[[#This Row],[(STORGE DIFF.) AJD]]*1000)+Table5[[#This Row],[AJD_Evaporation]]+(Table5[[#This Row],[(A/B + A/S) AJD]]*1000))</f>
        <v>0</v>
      </c>
      <c r="AE322" s="33"/>
      <c r="AF322" s="6"/>
      <c r="AG322" s="6"/>
      <c r="AH322" s="6">
        <f>Table5[[#This Row],[ (RESV. STORGE) BER]]/10</f>
        <v>0</v>
      </c>
      <c r="AI322" s="6"/>
      <c r="AJ322" s="33">
        <f>Table5[[#This Row],[(A/B) AJD]]-Table5[[#This Row],[BER_IN]]</f>
        <v>0</v>
      </c>
      <c r="AK322" s="6"/>
      <c r="AL322" s="6"/>
      <c r="AM322" s="32"/>
      <c r="AN322" s="32">
        <f>Table5[[#This Row],[ (RESV. STORGE) SER]]/10</f>
        <v>0</v>
      </c>
      <c r="AO322" s="68"/>
      <c r="AP322" s="104">
        <f>Table5[[#This Row],[(A/S) AJD]]-Table5[[#This Row],[SER_IN]]</f>
        <v>0</v>
      </c>
    </row>
    <row r="323" spans="1:42" ht="18.75" x14ac:dyDescent="0.25">
      <c r="A323" s="10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Table5[[#This Row],[ (T/B) SAR]]+Table5[[#This Row],[ (S/S) SAR]]</f>
        <v>0</v>
      </c>
      <c r="L323" s="28"/>
      <c r="M323" s="29"/>
      <c r="N323" s="30"/>
      <c r="O323" s="40"/>
      <c r="P323" s="9">
        <f>Table5[[#This Row],[ (S/S) SAR]]-Table5[[#This Row],[(S/S) AJD]]</f>
        <v>0</v>
      </c>
      <c r="Q323" s="9"/>
      <c r="R323" s="9">
        <f>Table5[[#This Row],[ (T/B) SAR]]-Table5[[#This Row],[(T/B) AJD]]</f>
        <v>0</v>
      </c>
      <c r="S323" s="9">
        <f>Table5[[#This Row],[S/S_CON.]]+Table5[[#This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Table5[[#This Row],[(RESV. STORGE) AJD]]/10</f>
        <v>0</v>
      </c>
      <c r="AB323" s="3">
        <f t="shared" si="19"/>
        <v>0</v>
      </c>
      <c r="AC323" s="5"/>
      <c r="AD323" s="6">
        <f>(Table5[[#This Row],[( S/S+T/B) AJD]]*1000)-((Table5[[#This Row],[(STORGE DIFF.) AJD]]*1000)+Table5[[#This Row],[AJD_Evaporation]]+(Table5[[#This Row],[(A/B + A/S) AJD]]*1000))</f>
        <v>0</v>
      </c>
      <c r="AE323" s="33"/>
      <c r="AF323" s="6"/>
      <c r="AG323" s="6"/>
      <c r="AH323" s="6">
        <f>Table5[[#This Row],[ (RESV. STORGE) BER]]/10</f>
        <v>0</v>
      </c>
      <c r="AI323" s="6"/>
      <c r="AJ323" s="33">
        <f>Table5[[#This Row],[(A/B) AJD]]-Table5[[#This Row],[BER_IN]]</f>
        <v>0</v>
      </c>
      <c r="AK323" s="6"/>
      <c r="AL323" s="6"/>
      <c r="AM323" s="32"/>
      <c r="AN323" s="32">
        <f>Table5[[#This Row],[ (RESV. STORGE) SER]]/10</f>
        <v>0</v>
      </c>
      <c r="AO323" s="68"/>
      <c r="AP323" s="104">
        <f>Table5[[#This Row],[(A/S) AJD]]-Table5[[#This Row],[SER_IN]]</f>
        <v>0</v>
      </c>
    </row>
    <row r="324" spans="1:42" ht="18.75" x14ac:dyDescent="0.25">
      <c r="A324" s="10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Table5[[#This Row],[ (T/B) SAR]]+Table5[[#This Row],[ (S/S) SAR]]</f>
        <v>0</v>
      </c>
      <c r="L324" s="28"/>
      <c r="M324" s="29"/>
      <c r="N324" s="30"/>
      <c r="O324" s="39"/>
      <c r="P324" s="9">
        <f>Table5[[#This Row],[ (S/S) SAR]]-Table5[[#This Row],[(S/S) AJD]]</f>
        <v>0</v>
      </c>
      <c r="Q324" s="9"/>
      <c r="R324" s="9">
        <f>Table5[[#This Row],[ (T/B) SAR]]-Table5[[#This Row],[(T/B) AJD]]</f>
        <v>0</v>
      </c>
      <c r="S324" s="9">
        <f>Table5[[#This Row],[S/S_CON.]]+Table5[[#This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Table5[[#This Row],[(RESV. STORGE) AJD]]/10</f>
        <v>0</v>
      </c>
      <c r="AB324" s="3">
        <f t="shared" ref="AB324:AB366" si="23">IF(TRIM(Z324)="",,(Z324-Z323)/1000)</f>
        <v>0</v>
      </c>
      <c r="AC324" s="5"/>
      <c r="AD324" s="6">
        <f>(Table5[[#This Row],[( S/S+T/B) AJD]]*1000)-((Table5[[#This Row],[(STORGE DIFF.) AJD]]*1000)+Table5[[#This Row],[AJD_Evaporation]]+(Table5[[#This Row],[(A/B + A/S) AJD]]*1000))</f>
        <v>0</v>
      </c>
      <c r="AE324" s="33"/>
      <c r="AF324" s="6"/>
      <c r="AG324" s="6"/>
      <c r="AH324" s="6">
        <f>Table5[[#This Row],[ (RESV. STORGE) BER]]/10</f>
        <v>0</v>
      </c>
      <c r="AI324" s="6"/>
      <c r="AJ324" s="33">
        <f>Table5[[#This Row],[(A/B) AJD]]-Table5[[#This Row],[BER_IN]]</f>
        <v>0</v>
      </c>
      <c r="AK324" s="6"/>
      <c r="AL324" s="6"/>
      <c r="AM324" s="32"/>
      <c r="AN324" s="32">
        <f>Table5[[#This Row],[ (RESV. STORGE) SER]]/10</f>
        <v>0</v>
      </c>
      <c r="AO324" s="68"/>
      <c r="AP324" s="104">
        <f>Table5[[#This Row],[(A/S) AJD]]-Table5[[#This Row],[SER_IN]]</f>
        <v>0</v>
      </c>
    </row>
    <row r="325" spans="1:42" ht="18.75" x14ac:dyDescent="0.25">
      <c r="A325" s="10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Table5[[#This Row],[ (T/B) SAR]]+Table5[[#This Row],[ (S/S) SAR]]</f>
        <v>0</v>
      </c>
      <c r="L325" s="28"/>
      <c r="M325" s="29"/>
      <c r="N325" s="30"/>
      <c r="O325" s="40"/>
      <c r="P325" s="9">
        <f>Table5[[#This Row],[ (S/S) SAR]]-Table5[[#This Row],[(S/S) AJD]]</f>
        <v>0</v>
      </c>
      <c r="Q325" s="9"/>
      <c r="R325" s="9">
        <f>Table5[[#This Row],[ (T/B) SAR]]-Table5[[#This Row],[(T/B) AJD]]</f>
        <v>0</v>
      </c>
      <c r="S325" s="9">
        <f>Table5[[#This Row],[S/S_CON.]]+Table5[[#This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Table5[[#This Row],[(RESV. STORGE) AJD]]/10</f>
        <v>0</v>
      </c>
      <c r="AB325" s="3">
        <f t="shared" si="23"/>
        <v>0</v>
      </c>
      <c r="AC325" s="5"/>
      <c r="AD325" s="6">
        <f>(Table5[[#This Row],[( S/S+T/B) AJD]]*1000)-((Table5[[#This Row],[(STORGE DIFF.) AJD]]*1000)+Table5[[#This Row],[AJD_Evaporation]]+(Table5[[#This Row],[(A/B + A/S) AJD]]*1000))</f>
        <v>0</v>
      </c>
      <c r="AE325" s="33"/>
      <c r="AF325" s="6"/>
      <c r="AG325" s="6"/>
      <c r="AH325" s="6">
        <f>Table5[[#This Row],[ (RESV. STORGE) BER]]/10</f>
        <v>0</v>
      </c>
      <c r="AI325" s="6"/>
      <c r="AJ325" s="33">
        <f>Table5[[#This Row],[(A/B) AJD]]-Table5[[#This Row],[BER_IN]]</f>
        <v>0</v>
      </c>
      <c r="AK325" s="6"/>
      <c r="AL325" s="6"/>
      <c r="AM325" s="32"/>
      <c r="AN325" s="32">
        <f>Table5[[#This Row],[ (RESV. STORGE) SER]]/10</f>
        <v>0</v>
      </c>
      <c r="AO325" s="68"/>
      <c r="AP325" s="104">
        <f>Table5[[#This Row],[(A/S) AJD]]-Table5[[#This Row],[SER_IN]]</f>
        <v>0</v>
      </c>
    </row>
    <row r="326" spans="1:42" ht="18.75" x14ac:dyDescent="0.25">
      <c r="A326" s="10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Table5[[#This Row],[ (T/B) SAR]]+Table5[[#This Row],[ (S/S) SAR]]</f>
        <v>0</v>
      </c>
      <c r="L326" s="28"/>
      <c r="M326" s="29"/>
      <c r="N326" s="30"/>
      <c r="O326" s="39"/>
      <c r="P326" s="9">
        <f>Table5[[#This Row],[ (S/S) SAR]]-Table5[[#This Row],[(S/S) AJD]]</f>
        <v>0</v>
      </c>
      <c r="Q326" s="9"/>
      <c r="R326" s="9">
        <f>Table5[[#This Row],[ (T/B) SAR]]-Table5[[#This Row],[(T/B) AJD]]</f>
        <v>0</v>
      </c>
      <c r="S326" s="9">
        <f>Table5[[#This Row],[S/S_CON.]]+Table5[[#This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Table5[[#This Row],[(RESV. STORGE) AJD]]/10</f>
        <v>0</v>
      </c>
      <c r="AB326" s="3">
        <f t="shared" si="23"/>
        <v>0</v>
      </c>
      <c r="AC326" s="5"/>
      <c r="AD326" s="6">
        <f>(Table5[[#This Row],[( S/S+T/B) AJD]]*1000)-((Table5[[#This Row],[(STORGE DIFF.) AJD]]*1000)+Table5[[#This Row],[AJD_Evaporation]]+(Table5[[#This Row],[(A/B + A/S) AJD]]*1000))</f>
        <v>0</v>
      </c>
      <c r="AE326" s="33"/>
      <c r="AF326" s="6"/>
      <c r="AG326" s="6"/>
      <c r="AH326" s="6">
        <f>Table5[[#This Row],[ (RESV. STORGE) BER]]/10</f>
        <v>0</v>
      </c>
      <c r="AI326" s="6"/>
      <c r="AJ326" s="33">
        <f>Table5[[#This Row],[(A/B) AJD]]-Table5[[#This Row],[BER_IN]]</f>
        <v>0</v>
      </c>
      <c r="AK326" s="6"/>
      <c r="AL326" s="6"/>
      <c r="AM326" s="32"/>
      <c r="AN326" s="32">
        <f>Table5[[#This Row],[ (RESV. STORGE) SER]]/10</f>
        <v>0</v>
      </c>
      <c r="AO326" s="68"/>
      <c r="AP326" s="104">
        <f>Table5[[#This Row],[(A/S) AJD]]-Table5[[#This Row],[SER_IN]]</f>
        <v>0</v>
      </c>
    </row>
    <row r="327" spans="1:42" ht="18.75" x14ac:dyDescent="0.25">
      <c r="A327" s="10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Table5[[#This Row],[ (T/B) SAR]]+Table5[[#This Row],[ (S/S) SAR]]</f>
        <v>0</v>
      </c>
      <c r="L327" s="28"/>
      <c r="M327" s="29"/>
      <c r="N327" s="30"/>
      <c r="O327" s="40"/>
      <c r="P327" s="9">
        <f>Table5[[#This Row],[ (S/S) SAR]]-Table5[[#This Row],[(S/S) AJD]]</f>
        <v>0</v>
      </c>
      <c r="Q327" s="9"/>
      <c r="R327" s="9">
        <f>Table5[[#This Row],[ (T/B) SAR]]-Table5[[#This Row],[(T/B) AJD]]</f>
        <v>0</v>
      </c>
      <c r="S327" s="9">
        <f>Table5[[#This Row],[S/S_CON.]]+Table5[[#This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Table5[[#This Row],[(RESV. STORGE) AJD]]/10</f>
        <v>0</v>
      </c>
      <c r="AB327" s="3">
        <f t="shared" si="23"/>
        <v>0</v>
      </c>
      <c r="AC327" s="5"/>
      <c r="AD327" s="6">
        <f>(Table5[[#This Row],[( S/S+T/B) AJD]]*1000)-((Table5[[#This Row],[(STORGE DIFF.) AJD]]*1000)+Table5[[#This Row],[AJD_Evaporation]]+(Table5[[#This Row],[(A/B + A/S) AJD]]*1000))</f>
        <v>0</v>
      </c>
      <c r="AE327" s="33"/>
      <c r="AF327" s="6"/>
      <c r="AG327" s="6"/>
      <c r="AH327" s="6">
        <f>Table5[[#This Row],[ (RESV. STORGE) BER]]/10</f>
        <v>0</v>
      </c>
      <c r="AI327" s="6"/>
      <c r="AJ327" s="33">
        <f>Table5[[#This Row],[(A/B) AJD]]-Table5[[#This Row],[BER_IN]]</f>
        <v>0</v>
      </c>
      <c r="AK327" s="6"/>
      <c r="AL327" s="6"/>
      <c r="AM327" s="32"/>
      <c r="AN327" s="32">
        <f>Table5[[#This Row],[ (RESV. STORGE) SER]]/10</f>
        <v>0</v>
      </c>
      <c r="AO327" s="68"/>
      <c r="AP327" s="104">
        <f>Table5[[#This Row],[(A/S) AJD]]-Table5[[#This Row],[SER_IN]]</f>
        <v>0</v>
      </c>
    </row>
    <row r="328" spans="1:42" ht="18.75" x14ac:dyDescent="0.25">
      <c r="A328" s="10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Table5[[#This Row],[ (T/B) SAR]]+Table5[[#This Row],[ (S/S) SAR]]</f>
        <v>0</v>
      </c>
      <c r="L328" s="28"/>
      <c r="M328" s="29"/>
      <c r="N328" s="30"/>
      <c r="O328" s="39"/>
      <c r="P328" s="9">
        <f>Table5[[#This Row],[ (S/S) SAR]]-Table5[[#This Row],[(S/S) AJD]]</f>
        <v>0</v>
      </c>
      <c r="Q328" s="9"/>
      <c r="R328" s="9">
        <f>Table5[[#This Row],[ (T/B) SAR]]-Table5[[#This Row],[(T/B) AJD]]</f>
        <v>0</v>
      </c>
      <c r="S328" s="9">
        <f>Table5[[#This Row],[S/S_CON.]]+Table5[[#This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Table5[[#This Row],[(RESV. STORGE) AJD]]/10</f>
        <v>0</v>
      </c>
      <c r="AB328" s="3">
        <f t="shared" si="23"/>
        <v>0</v>
      </c>
      <c r="AC328" s="5"/>
      <c r="AD328" s="6">
        <f>(Table5[[#This Row],[( S/S+T/B) AJD]]*1000)-((Table5[[#This Row],[(STORGE DIFF.) AJD]]*1000)+Table5[[#This Row],[AJD_Evaporation]]+(Table5[[#This Row],[(A/B + A/S) AJD]]*1000))</f>
        <v>0</v>
      </c>
      <c r="AE328" s="33"/>
      <c r="AF328" s="6"/>
      <c r="AG328" s="6"/>
      <c r="AH328" s="6">
        <f>Table5[[#This Row],[ (RESV. STORGE) BER]]/10</f>
        <v>0</v>
      </c>
      <c r="AI328" s="6"/>
      <c r="AJ328" s="33">
        <f>Table5[[#This Row],[(A/B) AJD]]-Table5[[#This Row],[BER_IN]]</f>
        <v>0</v>
      </c>
      <c r="AK328" s="6"/>
      <c r="AL328" s="6"/>
      <c r="AM328" s="32"/>
      <c r="AN328" s="32">
        <f>Table5[[#This Row],[ (RESV. STORGE) SER]]/10</f>
        <v>0</v>
      </c>
      <c r="AO328" s="68"/>
      <c r="AP328" s="104">
        <f>Table5[[#This Row],[(A/S) AJD]]-Table5[[#This Row],[SER_IN]]</f>
        <v>0</v>
      </c>
    </row>
    <row r="329" spans="1:42" ht="18.75" x14ac:dyDescent="0.25">
      <c r="A329" s="10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Table5[[#This Row],[ (T/B) SAR]]+Table5[[#This Row],[ (S/S) SAR]]</f>
        <v>0</v>
      </c>
      <c r="L329" s="28"/>
      <c r="M329" s="29"/>
      <c r="N329" s="30"/>
      <c r="O329" s="40"/>
      <c r="P329" s="9">
        <f>Table5[[#This Row],[ (S/S) SAR]]-Table5[[#This Row],[(S/S) AJD]]</f>
        <v>0</v>
      </c>
      <c r="Q329" s="9"/>
      <c r="R329" s="9">
        <f>Table5[[#This Row],[ (T/B) SAR]]-Table5[[#This Row],[(T/B) AJD]]</f>
        <v>0</v>
      </c>
      <c r="S329" s="9">
        <f>Table5[[#This Row],[S/S_CON.]]+Table5[[#This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Table5[[#This Row],[(RESV. STORGE) AJD]]/10</f>
        <v>0</v>
      </c>
      <c r="AB329" s="3">
        <f t="shared" si="23"/>
        <v>0</v>
      </c>
      <c r="AC329" s="5"/>
      <c r="AD329" s="6">
        <f>(Table5[[#This Row],[( S/S+T/B) AJD]]*1000)-((Table5[[#This Row],[(STORGE DIFF.) AJD]]*1000)+Table5[[#This Row],[AJD_Evaporation]]+(Table5[[#This Row],[(A/B + A/S) AJD]]*1000))</f>
        <v>0</v>
      </c>
      <c r="AE329" s="33"/>
      <c r="AF329" s="6"/>
      <c r="AG329" s="6"/>
      <c r="AH329" s="6">
        <f>Table5[[#This Row],[ (RESV. STORGE) BER]]/10</f>
        <v>0</v>
      </c>
      <c r="AI329" s="6"/>
      <c r="AJ329" s="33">
        <f>Table5[[#This Row],[(A/B) AJD]]-Table5[[#This Row],[BER_IN]]</f>
        <v>0</v>
      </c>
      <c r="AK329" s="6"/>
      <c r="AL329" s="6"/>
      <c r="AM329" s="32"/>
      <c r="AN329" s="32">
        <f>Table5[[#This Row],[ (RESV. STORGE) SER]]/10</f>
        <v>0</v>
      </c>
      <c r="AO329" s="68"/>
      <c r="AP329" s="104">
        <f>Table5[[#This Row],[(A/S) AJD]]-Table5[[#This Row],[SER_IN]]</f>
        <v>0</v>
      </c>
    </row>
    <row r="330" spans="1:42" ht="18.75" x14ac:dyDescent="0.25">
      <c r="A330" s="10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Table5[[#This Row],[ (T/B) SAR]]+Table5[[#This Row],[ (S/S) SAR]]</f>
        <v>0</v>
      </c>
      <c r="L330" s="28"/>
      <c r="M330" s="29"/>
      <c r="N330" s="30"/>
      <c r="O330" s="39"/>
      <c r="P330" s="9">
        <f>Table5[[#This Row],[ (S/S) SAR]]-Table5[[#This Row],[(S/S) AJD]]</f>
        <v>0</v>
      </c>
      <c r="Q330" s="9"/>
      <c r="R330" s="9">
        <f>Table5[[#This Row],[ (T/B) SAR]]-Table5[[#This Row],[(T/B) AJD]]</f>
        <v>0</v>
      </c>
      <c r="S330" s="9">
        <f>Table5[[#This Row],[S/S_CON.]]+Table5[[#This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Table5[[#This Row],[(RESV. STORGE) AJD]]/10</f>
        <v>0</v>
      </c>
      <c r="AB330" s="3">
        <f t="shared" si="23"/>
        <v>0</v>
      </c>
      <c r="AC330" s="5"/>
      <c r="AD330" s="6">
        <f>(Table5[[#This Row],[( S/S+T/B) AJD]]*1000)-((Table5[[#This Row],[(STORGE DIFF.) AJD]]*1000)+Table5[[#This Row],[AJD_Evaporation]]+(Table5[[#This Row],[(A/B + A/S) AJD]]*1000))</f>
        <v>0</v>
      </c>
      <c r="AE330" s="33"/>
      <c r="AF330" s="6"/>
      <c r="AG330" s="6"/>
      <c r="AH330" s="6">
        <f>Table5[[#This Row],[ (RESV. STORGE) BER]]/10</f>
        <v>0</v>
      </c>
      <c r="AI330" s="6"/>
      <c r="AJ330" s="33">
        <f>Table5[[#This Row],[(A/B) AJD]]-Table5[[#This Row],[BER_IN]]</f>
        <v>0</v>
      </c>
      <c r="AK330" s="6"/>
      <c r="AL330" s="6"/>
      <c r="AM330" s="32"/>
      <c r="AN330" s="32">
        <f>Table5[[#This Row],[ (RESV. STORGE) SER]]/10</f>
        <v>0</v>
      </c>
      <c r="AO330" s="68"/>
      <c r="AP330" s="104">
        <f>Table5[[#This Row],[(A/S) AJD]]-Table5[[#This Row],[SER_IN]]</f>
        <v>0</v>
      </c>
    </row>
    <row r="331" spans="1:42" ht="18.75" x14ac:dyDescent="0.25">
      <c r="A331" s="10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Table5[[#This Row],[ (T/B) SAR]]+Table5[[#This Row],[ (S/S) SAR]]</f>
        <v>0</v>
      </c>
      <c r="L331" s="28"/>
      <c r="M331" s="29"/>
      <c r="N331" s="30"/>
      <c r="O331" s="40"/>
      <c r="P331" s="9">
        <f>Table5[[#This Row],[ (S/S) SAR]]-Table5[[#This Row],[(S/S) AJD]]</f>
        <v>0</v>
      </c>
      <c r="Q331" s="9"/>
      <c r="R331" s="9">
        <f>Table5[[#This Row],[ (T/B) SAR]]-Table5[[#This Row],[(T/B) AJD]]</f>
        <v>0</v>
      </c>
      <c r="S331" s="9">
        <f>Table5[[#This Row],[S/S_CON.]]+Table5[[#This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Table5[[#This Row],[(RESV. STORGE) AJD]]/10</f>
        <v>0</v>
      </c>
      <c r="AB331" s="3">
        <f t="shared" si="23"/>
        <v>0</v>
      </c>
      <c r="AC331" s="5"/>
      <c r="AD331" s="6">
        <f>(Table5[[#This Row],[( S/S+T/B) AJD]]*1000)-((Table5[[#This Row],[(STORGE DIFF.) AJD]]*1000)+Table5[[#This Row],[AJD_Evaporation]]+(Table5[[#This Row],[(A/B + A/S) AJD]]*1000))</f>
        <v>0</v>
      </c>
      <c r="AE331" s="33"/>
      <c r="AF331" s="6"/>
      <c r="AG331" s="6"/>
      <c r="AH331" s="6">
        <f>Table5[[#This Row],[ (RESV. STORGE) BER]]/10</f>
        <v>0</v>
      </c>
      <c r="AI331" s="6"/>
      <c r="AJ331" s="33">
        <f>Table5[[#This Row],[(A/B) AJD]]-Table5[[#This Row],[BER_IN]]</f>
        <v>0</v>
      </c>
      <c r="AK331" s="6"/>
      <c r="AL331" s="6"/>
      <c r="AM331" s="32"/>
      <c r="AN331" s="32">
        <f>Table5[[#This Row],[ (RESV. STORGE) SER]]/10</f>
        <v>0</v>
      </c>
      <c r="AO331" s="68"/>
      <c r="AP331" s="104">
        <f>Table5[[#This Row],[(A/S) AJD]]-Table5[[#This Row],[SER_IN]]</f>
        <v>0</v>
      </c>
    </row>
    <row r="332" spans="1:42" ht="18.75" x14ac:dyDescent="0.25">
      <c r="A332" s="10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Table5[[#This Row],[ (T/B) SAR]]+Table5[[#This Row],[ (S/S) SAR]]</f>
        <v>0</v>
      </c>
      <c r="L332" s="28"/>
      <c r="M332" s="29"/>
      <c r="N332" s="30"/>
      <c r="O332" s="39"/>
      <c r="P332" s="9">
        <f>Table5[[#This Row],[ (S/S) SAR]]-Table5[[#This Row],[(S/S) AJD]]</f>
        <v>0</v>
      </c>
      <c r="Q332" s="9"/>
      <c r="R332" s="9">
        <f>Table5[[#This Row],[ (T/B) SAR]]-Table5[[#This Row],[(T/B) AJD]]</f>
        <v>0</v>
      </c>
      <c r="S332" s="9">
        <f>Table5[[#This Row],[S/S_CON.]]+Table5[[#This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Table5[[#This Row],[(RESV. STORGE) AJD]]/10</f>
        <v>0</v>
      </c>
      <c r="AB332" s="3">
        <f t="shared" si="23"/>
        <v>0</v>
      </c>
      <c r="AC332" s="5"/>
      <c r="AD332" s="6">
        <f>(Table5[[#This Row],[( S/S+T/B) AJD]]*1000)-((Table5[[#This Row],[(STORGE DIFF.) AJD]]*1000)+Table5[[#This Row],[AJD_Evaporation]]+(Table5[[#This Row],[(A/B + A/S) AJD]]*1000))</f>
        <v>0</v>
      </c>
      <c r="AE332" s="33"/>
      <c r="AF332" s="6"/>
      <c r="AG332" s="6"/>
      <c r="AH332" s="6">
        <f>Table5[[#This Row],[ (RESV. STORGE) BER]]/10</f>
        <v>0</v>
      </c>
      <c r="AI332" s="6"/>
      <c r="AJ332" s="33">
        <f>Table5[[#This Row],[(A/B) AJD]]-Table5[[#This Row],[BER_IN]]</f>
        <v>0</v>
      </c>
      <c r="AK332" s="6"/>
      <c r="AL332" s="6"/>
      <c r="AM332" s="32"/>
      <c r="AN332" s="32">
        <f>Table5[[#This Row],[ (RESV. STORGE) SER]]/10</f>
        <v>0</v>
      </c>
      <c r="AO332" s="68"/>
      <c r="AP332" s="104">
        <f>Table5[[#This Row],[(A/S) AJD]]-Table5[[#This Row],[SER_IN]]</f>
        <v>0</v>
      </c>
    </row>
    <row r="333" spans="1:42" ht="18.75" x14ac:dyDescent="0.25">
      <c r="A333" s="10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Table5[[#This Row],[ (T/B) SAR]]+Table5[[#This Row],[ (S/S) SAR]]</f>
        <v>0</v>
      </c>
      <c r="L333" s="28"/>
      <c r="M333" s="29"/>
      <c r="N333" s="30"/>
      <c r="O333" s="40"/>
      <c r="P333" s="9">
        <f>Table5[[#This Row],[ (S/S) SAR]]-Table5[[#This Row],[(S/S) AJD]]</f>
        <v>0</v>
      </c>
      <c r="Q333" s="9"/>
      <c r="R333" s="9">
        <f>Table5[[#This Row],[ (T/B) SAR]]-Table5[[#This Row],[(T/B) AJD]]</f>
        <v>0</v>
      </c>
      <c r="S333" s="9">
        <f>Table5[[#This Row],[S/S_CON.]]+Table5[[#This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Table5[[#This Row],[(RESV. STORGE) AJD]]/10</f>
        <v>0</v>
      </c>
      <c r="AB333" s="3">
        <f t="shared" si="23"/>
        <v>0</v>
      </c>
      <c r="AC333" s="5"/>
      <c r="AD333" s="6">
        <f>(Table5[[#This Row],[( S/S+T/B) AJD]]*1000)-((Table5[[#This Row],[(STORGE DIFF.) AJD]]*1000)+Table5[[#This Row],[AJD_Evaporation]]+(Table5[[#This Row],[(A/B + A/S) AJD]]*1000))</f>
        <v>0</v>
      </c>
      <c r="AE333" s="33"/>
      <c r="AF333" s="6"/>
      <c r="AG333" s="6"/>
      <c r="AH333" s="6">
        <f>Table5[[#This Row],[ (RESV. STORGE) BER]]/10</f>
        <v>0</v>
      </c>
      <c r="AI333" s="6"/>
      <c r="AJ333" s="33">
        <f>Table5[[#This Row],[(A/B) AJD]]-Table5[[#This Row],[BER_IN]]</f>
        <v>0</v>
      </c>
      <c r="AK333" s="6"/>
      <c r="AL333" s="6"/>
      <c r="AM333" s="32"/>
      <c r="AN333" s="32">
        <f>Table5[[#This Row],[ (RESV. STORGE) SER]]/10</f>
        <v>0</v>
      </c>
      <c r="AO333" s="68"/>
      <c r="AP333" s="104">
        <f>Table5[[#This Row],[(A/S) AJD]]-Table5[[#This Row],[SER_IN]]</f>
        <v>0</v>
      </c>
    </row>
    <row r="334" spans="1:42" ht="18.75" x14ac:dyDescent="0.25">
      <c r="A334" s="10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Table5[[#This Row],[ (T/B) SAR]]+Table5[[#This Row],[ (S/S) SAR]]</f>
        <v>0</v>
      </c>
      <c r="L334" s="28"/>
      <c r="M334" s="29"/>
      <c r="N334" s="30"/>
      <c r="O334" s="39"/>
      <c r="P334" s="9">
        <f>Table5[[#This Row],[ (S/S) SAR]]-Table5[[#This Row],[(S/S) AJD]]</f>
        <v>0</v>
      </c>
      <c r="Q334" s="9"/>
      <c r="R334" s="9">
        <f>Table5[[#This Row],[ (T/B) SAR]]-Table5[[#This Row],[(T/B) AJD]]</f>
        <v>0</v>
      </c>
      <c r="S334" s="9">
        <f>Table5[[#This Row],[S/S_CON.]]+Table5[[#This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Table5[[#This Row],[(RESV. STORGE) AJD]]/10</f>
        <v>0</v>
      </c>
      <c r="AB334" s="3">
        <f t="shared" si="23"/>
        <v>0</v>
      </c>
      <c r="AC334" s="5"/>
      <c r="AD334" s="6">
        <f>(Table5[[#This Row],[( S/S+T/B) AJD]]*1000)-((Table5[[#This Row],[(STORGE DIFF.) AJD]]*1000)+Table5[[#This Row],[AJD_Evaporation]]+(Table5[[#This Row],[(A/B + A/S) AJD]]*1000))</f>
        <v>0</v>
      </c>
      <c r="AE334" s="33"/>
      <c r="AF334" s="6"/>
      <c r="AG334" s="6"/>
      <c r="AH334" s="6">
        <f>Table5[[#This Row],[ (RESV. STORGE) BER]]/10</f>
        <v>0</v>
      </c>
      <c r="AI334" s="6"/>
      <c r="AJ334" s="33">
        <f>Table5[[#This Row],[(A/B) AJD]]-Table5[[#This Row],[BER_IN]]</f>
        <v>0</v>
      </c>
      <c r="AK334" s="6"/>
      <c r="AL334" s="6"/>
      <c r="AM334" s="32"/>
      <c r="AN334" s="32">
        <f>Table5[[#This Row],[ (RESV. STORGE) SER]]/10</f>
        <v>0</v>
      </c>
      <c r="AO334" s="68"/>
      <c r="AP334" s="104">
        <f>Table5[[#This Row],[(A/S) AJD]]-Table5[[#This Row],[SER_IN]]</f>
        <v>0</v>
      </c>
    </row>
    <row r="335" spans="1:42" ht="18.75" x14ac:dyDescent="0.25">
      <c r="A335" s="10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Table5[[#This Row],[ (T/B) SAR]]+Table5[[#This Row],[ (S/S) SAR]]</f>
        <v>0</v>
      </c>
      <c r="L335" s="28"/>
      <c r="M335" s="29"/>
      <c r="N335" s="30"/>
      <c r="O335" s="40"/>
      <c r="P335" s="9">
        <f>Table5[[#This Row],[ (S/S) SAR]]-Table5[[#This Row],[(S/S) AJD]]</f>
        <v>0</v>
      </c>
      <c r="Q335" s="9"/>
      <c r="R335" s="9">
        <f>Table5[[#This Row],[ (T/B) SAR]]-Table5[[#This Row],[(T/B) AJD]]</f>
        <v>0</v>
      </c>
      <c r="S335" s="9">
        <f>Table5[[#This Row],[S/S_CON.]]+Table5[[#This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Table5[[#This Row],[(RESV. STORGE) AJD]]/10</f>
        <v>0</v>
      </c>
      <c r="AB335" s="3">
        <f t="shared" si="23"/>
        <v>0</v>
      </c>
      <c r="AC335" s="5"/>
      <c r="AD335" s="6">
        <f>(Table5[[#This Row],[( S/S+T/B) AJD]]*1000)-((Table5[[#This Row],[(STORGE DIFF.) AJD]]*1000)+Table5[[#This Row],[AJD_Evaporation]]+(Table5[[#This Row],[(A/B + A/S) AJD]]*1000))</f>
        <v>0</v>
      </c>
      <c r="AE335" s="33"/>
      <c r="AF335" s="6"/>
      <c r="AG335" s="6"/>
      <c r="AH335" s="6">
        <f>Table5[[#This Row],[ (RESV. STORGE) BER]]/10</f>
        <v>0</v>
      </c>
      <c r="AI335" s="6"/>
      <c r="AJ335" s="33">
        <f>Table5[[#This Row],[(A/B) AJD]]-Table5[[#This Row],[BER_IN]]</f>
        <v>0</v>
      </c>
      <c r="AK335" s="6"/>
      <c r="AL335" s="6"/>
      <c r="AM335" s="32"/>
      <c r="AN335" s="32">
        <f>Table5[[#This Row],[ (RESV. STORGE) SER]]/10</f>
        <v>0</v>
      </c>
      <c r="AO335" s="68"/>
      <c r="AP335" s="104">
        <f>Table5[[#This Row],[(A/S) AJD]]-Table5[[#This Row],[SER_IN]]</f>
        <v>0</v>
      </c>
    </row>
    <row r="336" spans="1:42" ht="18.75" x14ac:dyDescent="0.25">
      <c r="A336" s="10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Table5[[#This Row],[ (T/B) SAR]]+Table5[[#This Row],[ (S/S) SAR]]</f>
        <v>0</v>
      </c>
      <c r="L336" s="41"/>
      <c r="M336" s="42"/>
      <c r="N336" s="42"/>
      <c r="O336" s="39"/>
      <c r="P336" s="9">
        <f>Table5[[#This Row],[ (S/S) SAR]]-Table5[[#This Row],[(S/S) AJD]]</f>
        <v>0</v>
      </c>
      <c r="Q336" s="39"/>
      <c r="R336" s="9">
        <f>Table5[[#This Row],[ (T/B) SAR]]-Table5[[#This Row],[(T/B) AJD]]</f>
        <v>0</v>
      </c>
      <c r="S336" s="9">
        <f>Table5[[#This Row],[S/S_CON.]]+Table5[[#This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Table5[[#This Row],[(RESV. STORGE) AJD]]/10</f>
        <v>0</v>
      </c>
      <c r="AB336" s="3">
        <f t="shared" si="23"/>
        <v>0</v>
      </c>
      <c r="AC336" s="5"/>
      <c r="AD336" s="39">
        <f>(Table5[[#This Row],[( S/S+T/B) AJD]]*1000)-((Table5[[#This Row],[(STORGE DIFF.) AJD]]*1000)+Table5[[#This Row],[AJD_Evaporation]]+(Table5[[#This Row],[(A/B + A/S) AJD]]*1000))</f>
        <v>0</v>
      </c>
      <c r="AE336" s="41"/>
      <c r="AF336" s="43"/>
      <c r="AG336" s="43"/>
      <c r="AH336" s="6">
        <f>Table5[[#This Row],[ (RESV. STORGE) BER]]/10</f>
        <v>0</v>
      </c>
      <c r="AI336" s="41"/>
      <c r="AJ336" s="41">
        <f>Table5[[#This Row],[(A/B) AJD]]-Table5[[#This Row],[BER_IN]]</f>
        <v>0</v>
      </c>
      <c r="AK336" s="43"/>
      <c r="AL336" s="43"/>
      <c r="AM336" s="32"/>
      <c r="AN336" s="32">
        <f>Table5[[#This Row],[ (RESV. STORGE) SER]]/10</f>
        <v>0</v>
      </c>
      <c r="AO336" s="68"/>
      <c r="AP336" s="104">
        <f>Table5[[#This Row],[(A/S) AJD]]-Table5[[#This Row],[SER_IN]]</f>
        <v>0</v>
      </c>
    </row>
    <row r="337" spans="1:42" ht="18.75" x14ac:dyDescent="0.25">
      <c r="A337" s="10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Table5[[#This Row],[ (T/B) SAR]]+Table5[[#This Row],[ (S/S) SAR]]</f>
        <v>0</v>
      </c>
      <c r="L337" s="45"/>
      <c r="M337" s="46"/>
      <c r="N337" s="46"/>
      <c r="O337" s="40"/>
      <c r="P337" s="9">
        <f>Table5[[#This Row],[ (S/S) SAR]]-Table5[[#This Row],[(S/S) AJD]]</f>
        <v>0</v>
      </c>
      <c r="Q337" s="40"/>
      <c r="R337" s="9">
        <f>Table5[[#This Row],[ (T/B) SAR]]-Table5[[#This Row],[(T/B) AJD]]</f>
        <v>0</v>
      </c>
      <c r="S337" s="9">
        <f>Table5[[#This Row],[S/S_CON.]]+Table5[[#This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Table5[[#This Row],[(RESV. STORGE) AJD]]/10</f>
        <v>0</v>
      </c>
      <c r="AB337" s="3">
        <f t="shared" si="23"/>
        <v>0</v>
      </c>
      <c r="AC337" s="5"/>
      <c r="AD337" s="40">
        <f>(Table5[[#This Row],[( S/S+T/B) AJD]]*1000)-((Table5[[#This Row],[(STORGE DIFF.) AJD]]*1000)+Table5[[#This Row],[AJD_Evaporation]]+(Table5[[#This Row],[(A/B + A/S) AJD]]*1000))</f>
        <v>0</v>
      </c>
      <c r="AE337" s="44"/>
      <c r="AF337" s="45"/>
      <c r="AG337" s="45"/>
      <c r="AH337" s="6">
        <f>Table5[[#This Row],[ (RESV. STORGE) BER]]/10</f>
        <v>0</v>
      </c>
      <c r="AI337" s="44"/>
      <c r="AJ337" s="44">
        <f>Table5[[#This Row],[(A/B) AJD]]-Table5[[#This Row],[BER_IN]]</f>
        <v>0</v>
      </c>
      <c r="AK337" s="45"/>
      <c r="AL337" s="45"/>
      <c r="AM337" s="32"/>
      <c r="AN337" s="32">
        <f>Table5[[#This Row],[ (RESV. STORGE) SER]]/10</f>
        <v>0</v>
      </c>
      <c r="AO337" s="68"/>
      <c r="AP337" s="104">
        <f>Table5[[#This Row],[(A/S) AJD]]-Table5[[#This Row],[SER_IN]]</f>
        <v>0</v>
      </c>
    </row>
    <row r="338" spans="1:42" ht="18.75" x14ac:dyDescent="0.25">
      <c r="A338" s="10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Table5[[#This Row],[ (T/B) SAR]]+Table5[[#This Row],[ (S/S) SAR]]</f>
        <v>0</v>
      </c>
      <c r="L338" s="41"/>
      <c r="M338" s="42"/>
      <c r="N338" s="42"/>
      <c r="O338" s="39"/>
      <c r="P338" s="9">
        <f>Table5[[#This Row],[ (S/S) SAR]]-Table5[[#This Row],[(S/S) AJD]]</f>
        <v>0</v>
      </c>
      <c r="Q338" s="39"/>
      <c r="R338" s="9">
        <f>Table5[[#This Row],[ (T/B) SAR]]-Table5[[#This Row],[(T/B) AJD]]</f>
        <v>0</v>
      </c>
      <c r="S338" s="9">
        <f>Table5[[#This Row],[S/S_CON.]]+Table5[[#This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Table5[[#This Row],[(RESV. STORGE) AJD]]/10</f>
        <v>0</v>
      </c>
      <c r="AB338" s="3">
        <f t="shared" si="23"/>
        <v>0</v>
      </c>
      <c r="AC338" s="5"/>
      <c r="AD338" s="39">
        <f>(Table5[[#This Row],[( S/S+T/B) AJD]]*1000)-((Table5[[#This Row],[(STORGE DIFF.) AJD]]*1000)+Table5[[#This Row],[AJD_Evaporation]]+(Table5[[#This Row],[(A/B + A/S) AJD]]*1000))</f>
        <v>0</v>
      </c>
      <c r="AE338" s="41"/>
      <c r="AF338" s="43"/>
      <c r="AG338" s="43"/>
      <c r="AH338" s="6">
        <f>Table5[[#This Row],[ (RESV. STORGE) BER]]/10</f>
        <v>0</v>
      </c>
      <c r="AI338" s="41"/>
      <c r="AJ338" s="41">
        <f>Table5[[#This Row],[(A/B) AJD]]-Table5[[#This Row],[BER_IN]]</f>
        <v>0</v>
      </c>
      <c r="AK338" s="43"/>
      <c r="AL338" s="43"/>
      <c r="AM338" s="32"/>
      <c r="AN338" s="32">
        <f>Table5[[#This Row],[ (RESV. STORGE) SER]]/10</f>
        <v>0</v>
      </c>
      <c r="AO338" s="68"/>
      <c r="AP338" s="104">
        <f>Table5[[#This Row],[(A/S) AJD]]-Table5[[#This Row],[SER_IN]]</f>
        <v>0</v>
      </c>
    </row>
    <row r="339" spans="1:42" ht="18.75" x14ac:dyDescent="0.25">
      <c r="A339" s="10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Table5[[#This Row],[ (T/B) SAR]]+Table5[[#This Row],[ (S/S) SAR]]</f>
        <v>0</v>
      </c>
      <c r="L339" s="45"/>
      <c r="M339" s="46"/>
      <c r="N339" s="46"/>
      <c r="O339" s="40"/>
      <c r="P339" s="9">
        <f>Table5[[#This Row],[ (S/S) SAR]]-Table5[[#This Row],[(S/S) AJD]]</f>
        <v>0</v>
      </c>
      <c r="Q339" s="40"/>
      <c r="R339" s="9">
        <f>Table5[[#This Row],[ (T/B) SAR]]-Table5[[#This Row],[(T/B) AJD]]</f>
        <v>0</v>
      </c>
      <c r="S339" s="9">
        <f>Table5[[#This Row],[S/S_CON.]]+Table5[[#This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Table5[[#This Row],[(RESV. STORGE) AJD]]/10</f>
        <v>0</v>
      </c>
      <c r="AB339" s="3">
        <f t="shared" si="23"/>
        <v>0</v>
      </c>
      <c r="AC339" s="5"/>
      <c r="AD339" s="40">
        <f>(Table5[[#This Row],[( S/S+T/B) AJD]]*1000)-((Table5[[#This Row],[(STORGE DIFF.) AJD]]*1000)+Table5[[#This Row],[AJD_Evaporation]]+(Table5[[#This Row],[(A/B + A/S) AJD]]*1000))</f>
        <v>0</v>
      </c>
      <c r="AE339" s="44"/>
      <c r="AF339" s="45"/>
      <c r="AG339" s="45"/>
      <c r="AH339" s="6">
        <f>Table5[[#This Row],[ (RESV. STORGE) BER]]/10</f>
        <v>0</v>
      </c>
      <c r="AI339" s="44"/>
      <c r="AJ339" s="44">
        <f>Table5[[#This Row],[(A/B) AJD]]-Table5[[#This Row],[BER_IN]]</f>
        <v>0</v>
      </c>
      <c r="AK339" s="45"/>
      <c r="AL339" s="45"/>
      <c r="AM339" s="32"/>
      <c r="AN339" s="32">
        <f>Table5[[#This Row],[ (RESV. STORGE) SER]]/10</f>
        <v>0</v>
      </c>
      <c r="AO339" s="68"/>
      <c r="AP339" s="104">
        <f>Table5[[#This Row],[(A/S) AJD]]-Table5[[#This Row],[SER_IN]]</f>
        <v>0</v>
      </c>
    </row>
    <row r="340" spans="1:42" ht="18.75" x14ac:dyDescent="0.25">
      <c r="A340" s="10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Table5[[#This Row],[ (T/B) SAR]]+Table5[[#This Row],[ (S/S) SAR]]</f>
        <v>0</v>
      </c>
      <c r="L340" s="41"/>
      <c r="M340" s="42"/>
      <c r="N340" s="42"/>
      <c r="O340" s="39"/>
      <c r="P340" s="9">
        <f>Table5[[#This Row],[ (S/S) SAR]]-Table5[[#This Row],[(S/S) AJD]]</f>
        <v>0</v>
      </c>
      <c r="Q340" s="39"/>
      <c r="R340" s="9">
        <f>Table5[[#This Row],[ (T/B) SAR]]-Table5[[#This Row],[(T/B) AJD]]</f>
        <v>0</v>
      </c>
      <c r="S340" s="9">
        <f>Table5[[#This Row],[S/S_CON.]]+Table5[[#This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Table5[[#This Row],[(RESV. STORGE) AJD]]/10</f>
        <v>0</v>
      </c>
      <c r="AB340" s="3">
        <f t="shared" si="23"/>
        <v>0</v>
      </c>
      <c r="AC340" s="5"/>
      <c r="AD340" s="39">
        <f>(Table5[[#This Row],[( S/S+T/B) AJD]]*1000)-((Table5[[#This Row],[(STORGE DIFF.) AJD]]*1000)+Table5[[#This Row],[AJD_Evaporation]]+(Table5[[#This Row],[(A/B + A/S) AJD]]*1000))</f>
        <v>0</v>
      </c>
      <c r="AE340" s="41"/>
      <c r="AF340" s="43"/>
      <c r="AG340" s="43"/>
      <c r="AH340" s="6">
        <f>Table5[[#This Row],[ (RESV. STORGE) BER]]/10</f>
        <v>0</v>
      </c>
      <c r="AI340" s="41"/>
      <c r="AJ340" s="41">
        <f>Table5[[#This Row],[(A/B) AJD]]-Table5[[#This Row],[BER_IN]]</f>
        <v>0</v>
      </c>
      <c r="AK340" s="43"/>
      <c r="AL340" s="43"/>
      <c r="AM340" s="32"/>
      <c r="AN340" s="32">
        <f>Table5[[#This Row],[ (RESV. STORGE) SER]]/10</f>
        <v>0</v>
      </c>
      <c r="AO340" s="68"/>
      <c r="AP340" s="104">
        <f>Table5[[#This Row],[(A/S) AJD]]-Table5[[#This Row],[SER_IN]]</f>
        <v>0</v>
      </c>
    </row>
    <row r="341" spans="1:42" ht="18.75" x14ac:dyDescent="0.25">
      <c r="A341" s="10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Table5[[#This Row],[ (T/B) SAR]]+Table5[[#This Row],[ (S/S) SAR]]</f>
        <v>0</v>
      </c>
      <c r="L341" s="45"/>
      <c r="M341" s="46"/>
      <c r="N341" s="46"/>
      <c r="O341" s="40"/>
      <c r="P341" s="9">
        <f>Table5[[#This Row],[ (S/S) SAR]]-Table5[[#This Row],[(S/S) AJD]]</f>
        <v>0</v>
      </c>
      <c r="Q341" s="40"/>
      <c r="R341" s="9">
        <f>Table5[[#This Row],[ (T/B) SAR]]-Table5[[#This Row],[(T/B) AJD]]</f>
        <v>0</v>
      </c>
      <c r="S341" s="9">
        <f>Table5[[#This Row],[S/S_CON.]]+Table5[[#This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Table5[[#This Row],[(RESV. STORGE) AJD]]/10</f>
        <v>0</v>
      </c>
      <c r="AB341" s="3">
        <f t="shared" si="23"/>
        <v>0</v>
      </c>
      <c r="AC341" s="5"/>
      <c r="AD341" s="40">
        <f>(Table5[[#This Row],[( S/S+T/B) AJD]]*1000)-((Table5[[#This Row],[(STORGE DIFF.) AJD]]*1000)+Table5[[#This Row],[AJD_Evaporation]]+(Table5[[#This Row],[(A/B + A/S) AJD]]*1000))</f>
        <v>0</v>
      </c>
      <c r="AE341" s="44"/>
      <c r="AF341" s="45"/>
      <c r="AG341" s="45"/>
      <c r="AH341" s="6">
        <f>Table5[[#This Row],[ (RESV. STORGE) BER]]/10</f>
        <v>0</v>
      </c>
      <c r="AI341" s="44"/>
      <c r="AJ341" s="44">
        <f>Table5[[#This Row],[(A/B) AJD]]-Table5[[#This Row],[BER_IN]]</f>
        <v>0</v>
      </c>
      <c r="AK341" s="45"/>
      <c r="AL341" s="45"/>
      <c r="AM341" s="32"/>
      <c r="AN341" s="32">
        <f>Table5[[#This Row],[ (RESV. STORGE) SER]]/10</f>
        <v>0</v>
      </c>
      <c r="AO341" s="68"/>
      <c r="AP341" s="104">
        <f>Table5[[#This Row],[(A/S) AJD]]-Table5[[#This Row],[SER_IN]]</f>
        <v>0</v>
      </c>
    </row>
    <row r="342" spans="1:42" ht="18.75" x14ac:dyDescent="0.25">
      <c r="A342" s="10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Table5[[#This Row],[ (T/B) SAR]]+Table5[[#This Row],[ (S/S) SAR]]</f>
        <v>0</v>
      </c>
      <c r="L342" s="41"/>
      <c r="M342" s="42"/>
      <c r="N342" s="42"/>
      <c r="O342" s="39"/>
      <c r="P342" s="9">
        <f>Table5[[#This Row],[ (S/S) SAR]]-Table5[[#This Row],[(S/S) AJD]]</f>
        <v>0</v>
      </c>
      <c r="Q342" s="39"/>
      <c r="R342" s="9">
        <f>Table5[[#This Row],[ (T/B) SAR]]-Table5[[#This Row],[(T/B) AJD]]</f>
        <v>0</v>
      </c>
      <c r="S342" s="9">
        <f>Table5[[#This Row],[S/S_CON.]]+Table5[[#This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Table5[[#This Row],[(RESV. STORGE) AJD]]/10</f>
        <v>0</v>
      </c>
      <c r="AB342" s="3">
        <f t="shared" si="23"/>
        <v>0</v>
      </c>
      <c r="AC342" s="5"/>
      <c r="AD342" s="39">
        <f>(Table5[[#This Row],[( S/S+T/B) AJD]]*1000)-((Table5[[#This Row],[(STORGE DIFF.) AJD]]*1000)+Table5[[#This Row],[AJD_Evaporation]]+(Table5[[#This Row],[(A/B + A/S) AJD]]*1000))</f>
        <v>0</v>
      </c>
      <c r="AE342" s="41"/>
      <c r="AF342" s="43"/>
      <c r="AG342" s="43"/>
      <c r="AH342" s="6">
        <f>Table5[[#This Row],[ (RESV. STORGE) BER]]/10</f>
        <v>0</v>
      </c>
      <c r="AI342" s="41"/>
      <c r="AJ342" s="41">
        <f>Table5[[#This Row],[(A/B) AJD]]-Table5[[#This Row],[BER_IN]]</f>
        <v>0</v>
      </c>
      <c r="AK342" s="43"/>
      <c r="AL342" s="43"/>
      <c r="AM342" s="32"/>
      <c r="AN342" s="32">
        <f>Table5[[#This Row],[ (RESV. STORGE) SER]]/10</f>
        <v>0</v>
      </c>
      <c r="AO342" s="68"/>
      <c r="AP342" s="104">
        <f>Table5[[#This Row],[(A/S) AJD]]-Table5[[#This Row],[SER_IN]]</f>
        <v>0</v>
      </c>
    </row>
    <row r="343" spans="1:42" ht="18.75" x14ac:dyDescent="0.25">
      <c r="A343" s="10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Table5[[#This Row],[ (T/B) SAR]]+Table5[[#This Row],[ (S/S) SAR]]</f>
        <v>0</v>
      </c>
      <c r="L343" s="45"/>
      <c r="M343" s="46"/>
      <c r="N343" s="46"/>
      <c r="O343" s="40"/>
      <c r="P343" s="9">
        <f>Table5[[#This Row],[ (S/S) SAR]]-Table5[[#This Row],[(S/S) AJD]]</f>
        <v>0</v>
      </c>
      <c r="Q343" s="40"/>
      <c r="R343" s="9">
        <f>Table5[[#This Row],[ (T/B) SAR]]-Table5[[#This Row],[(T/B) AJD]]</f>
        <v>0</v>
      </c>
      <c r="S343" s="9">
        <f>Table5[[#This Row],[S/S_CON.]]+Table5[[#This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Table5[[#This Row],[(RESV. STORGE) AJD]]/10</f>
        <v>0</v>
      </c>
      <c r="AB343" s="3">
        <f t="shared" si="23"/>
        <v>0</v>
      </c>
      <c r="AC343" s="5"/>
      <c r="AD343" s="40">
        <f>(Table5[[#This Row],[( S/S+T/B) AJD]]*1000)-((Table5[[#This Row],[(STORGE DIFF.) AJD]]*1000)+Table5[[#This Row],[AJD_Evaporation]]+(Table5[[#This Row],[(A/B + A/S) AJD]]*1000))</f>
        <v>0</v>
      </c>
      <c r="AE343" s="44"/>
      <c r="AF343" s="45"/>
      <c r="AG343" s="45"/>
      <c r="AH343" s="6">
        <f>Table5[[#This Row],[ (RESV. STORGE) BER]]/10</f>
        <v>0</v>
      </c>
      <c r="AI343" s="44"/>
      <c r="AJ343" s="44">
        <f>Table5[[#This Row],[(A/B) AJD]]-Table5[[#This Row],[BER_IN]]</f>
        <v>0</v>
      </c>
      <c r="AK343" s="45"/>
      <c r="AL343" s="45"/>
      <c r="AM343" s="32"/>
      <c r="AN343" s="32">
        <f>Table5[[#This Row],[ (RESV. STORGE) SER]]/10</f>
        <v>0</v>
      </c>
      <c r="AO343" s="68"/>
      <c r="AP343" s="104">
        <f>Table5[[#This Row],[(A/S) AJD]]-Table5[[#This Row],[SER_IN]]</f>
        <v>0</v>
      </c>
    </row>
    <row r="344" spans="1:42" ht="18.75" x14ac:dyDescent="0.25">
      <c r="A344" s="10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Table5[[#This Row],[ (T/B) SAR]]+Table5[[#This Row],[ (S/S) SAR]]</f>
        <v>0</v>
      </c>
      <c r="L344" s="41"/>
      <c r="M344" s="42"/>
      <c r="N344" s="42"/>
      <c r="O344" s="39"/>
      <c r="P344" s="9">
        <f>Table5[[#This Row],[ (S/S) SAR]]-Table5[[#This Row],[(S/S) AJD]]</f>
        <v>0</v>
      </c>
      <c r="Q344" s="39"/>
      <c r="R344" s="9">
        <f>Table5[[#This Row],[ (T/B) SAR]]-Table5[[#This Row],[(T/B) AJD]]</f>
        <v>0</v>
      </c>
      <c r="S344" s="9">
        <f>Table5[[#This Row],[S/S_CON.]]+Table5[[#This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Table5[[#This Row],[(RESV. STORGE) AJD]]/10</f>
        <v>0</v>
      </c>
      <c r="AB344" s="3">
        <f t="shared" si="23"/>
        <v>0</v>
      </c>
      <c r="AC344" s="5"/>
      <c r="AD344" s="39">
        <f>(Table5[[#This Row],[( S/S+T/B) AJD]]*1000)-((Table5[[#This Row],[(STORGE DIFF.) AJD]]*1000)+Table5[[#This Row],[AJD_Evaporation]]+(Table5[[#This Row],[(A/B + A/S) AJD]]*1000))</f>
        <v>0</v>
      </c>
      <c r="AE344" s="41"/>
      <c r="AF344" s="43"/>
      <c r="AG344" s="43"/>
      <c r="AH344" s="6">
        <f>Table5[[#This Row],[ (RESV. STORGE) BER]]/10</f>
        <v>0</v>
      </c>
      <c r="AI344" s="41"/>
      <c r="AJ344" s="41">
        <f>Table5[[#This Row],[(A/B) AJD]]-Table5[[#This Row],[BER_IN]]</f>
        <v>0</v>
      </c>
      <c r="AK344" s="43"/>
      <c r="AL344" s="43"/>
      <c r="AM344" s="32"/>
      <c r="AN344" s="32">
        <f>Table5[[#This Row],[ (RESV. STORGE) SER]]/10</f>
        <v>0</v>
      </c>
      <c r="AO344" s="68"/>
      <c r="AP344" s="104">
        <f>Table5[[#This Row],[(A/S) AJD]]-Table5[[#This Row],[SER_IN]]</f>
        <v>0</v>
      </c>
    </row>
    <row r="345" spans="1:42" ht="18.75" x14ac:dyDescent="0.25">
      <c r="A345" s="10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Table5[[#This Row],[ (T/B) SAR]]+Table5[[#This Row],[ (S/S) SAR]]</f>
        <v>0</v>
      </c>
      <c r="L345" s="45"/>
      <c r="M345" s="46"/>
      <c r="N345" s="46"/>
      <c r="O345" s="40"/>
      <c r="P345" s="9">
        <f>Table5[[#This Row],[ (S/S) SAR]]-Table5[[#This Row],[(S/S) AJD]]</f>
        <v>0</v>
      </c>
      <c r="Q345" s="40"/>
      <c r="R345" s="9">
        <f>Table5[[#This Row],[ (T/B) SAR]]-Table5[[#This Row],[(T/B) AJD]]</f>
        <v>0</v>
      </c>
      <c r="S345" s="9">
        <f>Table5[[#This Row],[S/S_CON.]]+Table5[[#This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Table5[[#This Row],[(RESV. STORGE) AJD]]/10</f>
        <v>0</v>
      </c>
      <c r="AB345" s="3">
        <f t="shared" si="23"/>
        <v>0</v>
      </c>
      <c r="AC345" s="5"/>
      <c r="AD345" s="40">
        <f>(Table5[[#This Row],[( S/S+T/B) AJD]]*1000)-((Table5[[#This Row],[(STORGE DIFF.) AJD]]*1000)+Table5[[#This Row],[AJD_Evaporation]]+(Table5[[#This Row],[(A/B + A/S) AJD]]*1000))</f>
        <v>0</v>
      </c>
      <c r="AE345" s="44"/>
      <c r="AF345" s="45"/>
      <c r="AG345" s="45"/>
      <c r="AH345" s="6">
        <f>Table5[[#This Row],[ (RESV. STORGE) BER]]/10</f>
        <v>0</v>
      </c>
      <c r="AI345" s="44"/>
      <c r="AJ345" s="44">
        <f>Table5[[#This Row],[(A/B) AJD]]-Table5[[#This Row],[BER_IN]]</f>
        <v>0</v>
      </c>
      <c r="AK345" s="45"/>
      <c r="AL345" s="45"/>
      <c r="AM345" s="32"/>
      <c r="AN345" s="32">
        <f>Table5[[#This Row],[ (RESV. STORGE) SER]]/10</f>
        <v>0</v>
      </c>
      <c r="AO345" s="68"/>
      <c r="AP345" s="104">
        <f>Table5[[#This Row],[(A/S) AJD]]-Table5[[#This Row],[SER_IN]]</f>
        <v>0</v>
      </c>
    </row>
    <row r="346" spans="1:42" ht="18.75" x14ac:dyDescent="0.25">
      <c r="A346" s="10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Table5[[#This Row],[ (T/B) SAR]]+Table5[[#This Row],[ (S/S) SAR]]</f>
        <v>0</v>
      </c>
      <c r="L346" s="41"/>
      <c r="M346" s="42"/>
      <c r="N346" s="42"/>
      <c r="O346" s="39"/>
      <c r="P346" s="9">
        <f>Table5[[#This Row],[ (S/S) SAR]]-Table5[[#This Row],[(S/S) AJD]]</f>
        <v>0</v>
      </c>
      <c r="Q346" s="39"/>
      <c r="R346" s="9">
        <f>Table5[[#This Row],[ (T/B) SAR]]-Table5[[#This Row],[(T/B) AJD]]</f>
        <v>0</v>
      </c>
      <c r="S346" s="9">
        <f>Table5[[#This Row],[S/S_CON.]]+Table5[[#This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Table5[[#This Row],[(RESV. STORGE) AJD]]/10</f>
        <v>0</v>
      </c>
      <c r="AB346" s="3">
        <f t="shared" si="23"/>
        <v>0</v>
      </c>
      <c r="AC346" s="5"/>
      <c r="AD346" s="39">
        <f>(Table5[[#This Row],[( S/S+T/B) AJD]]*1000)-((Table5[[#This Row],[(STORGE DIFF.) AJD]]*1000)+Table5[[#This Row],[AJD_Evaporation]]+(Table5[[#This Row],[(A/B + A/S) AJD]]*1000))</f>
        <v>0</v>
      </c>
      <c r="AE346" s="41"/>
      <c r="AF346" s="43"/>
      <c r="AG346" s="48"/>
      <c r="AH346" s="6">
        <f>Table5[[#This Row],[ (RESV. STORGE) BER]]/10</f>
        <v>0</v>
      </c>
      <c r="AI346" s="41"/>
      <c r="AJ346" s="49">
        <f>Table5[[#This Row],[(A/B) AJD]]-Table5[[#This Row],[BER_IN]]</f>
        <v>0</v>
      </c>
      <c r="AK346" s="43"/>
      <c r="AL346" s="43"/>
      <c r="AM346" s="32"/>
      <c r="AN346" s="32">
        <f>Table5[[#This Row],[ (RESV. STORGE) SER]]/10</f>
        <v>0</v>
      </c>
      <c r="AO346" s="68"/>
      <c r="AP346" s="104">
        <f>Table5[[#This Row],[(A/S) AJD]]-Table5[[#This Row],[SER_IN]]</f>
        <v>0</v>
      </c>
    </row>
    <row r="347" spans="1:42" ht="18.75" x14ac:dyDescent="0.25">
      <c r="A347" s="10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Table5[[#This Row],[ (T/B) SAR]]+Table5[[#This Row],[ (S/S) SAR]]</f>
        <v>0</v>
      </c>
      <c r="L347" s="45"/>
      <c r="M347" s="46"/>
      <c r="N347" s="46"/>
      <c r="O347" s="40"/>
      <c r="P347" s="9">
        <f>Table5[[#This Row],[ (S/S) SAR]]-Table5[[#This Row],[(S/S) AJD]]</f>
        <v>0</v>
      </c>
      <c r="Q347" s="40"/>
      <c r="R347" s="9">
        <f>Table5[[#This Row],[ (T/B) SAR]]-Table5[[#This Row],[(T/B) AJD]]</f>
        <v>0</v>
      </c>
      <c r="S347" s="9">
        <f>Table5[[#This Row],[S/S_CON.]]+Table5[[#This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Table5[[#This Row],[(RESV. STORGE) AJD]]/10</f>
        <v>0</v>
      </c>
      <c r="AB347" s="3">
        <f t="shared" si="23"/>
        <v>0</v>
      </c>
      <c r="AC347" s="5"/>
      <c r="AD347" s="40">
        <f>(Table5[[#This Row],[( S/S+T/B) AJD]]*1000)-((Table5[[#This Row],[(STORGE DIFF.) AJD]]*1000)+Table5[[#This Row],[AJD_Evaporation]]+(Table5[[#This Row],[(A/B + A/S) AJD]]*1000))</f>
        <v>0</v>
      </c>
      <c r="AE347" s="44"/>
      <c r="AF347" s="45"/>
      <c r="AG347" s="45"/>
      <c r="AH347" s="6">
        <f>Table5[[#This Row],[ (RESV. STORGE) BER]]/10</f>
        <v>0</v>
      </c>
      <c r="AI347" s="44"/>
      <c r="AJ347" s="44">
        <f>Table5[[#This Row],[(A/B) AJD]]-Table5[[#This Row],[BER_IN]]</f>
        <v>0</v>
      </c>
      <c r="AK347" s="45"/>
      <c r="AL347" s="45"/>
      <c r="AM347" s="32"/>
      <c r="AN347" s="32">
        <f>Table5[[#This Row],[ (RESV. STORGE) SER]]/10</f>
        <v>0</v>
      </c>
      <c r="AO347" s="68"/>
      <c r="AP347" s="104">
        <f>Table5[[#This Row],[(A/S) AJD]]-Table5[[#This Row],[SER_IN]]</f>
        <v>0</v>
      </c>
    </row>
    <row r="348" spans="1:42" ht="18.75" x14ac:dyDescent="0.25">
      <c r="A348" s="10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Table5[[#This Row],[ (T/B) SAR]]+Table5[[#This Row],[ (S/S) SAR]]</f>
        <v>0</v>
      </c>
      <c r="L348" s="41"/>
      <c r="M348" s="42"/>
      <c r="N348" s="42"/>
      <c r="O348" s="39"/>
      <c r="P348" s="9">
        <f>Table5[[#This Row],[ (S/S) SAR]]-Table5[[#This Row],[(S/S) AJD]]</f>
        <v>0</v>
      </c>
      <c r="Q348" s="39"/>
      <c r="R348" s="9">
        <f>Table5[[#This Row],[ (T/B) SAR]]-Table5[[#This Row],[(T/B) AJD]]</f>
        <v>0</v>
      </c>
      <c r="S348" s="9">
        <f>Table5[[#This Row],[S/S_CON.]]+Table5[[#This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Table5[[#This Row],[(RESV. STORGE) AJD]]/10</f>
        <v>0</v>
      </c>
      <c r="AB348" s="3">
        <f t="shared" si="23"/>
        <v>0</v>
      </c>
      <c r="AC348" s="5"/>
      <c r="AD348" s="39">
        <f>(Table5[[#This Row],[( S/S+T/B) AJD]]*1000)-((Table5[[#This Row],[(STORGE DIFF.) AJD]]*1000)+Table5[[#This Row],[AJD_Evaporation]]+(Table5[[#This Row],[(A/B + A/S) AJD]]*1000))</f>
        <v>0</v>
      </c>
      <c r="AE348" s="41"/>
      <c r="AF348" s="43"/>
      <c r="AG348" s="43"/>
      <c r="AH348" s="6">
        <f>Table5[[#This Row],[ (RESV. STORGE) BER]]/10</f>
        <v>0</v>
      </c>
      <c r="AI348" s="41"/>
      <c r="AJ348" s="41">
        <f>Table5[[#This Row],[(A/B) AJD]]-Table5[[#This Row],[BER_IN]]</f>
        <v>0</v>
      </c>
      <c r="AK348" s="43"/>
      <c r="AL348" s="43"/>
      <c r="AM348" s="32"/>
      <c r="AN348" s="32">
        <f>Table5[[#This Row],[ (RESV. STORGE) SER]]/10</f>
        <v>0</v>
      </c>
      <c r="AO348" s="68"/>
      <c r="AP348" s="104">
        <f>Table5[[#This Row],[(A/S) AJD]]-Table5[[#This Row],[SER_IN]]</f>
        <v>0</v>
      </c>
    </row>
    <row r="349" spans="1:42" ht="18.75" x14ac:dyDescent="0.25">
      <c r="A349" s="10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Table5[[#This Row],[ (T/B) SAR]]+Table5[[#This Row],[ (S/S) SAR]]</f>
        <v>0</v>
      </c>
      <c r="L349" s="45"/>
      <c r="M349" s="46"/>
      <c r="N349" s="46"/>
      <c r="O349" s="40"/>
      <c r="P349" s="9">
        <f>Table5[[#This Row],[ (S/S) SAR]]-Table5[[#This Row],[(S/S) AJD]]</f>
        <v>0</v>
      </c>
      <c r="Q349" s="40"/>
      <c r="R349" s="9">
        <f>Table5[[#This Row],[ (T/B) SAR]]-Table5[[#This Row],[(T/B) AJD]]</f>
        <v>0</v>
      </c>
      <c r="S349" s="9">
        <f>Table5[[#This Row],[S/S_CON.]]+Table5[[#This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Table5[[#This Row],[(RESV. STORGE) AJD]]/10</f>
        <v>0</v>
      </c>
      <c r="AB349" s="3">
        <f t="shared" si="23"/>
        <v>0</v>
      </c>
      <c r="AC349" s="5"/>
      <c r="AD349" s="40">
        <f>(Table5[[#This Row],[( S/S+T/B) AJD]]*1000)-((Table5[[#This Row],[(STORGE DIFF.) AJD]]*1000)+Table5[[#This Row],[AJD_Evaporation]]+(Table5[[#This Row],[(A/B + A/S) AJD]]*1000))</f>
        <v>0</v>
      </c>
      <c r="AE349" s="44"/>
      <c r="AF349" s="45"/>
      <c r="AG349" s="45"/>
      <c r="AH349" s="6">
        <f>Table5[[#This Row],[ (RESV. STORGE) BER]]/10</f>
        <v>0</v>
      </c>
      <c r="AI349" s="44"/>
      <c r="AJ349" s="44">
        <f>Table5[[#This Row],[(A/B) AJD]]-Table5[[#This Row],[BER_IN]]</f>
        <v>0</v>
      </c>
      <c r="AK349" s="45"/>
      <c r="AL349" s="45"/>
      <c r="AM349" s="32"/>
      <c r="AN349" s="32">
        <f>Table5[[#This Row],[ (RESV. STORGE) SER]]/10</f>
        <v>0</v>
      </c>
      <c r="AO349" s="68"/>
      <c r="AP349" s="104">
        <f>Table5[[#This Row],[(A/S) AJD]]-Table5[[#This Row],[SER_IN]]</f>
        <v>0</v>
      </c>
    </row>
    <row r="350" spans="1:42" ht="18.75" x14ac:dyDescent="0.25">
      <c r="A350" s="10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Table5[[#This Row],[ (T/B) SAR]]+Table5[[#This Row],[ (S/S) SAR]]</f>
        <v>0</v>
      </c>
      <c r="L350" s="41"/>
      <c r="M350" s="42"/>
      <c r="N350" s="42"/>
      <c r="O350" s="39"/>
      <c r="P350" s="9">
        <f>Table5[[#This Row],[ (S/S) SAR]]-Table5[[#This Row],[(S/S) AJD]]</f>
        <v>0</v>
      </c>
      <c r="Q350" s="39"/>
      <c r="R350" s="9">
        <f>Table5[[#This Row],[ (T/B) SAR]]-Table5[[#This Row],[(T/B) AJD]]</f>
        <v>0</v>
      </c>
      <c r="S350" s="9">
        <f>Table5[[#This Row],[S/S_CON.]]+Table5[[#This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Table5[[#This Row],[(RESV. STORGE) AJD]]/10</f>
        <v>0</v>
      </c>
      <c r="AB350" s="3">
        <f t="shared" si="23"/>
        <v>0</v>
      </c>
      <c r="AC350" s="5"/>
      <c r="AD350" s="39">
        <f>(Table5[[#This Row],[( S/S+T/B) AJD]]*1000)-((Table5[[#This Row],[(STORGE DIFF.) AJD]]*1000)+Table5[[#This Row],[AJD_Evaporation]]+(Table5[[#This Row],[(A/B + A/S) AJD]]*1000))</f>
        <v>0</v>
      </c>
      <c r="AE350" s="41"/>
      <c r="AF350" s="43"/>
      <c r="AG350" s="43"/>
      <c r="AH350" s="6">
        <f>Table5[[#This Row],[ (RESV. STORGE) BER]]/10</f>
        <v>0</v>
      </c>
      <c r="AI350" s="41"/>
      <c r="AJ350" s="41">
        <f>Table5[[#This Row],[(A/B) AJD]]-Table5[[#This Row],[BER_IN]]</f>
        <v>0</v>
      </c>
      <c r="AK350" s="43"/>
      <c r="AL350" s="43"/>
      <c r="AM350" s="32"/>
      <c r="AN350" s="32">
        <f>Table5[[#This Row],[ (RESV. STORGE) SER]]/10</f>
        <v>0</v>
      </c>
      <c r="AO350" s="68"/>
      <c r="AP350" s="104">
        <f>Table5[[#This Row],[(A/S) AJD]]-Table5[[#This Row],[SER_IN]]</f>
        <v>0</v>
      </c>
    </row>
    <row r="351" spans="1:42" ht="18.75" x14ac:dyDescent="0.25">
      <c r="A351" s="10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Table5[[#This Row],[ (T/B) SAR]]+Table5[[#This Row],[ (S/S) SAR]]</f>
        <v>0</v>
      </c>
      <c r="L351" s="45"/>
      <c r="M351" s="46"/>
      <c r="N351" s="46"/>
      <c r="O351" s="40"/>
      <c r="P351" s="9">
        <f>Table5[[#This Row],[ (S/S) SAR]]-Table5[[#This Row],[(S/S) AJD]]</f>
        <v>0</v>
      </c>
      <c r="Q351" s="40"/>
      <c r="R351" s="9">
        <f>Table5[[#This Row],[ (T/B) SAR]]-Table5[[#This Row],[(T/B) AJD]]</f>
        <v>0</v>
      </c>
      <c r="S351" s="9">
        <f>Table5[[#This Row],[S/S_CON.]]+Table5[[#This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Table5[[#This Row],[(RESV. STORGE) AJD]]/10</f>
        <v>0</v>
      </c>
      <c r="AB351" s="3">
        <f t="shared" si="23"/>
        <v>0</v>
      </c>
      <c r="AC351" s="5"/>
      <c r="AD351" s="40">
        <f>(Table5[[#This Row],[( S/S+T/B) AJD]]*1000)-((Table5[[#This Row],[(STORGE DIFF.) AJD]]*1000)+Table5[[#This Row],[AJD_Evaporation]]+(Table5[[#This Row],[(A/B + A/S) AJD]]*1000))</f>
        <v>0</v>
      </c>
      <c r="AE351" s="44"/>
      <c r="AF351" s="45"/>
      <c r="AG351" s="45"/>
      <c r="AH351" s="6">
        <f>Table5[[#This Row],[ (RESV. STORGE) BER]]/10</f>
        <v>0</v>
      </c>
      <c r="AI351" s="44"/>
      <c r="AJ351" s="44">
        <f>Table5[[#This Row],[(A/B) AJD]]-Table5[[#This Row],[BER_IN]]</f>
        <v>0</v>
      </c>
      <c r="AK351" s="45"/>
      <c r="AL351" s="45"/>
      <c r="AM351" s="32"/>
      <c r="AN351" s="32">
        <f>Table5[[#This Row],[ (RESV. STORGE) SER]]/10</f>
        <v>0</v>
      </c>
      <c r="AO351" s="68"/>
      <c r="AP351" s="104">
        <f>Table5[[#This Row],[(A/S) AJD]]-Table5[[#This Row],[SER_IN]]</f>
        <v>0</v>
      </c>
    </row>
    <row r="352" spans="1:42" ht="18.75" x14ac:dyDescent="0.25">
      <c r="A352" s="10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Table5[[#This Row],[ (T/B) SAR]]+Table5[[#This Row],[ (S/S) SAR]]</f>
        <v>0</v>
      </c>
      <c r="L352" s="41"/>
      <c r="M352" s="42"/>
      <c r="N352" s="42"/>
      <c r="O352" s="39"/>
      <c r="P352" s="9">
        <f>Table5[[#This Row],[ (S/S) SAR]]-Table5[[#This Row],[(S/S) AJD]]</f>
        <v>0</v>
      </c>
      <c r="Q352" s="39"/>
      <c r="R352" s="9">
        <f>Table5[[#This Row],[ (T/B) SAR]]-Table5[[#This Row],[(T/B) AJD]]</f>
        <v>0</v>
      </c>
      <c r="S352" s="9">
        <f>Table5[[#This Row],[S/S_CON.]]+Table5[[#This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Table5[[#This Row],[(RESV. STORGE) AJD]]/10</f>
        <v>0</v>
      </c>
      <c r="AB352" s="3">
        <f t="shared" si="23"/>
        <v>0</v>
      </c>
      <c r="AC352" s="5"/>
      <c r="AD352" s="39">
        <f>(Table5[[#This Row],[( S/S+T/B) AJD]]*1000)-((Table5[[#This Row],[(STORGE DIFF.) AJD]]*1000)+Table5[[#This Row],[AJD_Evaporation]]+(Table5[[#This Row],[(A/B + A/S) AJD]]*1000))</f>
        <v>0</v>
      </c>
      <c r="AE352" s="41"/>
      <c r="AF352" s="43"/>
      <c r="AG352" s="43"/>
      <c r="AH352" s="6">
        <f>Table5[[#This Row],[ (RESV. STORGE) BER]]/10</f>
        <v>0</v>
      </c>
      <c r="AI352" s="41"/>
      <c r="AJ352" s="41">
        <f>Table5[[#This Row],[(A/B) AJD]]-Table5[[#This Row],[BER_IN]]</f>
        <v>0</v>
      </c>
      <c r="AK352" s="43"/>
      <c r="AL352" s="43"/>
      <c r="AM352" s="32"/>
      <c r="AN352" s="32">
        <f>Table5[[#This Row],[ (RESV. STORGE) SER]]/10</f>
        <v>0</v>
      </c>
      <c r="AO352" s="68"/>
      <c r="AP352" s="104">
        <f>Table5[[#This Row],[(A/S) AJD]]-Table5[[#This Row],[SER_IN]]</f>
        <v>0</v>
      </c>
    </row>
    <row r="353" spans="1:42" ht="18.75" x14ac:dyDescent="0.25">
      <c r="A353" s="10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Table5[[#This Row],[ (T/B) SAR]]+Table5[[#This Row],[ (S/S) SAR]]</f>
        <v>0</v>
      </c>
      <c r="L353" s="45"/>
      <c r="M353" s="46"/>
      <c r="N353" s="46"/>
      <c r="O353" s="40"/>
      <c r="P353" s="9">
        <f>Table5[[#This Row],[ (S/S) SAR]]-Table5[[#This Row],[(S/S) AJD]]</f>
        <v>0</v>
      </c>
      <c r="Q353" s="40"/>
      <c r="R353" s="9">
        <f>Table5[[#This Row],[ (T/B) SAR]]-Table5[[#This Row],[(T/B) AJD]]</f>
        <v>0</v>
      </c>
      <c r="S353" s="9">
        <f>Table5[[#This Row],[S/S_CON.]]+Table5[[#This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Table5[[#This Row],[(RESV. STORGE) AJD]]/10</f>
        <v>0</v>
      </c>
      <c r="AB353" s="3">
        <f t="shared" si="23"/>
        <v>0</v>
      </c>
      <c r="AC353" s="5"/>
      <c r="AD353" s="40">
        <f>(Table5[[#This Row],[( S/S+T/B) AJD]]*1000)-((Table5[[#This Row],[(STORGE DIFF.) AJD]]*1000)+Table5[[#This Row],[AJD_Evaporation]]+(Table5[[#This Row],[(A/B + A/S) AJD]]*1000))</f>
        <v>0</v>
      </c>
      <c r="AE353" s="44"/>
      <c r="AF353" s="45"/>
      <c r="AG353" s="45"/>
      <c r="AH353" s="6">
        <f>Table5[[#This Row],[ (RESV. STORGE) BER]]/10</f>
        <v>0</v>
      </c>
      <c r="AI353" s="44"/>
      <c r="AJ353" s="44">
        <f>Table5[[#This Row],[(A/B) AJD]]-Table5[[#This Row],[BER_IN]]</f>
        <v>0</v>
      </c>
      <c r="AK353" s="45"/>
      <c r="AL353" s="45"/>
      <c r="AM353" s="32"/>
      <c r="AN353" s="32">
        <f>Table5[[#This Row],[ (RESV. STORGE) SER]]/10</f>
        <v>0</v>
      </c>
      <c r="AO353" s="68"/>
      <c r="AP353" s="104">
        <f>Table5[[#This Row],[(A/S) AJD]]-Table5[[#This Row],[SER_IN]]</f>
        <v>0</v>
      </c>
    </row>
    <row r="354" spans="1:42" ht="18.75" x14ac:dyDescent="0.25">
      <c r="A354" s="10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Table5[[#This Row],[ (T/B) SAR]]+Table5[[#This Row],[ (S/S) SAR]]</f>
        <v>0</v>
      </c>
      <c r="L354" s="41"/>
      <c r="M354" s="42"/>
      <c r="N354" s="42"/>
      <c r="O354" s="39"/>
      <c r="P354" s="9">
        <f>Table5[[#This Row],[ (S/S) SAR]]-Table5[[#This Row],[(S/S) AJD]]</f>
        <v>0</v>
      </c>
      <c r="Q354" s="39"/>
      <c r="R354" s="9">
        <f>Table5[[#This Row],[ (T/B) SAR]]-Table5[[#This Row],[(T/B) AJD]]</f>
        <v>0</v>
      </c>
      <c r="S354" s="9">
        <f>Table5[[#This Row],[S/S_CON.]]+Table5[[#This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Table5[[#This Row],[(RESV. STORGE) AJD]]/10</f>
        <v>0</v>
      </c>
      <c r="AB354" s="3">
        <f t="shared" si="23"/>
        <v>0</v>
      </c>
      <c r="AC354" s="5"/>
      <c r="AD354" s="39">
        <f>(Table5[[#This Row],[( S/S+T/B) AJD]]*1000)-((Table5[[#This Row],[(STORGE DIFF.) AJD]]*1000)+Table5[[#This Row],[AJD_Evaporation]]+(Table5[[#This Row],[(A/B + A/S) AJD]]*1000))</f>
        <v>0</v>
      </c>
      <c r="AE354" s="41"/>
      <c r="AF354" s="43"/>
      <c r="AG354" s="43"/>
      <c r="AH354" s="6">
        <f>Table5[[#This Row],[ (RESV. STORGE) BER]]/10</f>
        <v>0</v>
      </c>
      <c r="AI354" s="41"/>
      <c r="AJ354" s="41">
        <f>Table5[[#This Row],[(A/B) AJD]]-Table5[[#This Row],[BER_IN]]</f>
        <v>0</v>
      </c>
      <c r="AK354" s="43"/>
      <c r="AL354" s="43"/>
      <c r="AM354" s="32"/>
      <c r="AN354" s="32">
        <f>Table5[[#This Row],[ (RESV. STORGE) SER]]/10</f>
        <v>0</v>
      </c>
      <c r="AO354" s="68"/>
      <c r="AP354" s="104">
        <f>Table5[[#This Row],[(A/S) AJD]]-Table5[[#This Row],[SER_IN]]</f>
        <v>0</v>
      </c>
    </row>
    <row r="355" spans="1:42" ht="18.75" x14ac:dyDescent="0.25">
      <c r="A355" s="10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Table5[[#This Row],[ (T/B) SAR]]+Table5[[#This Row],[ (S/S) SAR]]</f>
        <v>0</v>
      </c>
      <c r="L355" s="45"/>
      <c r="M355" s="46"/>
      <c r="N355" s="46"/>
      <c r="O355" s="40"/>
      <c r="P355" s="9">
        <f>Table5[[#This Row],[ (S/S) SAR]]-Table5[[#This Row],[(S/S) AJD]]</f>
        <v>0</v>
      </c>
      <c r="Q355" s="40"/>
      <c r="R355" s="9">
        <f>Table5[[#This Row],[ (T/B) SAR]]-Table5[[#This Row],[(T/B) AJD]]</f>
        <v>0</v>
      </c>
      <c r="S355" s="9">
        <f>Table5[[#This Row],[S/S_CON.]]+Table5[[#This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Table5[[#This Row],[(RESV. STORGE) AJD]]/10</f>
        <v>0</v>
      </c>
      <c r="AB355" s="3">
        <f t="shared" si="23"/>
        <v>0</v>
      </c>
      <c r="AC355" s="5"/>
      <c r="AD355" s="40">
        <f>(Table5[[#This Row],[( S/S+T/B) AJD]]*1000)-((Table5[[#This Row],[(STORGE DIFF.) AJD]]*1000)+Table5[[#This Row],[AJD_Evaporation]]+(Table5[[#This Row],[(A/B + A/S) AJD]]*1000))</f>
        <v>0</v>
      </c>
      <c r="AE355" s="44"/>
      <c r="AF355" s="45"/>
      <c r="AG355" s="45"/>
      <c r="AH355" s="6">
        <f>Table5[[#This Row],[ (RESV. STORGE) BER]]/10</f>
        <v>0</v>
      </c>
      <c r="AI355" s="44"/>
      <c r="AJ355" s="44">
        <f>Table5[[#This Row],[(A/B) AJD]]-Table5[[#This Row],[BER_IN]]</f>
        <v>0</v>
      </c>
      <c r="AK355" s="45"/>
      <c r="AL355" s="45"/>
      <c r="AM355" s="32"/>
      <c r="AN355" s="32">
        <f>Table5[[#This Row],[ (RESV. STORGE) SER]]/10</f>
        <v>0</v>
      </c>
      <c r="AO355" s="68"/>
      <c r="AP355" s="104">
        <f>Table5[[#This Row],[(A/S) AJD]]-Table5[[#This Row],[SER_IN]]</f>
        <v>0</v>
      </c>
    </row>
    <row r="356" spans="1:42" ht="18.75" x14ac:dyDescent="0.25">
      <c r="A356" s="10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Table5[[#This Row],[ (T/B) SAR]]+Table5[[#This Row],[ (S/S) SAR]]</f>
        <v>0</v>
      </c>
      <c r="L356" s="41"/>
      <c r="M356" s="42"/>
      <c r="N356" s="42"/>
      <c r="O356" s="39"/>
      <c r="P356" s="9">
        <f>Table5[[#This Row],[ (S/S) SAR]]-Table5[[#This Row],[(S/S) AJD]]</f>
        <v>0</v>
      </c>
      <c r="Q356" s="39"/>
      <c r="R356" s="9">
        <f>Table5[[#This Row],[ (T/B) SAR]]-Table5[[#This Row],[(T/B) AJD]]</f>
        <v>0</v>
      </c>
      <c r="S356" s="9">
        <f>Table5[[#This Row],[S/S_CON.]]+Table5[[#This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Table5[[#This Row],[(RESV. STORGE) AJD]]/10</f>
        <v>0</v>
      </c>
      <c r="AB356" s="3">
        <f t="shared" si="23"/>
        <v>0</v>
      </c>
      <c r="AC356" s="5"/>
      <c r="AD356" s="39">
        <f>(Table5[[#This Row],[( S/S+T/B) AJD]]*1000)-((Table5[[#This Row],[(STORGE DIFF.) AJD]]*1000)+Table5[[#This Row],[AJD_Evaporation]]+(Table5[[#This Row],[(A/B + A/S) AJD]]*1000))</f>
        <v>0</v>
      </c>
      <c r="AE356" s="41"/>
      <c r="AF356" s="43"/>
      <c r="AG356" s="43"/>
      <c r="AH356" s="6">
        <f>Table5[[#This Row],[ (RESV. STORGE) BER]]/10</f>
        <v>0</v>
      </c>
      <c r="AI356" s="41"/>
      <c r="AJ356" s="41">
        <f>Table5[[#This Row],[(A/B) AJD]]-Table5[[#This Row],[BER_IN]]</f>
        <v>0</v>
      </c>
      <c r="AK356" s="43"/>
      <c r="AL356" s="43"/>
      <c r="AM356" s="32"/>
      <c r="AN356" s="32">
        <f>Table5[[#This Row],[ (RESV. STORGE) SER]]/10</f>
        <v>0</v>
      </c>
      <c r="AO356" s="68"/>
      <c r="AP356" s="104">
        <f>Table5[[#This Row],[(A/S) AJD]]-Table5[[#This Row],[SER_IN]]</f>
        <v>0</v>
      </c>
    </row>
    <row r="357" spans="1:42" ht="18.75" x14ac:dyDescent="0.25">
      <c r="A357" s="10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Table5[[#This Row],[ (T/B) SAR]]+Table5[[#This Row],[ (S/S) SAR]]</f>
        <v>0</v>
      </c>
      <c r="L357" s="45"/>
      <c r="M357" s="46"/>
      <c r="N357" s="46"/>
      <c r="O357" s="40"/>
      <c r="P357" s="9">
        <f>Table5[[#This Row],[ (S/S) SAR]]-Table5[[#This Row],[(S/S) AJD]]</f>
        <v>0</v>
      </c>
      <c r="Q357" s="40"/>
      <c r="R357" s="9">
        <f>Table5[[#This Row],[ (T/B) SAR]]-Table5[[#This Row],[(T/B) AJD]]</f>
        <v>0</v>
      </c>
      <c r="S357" s="9">
        <f>Table5[[#This Row],[S/S_CON.]]+Table5[[#This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Table5[[#This Row],[(RESV. STORGE) AJD]]/10</f>
        <v>0</v>
      </c>
      <c r="AB357" s="3">
        <f t="shared" si="23"/>
        <v>0</v>
      </c>
      <c r="AC357" s="5"/>
      <c r="AD357" s="40">
        <f>(Table5[[#This Row],[( S/S+T/B) AJD]]*1000)-((Table5[[#This Row],[(STORGE DIFF.) AJD]]*1000)+Table5[[#This Row],[AJD_Evaporation]]+(Table5[[#This Row],[(A/B + A/S) AJD]]*1000))</f>
        <v>0</v>
      </c>
      <c r="AE357" s="44"/>
      <c r="AF357" s="45"/>
      <c r="AG357" s="45"/>
      <c r="AH357" s="6">
        <f>Table5[[#This Row],[ (RESV. STORGE) BER]]/10</f>
        <v>0</v>
      </c>
      <c r="AI357" s="44"/>
      <c r="AJ357" s="44">
        <f>Table5[[#This Row],[(A/B) AJD]]-Table5[[#This Row],[BER_IN]]</f>
        <v>0</v>
      </c>
      <c r="AK357" s="45"/>
      <c r="AL357" s="45"/>
      <c r="AM357" s="32"/>
      <c r="AN357" s="32">
        <f>Table5[[#This Row],[ (RESV. STORGE) SER]]/10</f>
        <v>0</v>
      </c>
      <c r="AO357" s="68"/>
      <c r="AP357" s="104">
        <f>Table5[[#This Row],[(A/S) AJD]]-Table5[[#This Row],[SER_IN]]</f>
        <v>0</v>
      </c>
    </row>
    <row r="358" spans="1:42" ht="18.75" x14ac:dyDescent="0.25">
      <c r="A358" s="10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Table5[[#This Row],[ (T/B) SAR]]+Table5[[#This Row],[ (S/S) SAR]]</f>
        <v>0</v>
      </c>
      <c r="L358" s="41"/>
      <c r="M358" s="42"/>
      <c r="N358" s="42"/>
      <c r="O358" s="39"/>
      <c r="P358" s="9">
        <f>Table5[[#This Row],[ (S/S) SAR]]-Table5[[#This Row],[(S/S) AJD]]</f>
        <v>0</v>
      </c>
      <c r="Q358" s="39"/>
      <c r="R358" s="9">
        <f>Table5[[#This Row],[ (T/B) SAR]]-Table5[[#This Row],[(T/B) AJD]]</f>
        <v>0</v>
      </c>
      <c r="S358" s="9">
        <f>Table5[[#This Row],[S/S_CON.]]+Table5[[#This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Table5[[#This Row],[(RESV. STORGE) AJD]]/10</f>
        <v>0</v>
      </c>
      <c r="AB358" s="3">
        <f t="shared" si="23"/>
        <v>0</v>
      </c>
      <c r="AC358" s="5"/>
      <c r="AD358" s="39">
        <f>(Table5[[#This Row],[( S/S+T/B) AJD]]*1000)-((Table5[[#This Row],[(STORGE DIFF.) AJD]]*1000)+Table5[[#This Row],[AJD_Evaporation]]+(Table5[[#This Row],[(A/B + A/S) AJD]]*1000))</f>
        <v>0</v>
      </c>
      <c r="AE358" s="41"/>
      <c r="AF358" s="43"/>
      <c r="AG358" s="43"/>
      <c r="AH358" s="6">
        <f>Table5[[#This Row],[ (RESV. STORGE) BER]]/10</f>
        <v>0</v>
      </c>
      <c r="AI358" s="41"/>
      <c r="AJ358" s="41">
        <f>Table5[[#This Row],[(A/B) AJD]]-Table5[[#This Row],[BER_IN]]</f>
        <v>0</v>
      </c>
      <c r="AK358" s="43"/>
      <c r="AL358" s="43"/>
      <c r="AM358" s="32"/>
      <c r="AN358" s="32">
        <f>Table5[[#This Row],[ (RESV. STORGE) SER]]/10</f>
        <v>0</v>
      </c>
      <c r="AO358" s="68"/>
      <c r="AP358" s="104">
        <f>Table5[[#This Row],[(A/S) AJD]]-Table5[[#This Row],[SER_IN]]</f>
        <v>0</v>
      </c>
    </row>
    <row r="359" spans="1:42" ht="18.75" x14ac:dyDescent="0.25">
      <c r="A359" s="10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Table5[[#This Row],[ (T/B) SAR]]+Table5[[#This Row],[ (S/S) SAR]]</f>
        <v>0</v>
      </c>
      <c r="L359" s="45"/>
      <c r="M359" s="46"/>
      <c r="N359" s="46"/>
      <c r="O359" s="40"/>
      <c r="P359" s="9">
        <f>Table5[[#This Row],[ (S/S) SAR]]-Table5[[#This Row],[(S/S) AJD]]</f>
        <v>0</v>
      </c>
      <c r="Q359" s="40"/>
      <c r="R359" s="9">
        <f>Table5[[#This Row],[ (T/B) SAR]]-Table5[[#This Row],[(T/B) AJD]]</f>
        <v>0</v>
      </c>
      <c r="S359" s="9">
        <f>Table5[[#This Row],[S/S_CON.]]+Table5[[#This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Table5[[#This Row],[(RESV. STORGE) AJD]]/10</f>
        <v>0</v>
      </c>
      <c r="AB359" s="3">
        <f t="shared" si="23"/>
        <v>0</v>
      </c>
      <c r="AC359" s="5"/>
      <c r="AD359" s="40">
        <f>(Table5[[#This Row],[( S/S+T/B) AJD]]*1000)-((Table5[[#This Row],[(STORGE DIFF.) AJD]]*1000)+Table5[[#This Row],[AJD_Evaporation]]+(Table5[[#This Row],[(A/B + A/S) AJD]]*1000))</f>
        <v>0</v>
      </c>
      <c r="AE359" s="44"/>
      <c r="AF359" s="45"/>
      <c r="AG359" s="45"/>
      <c r="AH359" s="6">
        <f>Table5[[#This Row],[ (RESV. STORGE) BER]]/10</f>
        <v>0</v>
      </c>
      <c r="AI359" s="44"/>
      <c r="AJ359" s="44">
        <f>Table5[[#This Row],[(A/B) AJD]]-Table5[[#This Row],[BER_IN]]</f>
        <v>0</v>
      </c>
      <c r="AK359" s="45"/>
      <c r="AL359" s="45"/>
      <c r="AM359" s="32"/>
      <c r="AN359" s="32">
        <f>Table5[[#This Row],[ (RESV. STORGE) SER]]/10</f>
        <v>0</v>
      </c>
      <c r="AO359" s="68"/>
      <c r="AP359" s="104">
        <f>Table5[[#This Row],[(A/S) AJD]]-Table5[[#This Row],[SER_IN]]</f>
        <v>0</v>
      </c>
    </row>
    <row r="360" spans="1:42" ht="18.75" x14ac:dyDescent="0.25">
      <c r="A360" s="10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Table5[[#This Row],[ (T/B) SAR]]+Table5[[#This Row],[ (S/S) SAR]]</f>
        <v>0</v>
      </c>
      <c r="L360" s="41"/>
      <c r="M360" s="42"/>
      <c r="N360" s="42"/>
      <c r="O360" s="39"/>
      <c r="P360" s="9">
        <f>Table5[[#This Row],[ (S/S) SAR]]-Table5[[#This Row],[(S/S) AJD]]</f>
        <v>0</v>
      </c>
      <c r="Q360" s="39"/>
      <c r="R360" s="9">
        <f>Table5[[#This Row],[ (T/B) SAR]]-Table5[[#This Row],[(T/B) AJD]]</f>
        <v>0</v>
      </c>
      <c r="S360" s="9">
        <f>Table5[[#This Row],[S/S_CON.]]+Table5[[#This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Table5[[#This Row],[(RESV. STORGE) AJD]]/10</f>
        <v>0</v>
      </c>
      <c r="AB360" s="3">
        <f t="shared" si="23"/>
        <v>0</v>
      </c>
      <c r="AC360" s="5"/>
      <c r="AD360" s="39">
        <f>(Table5[[#This Row],[( S/S+T/B) AJD]]*1000)-((Table5[[#This Row],[(STORGE DIFF.) AJD]]*1000)+Table5[[#This Row],[AJD_Evaporation]]+(Table5[[#This Row],[(A/B + A/S) AJD]]*1000))</f>
        <v>0</v>
      </c>
      <c r="AE360" s="41"/>
      <c r="AF360" s="43"/>
      <c r="AG360" s="43"/>
      <c r="AH360" s="6">
        <f>Table5[[#This Row],[ (RESV. STORGE) BER]]/10</f>
        <v>0</v>
      </c>
      <c r="AI360" s="41"/>
      <c r="AJ360" s="41">
        <f>Table5[[#This Row],[(A/B) AJD]]-Table5[[#This Row],[BER_IN]]</f>
        <v>0</v>
      </c>
      <c r="AK360" s="43"/>
      <c r="AL360" s="43"/>
      <c r="AM360" s="32"/>
      <c r="AN360" s="32">
        <f>Table5[[#This Row],[ (RESV. STORGE) SER]]/10</f>
        <v>0</v>
      </c>
      <c r="AO360" s="68"/>
      <c r="AP360" s="104">
        <f>Table5[[#This Row],[(A/S) AJD]]-Table5[[#This Row],[SER_IN]]</f>
        <v>0</v>
      </c>
    </row>
    <row r="361" spans="1:42" ht="18.75" x14ac:dyDescent="0.25">
      <c r="A361" s="10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Table5[[#This Row],[ (T/B) SAR]]+Table5[[#This Row],[ (S/S) SAR]]</f>
        <v>0</v>
      </c>
      <c r="L361" s="45"/>
      <c r="M361" s="46"/>
      <c r="N361" s="46"/>
      <c r="O361" s="40"/>
      <c r="P361" s="9">
        <f>Table5[[#This Row],[ (S/S) SAR]]-Table5[[#This Row],[(S/S) AJD]]</f>
        <v>0</v>
      </c>
      <c r="Q361" s="40"/>
      <c r="R361" s="9">
        <f>Table5[[#This Row],[ (T/B) SAR]]-Table5[[#This Row],[(T/B) AJD]]</f>
        <v>0</v>
      </c>
      <c r="S361" s="9">
        <f>Table5[[#This Row],[S/S_CON.]]+Table5[[#This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Table5[[#This Row],[(RESV. STORGE) AJD]]/10</f>
        <v>0</v>
      </c>
      <c r="AB361" s="3">
        <f t="shared" si="23"/>
        <v>0</v>
      </c>
      <c r="AC361" s="5"/>
      <c r="AD361" s="40">
        <f>(Table5[[#This Row],[( S/S+T/B) AJD]]*1000)-((Table5[[#This Row],[(STORGE DIFF.) AJD]]*1000)+Table5[[#This Row],[AJD_Evaporation]]+(Table5[[#This Row],[(A/B + A/S) AJD]]*1000))</f>
        <v>0</v>
      </c>
      <c r="AE361" s="44"/>
      <c r="AF361" s="45"/>
      <c r="AG361" s="45"/>
      <c r="AH361" s="6">
        <f>Table5[[#This Row],[ (RESV. STORGE) BER]]/10</f>
        <v>0</v>
      </c>
      <c r="AI361" s="44"/>
      <c r="AJ361" s="44">
        <f>Table5[[#This Row],[(A/B) AJD]]-Table5[[#This Row],[BER_IN]]</f>
        <v>0</v>
      </c>
      <c r="AK361" s="45"/>
      <c r="AL361" s="45"/>
      <c r="AM361" s="32"/>
      <c r="AN361" s="32">
        <f>Table5[[#This Row],[ (RESV. STORGE) SER]]/10</f>
        <v>0</v>
      </c>
      <c r="AO361" s="68"/>
      <c r="AP361" s="104">
        <f>Table5[[#This Row],[(A/S) AJD]]-Table5[[#This Row],[SER_IN]]</f>
        <v>0</v>
      </c>
    </row>
    <row r="362" spans="1:42" ht="18.75" x14ac:dyDescent="0.25">
      <c r="A362" s="10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Table5[[#This Row],[ (T/B) SAR]]+Table5[[#This Row],[ (S/S) SAR]]</f>
        <v>0</v>
      </c>
      <c r="L362" s="41"/>
      <c r="M362" s="42"/>
      <c r="N362" s="42"/>
      <c r="O362" s="39"/>
      <c r="P362" s="9">
        <f>Table5[[#This Row],[ (S/S) SAR]]-Table5[[#This Row],[(S/S) AJD]]</f>
        <v>0</v>
      </c>
      <c r="Q362" s="39"/>
      <c r="R362" s="9">
        <f>Table5[[#This Row],[ (T/B) SAR]]-Table5[[#This Row],[(T/B) AJD]]</f>
        <v>0</v>
      </c>
      <c r="S362" s="9">
        <f>Table5[[#This Row],[S/S_CON.]]+Table5[[#This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Table5[[#This Row],[(RESV. STORGE) AJD]]/10</f>
        <v>0</v>
      </c>
      <c r="AB362" s="3">
        <f t="shared" si="23"/>
        <v>0</v>
      </c>
      <c r="AC362" s="5"/>
      <c r="AD362" s="39">
        <f>(Table5[[#This Row],[( S/S+T/B) AJD]]*1000)-((Table5[[#This Row],[(STORGE DIFF.) AJD]]*1000)+Table5[[#This Row],[AJD_Evaporation]]+(Table5[[#This Row],[(A/B + A/S) AJD]]*1000))</f>
        <v>0</v>
      </c>
      <c r="AE362" s="41"/>
      <c r="AF362" s="43"/>
      <c r="AG362" s="43"/>
      <c r="AH362" s="6">
        <f>Table5[[#This Row],[ (RESV. STORGE) BER]]/10</f>
        <v>0</v>
      </c>
      <c r="AI362" s="41"/>
      <c r="AJ362" s="41">
        <f>Table5[[#This Row],[(A/B) AJD]]-Table5[[#This Row],[BER_IN]]</f>
        <v>0</v>
      </c>
      <c r="AK362" s="43"/>
      <c r="AL362" s="43"/>
      <c r="AM362" s="32"/>
      <c r="AN362" s="32">
        <f>Table5[[#This Row],[ (RESV. STORGE) SER]]/10</f>
        <v>0</v>
      </c>
      <c r="AO362" s="68"/>
      <c r="AP362" s="104">
        <f>Table5[[#This Row],[(A/S) AJD]]-Table5[[#This Row],[SER_IN]]</f>
        <v>0</v>
      </c>
    </row>
    <row r="363" spans="1:42" ht="18.75" x14ac:dyDescent="0.25">
      <c r="A363" s="10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Table5[[#This Row],[ (T/B) SAR]]+Table5[[#This Row],[ (S/S) SAR]]</f>
        <v>0</v>
      </c>
      <c r="L363" s="45"/>
      <c r="M363" s="46"/>
      <c r="N363" s="46"/>
      <c r="O363" s="40"/>
      <c r="P363" s="9">
        <f>Table5[[#This Row],[ (S/S) SAR]]-Table5[[#This Row],[(S/S) AJD]]</f>
        <v>0</v>
      </c>
      <c r="Q363" s="40"/>
      <c r="R363" s="9">
        <f>Table5[[#This Row],[ (T/B) SAR]]-Table5[[#This Row],[(T/B) AJD]]</f>
        <v>0</v>
      </c>
      <c r="S363" s="9">
        <f>Table5[[#This Row],[S/S_CON.]]+Table5[[#This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Table5[[#This Row],[(RESV. STORGE) AJD]]/10</f>
        <v>0</v>
      </c>
      <c r="AB363" s="3">
        <f t="shared" si="23"/>
        <v>0</v>
      </c>
      <c r="AC363" s="5"/>
      <c r="AD363" s="40">
        <f>(Table5[[#This Row],[( S/S+T/B) AJD]]*1000)-((Table5[[#This Row],[(STORGE DIFF.) AJD]]*1000)+Table5[[#This Row],[AJD_Evaporation]]+(Table5[[#This Row],[(A/B + A/S) AJD]]*1000))</f>
        <v>0</v>
      </c>
      <c r="AE363" s="44"/>
      <c r="AF363" s="45"/>
      <c r="AG363" s="45"/>
      <c r="AH363" s="6">
        <f>Table5[[#This Row],[ (RESV. STORGE) BER]]/10</f>
        <v>0</v>
      </c>
      <c r="AI363" s="44"/>
      <c r="AJ363" s="44">
        <f>Table5[[#This Row],[(A/B) AJD]]-Table5[[#This Row],[BER_IN]]</f>
        <v>0</v>
      </c>
      <c r="AK363" s="45"/>
      <c r="AL363" s="45"/>
      <c r="AM363" s="32"/>
      <c r="AN363" s="32">
        <f>Table5[[#This Row],[ (RESV. STORGE) SER]]/10</f>
        <v>0</v>
      </c>
      <c r="AO363" s="68"/>
      <c r="AP363" s="104">
        <f>Table5[[#This Row],[(A/S) AJD]]-Table5[[#This Row],[SER_IN]]</f>
        <v>0</v>
      </c>
    </row>
    <row r="364" spans="1:42" ht="18.75" x14ac:dyDescent="0.25">
      <c r="A364" s="10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Table5[[#This Row],[ (T/B) SAR]]+Table5[[#This Row],[ (S/S) SAR]]</f>
        <v>0</v>
      </c>
      <c r="L364" s="41"/>
      <c r="M364" s="42"/>
      <c r="N364" s="42"/>
      <c r="O364" s="39"/>
      <c r="P364" s="9">
        <f>Table5[[#This Row],[ (S/S) SAR]]-Table5[[#This Row],[(S/S) AJD]]</f>
        <v>0</v>
      </c>
      <c r="Q364" s="39"/>
      <c r="R364" s="9">
        <f>Table5[[#This Row],[ (T/B) SAR]]-Table5[[#This Row],[(T/B) AJD]]</f>
        <v>0</v>
      </c>
      <c r="S364" s="9">
        <f>Table5[[#This Row],[S/S_CON.]]+Table5[[#This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Table5[[#This Row],[(RESV. STORGE) AJD]]/10</f>
        <v>0</v>
      </c>
      <c r="AB364" s="3">
        <f t="shared" si="23"/>
        <v>0</v>
      </c>
      <c r="AC364" s="5"/>
      <c r="AD364" s="39">
        <f>(Table5[[#This Row],[( S/S+T/B) AJD]]*1000)-((Table5[[#This Row],[(STORGE DIFF.) AJD]]*1000)+Table5[[#This Row],[AJD_Evaporation]]+(Table5[[#This Row],[(A/B + A/S) AJD]]*1000))</f>
        <v>0</v>
      </c>
      <c r="AE364" s="41"/>
      <c r="AF364" s="43"/>
      <c r="AG364" s="43"/>
      <c r="AH364" s="6">
        <f>Table5[[#This Row],[ (RESV. STORGE) BER]]/10</f>
        <v>0</v>
      </c>
      <c r="AI364" s="41"/>
      <c r="AJ364" s="41">
        <f>Table5[[#This Row],[(A/B) AJD]]-Table5[[#This Row],[BER_IN]]</f>
        <v>0</v>
      </c>
      <c r="AK364" s="43"/>
      <c r="AL364" s="43"/>
      <c r="AM364" s="32"/>
      <c r="AN364" s="32">
        <f>Table5[[#This Row],[ (RESV. STORGE) SER]]/10</f>
        <v>0</v>
      </c>
      <c r="AO364" s="68"/>
      <c r="AP364" s="104">
        <f>Table5[[#This Row],[(A/S) AJD]]-Table5[[#This Row],[SER_IN]]</f>
        <v>0</v>
      </c>
    </row>
    <row r="365" spans="1:42" ht="18.75" x14ac:dyDescent="0.25">
      <c r="A365" s="10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Table5[[#This Row],[ (T/B) SAR]]+Table5[[#This Row],[ (S/S) SAR]]</f>
        <v>0</v>
      </c>
      <c r="L365" s="45"/>
      <c r="M365" s="46"/>
      <c r="N365" s="46"/>
      <c r="O365" s="40"/>
      <c r="P365" s="9">
        <f>Table5[[#This Row],[ (S/S) SAR]]-Table5[[#This Row],[(S/S) AJD]]</f>
        <v>0</v>
      </c>
      <c r="Q365" s="40"/>
      <c r="R365" s="9">
        <f>Table5[[#This Row],[ (T/B) SAR]]-Table5[[#This Row],[(T/B) AJD]]</f>
        <v>0</v>
      </c>
      <c r="S365" s="9">
        <f>Table5[[#This Row],[S/S_CON.]]+Table5[[#This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Table5[[#This Row],[(RESV. STORGE) AJD]]/10</f>
        <v>0</v>
      </c>
      <c r="AB365" s="3">
        <f t="shared" si="23"/>
        <v>0</v>
      </c>
      <c r="AC365" s="5"/>
      <c r="AD365" s="50">
        <f>(Table5[[#This Row],[( S/S+T/B) AJD]]*1000)-((Table5[[#This Row],[(STORGE DIFF.) AJD]]*1000)+Table5[[#This Row],[AJD_Evaporation]]+(Table5[[#This Row],[(A/B + A/S) AJD]]*1000))</f>
        <v>0</v>
      </c>
      <c r="AE365" s="44"/>
      <c r="AF365" s="45"/>
      <c r="AG365" s="45"/>
      <c r="AH365" s="6">
        <f>Table5[[#This Row],[ (RESV. STORGE) BER]]/10</f>
        <v>0</v>
      </c>
      <c r="AI365" s="44"/>
      <c r="AJ365" s="47">
        <f>Table5[[#This Row],[(A/B) AJD]]-Table5[[#This Row],[BER_IN]]</f>
        <v>0</v>
      </c>
      <c r="AK365" s="45"/>
      <c r="AL365" s="45"/>
      <c r="AM365" s="32"/>
      <c r="AN365" s="32">
        <f>Table5[[#This Row],[ (RESV. STORGE) SER]]/10</f>
        <v>0</v>
      </c>
      <c r="AO365" s="68"/>
      <c r="AP365" s="104">
        <f>Table5[[#This Row],[(A/S) AJD]]-Table5[[#This Row],[SER_IN]]</f>
        <v>0</v>
      </c>
    </row>
    <row r="366" spans="1:42" ht="18.75" x14ac:dyDescent="0.25">
      <c r="A366" s="10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Table5[[#This Row],[ (T/B) SAR]]+Table5[[#This Row],[ (S/S) SAR]]</f>
        <v>0</v>
      </c>
      <c r="L366" s="41"/>
      <c r="M366" s="42"/>
      <c r="N366" s="42"/>
      <c r="O366" s="39"/>
      <c r="P366" s="19">
        <f>Table5[[#This Row],[ (S/S) SAR]]-Table5[[#This Row],[(S/S) AJD]]</f>
        <v>0</v>
      </c>
      <c r="Q366" s="39"/>
      <c r="R366" s="19">
        <f>Table5[[#This Row],[ (T/B) SAR]]-Table5[[#This Row],[(T/B) AJD]]</f>
        <v>0</v>
      </c>
      <c r="S366" s="19">
        <f>Table5[[#This Row],[S/S_CON.]]+Table5[[#This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Table5[[#This Row],[(RESV. STORGE) AJD]]/10</f>
        <v>0</v>
      </c>
      <c r="AB366" s="3">
        <f t="shared" si="23"/>
        <v>0</v>
      </c>
      <c r="AC366" s="5"/>
      <c r="AD366" s="50">
        <f>(Table5[[#This Row],[( S/S+T/B) AJD]]*1000)-((Table5[[#This Row],[(STORGE DIFF.) AJD]]*1000)+Table5[[#This Row],[AJD_Evaporation]]+(Table5[[#This Row],[(A/B + A/S) AJD]]*1000))</f>
        <v>0</v>
      </c>
      <c r="AE366" s="41"/>
      <c r="AF366" s="43"/>
      <c r="AG366" s="43"/>
      <c r="AH366" s="21">
        <f>Table5[[#This Row],[ (RESV. STORGE) BER]]/10</f>
        <v>0</v>
      </c>
      <c r="AI366" s="41"/>
      <c r="AJ366" s="41">
        <f>Table5[[#This Row],[(A/B) AJD]]-Table5[[#This Row],[BER_IN]]</f>
        <v>0</v>
      </c>
      <c r="AK366" s="43"/>
      <c r="AL366" s="43"/>
      <c r="AM366" s="32"/>
      <c r="AN366" s="32">
        <f>Table5[[#This Row],[ (RESV. STORGE) SER]]/10</f>
        <v>0</v>
      </c>
      <c r="AO366" s="82"/>
      <c r="AP366" s="105">
        <f>Table5[[#This Row],[(A/S) AJD]]-Table5[[#This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abSelected="1" topLeftCell="W1" workbookViewId="0">
      <selection activeCell="AD2" sqref="AD2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6" t="s">
        <v>0</v>
      </c>
      <c r="B1" s="107" t="s">
        <v>6</v>
      </c>
      <c r="C1" s="107" t="s">
        <v>7</v>
      </c>
      <c r="D1" s="107" t="s">
        <v>8</v>
      </c>
      <c r="E1" s="107" t="s">
        <v>9</v>
      </c>
      <c r="F1" s="108" t="s">
        <v>10</v>
      </c>
      <c r="G1" s="108" t="s">
        <v>11</v>
      </c>
      <c r="H1" s="108" t="s">
        <v>12</v>
      </c>
      <c r="I1" s="108" t="s">
        <v>41</v>
      </c>
      <c r="J1" s="108" t="s">
        <v>40</v>
      </c>
      <c r="K1" s="108" t="s">
        <v>13</v>
      </c>
      <c r="L1" s="109" t="s">
        <v>39</v>
      </c>
      <c r="M1" s="109" t="s">
        <v>14</v>
      </c>
      <c r="N1" s="109" t="s">
        <v>38</v>
      </c>
      <c r="O1" s="110" t="s">
        <v>37</v>
      </c>
      <c r="P1" s="110" t="s">
        <v>36</v>
      </c>
      <c r="Q1" s="110" t="s">
        <v>35</v>
      </c>
      <c r="R1" s="110" t="s">
        <v>19</v>
      </c>
      <c r="S1" s="110" t="s">
        <v>20</v>
      </c>
      <c r="T1" s="110" t="s">
        <v>5</v>
      </c>
      <c r="U1" s="110" t="s">
        <v>34</v>
      </c>
      <c r="V1" s="110" t="s">
        <v>33</v>
      </c>
      <c r="W1" s="110" t="s">
        <v>1</v>
      </c>
      <c r="X1" s="110" t="s">
        <v>32</v>
      </c>
      <c r="Y1" s="110" t="s">
        <v>2</v>
      </c>
      <c r="Z1" s="110" t="s">
        <v>3</v>
      </c>
      <c r="AA1" s="110" t="s">
        <v>24</v>
      </c>
      <c r="AB1" s="110" t="s">
        <v>4</v>
      </c>
      <c r="AC1" s="110" t="s">
        <v>22</v>
      </c>
      <c r="AD1" s="110" t="s">
        <v>31</v>
      </c>
      <c r="AE1" s="111" t="s">
        <v>30</v>
      </c>
      <c r="AF1" s="111" t="s">
        <v>15</v>
      </c>
      <c r="AG1" s="111" t="s">
        <v>16</v>
      </c>
      <c r="AH1" s="111" t="s">
        <v>21</v>
      </c>
      <c r="AI1" s="111" t="s">
        <v>29</v>
      </c>
      <c r="AJ1" s="111" t="s">
        <v>23</v>
      </c>
      <c r="AK1" s="110" t="s">
        <v>28</v>
      </c>
      <c r="AL1" s="110" t="s">
        <v>17</v>
      </c>
      <c r="AM1" s="110" t="s">
        <v>18</v>
      </c>
      <c r="AN1" s="110" t="s">
        <v>25</v>
      </c>
      <c r="AO1" s="110" t="s">
        <v>26</v>
      </c>
      <c r="AP1" s="112" t="s">
        <v>27</v>
      </c>
    </row>
    <row r="2" spans="1:42" ht="18.75" x14ac:dyDescent="0.25">
      <c r="A2" s="10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Table6[[#This Row],[ (T/B) SAR]]+Table6[[#This Row],[ (S/S) SAR]]</f>
        <v>0</v>
      </c>
      <c r="L2" s="41"/>
      <c r="M2" s="42"/>
      <c r="N2" s="42"/>
      <c r="O2" s="39"/>
      <c r="P2" s="3">
        <f>Table6[[#This Row],[ (S/S) SAR]]-Table6[[#This Row],[(S/S) AJD]]</f>
        <v>0</v>
      </c>
      <c r="Q2" s="39"/>
      <c r="R2" s="3">
        <f>Table6[[#This Row],[ (T/B) SAR]]-Table6[[#This Row],[(T/B) AJD]]</f>
        <v>0</v>
      </c>
      <c r="S2" s="3">
        <f>Table6[[#This Row],[S/S_CON.]]+Table6[[#This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Table6[[#This Row],[(RESV. STORGE) AJD]]/10</f>
        <v>0</v>
      </c>
      <c r="AB2" s="92">
        <f>(Z2-'my_job - 2029'!Z366)/1000</f>
        <v>0</v>
      </c>
      <c r="AC2" s="5"/>
      <c r="AD2" s="39">
        <f>(Table6[[#This Row],[( S/S+T/B) AJD]]*1000)-((Table6[[#This Row],[(STORGE DIFF.) AJD]]*1000)+Table6[[#This Row],[AJD_Evaporation]]+(Table6[[#This Row],[(A/B + A/S) AJD]]*1000))</f>
        <v>0</v>
      </c>
      <c r="AE2" s="41"/>
      <c r="AF2" s="43"/>
      <c r="AG2" s="43"/>
      <c r="AH2" s="5">
        <f>Table6[[#This Row],[ (RESV. STORGE) BER]]/10</f>
        <v>0</v>
      </c>
      <c r="AI2" s="41"/>
      <c r="AJ2" s="43">
        <f>Table6[[#This Row],[(A/B) AJD]]-TABL12345[[#This Row],[BER_IN]]</f>
        <v>0</v>
      </c>
      <c r="AK2" s="43"/>
      <c r="AL2" s="43"/>
      <c r="AM2" s="32"/>
      <c r="AN2" s="32">
        <f>Table6[[#This Row],[ (RESV. STORGE) SER]]/10</f>
        <v>0</v>
      </c>
      <c r="AO2" s="81"/>
      <c r="AP2" s="103">
        <f>Table6[[#This Row],[(A/S) AJD]]-Table6[[#This Row],[SER_IN]]</f>
        <v>0</v>
      </c>
    </row>
    <row r="3" spans="1:42" ht="18.75" x14ac:dyDescent="0.25">
      <c r="A3" s="10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Table6[[#This Row],[ (T/B) SAR]]+Table6[[#This Row],[ (S/S) SAR]]</f>
        <v>0</v>
      </c>
      <c r="L3" s="45"/>
      <c r="M3" s="46"/>
      <c r="N3" s="46"/>
      <c r="O3" s="40"/>
      <c r="P3" s="3">
        <f>Table6[[#This Row],[ (S/S) SAR]]-Table6[[#This Row],[(S/S) AJD]]</f>
        <v>0</v>
      </c>
      <c r="Q3" s="40"/>
      <c r="R3" s="3">
        <f>Table6[[#This Row],[ (T/B) SAR]]-Table6[[#This Row],[(T/B) AJD]]</f>
        <v>0</v>
      </c>
      <c r="S3" s="3">
        <f>Table6[[#This Row],[S/S_CON.]]+Table6[[#This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Table6[[#This Row],[(RESV. STORGE) AJD]]/10</f>
        <v>0</v>
      </c>
      <c r="AB3" s="3">
        <f>IF(TRIM(Z3)="",,(Z3-Z2)/1000)</f>
        <v>0</v>
      </c>
      <c r="AC3" s="5"/>
      <c r="AD3" s="40">
        <f>(Table6[[#This Row],[( S/S+T/B) AJD]]*1000)-((Table6[[#This Row],[(STORGE DIFF.) AJD]]*1000)+Table6[[#This Row],[AJD_Evaporation]]+(Table6[[#This Row],[(A/B + A/S) AJD]]*1000))</f>
        <v>0</v>
      </c>
      <c r="AE3" s="44"/>
      <c r="AF3" s="45"/>
      <c r="AG3" s="45"/>
      <c r="AH3" s="6">
        <f>Table6[[#This Row],[ (RESV. STORGE) BER]]/10</f>
        <v>0</v>
      </c>
      <c r="AI3" s="44"/>
      <c r="AJ3" s="45">
        <f>Table6[[#This Row],[(A/B) AJD]]-TABL12345[[#This Row],[BER_IN]]</f>
        <v>0</v>
      </c>
      <c r="AK3" s="45"/>
      <c r="AL3" s="45"/>
      <c r="AM3" s="32"/>
      <c r="AN3" s="32">
        <f>Table6[[#This Row],[ (RESV. STORGE) SER]]/10</f>
        <v>0</v>
      </c>
      <c r="AO3" s="68"/>
      <c r="AP3" s="103">
        <f>Table6[[#This Row],[(A/S) AJD]]-Table6[[#This Row],[SER_IN]]</f>
        <v>0</v>
      </c>
    </row>
    <row r="4" spans="1:42" ht="18.75" x14ac:dyDescent="0.25">
      <c r="A4" s="10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Table6[[#This Row],[ (T/B) SAR]]+Table6[[#This Row],[ (S/S) SAR]]</f>
        <v>0</v>
      </c>
      <c r="L4" s="41"/>
      <c r="M4" s="42"/>
      <c r="N4" s="42"/>
      <c r="O4" s="39"/>
      <c r="P4" s="3">
        <f>Table6[[#This Row],[ (S/S) SAR]]-Table6[[#This Row],[(S/S) AJD]]</f>
        <v>0</v>
      </c>
      <c r="Q4" s="39"/>
      <c r="R4" s="3">
        <f>Table6[[#This Row],[ (T/B) SAR]]-Table6[[#This Row],[(T/B) AJD]]</f>
        <v>0</v>
      </c>
      <c r="S4" s="3">
        <f>Table6[[#This Row],[S/S_CON.]]+Table6[[#This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Table6[[#This Row],[(RESV. STORGE) AJD]]/10</f>
        <v>0</v>
      </c>
      <c r="AB4" s="3">
        <f t="shared" ref="AB4:AB67" si="3">IF(TRIM(Z4)="",,(Z4-Z3)/1000)</f>
        <v>0</v>
      </c>
      <c r="AC4" s="5"/>
      <c r="AD4" s="39">
        <f>(Table6[[#This Row],[( S/S+T/B) AJD]]*1000)-((Table6[[#This Row],[(STORGE DIFF.) AJD]]*1000)+Table6[[#This Row],[AJD_Evaporation]]+(Table6[[#This Row],[(A/B + A/S) AJD]]*1000))</f>
        <v>0</v>
      </c>
      <c r="AE4" s="41"/>
      <c r="AF4" s="43"/>
      <c r="AG4" s="43"/>
      <c r="AH4" s="6">
        <f>Table6[[#This Row],[ (RESV. STORGE) BER]]/10</f>
        <v>0</v>
      </c>
      <c r="AI4" s="41"/>
      <c r="AJ4" s="43">
        <f>Table6[[#This Row],[(A/B) AJD]]-TABL12345[[#This Row],[BER_IN]]</f>
        <v>0</v>
      </c>
      <c r="AK4" s="43"/>
      <c r="AL4" s="43"/>
      <c r="AM4" s="32"/>
      <c r="AN4" s="32">
        <f>Table6[[#This Row],[ (RESV. STORGE) SER]]/10</f>
        <v>0</v>
      </c>
      <c r="AO4" s="68"/>
      <c r="AP4" s="103">
        <f>Table6[[#This Row],[(A/S) AJD]]-Table6[[#This Row],[SER_IN]]</f>
        <v>0</v>
      </c>
    </row>
    <row r="5" spans="1:42" ht="18.75" x14ac:dyDescent="0.25">
      <c r="A5" s="10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Table6[[#This Row],[ (T/B) SAR]]+Table6[[#This Row],[ (S/S) SAR]]</f>
        <v>0</v>
      </c>
      <c r="L5" s="45"/>
      <c r="M5" s="46"/>
      <c r="N5" s="46"/>
      <c r="O5" s="40"/>
      <c r="P5" s="3">
        <f>Table6[[#This Row],[ (S/S) SAR]]-Table6[[#This Row],[(S/S) AJD]]</f>
        <v>0</v>
      </c>
      <c r="Q5" s="40"/>
      <c r="R5" s="3">
        <f>Table6[[#This Row],[ (T/B) SAR]]-Table6[[#This Row],[(T/B) AJD]]</f>
        <v>0</v>
      </c>
      <c r="S5" s="3">
        <f>Table6[[#This Row],[S/S_CON.]]+Table6[[#This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Table6[[#This Row],[(RESV. STORGE) AJD]]/10</f>
        <v>0</v>
      </c>
      <c r="AB5" s="3">
        <f t="shared" si="3"/>
        <v>0</v>
      </c>
      <c r="AC5" s="5"/>
      <c r="AD5" s="40">
        <f>(Table6[[#This Row],[( S/S+T/B) AJD]]*1000)-((Table6[[#This Row],[(STORGE DIFF.) AJD]]*1000)+Table6[[#This Row],[AJD_Evaporation]]+(Table6[[#This Row],[(A/B + A/S) AJD]]*1000))</f>
        <v>0</v>
      </c>
      <c r="AE5" s="44"/>
      <c r="AF5" s="45"/>
      <c r="AG5" s="45"/>
      <c r="AH5" s="6">
        <f>Table6[[#This Row],[ (RESV. STORGE) BER]]/10</f>
        <v>0</v>
      </c>
      <c r="AI5" s="44"/>
      <c r="AJ5" s="45">
        <f>Table6[[#This Row],[(A/B) AJD]]-TABL12345[[#This Row],[BER_IN]]</f>
        <v>0</v>
      </c>
      <c r="AK5" s="45"/>
      <c r="AL5" s="45"/>
      <c r="AM5" s="32"/>
      <c r="AN5" s="32">
        <f>Table6[[#This Row],[ (RESV. STORGE) SER]]/10</f>
        <v>0</v>
      </c>
      <c r="AO5" s="68"/>
      <c r="AP5" s="103">
        <f>Table6[[#This Row],[(A/S) AJD]]-Table6[[#This Row],[SER_IN]]</f>
        <v>0</v>
      </c>
    </row>
    <row r="6" spans="1:42" ht="18.75" x14ac:dyDescent="0.25">
      <c r="A6" s="10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Table6[[#This Row],[ (T/B) SAR]]+Table6[[#This Row],[ (S/S) SAR]]</f>
        <v>0</v>
      </c>
      <c r="L6" s="41"/>
      <c r="M6" s="42"/>
      <c r="N6" s="42"/>
      <c r="O6" s="39"/>
      <c r="P6" s="3">
        <f>Table6[[#This Row],[ (S/S) SAR]]-Table6[[#This Row],[(S/S) AJD]]</f>
        <v>0</v>
      </c>
      <c r="Q6" s="39"/>
      <c r="R6" s="3">
        <f>Table6[[#This Row],[ (T/B) SAR]]-Table6[[#This Row],[(T/B) AJD]]</f>
        <v>0</v>
      </c>
      <c r="S6" s="3">
        <f>Table6[[#This Row],[S/S_CON.]]+Table6[[#This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Table6[[#This Row],[(RESV. STORGE) AJD]]/10</f>
        <v>0</v>
      </c>
      <c r="AB6" s="3">
        <f t="shared" si="3"/>
        <v>0</v>
      </c>
      <c r="AC6" s="5"/>
      <c r="AD6" s="39">
        <f>(Table6[[#This Row],[( S/S+T/B) AJD]]*1000)-((Table6[[#This Row],[(STORGE DIFF.) AJD]]*1000)+Table6[[#This Row],[AJD_Evaporation]]+(Table6[[#This Row],[(A/B + A/S) AJD]]*1000))</f>
        <v>0</v>
      </c>
      <c r="AE6" s="41"/>
      <c r="AF6" s="43"/>
      <c r="AG6" s="43"/>
      <c r="AH6" s="6">
        <f>Table6[[#This Row],[ (RESV. STORGE) BER]]/10</f>
        <v>0</v>
      </c>
      <c r="AI6" s="41"/>
      <c r="AJ6" s="43">
        <f>Table6[[#This Row],[(A/B) AJD]]-TABL12345[[#This Row],[BER_IN]]</f>
        <v>0</v>
      </c>
      <c r="AK6" s="43"/>
      <c r="AL6" s="43"/>
      <c r="AM6" s="32"/>
      <c r="AN6" s="32">
        <f>Table6[[#This Row],[ (RESV. STORGE) SER]]/10</f>
        <v>0</v>
      </c>
      <c r="AO6" s="68"/>
      <c r="AP6" s="103">
        <f>Table6[[#This Row],[(A/S) AJD]]-Table6[[#This Row],[SER_IN]]</f>
        <v>0</v>
      </c>
    </row>
    <row r="7" spans="1:42" ht="18.75" x14ac:dyDescent="0.25">
      <c r="A7" s="10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Table6[[#This Row],[ (T/B) SAR]]+Table6[[#This Row],[ (S/S) SAR]]</f>
        <v>0</v>
      </c>
      <c r="L7" s="45"/>
      <c r="M7" s="46"/>
      <c r="N7" s="46"/>
      <c r="O7" s="40"/>
      <c r="P7" s="3">
        <f>Table6[[#This Row],[ (S/S) SAR]]-Table6[[#This Row],[(S/S) AJD]]</f>
        <v>0</v>
      </c>
      <c r="Q7" s="40"/>
      <c r="R7" s="3">
        <f>Table6[[#This Row],[ (T/B) SAR]]-Table6[[#This Row],[(T/B) AJD]]</f>
        <v>0</v>
      </c>
      <c r="S7" s="3">
        <f>Table6[[#This Row],[S/S_CON.]]+Table6[[#This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Table6[[#This Row],[(RESV. STORGE) AJD]]/10</f>
        <v>0</v>
      </c>
      <c r="AB7" s="3">
        <f t="shared" si="3"/>
        <v>0</v>
      </c>
      <c r="AC7" s="5"/>
      <c r="AD7" s="40">
        <f>(Table6[[#This Row],[( S/S+T/B) AJD]]*1000)-((Table6[[#This Row],[(STORGE DIFF.) AJD]]*1000)+Table6[[#This Row],[AJD_Evaporation]]+(Table6[[#This Row],[(A/B + A/S) AJD]]*1000))</f>
        <v>0</v>
      </c>
      <c r="AE7" s="44"/>
      <c r="AF7" s="45"/>
      <c r="AG7" s="45"/>
      <c r="AH7" s="6">
        <f>Table6[[#This Row],[ (RESV. STORGE) BER]]/10</f>
        <v>0</v>
      </c>
      <c r="AI7" s="44"/>
      <c r="AJ7" s="45">
        <f>Table6[[#This Row],[(A/B) AJD]]-TABL12345[[#This Row],[BER_IN]]</f>
        <v>0</v>
      </c>
      <c r="AK7" s="45"/>
      <c r="AL7" s="45"/>
      <c r="AM7" s="32"/>
      <c r="AN7" s="32">
        <f>Table6[[#This Row],[ (RESV. STORGE) SER]]/10</f>
        <v>0</v>
      </c>
      <c r="AO7" s="68"/>
      <c r="AP7" s="103">
        <f>Table6[[#This Row],[(A/S) AJD]]-Table6[[#This Row],[SER_IN]]</f>
        <v>0</v>
      </c>
    </row>
    <row r="8" spans="1:42" ht="18.75" x14ac:dyDescent="0.25">
      <c r="A8" s="10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Table6[[#This Row],[ (T/B) SAR]]+Table6[[#This Row],[ (S/S) SAR]]</f>
        <v>0</v>
      </c>
      <c r="L8" s="41"/>
      <c r="M8" s="42"/>
      <c r="N8" s="42"/>
      <c r="O8" s="39"/>
      <c r="P8" s="3">
        <f>Table6[[#This Row],[ (S/S) SAR]]-Table6[[#This Row],[(S/S) AJD]]</f>
        <v>0</v>
      </c>
      <c r="Q8" s="39"/>
      <c r="R8" s="3">
        <f>Table6[[#This Row],[ (T/B) SAR]]-Table6[[#This Row],[(T/B) AJD]]</f>
        <v>0</v>
      </c>
      <c r="S8" s="3">
        <f>Table6[[#This Row],[S/S_CON.]]+Table6[[#This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Table6[[#This Row],[(RESV. STORGE) AJD]]/10</f>
        <v>0</v>
      </c>
      <c r="AB8" s="3">
        <f t="shared" si="3"/>
        <v>0</v>
      </c>
      <c r="AC8" s="5"/>
      <c r="AD8" s="39">
        <f>(Table6[[#This Row],[( S/S+T/B) AJD]]*1000)-((Table6[[#This Row],[(STORGE DIFF.) AJD]]*1000)+Table6[[#This Row],[AJD_Evaporation]]+(Table6[[#This Row],[(A/B + A/S) AJD]]*1000))</f>
        <v>0</v>
      </c>
      <c r="AE8" s="41"/>
      <c r="AF8" s="43"/>
      <c r="AG8" s="43"/>
      <c r="AH8" s="6">
        <f>Table6[[#This Row],[ (RESV. STORGE) BER]]/10</f>
        <v>0</v>
      </c>
      <c r="AI8" s="41"/>
      <c r="AJ8" s="43">
        <f>Table6[[#This Row],[(A/B) AJD]]-TABL12345[[#This Row],[BER_IN]]</f>
        <v>0</v>
      </c>
      <c r="AK8" s="43"/>
      <c r="AL8" s="43"/>
      <c r="AM8" s="32"/>
      <c r="AN8" s="32">
        <f>Table6[[#This Row],[ (RESV. STORGE) SER]]/10</f>
        <v>0</v>
      </c>
      <c r="AO8" s="68"/>
      <c r="AP8" s="103">
        <f>Table6[[#This Row],[(A/S) AJD]]-Table6[[#This Row],[SER_IN]]</f>
        <v>0</v>
      </c>
    </row>
    <row r="9" spans="1:42" ht="18.75" x14ac:dyDescent="0.25">
      <c r="A9" s="10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Table6[[#This Row],[ (T/B) SAR]]+Table6[[#This Row],[ (S/S) SAR]]</f>
        <v>0</v>
      </c>
      <c r="L9" s="45"/>
      <c r="M9" s="46"/>
      <c r="N9" s="46"/>
      <c r="O9" s="40"/>
      <c r="P9" s="3">
        <f>Table6[[#This Row],[ (S/S) SAR]]-Table6[[#This Row],[(S/S) AJD]]</f>
        <v>0</v>
      </c>
      <c r="Q9" s="40"/>
      <c r="R9" s="3">
        <f>Table6[[#This Row],[ (T/B) SAR]]-Table6[[#This Row],[(T/B) AJD]]</f>
        <v>0</v>
      </c>
      <c r="S9" s="3">
        <f>Table6[[#This Row],[S/S_CON.]]+Table6[[#This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Table6[[#This Row],[(RESV. STORGE) AJD]]/10</f>
        <v>0</v>
      </c>
      <c r="AB9" s="3">
        <f t="shared" si="3"/>
        <v>0</v>
      </c>
      <c r="AC9" s="5"/>
      <c r="AD9" s="40">
        <f>(Table6[[#This Row],[( S/S+T/B) AJD]]*1000)-((Table6[[#This Row],[(STORGE DIFF.) AJD]]*1000)+Table6[[#This Row],[AJD_Evaporation]]+(Table6[[#This Row],[(A/B + A/S) AJD]]*1000))</f>
        <v>0</v>
      </c>
      <c r="AE9" s="44"/>
      <c r="AF9" s="45"/>
      <c r="AG9" s="45"/>
      <c r="AH9" s="6">
        <f>Table6[[#This Row],[ (RESV. STORGE) BER]]/10</f>
        <v>0</v>
      </c>
      <c r="AI9" s="44"/>
      <c r="AJ9" s="45">
        <f>Table6[[#This Row],[(A/B) AJD]]-TABL12345[[#This Row],[BER_IN]]</f>
        <v>0</v>
      </c>
      <c r="AK9" s="45"/>
      <c r="AL9" s="45"/>
      <c r="AM9" s="32"/>
      <c r="AN9" s="32">
        <f>Table6[[#This Row],[ (RESV. STORGE) SER]]/10</f>
        <v>0</v>
      </c>
      <c r="AO9" s="68"/>
      <c r="AP9" s="103">
        <f>Table6[[#This Row],[(A/S) AJD]]-Table6[[#This Row],[SER_IN]]</f>
        <v>0</v>
      </c>
    </row>
    <row r="10" spans="1:42" ht="18.75" x14ac:dyDescent="0.25">
      <c r="A10" s="10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Table6[[#This Row],[ (T/B) SAR]]+Table6[[#This Row],[ (S/S) SAR]]</f>
        <v>0</v>
      </c>
      <c r="L10" s="41"/>
      <c r="M10" s="42"/>
      <c r="N10" s="42"/>
      <c r="O10" s="39"/>
      <c r="P10" s="3">
        <f>Table6[[#This Row],[ (S/S) SAR]]-Table6[[#This Row],[(S/S) AJD]]</f>
        <v>0</v>
      </c>
      <c r="Q10" s="39"/>
      <c r="R10" s="3">
        <f>Table6[[#This Row],[ (T/B) SAR]]-Table6[[#This Row],[(T/B) AJD]]</f>
        <v>0</v>
      </c>
      <c r="S10" s="3">
        <f>Table6[[#This Row],[S/S_CON.]]+Table6[[#This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Table6[[#This Row],[(RESV. STORGE) AJD]]/10</f>
        <v>0</v>
      </c>
      <c r="AB10" s="3">
        <f t="shared" si="3"/>
        <v>0</v>
      </c>
      <c r="AC10" s="5"/>
      <c r="AD10" s="39">
        <f>(Table6[[#This Row],[( S/S+T/B) AJD]]*1000)-((Table6[[#This Row],[(STORGE DIFF.) AJD]]*1000)+Table6[[#This Row],[AJD_Evaporation]]+(Table6[[#This Row],[(A/B + A/S) AJD]]*1000))</f>
        <v>0</v>
      </c>
      <c r="AE10" s="41"/>
      <c r="AF10" s="43"/>
      <c r="AG10" s="43"/>
      <c r="AH10" s="6">
        <f>Table6[[#This Row],[ (RESV. STORGE) BER]]/10</f>
        <v>0</v>
      </c>
      <c r="AI10" s="41"/>
      <c r="AJ10" s="43">
        <f>Table6[[#This Row],[(A/B) AJD]]-TABL12345[[#This Row],[BER_IN]]</f>
        <v>0</v>
      </c>
      <c r="AK10" s="43"/>
      <c r="AL10" s="43"/>
      <c r="AM10" s="32"/>
      <c r="AN10" s="32">
        <f>Table6[[#This Row],[ (RESV. STORGE) SER]]/10</f>
        <v>0</v>
      </c>
      <c r="AO10" s="68"/>
      <c r="AP10" s="103">
        <f>Table6[[#This Row],[(A/S) AJD]]-Table6[[#This Row],[SER_IN]]</f>
        <v>0</v>
      </c>
    </row>
    <row r="11" spans="1:42" ht="18.75" x14ac:dyDescent="0.25">
      <c r="A11" s="10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Table6[[#This Row],[ (T/B) SAR]]+Table6[[#This Row],[ (S/S) SAR]]</f>
        <v>0</v>
      </c>
      <c r="L11" s="45"/>
      <c r="M11" s="46"/>
      <c r="N11" s="46"/>
      <c r="O11" s="40"/>
      <c r="P11" s="3">
        <f>Table6[[#This Row],[ (S/S) SAR]]-Table6[[#This Row],[(S/S) AJD]]</f>
        <v>0</v>
      </c>
      <c r="Q11" s="40"/>
      <c r="R11" s="3">
        <f>Table6[[#This Row],[ (T/B) SAR]]-Table6[[#This Row],[(T/B) AJD]]</f>
        <v>0</v>
      </c>
      <c r="S11" s="3">
        <f>Table6[[#This Row],[S/S_CON.]]+Table6[[#This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Table6[[#This Row],[(RESV. STORGE) AJD]]/10</f>
        <v>0</v>
      </c>
      <c r="AB11" s="3">
        <f t="shared" si="3"/>
        <v>0</v>
      </c>
      <c r="AC11" s="5"/>
      <c r="AD11" s="40">
        <f>(Table6[[#This Row],[( S/S+T/B) AJD]]*1000)-((Table6[[#This Row],[(STORGE DIFF.) AJD]]*1000)+Table6[[#This Row],[AJD_Evaporation]]+(Table6[[#This Row],[(A/B + A/S) AJD]]*1000))</f>
        <v>0</v>
      </c>
      <c r="AE11" s="44"/>
      <c r="AF11" s="45"/>
      <c r="AG11" s="45"/>
      <c r="AH11" s="6">
        <f>Table6[[#This Row],[ (RESV. STORGE) BER]]/10</f>
        <v>0</v>
      </c>
      <c r="AI11" s="44"/>
      <c r="AJ11" s="45">
        <f>Table6[[#This Row],[(A/B) AJD]]-TABL12345[[#This Row],[BER_IN]]</f>
        <v>0</v>
      </c>
      <c r="AK11" s="45"/>
      <c r="AL11" s="45"/>
      <c r="AM11" s="32"/>
      <c r="AN11" s="32">
        <f>Table6[[#This Row],[ (RESV. STORGE) SER]]/10</f>
        <v>0</v>
      </c>
      <c r="AO11" s="68"/>
      <c r="AP11" s="103">
        <f>Table6[[#This Row],[(A/S) AJD]]-Table6[[#This Row],[SER_IN]]</f>
        <v>0</v>
      </c>
    </row>
    <row r="12" spans="1:42" ht="18.75" x14ac:dyDescent="0.25">
      <c r="A12" s="10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Table6[[#This Row],[ (T/B) SAR]]+Table6[[#This Row],[ (S/S) SAR]]</f>
        <v>0</v>
      </c>
      <c r="L12" s="41"/>
      <c r="M12" s="42"/>
      <c r="N12" s="42"/>
      <c r="O12" s="39"/>
      <c r="P12" s="3">
        <f>Table6[[#This Row],[ (S/S) SAR]]-Table6[[#This Row],[(S/S) AJD]]</f>
        <v>0</v>
      </c>
      <c r="Q12" s="39"/>
      <c r="R12" s="3">
        <f>Table6[[#This Row],[ (T/B) SAR]]-Table6[[#This Row],[(T/B) AJD]]</f>
        <v>0</v>
      </c>
      <c r="S12" s="3">
        <f>Table6[[#This Row],[S/S_CON.]]+Table6[[#This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Table6[[#This Row],[(RESV. STORGE) AJD]]/10</f>
        <v>0</v>
      </c>
      <c r="AB12" s="3">
        <f t="shared" si="3"/>
        <v>0</v>
      </c>
      <c r="AC12" s="5"/>
      <c r="AD12" s="39">
        <f>(Table6[[#This Row],[( S/S+T/B) AJD]]*1000)-((Table6[[#This Row],[(STORGE DIFF.) AJD]]*1000)+Table6[[#This Row],[AJD_Evaporation]]+(Table6[[#This Row],[(A/B + A/S) AJD]]*1000))</f>
        <v>0</v>
      </c>
      <c r="AE12" s="41"/>
      <c r="AF12" s="43"/>
      <c r="AG12" s="68"/>
      <c r="AH12" s="6">
        <f>Table6[[#This Row],[ (RESV. STORGE) BER]]/10</f>
        <v>0</v>
      </c>
      <c r="AI12" s="41"/>
      <c r="AJ12" s="68">
        <f>Table6[[#This Row],[(A/B) AJD]]-TABL12345[[#This Row],[BER_IN]]</f>
        <v>0</v>
      </c>
      <c r="AK12" s="43"/>
      <c r="AL12" s="43"/>
      <c r="AM12" s="32"/>
      <c r="AN12" s="32">
        <f>Table6[[#This Row],[ (RESV. STORGE) SER]]/10</f>
        <v>0</v>
      </c>
      <c r="AO12" s="68"/>
      <c r="AP12" s="103">
        <f>Table6[[#This Row],[(A/S) AJD]]-Table6[[#This Row],[SER_IN]]</f>
        <v>0</v>
      </c>
    </row>
    <row r="13" spans="1:42" ht="18.75" x14ac:dyDescent="0.25">
      <c r="A13" s="10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Table6[[#This Row],[ (T/B) SAR]]+Table6[[#This Row],[ (S/S) SAR]]</f>
        <v>0</v>
      </c>
      <c r="L13" s="45"/>
      <c r="M13" s="46"/>
      <c r="N13" s="46"/>
      <c r="O13" s="40"/>
      <c r="P13" s="3">
        <f>Table6[[#This Row],[ (S/S) SAR]]-Table6[[#This Row],[(S/S) AJD]]</f>
        <v>0</v>
      </c>
      <c r="Q13" s="40"/>
      <c r="R13" s="3">
        <f>Table6[[#This Row],[ (T/B) SAR]]-Table6[[#This Row],[(T/B) AJD]]</f>
        <v>0</v>
      </c>
      <c r="S13" s="3">
        <f>Table6[[#This Row],[S/S_CON.]]+Table6[[#This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Table6[[#This Row],[(RESV. STORGE) AJD]]/10</f>
        <v>0</v>
      </c>
      <c r="AB13" s="3">
        <f t="shared" si="3"/>
        <v>0</v>
      </c>
      <c r="AC13" s="5"/>
      <c r="AD13" s="40">
        <f>(Table6[[#This Row],[( S/S+T/B) AJD]]*1000)-((Table6[[#This Row],[(STORGE DIFF.) AJD]]*1000)+Table6[[#This Row],[AJD_Evaporation]]+(Table6[[#This Row],[(A/B + A/S) AJD]]*1000))</f>
        <v>0</v>
      </c>
      <c r="AE13" s="44"/>
      <c r="AF13" s="45"/>
      <c r="AG13" s="45"/>
      <c r="AH13" s="6">
        <f>Table6[[#This Row],[ (RESV. STORGE) BER]]/10</f>
        <v>0</v>
      </c>
      <c r="AI13" s="44"/>
      <c r="AJ13" s="45">
        <f>Table6[[#This Row],[(A/B) AJD]]-TABL12345[[#This Row],[BER_IN]]</f>
        <v>0</v>
      </c>
      <c r="AK13" s="45"/>
      <c r="AL13" s="45"/>
      <c r="AM13" s="32"/>
      <c r="AN13" s="32">
        <f>Table6[[#This Row],[ (RESV. STORGE) SER]]/10</f>
        <v>0</v>
      </c>
      <c r="AO13" s="68"/>
      <c r="AP13" s="103">
        <f>Table6[[#This Row],[(A/S) AJD]]-Table6[[#This Row],[SER_IN]]</f>
        <v>0</v>
      </c>
    </row>
    <row r="14" spans="1:42" ht="18.75" x14ac:dyDescent="0.25">
      <c r="A14" s="10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Table6[[#This Row],[ (T/B) SAR]]+Table6[[#This Row],[ (S/S) SAR]]</f>
        <v>0</v>
      </c>
      <c r="L14" s="41"/>
      <c r="M14" s="42"/>
      <c r="N14" s="42"/>
      <c r="O14" s="39"/>
      <c r="P14" s="3">
        <f>Table6[[#This Row],[ (S/S) SAR]]-Table6[[#This Row],[(S/S) AJD]]</f>
        <v>0</v>
      </c>
      <c r="Q14" s="39"/>
      <c r="R14" s="3">
        <f>Table6[[#This Row],[ (T/B) SAR]]-Table6[[#This Row],[(T/B) AJD]]</f>
        <v>0</v>
      </c>
      <c r="S14" s="3">
        <f>Table6[[#This Row],[S/S_CON.]]+Table6[[#This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Table6[[#This Row],[(RESV. STORGE) AJD]]/10</f>
        <v>0</v>
      </c>
      <c r="AB14" s="3">
        <f t="shared" si="3"/>
        <v>0</v>
      </c>
      <c r="AC14" s="5"/>
      <c r="AD14" s="39">
        <f>(Table6[[#This Row],[( S/S+T/B) AJD]]*1000)-((Table6[[#This Row],[(STORGE DIFF.) AJD]]*1000)+Table6[[#This Row],[AJD_Evaporation]]+(Table6[[#This Row],[(A/B + A/S) AJD]]*1000))</f>
        <v>0</v>
      </c>
      <c r="AE14" s="41"/>
      <c r="AF14" s="43"/>
      <c r="AG14" s="43"/>
      <c r="AH14" s="6">
        <f>Table6[[#This Row],[ (RESV. STORGE) BER]]/10</f>
        <v>0</v>
      </c>
      <c r="AI14" s="41"/>
      <c r="AJ14" s="43">
        <f>Table6[[#This Row],[(A/B) AJD]]-TABL12345[[#This Row],[BER_IN]]</f>
        <v>0</v>
      </c>
      <c r="AK14" s="43"/>
      <c r="AL14" s="43"/>
      <c r="AM14" s="32"/>
      <c r="AN14" s="32">
        <f>Table6[[#This Row],[ (RESV. STORGE) SER]]/10</f>
        <v>0</v>
      </c>
      <c r="AO14" s="68"/>
      <c r="AP14" s="103">
        <f>Table6[[#This Row],[(A/S) AJD]]-Table6[[#This Row],[SER_IN]]</f>
        <v>0</v>
      </c>
    </row>
    <row r="15" spans="1:42" ht="18.75" x14ac:dyDescent="0.25">
      <c r="A15" s="10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Table6[[#This Row],[ (T/B) SAR]]+Table6[[#This Row],[ (S/S) SAR]]</f>
        <v>0</v>
      </c>
      <c r="L15" s="45"/>
      <c r="M15" s="46"/>
      <c r="N15" s="46"/>
      <c r="O15" s="40"/>
      <c r="P15" s="3">
        <f>Table6[[#This Row],[ (S/S) SAR]]-Table6[[#This Row],[(S/S) AJD]]</f>
        <v>0</v>
      </c>
      <c r="Q15" s="40"/>
      <c r="R15" s="3">
        <f>Table6[[#This Row],[ (T/B) SAR]]-Table6[[#This Row],[(T/B) AJD]]</f>
        <v>0</v>
      </c>
      <c r="S15" s="3">
        <f>Table6[[#This Row],[S/S_CON.]]+Table6[[#This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Table6[[#This Row],[(RESV. STORGE) AJD]]/10</f>
        <v>0</v>
      </c>
      <c r="AB15" s="3">
        <f t="shared" si="3"/>
        <v>0</v>
      </c>
      <c r="AC15" s="5"/>
      <c r="AD15" s="40">
        <f>(Table6[[#This Row],[( S/S+T/B) AJD]]*1000)-((Table6[[#This Row],[(STORGE DIFF.) AJD]]*1000)+Table6[[#This Row],[AJD_Evaporation]]+(Table6[[#This Row],[(A/B + A/S) AJD]]*1000))</f>
        <v>0</v>
      </c>
      <c r="AE15" s="44"/>
      <c r="AF15" s="45"/>
      <c r="AG15" s="45"/>
      <c r="AH15" s="6">
        <f>Table6[[#This Row],[ (RESV. STORGE) BER]]/10</f>
        <v>0</v>
      </c>
      <c r="AI15" s="44"/>
      <c r="AJ15" s="45">
        <f>Table6[[#This Row],[(A/B) AJD]]-TABL12345[[#This Row],[BER_IN]]</f>
        <v>0</v>
      </c>
      <c r="AK15" s="45"/>
      <c r="AL15" s="45"/>
      <c r="AM15" s="32"/>
      <c r="AN15" s="32">
        <f>Table6[[#This Row],[ (RESV. STORGE) SER]]/10</f>
        <v>0</v>
      </c>
      <c r="AO15" s="68"/>
      <c r="AP15" s="103">
        <f>Table6[[#This Row],[(A/S) AJD]]-Table6[[#This Row],[SER_IN]]</f>
        <v>0</v>
      </c>
    </row>
    <row r="16" spans="1:42" ht="18.75" x14ac:dyDescent="0.25">
      <c r="A16" s="10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Table6[[#This Row],[ (T/B) SAR]]+Table6[[#This Row],[ (S/S) SAR]]</f>
        <v>0</v>
      </c>
      <c r="L16" s="41"/>
      <c r="M16" s="42"/>
      <c r="N16" s="42"/>
      <c r="O16" s="39"/>
      <c r="P16" s="3">
        <f>Table6[[#This Row],[ (S/S) SAR]]-Table6[[#This Row],[(S/S) AJD]]</f>
        <v>0</v>
      </c>
      <c r="Q16" s="39"/>
      <c r="R16" s="3">
        <f>Table6[[#This Row],[ (T/B) SAR]]-Table6[[#This Row],[(T/B) AJD]]</f>
        <v>0</v>
      </c>
      <c r="S16" s="3">
        <f>Table6[[#This Row],[S/S_CON.]]+Table6[[#This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Table6[[#This Row],[(RESV. STORGE) AJD]]/10</f>
        <v>0</v>
      </c>
      <c r="AB16" s="3">
        <f t="shared" si="3"/>
        <v>0</v>
      </c>
      <c r="AC16" s="5"/>
      <c r="AD16" s="39">
        <f>(Table6[[#This Row],[( S/S+T/B) AJD]]*1000)-((Table6[[#This Row],[(STORGE DIFF.) AJD]]*1000)+Table6[[#This Row],[AJD_Evaporation]]+(Table6[[#This Row],[(A/B + A/S) AJD]]*1000))</f>
        <v>0</v>
      </c>
      <c r="AE16" s="41"/>
      <c r="AF16" s="43"/>
      <c r="AG16" s="43"/>
      <c r="AH16" s="6">
        <f>Table6[[#This Row],[ (RESV. STORGE) BER]]/10</f>
        <v>0</v>
      </c>
      <c r="AI16" s="41"/>
      <c r="AJ16" s="43">
        <f>Table6[[#This Row],[(A/B) AJD]]-TABL12345[[#This Row],[BER_IN]]</f>
        <v>0</v>
      </c>
      <c r="AK16" s="43"/>
      <c r="AL16" s="43"/>
      <c r="AM16" s="32"/>
      <c r="AN16" s="32">
        <f>Table6[[#This Row],[ (RESV. STORGE) SER]]/10</f>
        <v>0</v>
      </c>
      <c r="AO16" s="68"/>
      <c r="AP16" s="103">
        <f>Table6[[#This Row],[(A/S) AJD]]-Table6[[#This Row],[SER_IN]]</f>
        <v>0</v>
      </c>
    </row>
    <row r="17" spans="1:42" ht="18.75" x14ac:dyDescent="0.25">
      <c r="A17" s="10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Table6[[#This Row],[ (T/B) SAR]]+Table6[[#This Row],[ (S/S) SAR]]</f>
        <v>0</v>
      </c>
      <c r="L17" s="45"/>
      <c r="M17" s="46"/>
      <c r="N17" s="46"/>
      <c r="O17" s="40"/>
      <c r="P17" s="3">
        <f>Table6[[#This Row],[ (S/S) SAR]]-Table6[[#This Row],[(S/S) AJD]]</f>
        <v>0</v>
      </c>
      <c r="Q17" s="40"/>
      <c r="R17" s="3">
        <f>Table6[[#This Row],[ (T/B) SAR]]-Table6[[#This Row],[(T/B) AJD]]</f>
        <v>0</v>
      </c>
      <c r="S17" s="3">
        <f>Table6[[#This Row],[S/S_CON.]]+Table6[[#This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Table6[[#This Row],[(RESV. STORGE) AJD]]/10</f>
        <v>0</v>
      </c>
      <c r="AB17" s="3">
        <f t="shared" si="3"/>
        <v>0</v>
      </c>
      <c r="AC17" s="5"/>
      <c r="AD17" s="40">
        <f>(Table6[[#This Row],[( S/S+T/B) AJD]]*1000)-((Table6[[#This Row],[(STORGE DIFF.) AJD]]*1000)+Table6[[#This Row],[AJD_Evaporation]]+(Table6[[#This Row],[(A/B + A/S) AJD]]*1000))</f>
        <v>0</v>
      </c>
      <c r="AE17" s="44"/>
      <c r="AF17" s="45"/>
      <c r="AG17" s="45"/>
      <c r="AH17" s="6">
        <f>Table6[[#This Row],[ (RESV. STORGE) BER]]/10</f>
        <v>0</v>
      </c>
      <c r="AI17" s="44"/>
      <c r="AJ17" s="45">
        <f>Table6[[#This Row],[(A/B) AJD]]-TABL12345[[#This Row],[BER_IN]]</f>
        <v>0</v>
      </c>
      <c r="AK17" s="45"/>
      <c r="AL17" s="45"/>
      <c r="AM17" s="32"/>
      <c r="AN17" s="32">
        <f>Table6[[#This Row],[ (RESV. STORGE) SER]]/10</f>
        <v>0</v>
      </c>
      <c r="AO17" s="68"/>
      <c r="AP17" s="103">
        <f>Table6[[#This Row],[(A/S) AJD]]-Table6[[#This Row],[SER_IN]]</f>
        <v>0</v>
      </c>
    </row>
    <row r="18" spans="1:42" ht="18.75" x14ac:dyDescent="0.25">
      <c r="A18" s="10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Table6[[#This Row],[ (T/B) SAR]]+Table6[[#This Row],[ (S/S) SAR]]</f>
        <v>0</v>
      </c>
      <c r="L18" s="41"/>
      <c r="M18" s="42"/>
      <c r="N18" s="42"/>
      <c r="O18" s="39"/>
      <c r="P18" s="3">
        <f>Table6[[#This Row],[ (S/S) SAR]]-Table6[[#This Row],[(S/S) AJD]]</f>
        <v>0</v>
      </c>
      <c r="Q18" s="39"/>
      <c r="R18" s="3">
        <f>Table6[[#This Row],[ (T/B) SAR]]-Table6[[#This Row],[(T/B) AJD]]</f>
        <v>0</v>
      </c>
      <c r="S18" s="3">
        <f>Table6[[#This Row],[S/S_CON.]]+Table6[[#This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Table6[[#This Row],[(RESV. STORGE) AJD]]/10</f>
        <v>0</v>
      </c>
      <c r="AB18" s="3">
        <f t="shared" si="3"/>
        <v>0</v>
      </c>
      <c r="AC18" s="5"/>
      <c r="AD18" s="39">
        <f>(Table6[[#This Row],[( S/S+T/B) AJD]]*1000)-((Table6[[#This Row],[(STORGE DIFF.) AJD]]*1000)+Table6[[#This Row],[AJD_Evaporation]]+(Table6[[#This Row],[(A/B + A/S) AJD]]*1000))</f>
        <v>0</v>
      </c>
      <c r="AE18" s="41"/>
      <c r="AF18" s="43"/>
      <c r="AG18" s="43"/>
      <c r="AH18" s="6">
        <f>Table6[[#This Row],[ (RESV. STORGE) BER]]/10</f>
        <v>0</v>
      </c>
      <c r="AI18" s="41"/>
      <c r="AJ18" s="43">
        <f>Table6[[#This Row],[(A/B) AJD]]-TABL12345[[#This Row],[BER_IN]]</f>
        <v>0</v>
      </c>
      <c r="AK18" s="43"/>
      <c r="AL18" s="43"/>
      <c r="AM18" s="32"/>
      <c r="AN18" s="32">
        <f>Table6[[#This Row],[ (RESV. STORGE) SER]]/10</f>
        <v>0</v>
      </c>
      <c r="AO18" s="68"/>
      <c r="AP18" s="103">
        <f>Table6[[#This Row],[(A/S) AJD]]-Table6[[#This Row],[SER_IN]]</f>
        <v>0</v>
      </c>
    </row>
    <row r="19" spans="1:42" ht="18.75" x14ac:dyDescent="0.25">
      <c r="A19" s="10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Table6[[#This Row],[ (T/B) SAR]]+Table6[[#This Row],[ (S/S) SAR]]</f>
        <v>0</v>
      </c>
      <c r="L19" s="45"/>
      <c r="M19" s="46"/>
      <c r="N19" s="46"/>
      <c r="O19" s="40"/>
      <c r="P19" s="3">
        <f>Table6[[#This Row],[ (S/S) SAR]]-Table6[[#This Row],[(S/S) AJD]]</f>
        <v>0</v>
      </c>
      <c r="Q19" s="40"/>
      <c r="R19" s="3">
        <f>Table6[[#This Row],[ (T/B) SAR]]-Table6[[#This Row],[(T/B) AJD]]</f>
        <v>0</v>
      </c>
      <c r="S19" s="3">
        <f>Table6[[#This Row],[S/S_CON.]]+Table6[[#This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Table6[[#This Row],[(RESV. STORGE) AJD]]/10</f>
        <v>0</v>
      </c>
      <c r="AB19" s="3">
        <f t="shared" si="3"/>
        <v>0</v>
      </c>
      <c r="AC19" s="5"/>
      <c r="AD19" s="40">
        <f>(Table6[[#This Row],[( S/S+T/B) AJD]]*1000)-((Table6[[#This Row],[(STORGE DIFF.) AJD]]*1000)+Table6[[#This Row],[AJD_Evaporation]]+(Table6[[#This Row],[(A/B + A/S) AJD]]*1000))</f>
        <v>0</v>
      </c>
      <c r="AE19" s="44"/>
      <c r="AF19" s="45"/>
      <c r="AG19" s="45"/>
      <c r="AH19" s="6">
        <f>Table6[[#This Row],[ (RESV. STORGE) BER]]/10</f>
        <v>0</v>
      </c>
      <c r="AI19" s="44"/>
      <c r="AJ19" s="45">
        <f>Table6[[#This Row],[(A/B) AJD]]-TABL12345[[#This Row],[BER_IN]]</f>
        <v>0</v>
      </c>
      <c r="AK19" s="45"/>
      <c r="AL19" s="45"/>
      <c r="AM19" s="32"/>
      <c r="AN19" s="32">
        <f>Table6[[#This Row],[ (RESV. STORGE) SER]]/10</f>
        <v>0</v>
      </c>
      <c r="AO19" s="68"/>
      <c r="AP19" s="103">
        <f>Table6[[#This Row],[(A/S) AJD]]-Table6[[#This Row],[SER_IN]]</f>
        <v>0</v>
      </c>
    </row>
    <row r="20" spans="1:42" ht="18.75" x14ac:dyDescent="0.25">
      <c r="A20" s="10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Table6[[#This Row],[ (T/B) SAR]]+Table6[[#This Row],[ (S/S) SAR]]</f>
        <v>0</v>
      </c>
      <c r="L20" s="41"/>
      <c r="M20" s="42"/>
      <c r="N20" s="42"/>
      <c r="O20" s="39"/>
      <c r="P20" s="3">
        <f>Table6[[#This Row],[ (S/S) SAR]]-Table6[[#This Row],[(S/S) AJD]]</f>
        <v>0</v>
      </c>
      <c r="Q20" s="39"/>
      <c r="R20" s="3">
        <f>Table6[[#This Row],[ (T/B) SAR]]-Table6[[#This Row],[(T/B) AJD]]</f>
        <v>0</v>
      </c>
      <c r="S20" s="3">
        <f>Table6[[#This Row],[S/S_CON.]]+Table6[[#This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Table6[[#This Row],[(RESV. STORGE) AJD]]/10</f>
        <v>0</v>
      </c>
      <c r="AB20" s="3">
        <f t="shared" si="3"/>
        <v>0</v>
      </c>
      <c r="AC20" s="5"/>
      <c r="AD20" s="39">
        <f>(Table6[[#This Row],[( S/S+T/B) AJD]]*1000)-((Table6[[#This Row],[(STORGE DIFF.) AJD]]*1000)+Table6[[#This Row],[AJD_Evaporation]]+(Table6[[#This Row],[(A/B + A/S) AJD]]*1000))</f>
        <v>0</v>
      </c>
      <c r="AE20" s="41"/>
      <c r="AF20" s="43"/>
      <c r="AG20" s="43"/>
      <c r="AH20" s="6">
        <f>Table6[[#This Row],[ (RESV. STORGE) BER]]/10</f>
        <v>0</v>
      </c>
      <c r="AI20" s="41"/>
      <c r="AJ20" s="43">
        <f>Table6[[#This Row],[(A/B) AJD]]-TABL12345[[#This Row],[BER_IN]]</f>
        <v>0</v>
      </c>
      <c r="AK20" s="43"/>
      <c r="AL20" s="43"/>
      <c r="AM20" s="32"/>
      <c r="AN20" s="32">
        <f>Table6[[#This Row],[ (RESV. STORGE) SER]]/10</f>
        <v>0</v>
      </c>
      <c r="AO20" s="68"/>
      <c r="AP20" s="103">
        <f>Table6[[#This Row],[(A/S) AJD]]-Table6[[#This Row],[SER_IN]]</f>
        <v>0</v>
      </c>
    </row>
    <row r="21" spans="1:42" ht="18.75" x14ac:dyDescent="0.25">
      <c r="A21" s="10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Table6[[#This Row],[ (T/B) SAR]]+Table6[[#This Row],[ (S/S) SAR]]</f>
        <v>0</v>
      </c>
      <c r="L21" s="45"/>
      <c r="M21" s="46"/>
      <c r="N21" s="46"/>
      <c r="O21" s="40"/>
      <c r="P21" s="3">
        <f>Table6[[#This Row],[ (S/S) SAR]]-Table6[[#This Row],[(S/S) AJD]]</f>
        <v>0</v>
      </c>
      <c r="Q21" s="40"/>
      <c r="R21" s="3">
        <f>Table6[[#This Row],[ (T/B) SAR]]-Table6[[#This Row],[(T/B) AJD]]</f>
        <v>0</v>
      </c>
      <c r="S21" s="3">
        <f>Table6[[#This Row],[S/S_CON.]]+Table6[[#This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Table6[[#This Row],[(RESV. STORGE) AJD]]/10</f>
        <v>0</v>
      </c>
      <c r="AB21" s="3">
        <f t="shared" si="3"/>
        <v>0</v>
      </c>
      <c r="AC21" s="5"/>
      <c r="AD21" s="40">
        <f>(Table6[[#This Row],[( S/S+T/B) AJD]]*1000)-((Table6[[#This Row],[(STORGE DIFF.) AJD]]*1000)+Table6[[#This Row],[AJD_Evaporation]]+(Table6[[#This Row],[(A/B + A/S) AJD]]*1000))</f>
        <v>0</v>
      </c>
      <c r="AE21" s="44"/>
      <c r="AF21" s="45"/>
      <c r="AG21" s="45"/>
      <c r="AH21" s="6">
        <f>Table6[[#This Row],[ (RESV. STORGE) BER]]/10</f>
        <v>0</v>
      </c>
      <c r="AI21" s="44"/>
      <c r="AJ21" s="45">
        <f>Table6[[#This Row],[(A/B) AJD]]-TABL12345[[#This Row],[BER_IN]]</f>
        <v>0</v>
      </c>
      <c r="AK21" s="45"/>
      <c r="AL21" s="45"/>
      <c r="AM21" s="32"/>
      <c r="AN21" s="32">
        <f>Table6[[#This Row],[ (RESV. STORGE) SER]]/10</f>
        <v>0</v>
      </c>
      <c r="AO21" s="68"/>
      <c r="AP21" s="103">
        <f>Table6[[#This Row],[(A/S) AJD]]-Table6[[#This Row],[SER_IN]]</f>
        <v>0</v>
      </c>
    </row>
    <row r="22" spans="1:42" ht="18.75" x14ac:dyDescent="0.25">
      <c r="A22" s="10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Table6[[#This Row],[ (T/B) SAR]]+Table6[[#This Row],[ (S/S) SAR]]</f>
        <v>0</v>
      </c>
      <c r="L22" s="41"/>
      <c r="M22" s="42"/>
      <c r="N22" s="42"/>
      <c r="O22" s="39"/>
      <c r="P22" s="3">
        <f>Table6[[#This Row],[ (S/S) SAR]]-Table6[[#This Row],[(S/S) AJD]]</f>
        <v>0</v>
      </c>
      <c r="Q22" s="39"/>
      <c r="R22" s="3">
        <f>Table6[[#This Row],[ (T/B) SAR]]-Table6[[#This Row],[(T/B) AJD]]</f>
        <v>0</v>
      </c>
      <c r="S22" s="3">
        <f>Table6[[#This Row],[S/S_CON.]]+Table6[[#This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Table6[[#This Row],[(RESV. STORGE) AJD]]/10</f>
        <v>0</v>
      </c>
      <c r="AB22" s="3">
        <f t="shared" si="3"/>
        <v>0</v>
      </c>
      <c r="AC22" s="5"/>
      <c r="AD22" s="39">
        <f>(Table6[[#This Row],[( S/S+T/B) AJD]]*1000)-((Table6[[#This Row],[(STORGE DIFF.) AJD]]*1000)+Table6[[#This Row],[AJD_Evaporation]]+(Table6[[#This Row],[(A/B + A/S) AJD]]*1000))</f>
        <v>0</v>
      </c>
      <c r="AE22" s="41"/>
      <c r="AF22" s="43"/>
      <c r="AG22" s="43"/>
      <c r="AH22" s="6">
        <f>Table6[[#This Row],[ (RESV. STORGE) BER]]/10</f>
        <v>0</v>
      </c>
      <c r="AI22" s="41"/>
      <c r="AJ22" s="43">
        <f>Table6[[#This Row],[(A/B) AJD]]-TABL12345[[#This Row],[BER_IN]]</f>
        <v>0</v>
      </c>
      <c r="AK22" s="43"/>
      <c r="AL22" s="43"/>
      <c r="AM22" s="32"/>
      <c r="AN22" s="32">
        <f>Table6[[#This Row],[ (RESV. STORGE) SER]]/10</f>
        <v>0</v>
      </c>
      <c r="AO22" s="68"/>
      <c r="AP22" s="103">
        <f>Table6[[#This Row],[(A/S) AJD]]-Table6[[#This Row],[SER_IN]]</f>
        <v>0</v>
      </c>
    </row>
    <row r="23" spans="1:42" ht="18.75" x14ac:dyDescent="0.25">
      <c r="A23" s="10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Table6[[#This Row],[ (T/B) SAR]]+Table6[[#This Row],[ (S/S) SAR]]</f>
        <v>0</v>
      </c>
      <c r="L23" s="45"/>
      <c r="M23" s="46"/>
      <c r="N23" s="46"/>
      <c r="O23" s="40"/>
      <c r="P23" s="3">
        <f>Table6[[#This Row],[ (S/S) SAR]]-Table6[[#This Row],[(S/S) AJD]]</f>
        <v>0</v>
      </c>
      <c r="Q23" s="40"/>
      <c r="R23" s="3">
        <f>Table6[[#This Row],[ (T/B) SAR]]-Table6[[#This Row],[(T/B) AJD]]</f>
        <v>0</v>
      </c>
      <c r="S23" s="3">
        <f>Table6[[#This Row],[S/S_CON.]]+Table6[[#This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Table6[[#This Row],[(RESV. STORGE) AJD]]/10</f>
        <v>0</v>
      </c>
      <c r="AB23" s="3">
        <f t="shared" si="3"/>
        <v>0</v>
      </c>
      <c r="AC23" s="5"/>
      <c r="AD23" s="40">
        <f>(Table6[[#This Row],[( S/S+T/B) AJD]]*1000)-((Table6[[#This Row],[(STORGE DIFF.) AJD]]*1000)+Table6[[#This Row],[AJD_Evaporation]]+(Table6[[#This Row],[(A/B + A/S) AJD]]*1000))</f>
        <v>0</v>
      </c>
      <c r="AE23" s="44"/>
      <c r="AF23" s="45"/>
      <c r="AG23" s="45"/>
      <c r="AH23" s="6">
        <f>Table6[[#This Row],[ (RESV. STORGE) BER]]/10</f>
        <v>0</v>
      </c>
      <c r="AI23" s="44"/>
      <c r="AJ23" s="45">
        <f>Table6[[#This Row],[(A/B) AJD]]-TABL12345[[#This Row],[BER_IN]]</f>
        <v>0</v>
      </c>
      <c r="AK23" s="45"/>
      <c r="AL23" s="45"/>
      <c r="AM23" s="32"/>
      <c r="AN23" s="32">
        <f>Table6[[#This Row],[ (RESV. STORGE) SER]]/10</f>
        <v>0</v>
      </c>
      <c r="AO23" s="68"/>
      <c r="AP23" s="103">
        <f>Table6[[#This Row],[(A/S) AJD]]-Table6[[#This Row],[SER_IN]]</f>
        <v>0</v>
      </c>
    </row>
    <row r="24" spans="1:42" ht="18.75" x14ac:dyDescent="0.25">
      <c r="A24" s="10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Table6[[#This Row],[ (T/B) SAR]]+Table6[[#This Row],[ (S/S) SAR]]</f>
        <v>0</v>
      </c>
      <c r="L24" s="41"/>
      <c r="M24" s="42"/>
      <c r="N24" s="42"/>
      <c r="O24" s="39"/>
      <c r="P24" s="3">
        <f>Table6[[#This Row],[ (S/S) SAR]]-Table6[[#This Row],[(S/S) AJD]]</f>
        <v>0</v>
      </c>
      <c r="Q24" s="39"/>
      <c r="R24" s="3">
        <f>Table6[[#This Row],[ (T/B) SAR]]-Table6[[#This Row],[(T/B) AJD]]</f>
        <v>0</v>
      </c>
      <c r="S24" s="3">
        <f>Table6[[#This Row],[S/S_CON.]]+Table6[[#This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Table6[[#This Row],[(RESV. STORGE) AJD]]/10</f>
        <v>0</v>
      </c>
      <c r="AB24" s="3">
        <f t="shared" si="3"/>
        <v>0</v>
      </c>
      <c r="AC24" s="5"/>
      <c r="AD24" s="39">
        <f>(Table6[[#This Row],[( S/S+T/B) AJD]]*1000)-((Table6[[#This Row],[(STORGE DIFF.) AJD]]*1000)+Table6[[#This Row],[AJD_Evaporation]]+(Table6[[#This Row],[(A/B + A/S) AJD]]*1000))</f>
        <v>0</v>
      </c>
      <c r="AE24" s="41"/>
      <c r="AF24" s="43"/>
      <c r="AG24" s="43"/>
      <c r="AH24" s="6">
        <f>Table6[[#This Row],[ (RESV. STORGE) BER]]/10</f>
        <v>0</v>
      </c>
      <c r="AI24" s="41"/>
      <c r="AJ24" s="43">
        <f>Table6[[#This Row],[(A/B) AJD]]-TABL12345[[#This Row],[BER_IN]]</f>
        <v>0</v>
      </c>
      <c r="AK24" s="43"/>
      <c r="AL24" s="43"/>
      <c r="AM24" s="32"/>
      <c r="AN24" s="32">
        <f>Table6[[#This Row],[ (RESV. STORGE) SER]]/10</f>
        <v>0</v>
      </c>
      <c r="AO24" s="68"/>
      <c r="AP24" s="103">
        <f>Table6[[#This Row],[(A/S) AJD]]-Table6[[#This Row],[SER_IN]]</f>
        <v>0</v>
      </c>
    </row>
    <row r="25" spans="1:42" ht="18.75" x14ac:dyDescent="0.25">
      <c r="A25" s="10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Table6[[#This Row],[ (T/B) SAR]]+Table6[[#This Row],[ (S/S) SAR]]</f>
        <v>0</v>
      </c>
      <c r="L25" s="45"/>
      <c r="M25" s="46"/>
      <c r="N25" s="46"/>
      <c r="O25" s="40"/>
      <c r="P25" s="3">
        <f>Table6[[#This Row],[ (S/S) SAR]]-Table6[[#This Row],[(S/S) AJD]]</f>
        <v>0</v>
      </c>
      <c r="Q25" s="40"/>
      <c r="R25" s="3">
        <f>Table6[[#This Row],[ (T/B) SAR]]-Table6[[#This Row],[(T/B) AJD]]</f>
        <v>0</v>
      </c>
      <c r="S25" s="3">
        <f>Table6[[#This Row],[S/S_CON.]]+Table6[[#This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Table6[[#This Row],[(RESV. STORGE) AJD]]/10</f>
        <v>0</v>
      </c>
      <c r="AB25" s="3">
        <f t="shared" si="3"/>
        <v>0</v>
      </c>
      <c r="AC25" s="5"/>
      <c r="AD25" s="40">
        <f>(Table6[[#This Row],[( S/S+T/B) AJD]]*1000)-((Table6[[#This Row],[(STORGE DIFF.) AJD]]*1000)+Table6[[#This Row],[AJD_Evaporation]]+(Table6[[#This Row],[(A/B + A/S) AJD]]*1000))</f>
        <v>0</v>
      </c>
      <c r="AE25" s="44"/>
      <c r="AF25" s="45"/>
      <c r="AG25" s="45"/>
      <c r="AH25" s="6">
        <f>Table6[[#This Row],[ (RESV. STORGE) BER]]/10</f>
        <v>0</v>
      </c>
      <c r="AI25" s="44"/>
      <c r="AJ25" s="45">
        <f>Table6[[#This Row],[(A/B) AJD]]-TABL12345[[#This Row],[BER_IN]]</f>
        <v>0</v>
      </c>
      <c r="AK25" s="45"/>
      <c r="AL25" s="45"/>
      <c r="AM25" s="32"/>
      <c r="AN25" s="32">
        <f>Table6[[#This Row],[ (RESV. STORGE) SER]]/10</f>
        <v>0</v>
      </c>
      <c r="AO25" s="68"/>
      <c r="AP25" s="103">
        <f>Table6[[#This Row],[(A/S) AJD]]-Table6[[#This Row],[SER_IN]]</f>
        <v>0</v>
      </c>
    </row>
    <row r="26" spans="1:42" ht="18.75" x14ac:dyDescent="0.25">
      <c r="A26" s="10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Table6[[#This Row],[ (T/B) SAR]]+Table6[[#This Row],[ (S/S) SAR]]</f>
        <v>0</v>
      </c>
      <c r="L26" s="41"/>
      <c r="M26" s="42"/>
      <c r="N26" s="42"/>
      <c r="O26" s="39"/>
      <c r="P26" s="3">
        <f>Table6[[#This Row],[ (S/S) SAR]]-Table6[[#This Row],[(S/S) AJD]]</f>
        <v>0</v>
      </c>
      <c r="Q26" s="39"/>
      <c r="R26" s="3">
        <f>Table6[[#This Row],[ (T/B) SAR]]-Table6[[#This Row],[(T/B) AJD]]</f>
        <v>0</v>
      </c>
      <c r="S26" s="3">
        <f>Table6[[#This Row],[S/S_CON.]]+Table6[[#This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Table6[[#This Row],[(RESV. STORGE) AJD]]/10</f>
        <v>0</v>
      </c>
      <c r="AB26" s="3">
        <f t="shared" si="3"/>
        <v>0</v>
      </c>
      <c r="AC26" s="5"/>
      <c r="AD26" s="39">
        <f>(Table6[[#This Row],[( S/S+T/B) AJD]]*1000)-((Table6[[#This Row],[(STORGE DIFF.) AJD]]*1000)+Table6[[#This Row],[AJD_Evaporation]]+(Table6[[#This Row],[(A/B + A/S) AJD]]*1000))</f>
        <v>0</v>
      </c>
      <c r="AE26" s="41"/>
      <c r="AF26" s="43"/>
      <c r="AG26" s="43"/>
      <c r="AH26" s="6">
        <f>Table6[[#This Row],[ (RESV. STORGE) BER]]/10</f>
        <v>0</v>
      </c>
      <c r="AI26" s="41"/>
      <c r="AJ26" s="43">
        <f>Table6[[#This Row],[(A/B) AJD]]-TABL12345[[#This Row],[BER_IN]]</f>
        <v>0</v>
      </c>
      <c r="AK26" s="43"/>
      <c r="AL26" s="43"/>
      <c r="AM26" s="32"/>
      <c r="AN26" s="32">
        <f>Table6[[#This Row],[ (RESV. STORGE) SER]]/10</f>
        <v>0</v>
      </c>
      <c r="AO26" s="68"/>
      <c r="AP26" s="103">
        <f>Table6[[#This Row],[(A/S) AJD]]-Table6[[#This Row],[SER_IN]]</f>
        <v>0</v>
      </c>
    </row>
    <row r="27" spans="1:42" ht="18.75" x14ac:dyDescent="0.25">
      <c r="A27" s="10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Table6[[#This Row],[ (T/B) SAR]]+Table6[[#This Row],[ (S/S) SAR]]</f>
        <v>0</v>
      </c>
      <c r="L27" s="45"/>
      <c r="M27" s="46"/>
      <c r="N27" s="46"/>
      <c r="O27" s="40"/>
      <c r="P27" s="3">
        <f>Table6[[#This Row],[ (S/S) SAR]]-Table6[[#This Row],[(S/S) AJD]]</f>
        <v>0</v>
      </c>
      <c r="Q27" s="40"/>
      <c r="R27" s="3">
        <f>Table6[[#This Row],[ (T/B) SAR]]-Table6[[#This Row],[(T/B) AJD]]</f>
        <v>0</v>
      </c>
      <c r="S27" s="3">
        <f>Table6[[#This Row],[S/S_CON.]]+Table6[[#This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Table6[[#This Row],[(RESV. STORGE) AJD]]/10</f>
        <v>0</v>
      </c>
      <c r="AB27" s="3">
        <f t="shared" si="3"/>
        <v>0</v>
      </c>
      <c r="AC27" s="5"/>
      <c r="AD27" s="40">
        <f>(Table6[[#This Row],[( S/S+T/B) AJD]]*1000)-((Table6[[#This Row],[(STORGE DIFF.) AJD]]*1000)+Table6[[#This Row],[AJD_Evaporation]]+(Table6[[#This Row],[(A/B + A/S) AJD]]*1000))</f>
        <v>0</v>
      </c>
      <c r="AE27" s="44"/>
      <c r="AF27" s="45"/>
      <c r="AG27" s="45"/>
      <c r="AH27" s="6">
        <f>Table6[[#This Row],[ (RESV. STORGE) BER]]/10</f>
        <v>0</v>
      </c>
      <c r="AI27" s="44"/>
      <c r="AJ27" s="45">
        <f>Table6[[#This Row],[(A/B) AJD]]-TABL12345[[#This Row],[BER_IN]]</f>
        <v>0</v>
      </c>
      <c r="AK27" s="45"/>
      <c r="AL27" s="45"/>
      <c r="AM27" s="32"/>
      <c r="AN27" s="32">
        <f>Table6[[#This Row],[ (RESV. STORGE) SER]]/10</f>
        <v>0</v>
      </c>
      <c r="AO27" s="68"/>
      <c r="AP27" s="103">
        <f>Table6[[#This Row],[(A/S) AJD]]-Table6[[#This Row],[SER_IN]]</f>
        <v>0</v>
      </c>
    </row>
    <row r="28" spans="1:42" ht="18.75" x14ac:dyDescent="0.25">
      <c r="A28" s="10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Table6[[#This Row],[ (T/B) SAR]]+Table6[[#This Row],[ (S/S) SAR]]</f>
        <v>0</v>
      </c>
      <c r="L28" s="41"/>
      <c r="M28" s="42"/>
      <c r="N28" s="42"/>
      <c r="O28" s="39"/>
      <c r="P28" s="3">
        <f>Table6[[#This Row],[ (S/S) SAR]]-Table6[[#This Row],[(S/S) AJD]]</f>
        <v>0</v>
      </c>
      <c r="Q28" s="39"/>
      <c r="R28" s="3">
        <f>Table6[[#This Row],[ (T/B) SAR]]-Table6[[#This Row],[(T/B) AJD]]</f>
        <v>0</v>
      </c>
      <c r="S28" s="3">
        <f>Table6[[#This Row],[S/S_CON.]]+Table6[[#This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Table6[[#This Row],[(RESV. STORGE) AJD]]/10</f>
        <v>0</v>
      </c>
      <c r="AB28" s="3">
        <f t="shared" si="3"/>
        <v>0</v>
      </c>
      <c r="AC28" s="5"/>
      <c r="AD28" s="39">
        <f>(Table6[[#This Row],[( S/S+T/B) AJD]]*1000)-((Table6[[#This Row],[(STORGE DIFF.) AJD]]*1000)+Table6[[#This Row],[AJD_Evaporation]]+(Table6[[#This Row],[(A/B + A/S) AJD]]*1000))</f>
        <v>0</v>
      </c>
      <c r="AE28" s="41"/>
      <c r="AF28" s="43"/>
      <c r="AG28" s="43"/>
      <c r="AH28" s="6">
        <f>Table6[[#This Row],[ (RESV. STORGE) BER]]/10</f>
        <v>0</v>
      </c>
      <c r="AI28" s="41"/>
      <c r="AJ28" s="43">
        <f>Table6[[#This Row],[(A/B) AJD]]-TABL12345[[#This Row],[BER_IN]]</f>
        <v>0</v>
      </c>
      <c r="AK28" s="43"/>
      <c r="AL28" s="43"/>
      <c r="AM28" s="32"/>
      <c r="AN28" s="32">
        <f>Table6[[#This Row],[ (RESV. STORGE) SER]]/10</f>
        <v>0</v>
      </c>
      <c r="AO28" s="68"/>
      <c r="AP28" s="103">
        <f>Table6[[#This Row],[(A/S) AJD]]-Table6[[#This Row],[SER_IN]]</f>
        <v>0</v>
      </c>
    </row>
    <row r="29" spans="1:42" ht="18.75" x14ac:dyDescent="0.25">
      <c r="A29" s="10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Table6[[#This Row],[ (T/B) SAR]]+Table6[[#This Row],[ (S/S) SAR]]</f>
        <v>0</v>
      </c>
      <c r="L29" s="45"/>
      <c r="M29" s="46"/>
      <c r="N29" s="46"/>
      <c r="O29" s="40"/>
      <c r="P29" s="3">
        <f>Table6[[#This Row],[ (S/S) SAR]]-Table6[[#This Row],[(S/S) AJD]]</f>
        <v>0</v>
      </c>
      <c r="Q29" s="40"/>
      <c r="R29" s="3">
        <f>Table6[[#This Row],[ (T/B) SAR]]-Table6[[#This Row],[(T/B) AJD]]</f>
        <v>0</v>
      </c>
      <c r="S29" s="3">
        <f>Table6[[#This Row],[S/S_CON.]]+Table6[[#This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Table6[[#This Row],[(RESV. STORGE) AJD]]/10</f>
        <v>0</v>
      </c>
      <c r="AB29" s="3">
        <f t="shared" si="3"/>
        <v>0</v>
      </c>
      <c r="AC29" s="5"/>
      <c r="AD29" s="40">
        <f>(Table6[[#This Row],[( S/S+T/B) AJD]]*1000)-((Table6[[#This Row],[(STORGE DIFF.) AJD]]*1000)+Table6[[#This Row],[AJD_Evaporation]]+(Table6[[#This Row],[(A/B + A/S) AJD]]*1000))</f>
        <v>0</v>
      </c>
      <c r="AE29" s="44"/>
      <c r="AF29" s="45"/>
      <c r="AG29" s="45"/>
      <c r="AH29" s="6">
        <f>Table6[[#This Row],[ (RESV. STORGE) BER]]/10</f>
        <v>0</v>
      </c>
      <c r="AI29" s="44"/>
      <c r="AJ29" s="45">
        <f>Table6[[#This Row],[(A/B) AJD]]-TABL12345[[#This Row],[BER_IN]]</f>
        <v>0</v>
      </c>
      <c r="AK29" s="45"/>
      <c r="AL29" s="45"/>
      <c r="AM29" s="32"/>
      <c r="AN29" s="32">
        <f>Table6[[#This Row],[ (RESV. STORGE) SER]]/10</f>
        <v>0</v>
      </c>
      <c r="AO29" s="68"/>
      <c r="AP29" s="103">
        <f>Table6[[#This Row],[(A/S) AJD]]-Table6[[#This Row],[SER_IN]]</f>
        <v>0</v>
      </c>
    </row>
    <row r="30" spans="1:42" ht="18.75" x14ac:dyDescent="0.25">
      <c r="A30" s="10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Table6[[#This Row],[ (T/B) SAR]]+Table6[[#This Row],[ (S/S) SAR]]</f>
        <v>0</v>
      </c>
      <c r="L30" s="41"/>
      <c r="M30" s="42"/>
      <c r="N30" s="42"/>
      <c r="O30" s="39"/>
      <c r="P30" s="3">
        <f>Table6[[#This Row],[ (S/S) SAR]]-Table6[[#This Row],[(S/S) AJD]]</f>
        <v>0</v>
      </c>
      <c r="Q30" s="39"/>
      <c r="R30" s="3">
        <f>Table6[[#This Row],[ (T/B) SAR]]-Table6[[#This Row],[(T/B) AJD]]</f>
        <v>0</v>
      </c>
      <c r="S30" s="3">
        <f>Table6[[#This Row],[S/S_CON.]]+Table6[[#This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Table6[[#This Row],[(RESV. STORGE) AJD]]/10</f>
        <v>0</v>
      </c>
      <c r="AB30" s="3">
        <f t="shared" si="3"/>
        <v>0</v>
      </c>
      <c r="AC30" s="5"/>
      <c r="AD30" s="39">
        <f>(Table6[[#This Row],[( S/S+T/B) AJD]]*1000)-((Table6[[#This Row],[(STORGE DIFF.) AJD]]*1000)+Table6[[#This Row],[AJD_Evaporation]]+(Table6[[#This Row],[(A/B + A/S) AJD]]*1000))</f>
        <v>0</v>
      </c>
      <c r="AE30" s="41"/>
      <c r="AF30" s="43"/>
      <c r="AG30" s="43"/>
      <c r="AH30" s="6">
        <f>Table6[[#This Row],[ (RESV. STORGE) BER]]/10</f>
        <v>0</v>
      </c>
      <c r="AI30" s="41"/>
      <c r="AJ30" s="43">
        <f>Table6[[#This Row],[(A/B) AJD]]-TABL12345[[#This Row],[BER_IN]]</f>
        <v>0</v>
      </c>
      <c r="AK30" s="43"/>
      <c r="AL30" s="43"/>
      <c r="AM30" s="32"/>
      <c r="AN30" s="32">
        <f>Table6[[#This Row],[ (RESV. STORGE) SER]]/10</f>
        <v>0</v>
      </c>
      <c r="AO30" s="68"/>
      <c r="AP30" s="103">
        <f>Table6[[#This Row],[(A/S) AJD]]-Table6[[#This Row],[SER_IN]]</f>
        <v>0</v>
      </c>
    </row>
    <row r="31" spans="1:42" ht="18.75" x14ac:dyDescent="0.25">
      <c r="A31" s="10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Table6[[#This Row],[ (T/B) SAR]]+Table6[[#This Row],[ (S/S) SAR]]</f>
        <v>0</v>
      </c>
      <c r="L31" s="45"/>
      <c r="M31" s="46"/>
      <c r="N31" s="46"/>
      <c r="O31" s="40"/>
      <c r="P31" s="3">
        <f>Table6[[#This Row],[ (S/S) SAR]]-Table6[[#This Row],[(S/S) AJD]]</f>
        <v>0</v>
      </c>
      <c r="Q31" s="40"/>
      <c r="R31" s="3">
        <f>Table6[[#This Row],[ (T/B) SAR]]-Table6[[#This Row],[(T/B) AJD]]</f>
        <v>0</v>
      </c>
      <c r="S31" s="3">
        <f>Table6[[#This Row],[S/S_CON.]]+Table6[[#This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Table6[[#This Row],[(RESV. STORGE) AJD]]/10</f>
        <v>0</v>
      </c>
      <c r="AB31" s="3">
        <f t="shared" si="3"/>
        <v>0</v>
      </c>
      <c r="AC31" s="5"/>
      <c r="AD31" s="70">
        <f>(Table6[[#This Row],[( S/S+T/B) AJD]]*1000)-((Table6[[#This Row],[(STORGE DIFF.) AJD]]*1000)+Table6[[#This Row],[AJD_Evaporation]]+(Table6[[#This Row],[(A/B + A/S) AJD]]*1000))</f>
        <v>0</v>
      </c>
      <c r="AE31" s="44"/>
      <c r="AF31" s="45"/>
      <c r="AG31" s="45"/>
      <c r="AH31" s="6">
        <f>Table6[[#This Row],[ (RESV. STORGE) BER]]/10</f>
        <v>0</v>
      </c>
      <c r="AI31" s="44"/>
      <c r="AJ31" s="90">
        <f>Table6[[#This Row],[(A/B) AJD]]-TABL12345[[#This Row],[BER_IN]]</f>
        <v>0</v>
      </c>
      <c r="AK31" s="45"/>
      <c r="AL31" s="45"/>
      <c r="AM31" s="32"/>
      <c r="AN31" s="32">
        <f>Table6[[#This Row],[ (RESV. STORGE) SER]]/10</f>
        <v>0</v>
      </c>
      <c r="AO31" s="68"/>
      <c r="AP31" s="103">
        <f>Table6[[#This Row],[(A/S) AJD]]-Table6[[#This Row],[SER_IN]]</f>
        <v>0</v>
      </c>
    </row>
    <row r="32" spans="1:42" ht="18.75" x14ac:dyDescent="0.25">
      <c r="A32" s="10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Table6[[#This Row],[ (T/B) SAR]]+Table6[[#This Row],[ (S/S) SAR]]</f>
        <v>0</v>
      </c>
      <c r="L32" s="41"/>
      <c r="M32" s="42"/>
      <c r="N32" s="42"/>
      <c r="O32" s="39"/>
      <c r="P32" s="3">
        <f>Table6[[#This Row],[ (S/S) SAR]]-Table6[[#This Row],[(S/S) AJD]]</f>
        <v>0</v>
      </c>
      <c r="Q32" s="39"/>
      <c r="R32" s="3">
        <f>Table6[[#This Row],[ (T/B) SAR]]-Table6[[#This Row],[(T/B) AJD]]</f>
        <v>0</v>
      </c>
      <c r="S32" s="3">
        <f>Table6[[#This Row],[S/S_CON.]]+Table6[[#This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Table6[[#This Row],[(RESV. STORGE) AJD]]/10</f>
        <v>0</v>
      </c>
      <c r="AB32" s="3">
        <f t="shared" si="3"/>
        <v>0</v>
      </c>
      <c r="AC32" s="5"/>
      <c r="AD32" s="39">
        <f>(Table6[[#This Row],[( S/S+T/B) AJD]]*1000)-((Table6[[#This Row],[(STORGE DIFF.) AJD]]*1000)+Table6[[#This Row],[AJD_Evaporation]]+(Table6[[#This Row],[(A/B + A/S) AJD]]*1000))</f>
        <v>0</v>
      </c>
      <c r="AE32" s="41"/>
      <c r="AF32" s="43"/>
      <c r="AG32" s="43"/>
      <c r="AH32" s="6">
        <f>Table6[[#This Row],[ (RESV. STORGE) BER]]/10</f>
        <v>0</v>
      </c>
      <c r="AI32" s="41"/>
      <c r="AJ32" s="43">
        <f>Table6[[#This Row],[(A/B) AJD]]-TABL12345[[#This Row],[BER_IN]]</f>
        <v>0</v>
      </c>
      <c r="AK32" s="43"/>
      <c r="AL32" s="43"/>
      <c r="AM32" s="32"/>
      <c r="AN32" s="32">
        <f>Table6[[#This Row],[ (RESV. STORGE) SER]]/10</f>
        <v>0</v>
      </c>
      <c r="AO32" s="68"/>
      <c r="AP32" s="103">
        <f>Table6[[#This Row],[(A/S) AJD]]-Table6[[#This Row],[SER_IN]]</f>
        <v>0</v>
      </c>
    </row>
    <row r="33" spans="1:42" ht="18.75" x14ac:dyDescent="0.25">
      <c r="A33" s="10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Table6[[#This Row],[ (T/B) SAR]]+Table6[[#This Row],[ (S/S) SAR]]</f>
        <v>0</v>
      </c>
      <c r="L33" s="41"/>
      <c r="M33" s="42"/>
      <c r="N33" s="42"/>
      <c r="O33" s="39"/>
      <c r="P33" s="3">
        <f>Table6[[#This Row],[ (S/S) SAR]]-Table6[[#This Row],[(S/S) AJD]]</f>
        <v>0</v>
      </c>
      <c r="Q33" s="39"/>
      <c r="R33" s="3">
        <f>Table6[[#This Row],[ (T/B) SAR]]-Table6[[#This Row],[(T/B) AJD]]</f>
        <v>0</v>
      </c>
      <c r="S33" s="3">
        <f>Table6[[#This Row],[S/S_CON.]]+Table6[[#This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Table6[[#This Row],[(RESV. STORGE) AJD]]/10</f>
        <v>0</v>
      </c>
      <c r="AB33" s="3">
        <f t="shared" si="3"/>
        <v>0</v>
      </c>
      <c r="AC33" s="5"/>
      <c r="AD33" s="39">
        <f>(Table6[[#This Row],[( S/S+T/B) AJD]]*1000)-((Table6[[#This Row],[(STORGE DIFF.) AJD]]*1000)+Table6[[#This Row],[AJD_Evaporation]]+(Table6[[#This Row],[(A/B + A/S) AJD]]*1000))</f>
        <v>0</v>
      </c>
      <c r="AE33" s="41"/>
      <c r="AF33" s="43"/>
      <c r="AG33" s="43"/>
      <c r="AH33" s="6">
        <f>Table6[[#This Row],[ (RESV. STORGE) BER]]/10</f>
        <v>0</v>
      </c>
      <c r="AI33" s="41"/>
      <c r="AJ33" s="43">
        <f>Table6[[#This Row],[(A/B) AJD]]-TABL12345[[#This Row],[BER_IN]]</f>
        <v>0</v>
      </c>
      <c r="AK33" s="43"/>
      <c r="AL33" s="43"/>
      <c r="AM33" s="32"/>
      <c r="AN33" s="32">
        <f>Table6[[#This Row],[ (RESV. STORGE) SER]]/10</f>
        <v>0</v>
      </c>
      <c r="AO33" s="68"/>
      <c r="AP33" s="103">
        <f>Table6[[#This Row],[(A/S) AJD]]-Table6[[#This Row],[SER_IN]]</f>
        <v>0</v>
      </c>
    </row>
    <row r="34" spans="1:42" ht="18.75" x14ac:dyDescent="0.25">
      <c r="A34" s="10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Table6[[#This Row],[ (T/B) SAR]]+Table6[[#This Row],[ (S/S) SAR]]</f>
        <v>0</v>
      </c>
      <c r="L34" s="45"/>
      <c r="M34" s="46"/>
      <c r="N34" s="46"/>
      <c r="O34" s="40"/>
      <c r="P34" s="3">
        <f>Table6[[#This Row],[ (S/S) SAR]]-Table6[[#This Row],[(S/S) AJD]]</f>
        <v>0</v>
      </c>
      <c r="Q34" s="40"/>
      <c r="R34" s="3">
        <f>Table6[[#This Row],[ (T/B) SAR]]-Table6[[#This Row],[(T/B) AJD]]</f>
        <v>0</v>
      </c>
      <c r="S34" s="3">
        <f>Table6[[#This Row],[S/S_CON.]]+Table6[[#This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Table6[[#This Row],[(RESV. STORGE) AJD]]/10</f>
        <v>0</v>
      </c>
      <c r="AB34" s="3">
        <f t="shared" si="3"/>
        <v>0</v>
      </c>
      <c r="AC34" s="5"/>
      <c r="AD34" s="40">
        <f>(Table6[[#This Row],[( S/S+T/B) AJD]]*1000)-((Table6[[#This Row],[(STORGE DIFF.) AJD]]*1000)+Table6[[#This Row],[AJD_Evaporation]]+(Table6[[#This Row],[(A/B + A/S) AJD]]*1000))</f>
        <v>0</v>
      </c>
      <c r="AE34" s="44"/>
      <c r="AF34" s="45"/>
      <c r="AG34" s="45"/>
      <c r="AH34" s="6">
        <f>Table6[[#This Row],[ (RESV. STORGE) BER]]/10</f>
        <v>0</v>
      </c>
      <c r="AI34" s="44"/>
      <c r="AJ34" s="45">
        <f>Table6[[#This Row],[(A/B) AJD]]-TABL12345[[#This Row],[BER_IN]]</f>
        <v>0</v>
      </c>
      <c r="AK34" s="45"/>
      <c r="AL34" s="45"/>
      <c r="AM34" s="32"/>
      <c r="AN34" s="32">
        <f>Table6[[#This Row],[ (RESV. STORGE) SER]]/10</f>
        <v>0</v>
      </c>
      <c r="AO34" s="68"/>
      <c r="AP34" s="103">
        <f>Table6[[#This Row],[(A/S) AJD]]-Table6[[#This Row],[SER_IN]]</f>
        <v>0</v>
      </c>
    </row>
    <row r="35" spans="1:42" ht="18.75" x14ac:dyDescent="0.25">
      <c r="A35" s="10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Table6[[#This Row],[ (T/B) SAR]]+Table6[[#This Row],[ (S/S) SAR]]</f>
        <v>0</v>
      </c>
      <c r="L35" s="41"/>
      <c r="M35" s="42"/>
      <c r="N35" s="42"/>
      <c r="O35" s="39"/>
      <c r="P35" s="3">
        <f>Table6[[#This Row],[ (S/S) SAR]]-Table6[[#This Row],[(S/S) AJD]]</f>
        <v>0</v>
      </c>
      <c r="Q35" s="39"/>
      <c r="R35" s="3">
        <f>Table6[[#This Row],[ (T/B) SAR]]-Table6[[#This Row],[(T/B) AJD]]</f>
        <v>0</v>
      </c>
      <c r="S35" s="3">
        <f>Table6[[#This Row],[S/S_CON.]]+Table6[[#This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Table6[[#This Row],[(RESV. STORGE) AJD]]/10</f>
        <v>0</v>
      </c>
      <c r="AB35" s="3">
        <f t="shared" si="3"/>
        <v>0</v>
      </c>
      <c r="AC35" s="5"/>
      <c r="AD35" s="39">
        <f>(Table6[[#This Row],[( S/S+T/B) AJD]]*1000)-((Table6[[#This Row],[(STORGE DIFF.) AJD]]*1000)+Table6[[#This Row],[AJD_Evaporation]]+(Table6[[#This Row],[(A/B + A/S) AJD]]*1000))</f>
        <v>0</v>
      </c>
      <c r="AE35" s="41"/>
      <c r="AF35" s="43"/>
      <c r="AG35" s="43"/>
      <c r="AH35" s="6">
        <f>Table6[[#This Row],[ (RESV. STORGE) BER]]/10</f>
        <v>0</v>
      </c>
      <c r="AI35" s="41"/>
      <c r="AJ35" s="43">
        <f>Table6[[#This Row],[(A/B) AJD]]-TABL12345[[#This Row],[BER_IN]]</f>
        <v>0</v>
      </c>
      <c r="AK35" s="43"/>
      <c r="AL35" s="43"/>
      <c r="AM35" s="32"/>
      <c r="AN35" s="32">
        <f>Table6[[#This Row],[ (RESV. STORGE) SER]]/10</f>
        <v>0</v>
      </c>
      <c r="AO35" s="68"/>
      <c r="AP35" s="103">
        <f>Table6[[#This Row],[(A/S) AJD]]-Table6[[#This Row],[SER_IN]]</f>
        <v>0</v>
      </c>
    </row>
    <row r="36" spans="1:42" ht="18.75" x14ac:dyDescent="0.25">
      <c r="A36" s="10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Table6[[#This Row],[ (T/B) SAR]]+Table6[[#This Row],[ (S/S) SAR]]</f>
        <v>0</v>
      </c>
      <c r="L36" s="45"/>
      <c r="M36" s="46"/>
      <c r="N36" s="46"/>
      <c r="O36" s="40"/>
      <c r="P36" s="3">
        <f>Table6[[#This Row],[ (S/S) SAR]]-Table6[[#This Row],[(S/S) AJD]]</f>
        <v>0</v>
      </c>
      <c r="Q36" s="40"/>
      <c r="R36" s="3">
        <f>Table6[[#This Row],[ (T/B) SAR]]-Table6[[#This Row],[(T/B) AJD]]</f>
        <v>0</v>
      </c>
      <c r="S36" s="3">
        <f>Table6[[#This Row],[S/S_CON.]]+Table6[[#This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Table6[[#This Row],[(RESV. STORGE) AJD]]/10</f>
        <v>0</v>
      </c>
      <c r="AB36" s="3">
        <f t="shared" si="3"/>
        <v>0</v>
      </c>
      <c r="AC36" s="5"/>
      <c r="AD36" s="40">
        <f>(Table6[[#This Row],[( S/S+T/B) AJD]]*1000)-((Table6[[#This Row],[(STORGE DIFF.) AJD]]*1000)+Table6[[#This Row],[AJD_Evaporation]]+(Table6[[#This Row],[(A/B + A/S) AJD]]*1000))</f>
        <v>0</v>
      </c>
      <c r="AE36" s="44"/>
      <c r="AF36" s="45"/>
      <c r="AG36" s="45"/>
      <c r="AH36" s="6">
        <f>Table6[[#This Row],[ (RESV. STORGE) BER]]/10</f>
        <v>0</v>
      </c>
      <c r="AI36" s="44"/>
      <c r="AJ36" s="45">
        <f>Table6[[#This Row],[(A/B) AJD]]-TABL12345[[#This Row],[BER_IN]]</f>
        <v>0</v>
      </c>
      <c r="AK36" s="45"/>
      <c r="AL36" s="45"/>
      <c r="AM36" s="32"/>
      <c r="AN36" s="32">
        <f>Table6[[#This Row],[ (RESV. STORGE) SER]]/10</f>
        <v>0</v>
      </c>
      <c r="AO36" s="68"/>
      <c r="AP36" s="103">
        <f>Table6[[#This Row],[(A/S) AJD]]-Table6[[#This Row],[SER_IN]]</f>
        <v>0</v>
      </c>
    </row>
    <row r="37" spans="1:42" ht="18.75" x14ac:dyDescent="0.25">
      <c r="A37" s="10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Table6[[#This Row],[ (T/B) SAR]]+Table6[[#This Row],[ (S/S) SAR]]</f>
        <v>0</v>
      </c>
      <c r="L37" s="41"/>
      <c r="M37" s="42"/>
      <c r="N37" s="42"/>
      <c r="O37" s="39"/>
      <c r="P37" s="3">
        <f>Table6[[#This Row],[ (S/S) SAR]]-Table6[[#This Row],[(S/S) AJD]]</f>
        <v>0</v>
      </c>
      <c r="Q37" s="39"/>
      <c r="R37" s="3">
        <f>Table6[[#This Row],[ (T/B) SAR]]-Table6[[#This Row],[(T/B) AJD]]</f>
        <v>0</v>
      </c>
      <c r="S37" s="3">
        <f>Table6[[#This Row],[S/S_CON.]]+Table6[[#This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Table6[[#This Row],[(RESV. STORGE) AJD]]/10</f>
        <v>0</v>
      </c>
      <c r="AB37" s="3">
        <f t="shared" si="3"/>
        <v>0</v>
      </c>
      <c r="AC37" s="5"/>
      <c r="AD37" s="39">
        <f>(Table6[[#This Row],[( S/S+T/B) AJD]]*1000)-((Table6[[#This Row],[(STORGE DIFF.) AJD]]*1000)+Table6[[#This Row],[AJD_Evaporation]]+(Table6[[#This Row],[(A/B + A/S) AJD]]*1000))</f>
        <v>0</v>
      </c>
      <c r="AE37" s="41"/>
      <c r="AF37" s="43"/>
      <c r="AG37" s="43"/>
      <c r="AH37" s="6">
        <f>Table6[[#This Row],[ (RESV. STORGE) BER]]/10</f>
        <v>0</v>
      </c>
      <c r="AI37" s="41"/>
      <c r="AJ37" s="43">
        <f>Table6[[#This Row],[(A/B) AJD]]-TABL12345[[#This Row],[BER_IN]]</f>
        <v>0</v>
      </c>
      <c r="AK37" s="43"/>
      <c r="AL37" s="43"/>
      <c r="AM37" s="32"/>
      <c r="AN37" s="32">
        <f>Table6[[#This Row],[ (RESV. STORGE) SER]]/10</f>
        <v>0</v>
      </c>
      <c r="AO37" s="68"/>
      <c r="AP37" s="103">
        <f>Table6[[#This Row],[(A/S) AJD]]-Table6[[#This Row],[SER_IN]]</f>
        <v>0</v>
      </c>
    </row>
    <row r="38" spans="1:42" ht="18.75" x14ac:dyDescent="0.25">
      <c r="A38" s="10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Table6[[#This Row],[ (T/B) SAR]]+Table6[[#This Row],[ (S/S) SAR]]</f>
        <v>0</v>
      </c>
      <c r="L38" s="45"/>
      <c r="M38" s="46"/>
      <c r="N38" s="46"/>
      <c r="O38" s="40"/>
      <c r="P38" s="3">
        <f>Table6[[#This Row],[ (S/S) SAR]]-Table6[[#This Row],[(S/S) AJD]]</f>
        <v>0</v>
      </c>
      <c r="Q38" s="40"/>
      <c r="R38" s="3">
        <f>Table6[[#This Row],[ (T/B) SAR]]-Table6[[#This Row],[(T/B) AJD]]</f>
        <v>0</v>
      </c>
      <c r="S38" s="3">
        <f>Table6[[#This Row],[S/S_CON.]]+Table6[[#This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Table6[[#This Row],[(RESV. STORGE) AJD]]/10</f>
        <v>0</v>
      </c>
      <c r="AB38" s="3">
        <f t="shared" si="3"/>
        <v>0</v>
      </c>
      <c r="AC38" s="5"/>
      <c r="AD38" s="40">
        <f>(Table6[[#This Row],[( S/S+T/B) AJD]]*1000)-((Table6[[#This Row],[(STORGE DIFF.) AJD]]*1000)+Table6[[#This Row],[AJD_Evaporation]]+(Table6[[#This Row],[(A/B + A/S) AJD]]*1000))</f>
        <v>0</v>
      </c>
      <c r="AE38" s="44"/>
      <c r="AF38" s="45"/>
      <c r="AG38" s="45"/>
      <c r="AH38" s="6">
        <f>Table6[[#This Row],[ (RESV. STORGE) BER]]/10</f>
        <v>0</v>
      </c>
      <c r="AI38" s="44"/>
      <c r="AJ38" s="45">
        <f>Table6[[#This Row],[(A/B) AJD]]-TABL12345[[#This Row],[BER_IN]]</f>
        <v>0</v>
      </c>
      <c r="AK38" s="45"/>
      <c r="AL38" s="45"/>
      <c r="AM38" s="32"/>
      <c r="AN38" s="32">
        <f>Table6[[#This Row],[ (RESV. STORGE) SER]]/10</f>
        <v>0</v>
      </c>
      <c r="AO38" s="68"/>
      <c r="AP38" s="103">
        <f>Table6[[#This Row],[(A/S) AJD]]-Table6[[#This Row],[SER_IN]]</f>
        <v>0</v>
      </c>
    </row>
    <row r="39" spans="1:42" ht="18.75" x14ac:dyDescent="0.25">
      <c r="A39" s="10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Table6[[#This Row],[ (T/B) SAR]]+Table6[[#This Row],[ (S/S) SAR]]</f>
        <v>0</v>
      </c>
      <c r="L39" s="41"/>
      <c r="M39" s="42"/>
      <c r="N39" s="42"/>
      <c r="O39" s="39"/>
      <c r="P39" s="3">
        <f>Table6[[#This Row],[ (S/S) SAR]]-Table6[[#This Row],[(S/S) AJD]]</f>
        <v>0</v>
      </c>
      <c r="Q39" s="39"/>
      <c r="R39" s="3">
        <f>Table6[[#This Row],[ (T/B) SAR]]-Table6[[#This Row],[(T/B) AJD]]</f>
        <v>0</v>
      </c>
      <c r="S39" s="3">
        <f>Table6[[#This Row],[S/S_CON.]]+Table6[[#This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Table6[[#This Row],[(RESV. STORGE) AJD]]/10</f>
        <v>0</v>
      </c>
      <c r="AB39" s="3">
        <f t="shared" si="3"/>
        <v>0</v>
      </c>
      <c r="AC39" s="5"/>
      <c r="AD39" s="39">
        <f>(Table6[[#This Row],[( S/S+T/B) AJD]]*1000)-((Table6[[#This Row],[(STORGE DIFF.) AJD]]*1000)+Table6[[#This Row],[AJD_Evaporation]]+(Table6[[#This Row],[(A/B + A/S) AJD]]*1000))</f>
        <v>0</v>
      </c>
      <c r="AE39" s="41"/>
      <c r="AF39" s="43"/>
      <c r="AG39" s="43"/>
      <c r="AH39" s="6">
        <f>Table6[[#This Row],[ (RESV. STORGE) BER]]/10</f>
        <v>0</v>
      </c>
      <c r="AI39" s="41"/>
      <c r="AJ39" s="43">
        <f>Table6[[#This Row],[(A/B) AJD]]-TABL12345[[#This Row],[BER_IN]]</f>
        <v>0</v>
      </c>
      <c r="AK39" s="43"/>
      <c r="AL39" s="43"/>
      <c r="AM39" s="32"/>
      <c r="AN39" s="32">
        <f>Table6[[#This Row],[ (RESV. STORGE) SER]]/10</f>
        <v>0</v>
      </c>
      <c r="AO39" s="68"/>
      <c r="AP39" s="103">
        <f>Table6[[#This Row],[(A/S) AJD]]-Table6[[#This Row],[SER_IN]]</f>
        <v>0</v>
      </c>
    </row>
    <row r="40" spans="1:42" ht="18.75" x14ac:dyDescent="0.25">
      <c r="A40" s="10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Table6[[#This Row],[ (T/B) SAR]]+Table6[[#This Row],[ (S/S) SAR]]</f>
        <v>0</v>
      </c>
      <c r="L40" s="45"/>
      <c r="M40" s="46"/>
      <c r="N40" s="46"/>
      <c r="O40" s="40"/>
      <c r="P40" s="3">
        <f>Table6[[#This Row],[ (S/S) SAR]]-Table6[[#This Row],[(S/S) AJD]]</f>
        <v>0</v>
      </c>
      <c r="Q40" s="40"/>
      <c r="R40" s="3">
        <f>Table6[[#This Row],[ (T/B) SAR]]-Table6[[#This Row],[(T/B) AJD]]</f>
        <v>0</v>
      </c>
      <c r="S40" s="3">
        <f>Table6[[#This Row],[S/S_CON.]]+Table6[[#This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Table6[[#This Row],[(RESV. STORGE) AJD]]/10</f>
        <v>0</v>
      </c>
      <c r="AB40" s="3">
        <f t="shared" si="3"/>
        <v>0</v>
      </c>
      <c r="AC40" s="5"/>
      <c r="AD40" s="40">
        <f>(Table6[[#This Row],[( S/S+T/B) AJD]]*1000)-((Table6[[#This Row],[(STORGE DIFF.) AJD]]*1000)+Table6[[#This Row],[AJD_Evaporation]]+(Table6[[#This Row],[(A/B + A/S) AJD]]*1000))</f>
        <v>0</v>
      </c>
      <c r="AE40" s="44"/>
      <c r="AF40" s="45"/>
      <c r="AG40" s="45"/>
      <c r="AH40" s="6">
        <f>Table6[[#This Row],[ (RESV. STORGE) BER]]/10</f>
        <v>0</v>
      </c>
      <c r="AI40" s="44"/>
      <c r="AJ40" s="45">
        <f>Table6[[#This Row],[(A/B) AJD]]-TABL12345[[#This Row],[BER_IN]]</f>
        <v>0</v>
      </c>
      <c r="AK40" s="45"/>
      <c r="AL40" s="45"/>
      <c r="AM40" s="32"/>
      <c r="AN40" s="32">
        <f>Table6[[#This Row],[ (RESV. STORGE) SER]]/10</f>
        <v>0</v>
      </c>
      <c r="AO40" s="68"/>
      <c r="AP40" s="103">
        <f>Table6[[#This Row],[(A/S) AJD]]-Table6[[#This Row],[SER_IN]]</f>
        <v>0</v>
      </c>
    </row>
    <row r="41" spans="1:42" ht="18.75" x14ac:dyDescent="0.25">
      <c r="A41" s="10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Table6[[#This Row],[ (T/B) SAR]]+Table6[[#This Row],[ (S/S) SAR]]</f>
        <v>0</v>
      </c>
      <c r="L41" s="41"/>
      <c r="M41" s="42"/>
      <c r="N41" s="42"/>
      <c r="O41" s="39"/>
      <c r="P41" s="3">
        <f>Table6[[#This Row],[ (S/S) SAR]]-Table6[[#This Row],[(S/S) AJD]]</f>
        <v>0</v>
      </c>
      <c r="Q41" s="39"/>
      <c r="R41" s="3">
        <f>Table6[[#This Row],[ (T/B) SAR]]-Table6[[#This Row],[(T/B) AJD]]</f>
        <v>0</v>
      </c>
      <c r="S41" s="3">
        <f>Table6[[#This Row],[S/S_CON.]]+Table6[[#This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Table6[[#This Row],[(RESV. STORGE) AJD]]/10</f>
        <v>0</v>
      </c>
      <c r="AB41" s="3">
        <f t="shared" si="3"/>
        <v>0</v>
      </c>
      <c r="AC41" s="5"/>
      <c r="AD41" s="39">
        <f>(Table6[[#This Row],[( S/S+T/B) AJD]]*1000)-((Table6[[#This Row],[(STORGE DIFF.) AJD]]*1000)+Table6[[#This Row],[AJD_Evaporation]]+(Table6[[#This Row],[(A/B + A/S) AJD]]*1000))</f>
        <v>0</v>
      </c>
      <c r="AE41" s="41"/>
      <c r="AF41" s="43"/>
      <c r="AG41" s="43"/>
      <c r="AH41" s="6">
        <f>Table6[[#This Row],[ (RESV. STORGE) BER]]/10</f>
        <v>0</v>
      </c>
      <c r="AI41" s="41"/>
      <c r="AJ41" s="43">
        <f>Table6[[#This Row],[(A/B) AJD]]-TABL12345[[#This Row],[BER_IN]]</f>
        <v>0</v>
      </c>
      <c r="AK41" s="43"/>
      <c r="AL41" s="43"/>
      <c r="AM41" s="32"/>
      <c r="AN41" s="32">
        <f>Table6[[#This Row],[ (RESV. STORGE) SER]]/10</f>
        <v>0</v>
      </c>
      <c r="AO41" s="68"/>
      <c r="AP41" s="103">
        <f>Table6[[#This Row],[(A/S) AJD]]-Table6[[#This Row],[SER_IN]]</f>
        <v>0</v>
      </c>
    </row>
    <row r="42" spans="1:42" ht="18.75" x14ac:dyDescent="0.25">
      <c r="A42" s="10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Table6[[#This Row],[ (T/B) SAR]]+Table6[[#This Row],[ (S/S) SAR]]</f>
        <v>0</v>
      </c>
      <c r="L42" s="45"/>
      <c r="M42" s="46"/>
      <c r="N42" s="46"/>
      <c r="O42" s="40"/>
      <c r="P42" s="3">
        <f>Table6[[#This Row],[ (S/S) SAR]]-Table6[[#This Row],[(S/S) AJD]]</f>
        <v>0</v>
      </c>
      <c r="Q42" s="40"/>
      <c r="R42" s="3">
        <f>Table6[[#This Row],[ (T/B) SAR]]-Table6[[#This Row],[(T/B) AJD]]</f>
        <v>0</v>
      </c>
      <c r="S42" s="3">
        <f>Table6[[#This Row],[S/S_CON.]]+Table6[[#This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Table6[[#This Row],[(RESV. STORGE) AJD]]/10</f>
        <v>0</v>
      </c>
      <c r="AB42" s="3">
        <f t="shared" si="3"/>
        <v>0</v>
      </c>
      <c r="AC42" s="5"/>
      <c r="AD42" s="40">
        <f>(Table6[[#This Row],[( S/S+T/B) AJD]]*1000)-((Table6[[#This Row],[(STORGE DIFF.) AJD]]*1000)+Table6[[#This Row],[AJD_Evaporation]]+(Table6[[#This Row],[(A/B + A/S) AJD]]*1000))</f>
        <v>0</v>
      </c>
      <c r="AE42" s="44"/>
      <c r="AF42" s="45"/>
      <c r="AG42" s="45"/>
      <c r="AH42" s="6">
        <f>Table6[[#This Row],[ (RESV. STORGE) BER]]/10</f>
        <v>0</v>
      </c>
      <c r="AI42" s="44"/>
      <c r="AJ42" s="45">
        <f>Table6[[#This Row],[(A/B) AJD]]-TABL12345[[#This Row],[BER_IN]]</f>
        <v>0</v>
      </c>
      <c r="AK42" s="45"/>
      <c r="AL42" s="45"/>
      <c r="AM42" s="32"/>
      <c r="AN42" s="32">
        <f>Table6[[#This Row],[ (RESV. STORGE) SER]]/10</f>
        <v>0</v>
      </c>
      <c r="AO42" s="68"/>
      <c r="AP42" s="103">
        <f>Table6[[#This Row],[(A/S) AJD]]-Table6[[#This Row],[SER_IN]]</f>
        <v>0</v>
      </c>
    </row>
    <row r="43" spans="1:42" ht="18.75" x14ac:dyDescent="0.25">
      <c r="A43" s="10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Table6[[#This Row],[ (T/B) SAR]]+Table6[[#This Row],[ (S/S) SAR]]</f>
        <v>0</v>
      </c>
      <c r="L43" s="41"/>
      <c r="M43" s="42"/>
      <c r="N43" s="42"/>
      <c r="O43" s="39"/>
      <c r="P43" s="3">
        <f>Table6[[#This Row],[ (S/S) SAR]]-Table6[[#This Row],[(S/S) AJD]]</f>
        <v>0</v>
      </c>
      <c r="Q43" s="39"/>
      <c r="R43" s="3">
        <f>Table6[[#This Row],[ (T/B) SAR]]-Table6[[#This Row],[(T/B) AJD]]</f>
        <v>0</v>
      </c>
      <c r="S43" s="3">
        <f>Table6[[#This Row],[S/S_CON.]]+Table6[[#This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Table6[[#This Row],[(RESV. STORGE) AJD]]/10</f>
        <v>0</v>
      </c>
      <c r="AB43" s="3">
        <f t="shared" si="3"/>
        <v>0</v>
      </c>
      <c r="AC43" s="5"/>
      <c r="AD43" s="39">
        <f>(Table6[[#This Row],[( S/S+T/B) AJD]]*1000)-((Table6[[#This Row],[(STORGE DIFF.) AJD]]*1000)+Table6[[#This Row],[AJD_Evaporation]]+(Table6[[#This Row],[(A/B + A/S) AJD]]*1000))</f>
        <v>0</v>
      </c>
      <c r="AE43" s="41"/>
      <c r="AF43" s="43"/>
      <c r="AG43" s="43"/>
      <c r="AH43" s="6">
        <f>Table6[[#This Row],[ (RESV. STORGE) BER]]/10</f>
        <v>0</v>
      </c>
      <c r="AI43" s="41"/>
      <c r="AJ43" s="43">
        <f>Table6[[#This Row],[(A/B) AJD]]-TABL12345[[#This Row],[BER_IN]]</f>
        <v>0</v>
      </c>
      <c r="AK43" s="43"/>
      <c r="AL43" s="43"/>
      <c r="AM43" s="32"/>
      <c r="AN43" s="32">
        <f>Table6[[#This Row],[ (RESV. STORGE) SER]]/10</f>
        <v>0</v>
      </c>
      <c r="AO43" s="68"/>
      <c r="AP43" s="103">
        <f>Table6[[#This Row],[(A/S) AJD]]-Table6[[#This Row],[SER_IN]]</f>
        <v>0</v>
      </c>
    </row>
    <row r="44" spans="1:42" ht="18.75" x14ac:dyDescent="0.25">
      <c r="A44" s="10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Table6[[#This Row],[ (T/B) SAR]]+Table6[[#This Row],[ (S/S) SAR]]</f>
        <v>0</v>
      </c>
      <c r="L44" s="45"/>
      <c r="M44" s="46"/>
      <c r="N44" s="46"/>
      <c r="O44" s="40"/>
      <c r="P44" s="3">
        <f>Table6[[#This Row],[ (S/S) SAR]]-Table6[[#This Row],[(S/S) AJD]]</f>
        <v>0</v>
      </c>
      <c r="Q44" s="40"/>
      <c r="R44" s="3">
        <f>Table6[[#This Row],[ (T/B) SAR]]-Table6[[#This Row],[(T/B) AJD]]</f>
        <v>0</v>
      </c>
      <c r="S44" s="3">
        <f>Table6[[#This Row],[S/S_CON.]]+Table6[[#This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Table6[[#This Row],[(RESV. STORGE) AJD]]/10</f>
        <v>0</v>
      </c>
      <c r="AB44" s="3">
        <f t="shared" si="3"/>
        <v>0</v>
      </c>
      <c r="AC44" s="5"/>
      <c r="AD44" s="40">
        <f>(Table6[[#This Row],[( S/S+T/B) AJD]]*1000)-((Table6[[#This Row],[(STORGE DIFF.) AJD]]*1000)+Table6[[#This Row],[AJD_Evaporation]]+(Table6[[#This Row],[(A/B + A/S) AJD]]*1000))</f>
        <v>0</v>
      </c>
      <c r="AE44" s="44"/>
      <c r="AF44" s="45"/>
      <c r="AG44" s="45"/>
      <c r="AH44" s="6">
        <f>Table6[[#This Row],[ (RESV. STORGE) BER]]/10</f>
        <v>0</v>
      </c>
      <c r="AI44" s="44"/>
      <c r="AJ44" s="45">
        <f>Table6[[#This Row],[(A/B) AJD]]-TABL12345[[#This Row],[BER_IN]]</f>
        <v>0</v>
      </c>
      <c r="AK44" s="45"/>
      <c r="AL44" s="45"/>
      <c r="AM44" s="32"/>
      <c r="AN44" s="32">
        <f>Table6[[#This Row],[ (RESV. STORGE) SER]]/10</f>
        <v>0</v>
      </c>
      <c r="AO44" s="68"/>
      <c r="AP44" s="103">
        <f>Table6[[#This Row],[(A/S) AJD]]-Table6[[#This Row],[SER_IN]]</f>
        <v>0</v>
      </c>
    </row>
    <row r="45" spans="1:42" ht="18.75" x14ac:dyDescent="0.25">
      <c r="A45" s="10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Table6[[#This Row],[ (T/B) SAR]]+Table6[[#This Row],[ (S/S) SAR]]</f>
        <v>0</v>
      </c>
      <c r="L45" s="41"/>
      <c r="M45" s="42"/>
      <c r="N45" s="42"/>
      <c r="O45" s="39"/>
      <c r="P45" s="3">
        <f>Table6[[#This Row],[ (S/S) SAR]]-Table6[[#This Row],[(S/S) AJD]]</f>
        <v>0</v>
      </c>
      <c r="Q45" s="39"/>
      <c r="R45" s="3">
        <f>Table6[[#This Row],[ (T/B) SAR]]-Table6[[#This Row],[(T/B) AJD]]</f>
        <v>0</v>
      </c>
      <c r="S45" s="3">
        <f>Table6[[#This Row],[S/S_CON.]]+Table6[[#This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Table6[[#This Row],[(RESV. STORGE) AJD]]/10</f>
        <v>0</v>
      </c>
      <c r="AB45" s="3">
        <f t="shared" si="3"/>
        <v>0</v>
      </c>
      <c r="AC45" s="5"/>
      <c r="AD45" s="39">
        <f>(Table6[[#This Row],[( S/S+T/B) AJD]]*1000)-((Table6[[#This Row],[(STORGE DIFF.) AJD]]*1000)+Table6[[#This Row],[AJD_Evaporation]]+(Table6[[#This Row],[(A/B + A/S) AJD]]*1000))</f>
        <v>0</v>
      </c>
      <c r="AE45" s="41"/>
      <c r="AF45" s="43"/>
      <c r="AG45" s="43"/>
      <c r="AH45" s="6">
        <f>Table6[[#This Row],[ (RESV. STORGE) BER]]/10</f>
        <v>0</v>
      </c>
      <c r="AI45" s="41"/>
      <c r="AJ45" s="43">
        <f>Table6[[#This Row],[(A/B) AJD]]-TABL12345[[#This Row],[BER_IN]]</f>
        <v>0</v>
      </c>
      <c r="AK45" s="43"/>
      <c r="AL45" s="43"/>
      <c r="AM45" s="32"/>
      <c r="AN45" s="32">
        <f>Table6[[#This Row],[ (RESV. STORGE) SER]]/10</f>
        <v>0</v>
      </c>
      <c r="AO45" s="68"/>
      <c r="AP45" s="103">
        <f>Table6[[#This Row],[(A/S) AJD]]-Table6[[#This Row],[SER_IN]]</f>
        <v>0</v>
      </c>
    </row>
    <row r="46" spans="1:42" ht="18.75" x14ac:dyDescent="0.25">
      <c r="A46" s="10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Table6[[#This Row],[ (T/B) SAR]]+Table6[[#This Row],[ (S/S) SAR]]</f>
        <v>0</v>
      </c>
      <c r="L46" s="45"/>
      <c r="M46" s="46"/>
      <c r="N46" s="46"/>
      <c r="O46" s="40"/>
      <c r="P46" s="3">
        <f>Table6[[#This Row],[ (S/S) SAR]]-Table6[[#This Row],[(S/S) AJD]]</f>
        <v>0</v>
      </c>
      <c r="Q46" s="40"/>
      <c r="R46" s="3">
        <f>Table6[[#This Row],[ (T/B) SAR]]-Table6[[#This Row],[(T/B) AJD]]</f>
        <v>0</v>
      </c>
      <c r="S46" s="3">
        <f>Table6[[#This Row],[S/S_CON.]]+Table6[[#This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Table6[[#This Row],[(RESV. STORGE) AJD]]/10</f>
        <v>0</v>
      </c>
      <c r="AB46" s="3">
        <f t="shared" si="3"/>
        <v>0</v>
      </c>
      <c r="AC46" s="5"/>
      <c r="AD46" s="40">
        <f>(Table6[[#This Row],[( S/S+T/B) AJD]]*1000)-((Table6[[#This Row],[(STORGE DIFF.) AJD]]*1000)+Table6[[#This Row],[AJD_Evaporation]]+(Table6[[#This Row],[(A/B + A/S) AJD]]*1000))</f>
        <v>0</v>
      </c>
      <c r="AE46" s="44"/>
      <c r="AF46" s="45"/>
      <c r="AG46" s="45"/>
      <c r="AH46" s="6">
        <f>Table6[[#This Row],[ (RESV. STORGE) BER]]/10</f>
        <v>0</v>
      </c>
      <c r="AI46" s="44"/>
      <c r="AJ46" s="45">
        <f>Table6[[#This Row],[(A/B) AJD]]-TABL12345[[#This Row],[BER_IN]]</f>
        <v>0</v>
      </c>
      <c r="AK46" s="45"/>
      <c r="AL46" s="45"/>
      <c r="AM46" s="32"/>
      <c r="AN46" s="32">
        <f>Table6[[#This Row],[ (RESV. STORGE) SER]]/10</f>
        <v>0</v>
      </c>
      <c r="AO46" s="68"/>
      <c r="AP46" s="103">
        <f>Table6[[#This Row],[(A/S) AJD]]-Table6[[#This Row],[SER_IN]]</f>
        <v>0</v>
      </c>
    </row>
    <row r="47" spans="1:42" ht="18.75" x14ac:dyDescent="0.25">
      <c r="A47" s="10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Table6[[#This Row],[ (T/B) SAR]]+Table6[[#This Row],[ (S/S) SAR]]</f>
        <v>0</v>
      </c>
      <c r="L47" s="41"/>
      <c r="M47" s="42"/>
      <c r="N47" s="42"/>
      <c r="O47" s="39"/>
      <c r="P47" s="3">
        <f>Table6[[#This Row],[ (S/S) SAR]]-Table6[[#This Row],[(S/S) AJD]]</f>
        <v>0</v>
      </c>
      <c r="Q47" s="39"/>
      <c r="R47" s="3">
        <f>Table6[[#This Row],[ (T/B) SAR]]-Table6[[#This Row],[(T/B) AJD]]</f>
        <v>0</v>
      </c>
      <c r="S47" s="3">
        <f>Table6[[#This Row],[S/S_CON.]]+Table6[[#This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Table6[[#This Row],[(RESV. STORGE) AJD]]/10</f>
        <v>0</v>
      </c>
      <c r="AB47" s="3">
        <f t="shared" si="3"/>
        <v>0</v>
      </c>
      <c r="AC47" s="5"/>
      <c r="AD47" s="39">
        <f>(Table6[[#This Row],[( S/S+T/B) AJD]]*1000)-((Table6[[#This Row],[(STORGE DIFF.) AJD]]*1000)+Table6[[#This Row],[AJD_Evaporation]]+(Table6[[#This Row],[(A/B + A/S) AJD]]*1000))</f>
        <v>0</v>
      </c>
      <c r="AE47" s="41"/>
      <c r="AF47" s="43"/>
      <c r="AG47" s="43"/>
      <c r="AH47" s="6">
        <f>Table6[[#This Row],[ (RESV. STORGE) BER]]/10</f>
        <v>0</v>
      </c>
      <c r="AI47" s="41"/>
      <c r="AJ47" s="43">
        <f>Table6[[#This Row],[(A/B) AJD]]-TABL12345[[#This Row],[BER_IN]]</f>
        <v>0</v>
      </c>
      <c r="AK47" s="43"/>
      <c r="AL47" s="43"/>
      <c r="AM47" s="32"/>
      <c r="AN47" s="32">
        <f>Table6[[#This Row],[ (RESV. STORGE) SER]]/10</f>
        <v>0</v>
      </c>
      <c r="AO47" s="68"/>
      <c r="AP47" s="103">
        <f>Table6[[#This Row],[(A/S) AJD]]-Table6[[#This Row],[SER_IN]]</f>
        <v>0</v>
      </c>
    </row>
    <row r="48" spans="1:42" ht="18.75" x14ac:dyDescent="0.25">
      <c r="A48" s="10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Table6[[#This Row],[ (T/B) SAR]]+Table6[[#This Row],[ (S/S) SAR]]</f>
        <v>0</v>
      </c>
      <c r="L48" s="45"/>
      <c r="M48" s="46"/>
      <c r="N48" s="46"/>
      <c r="O48" s="40"/>
      <c r="P48" s="3">
        <f>Table6[[#This Row],[ (S/S) SAR]]-Table6[[#This Row],[(S/S) AJD]]</f>
        <v>0</v>
      </c>
      <c r="Q48" s="40"/>
      <c r="R48" s="3">
        <f>Table6[[#This Row],[ (T/B) SAR]]-Table6[[#This Row],[(T/B) AJD]]</f>
        <v>0</v>
      </c>
      <c r="S48" s="3">
        <f>Table6[[#This Row],[S/S_CON.]]+Table6[[#This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Table6[[#This Row],[(RESV. STORGE) AJD]]/10</f>
        <v>0</v>
      </c>
      <c r="AB48" s="3">
        <f t="shared" si="3"/>
        <v>0</v>
      </c>
      <c r="AC48" s="5"/>
      <c r="AD48" s="40">
        <f>(Table6[[#This Row],[( S/S+T/B) AJD]]*1000)-((Table6[[#This Row],[(STORGE DIFF.) AJD]]*1000)+Table6[[#This Row],[AJD_Evaporation]]+(Table6[[#This Row],[(A/B + A/S) AJD]]*1000))</f>
        <v>0</v>
      </c>
      <c r="AE48" s="44"/>
      <c r="AF48" s="45"/>
      <c r="AG48" s="45"/>
      <c r="AH48" s="6">
        <f>Table6[[#This Row],[ (RESV. STORGE) BER]]/10</f>
        <v>0</v>
      </c>
      <c r="AI48" s="44"/>
      <c r="AJ48" s="45">
        <f>Table6[[#This Row],[(A/B) AJD]]-TABL12345[[#This Row],[BER_IN]]</f>
        <v>0</v>
      </c>
      <c r="AK48" s="45"/>
      <c r="AL48" s="45"/>
      <c r="AM48" s="32"/>
      <c r="AN48" s="32">
        <f>Table6[[#This Row],[ (RESV. STORGE) SER]]/10</f>
        <v>0</v>
      </c>
      <c r="AO48" s="68"/>
      <c r="AP48" s="103">
        <f>Table6[[#This Row],[(A/S) AJD]]-Table6[[#This Row],[SER_IN]]</f>
        <v>0</v>
      </c>
    </row>
    <row r="49" spans="1:42" ht="18.75" x14ac:dyDescent="0.25">
      <c r="A49" s="10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Table6[[#This Row],[ (T/B) SAR]]+Table6[[#This Row],[ (S/S) SAR]]</f>
        <v>0</v>
      </c>
      <c r="L49" s="41"/>
      <c r="M49" s="42"/>
      <c r="N49" s="42"/>
      <c r="O49" s="39"/>
      <c r="P49" s="3">
        <f>Table6[[#This Row],[ (S/S) SAR]]-Table6[[#This Row],[(S/S) AJD]]</f>
        <v>0</v>
      </c>
      <c r="Q49" s="39"/>
      <c r="R49" s="3">
        <f>Table6[[#This Row],[ (T/B) SAR]]-Table6[[#This Row],[(T/B) AJD]]</f>
        <v>0</v>
      </c>
      <c r="S49" s="3">
        <f>Table6[[#This Row],[S/S_CON.]]+Table6[[#This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Table6[[#This Row],[(RESV. STORGE) AJD]]/10</f>
        <v>0</v>
      </c>
      <c r="AB49" s="3">
        <f t="shared" si="3"/>
        <v>0</v>
      </c>
      <c r="AC49" s="5"/>
      <c r="AD49" s="39">
        <f>(Table6[[#This Row],[( S/S+T/B) AJD]]*1000)-((Table6[[#This Row],[(STORGE DIFF.) AJD]]*1000)+Table6[[#This Row],[AJD_Evaporation]]+(Table6[[#This Row],[(A/B + A/S) AJD]]*1000))</f>
        <v>0</v>
      </c>
      <c r="AE49" s="41"/>
      <c r="AF49" s="43"/>
      <c r="AG49" s="43"/>
      <c r="AH49" s="6">
        <f>Table6[[#This Row],[ (RESV. STORGE) BER]]/10</f>
        <v>0</v>
      </c>
      <c r="AI49" s="41"/>
      <c r="AJ49" s="43">
        <f>Table6[[#This Row],[(A/B) AJD]]-TABL12345[[#This Row],[BER_IN]]</f>
        <v>0</v>
      </c>
      <c r="AK49" s="43"/>
      <c r="AL49" s="43"/>
      <c r="AM49" s="32"/>
      <c r="AN49" s="32">
        <f>Table6[[#This Row],[ (RESV. STORGE) SER]]/10</f>
        <v>0</v>
      </c>
      <c r="AO49" s="68"/>
      <c r="AP49" s="103">
        <f>Table6[[#This Row],[(A/S) AJD]]-Table6[[#This Row],[SER_IN]]</f>
        <v>0</v>
      </c>
    </row>
    <row r="50" spans="1:42" ht="18.75" x14ac:dyDescent="0.25">
      <c r="A50" s="10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Table6[[#This Row],[ (T/B) SAR]]+Table6[[#This Row],[ (S/S) SAR]]</f>
        <v>0</v>
      </c>
      <c r="L50" s="45"/>
      <c r="M50" s="46"/>
      <c r="N50" s="46"/>
      <c r="O50" s="40"/>
      <c r="P50" s="3">
        <f>Table6[[#This Row],[ (S/S) SAR]]-Table6[[#This Row],[(S/S) AJD]]</f>
        <v>0</v>
      </c>
      <c r="Q50" s="40"/>
      <c r="R50" s="3">
        <f>Table6[[#This Row],[ (T/B) SAR]]-Table6[[#This Row],[(T/B) AJD]]</f>
        <v>0</v>
      </c>
      <c r="S50" s="3">
        <f>Table6[[#This Row],[S/S_CON.]]+Table6[[#This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Table6[[#This Row],[(RESV. STORGE) AJD]]/10</f>
        <v>0</v>
      </c>
      <c r="AB50" s="3">
        <f t="shared" si="3"/>
        <v>0</v>
      </c>
      <c r="AC50" s="5"/>
      <c r="AD50" s="40">
        <f>(Table6[[#This Row],[( S/S+T/B) AJD]]*1000)-((Table6[[#This Row],[(STORGE DIFF.) AJD]]*1000)+Table6[[#This Row],[AJD_Evaporation]]+(Table6[[#This Row],[(A/B + A/S) AJD]]*1000))</f>
        <v>0</v>
      </c>
      <c r="AE50" s="44"/>
      <c r="AF50" s="45"/>
      <c r="AG50" s="45"/>
      <c r="AH50" s="6">
        <f>Table6[[#This Row],[ (RESV. STORGE) BER]]/10</f>
        <v>0</v>
      </c>
      <c r="AI50" s="44"/>
      <c r="AJ50" s="45">
        <f>Table6[[#This Row],[(A/B) AJD]]-TABL12345[[#This Row],[BER_IN]]</f>
        <v>0</v>
      </c>
      <c r="AK50" s="45"/>
      <c r="AL50" s="45"/>
      <c r="AM50" s="32"/>
      <c r="AN50" s="32">
        <f>Table6[[#This Row],[ (RESV. STORGE) SER]]/10</f>
        <v>0</v>
      </c>
      <c r="AO50" s="68"/>
      <c r="AP50" s="103">
        <f>Table6[[#This Row],[(A/S) AJD]]-Table6[[#This Row],[SER_IN]]</f>
        <v>0</v>
      </c>
    </row>
    <row r="51" spans="1:42" ht="18.75" x14ac:dyDescent="0.25">
      <c r="A51" s="10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Table6[[#This Row],[ (T/B) SAR]]+Table6[[#This Row],[ (S/S) SAR]]</f>
        <v>0</v>
      </c>
      <c r="L51" s="41"/>
      <c r="M51" s="42"/>
      <c r="N51" s="42"/>
      <c r="O51" s="39"/>
      <c r="P51" s="3">
        <f>Table6[[#This Row],[ (S/S) SAR]]-Table6[[#This Row],[(S/S) AJD]]</f>
        <v>0</v>
      </c>
      <c r="Q51" s="39"/>
      <c r="R51" s="3">
        <f>Table6[[#This Row],[ (T/B) SAR]]-Table6[[#This Row],[(T/B) AJD]]</f>
        <v>0</v>
      </c>
      <c r="S51" s="3">
        <f>Table6[[#This Row],[S/S_CON.]]+Table6[[#This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Table6[[#This Row],[(RESV. STORGE) AJD]]/10</f>
        <v>0</v>
      </c>
      <c r="AB51" s="3">
        <f t="shared" si="3"/>
        <v>0</v>
      </c>
      <c r="AC51" s="5"/>
      <c r="AD51" s="39">
        <f>(Table6[[#This Row],[( S/S+T/B) AJD]]*1000)-((Table6[[#This Row],[(STORGE DIFF.) AJD]]*1000)+Table6[[#This Row],[AJD_Evaporation]]+(Table6[[#This Row],[(A/B + A/S) AJD]]*1000))</f>
        <v>0</v>
      </c>
      <c r="AE51" s="41"/>
      <c r="AF51" s="43"/>
      <c r="AG51" s="43"/>
      <c r="AH51" s="6">
        <f>Table6[[#This Row],[ (RESV. STORGE) BER]]/10</f>
        <v>0</v>
      </c>
      <c r="AI51" s="41"/>
      <c r="AJ51" s="43">
        <f>Table6[[#This Row],[(A/B) AJD]]-TABL12345[[#This Row],[BER_IN]]</f>
        <v>0</v>
      </c>
      <c r="AK51" s="43"/>
      <c r="AL51" s="43"/>
      <c r="AM51" s="32"/>
      <c r="AN51" s="32">
        <f>Table6[[#This Row],[ (RESV. STORGE) SER]]/10</f>
        <v>0</v>
      </c>
      <c r="AO51" s="68"/>
      <c r="AP51" s="103">
        <f>Table6[[#This Row],[(A/S) AJD]]-Table6[[#This Row],[SER_IN]]</f>
        <v>0</v>
      </c>
    </row>
    <row r="52" spans="1:42" ht="18.75" x14ac:dyDescent="0.25">
      <c r="A52" s="10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Table6[[#This Row],[ (T/B) SAR]]+Table6[[#This Row],[ (S/S) SAR]]</f>
        <v>0</v>
      </c>
      <c r="L52" s="45"/>
      <c r="M52" s="46"/>
      <c r="N52" s="46"/>
      <c r="O52" s="40"/>
      <c r="P52" s="3">
        <f>Table6[[#This Row],[ (S/S) SAR]]-Table6[[#This Row],[(S/S) AJD]]</f>
        <v>0</v>
      </c>
      <c r="Q52" s="40"/>
      <c r="R52" s="3">
        <f>Table6[[#This Row],[ (T/B) SAR]]-Table6[[#This Row],[(T/B) AJD]]</f>
        <v>0</v>
      </c>
      <c r="S52" s="3">
        <f>Table6[[#This Row],[S/S_CON.]]+Table6[[#This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Table6[[#This Row],[(RESV. STORGE) AJD]]/10</f>
        <v>0</v>
      </c>
      <c r="AB52" s="3">
        <f t="shared" si="3"/>
        <v>0</v>
      </c>
      <c r="AC52" s="5"/>
      <c r="AD52" s="40">
        <f>(Table6[[#This Row],[( S/S+T/B) AJD]]*1000)-((Table6[[#This Row],[(STORGE DIFF.) AJD]]*1000)+Table6[[#This Row],[AJD_Evaporation]]+(Table6[[#This Row],[(A/B + A/S) AJD]]*1000))</f>
        <v>0</v>
      </c>
      <c r="AE52" s="44"/>
      <c r="AF52" s="45"/>
      <c r="AG52" s="45"/>
      <c r="AH52" s="6">
        <f>Table6[[#This Row],[ (RESV. STORGE) BER]]/10</f>
        <v>0</v>
      </c>
      <c r="AI52" s="44"/>
      <c r="AJ52" s="45">
        <f>Table6[[#This Row],[(A/B) AJD]]-TABL12345[[#This Row],[BER_IN]]</f>
        <v>0</v>
      </c>
      <c r="AK52" s="45"/>
      <c r="AL52" s="45"/>
      <c r="AM52" s="32"/>
      <c r="AN52" s="32">
        <f>Table6[[#This Row],[ (RESV. STORGE) SER]]/10</f>
        <v>0</v>
      </c>
      <c r="AO52" s="68"/>
      <c r="AP52" s="103">
        <f>Table6[[#This Row],[(A/S) AJD]]-Table6[[#This Row],[SER_IN]]</f>
        <v>0</v>
      </c>
    </row>
    <row r="53" spans="1:42" ht="18.75" x14ac:dyDescent="0.25">
      <c r="A53" s="10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Table6[[#This Row],[ (T/B) SAR]]+Table6[[#This Row],[ (S/S) SAR]]</f>
        <v>0</v>
      </c>
      <c r="L53" s="41"/>
      <c r="M53" s="42"/>
      <c r="N53" s="42"/>
      <c r="O53" s="39"/>
      <c r="P53" s="3">
        <f>Table6[[#This Row],[ (S/S) SAR]]-Table6[[#This Row],[(S/S) AJD]]</f>
        <v>0</v>
      </c>
      <c r="Q53" s="39"/>
      <c r="R53" s="3">
        <f>Table6[[#This Row],[ (T/B) SAR]]-Table6[[#This Row],[(T/B) AJD]]</f>
        <v>0</v>
      </c>
      <c r="S53" s="3">
        <f>Table6[[#This Row],[S/S_CON.]]+Table6[[#This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Table6[[#This Row],[(RESV. STORGE) AJD]]/10</f>
        <v>0</v>
      </c>
      <c r="AB53" s="3">
        <f t="shared" si="3"/>
        <v>0</v>
      </c>
      <c r="AC53" s="5"/>
      <c r="AD53" s="39">
        <f>(Table6[[#This Row],[( S/S+T/B) AJD]]*1000)-((Table6[[#This Row],[(STORGE DIFF.) AJD]]*1000)+Table6[[#This Row],[AJD_Evaporation]]+(Table6[[#This Row],[(A/B + A/S) AJD]]*1000))</f>
        <v>0</v>
      </c>
      <c r="AE53" s="41"/>
      <c r="AF53" s="43"/>
      <c r="AG53" s="43"/>
      <c r="AH53" s="6">
        <f>Table6[[#This Row],[ (RESV. STORGE) BER]]/10</f>
        <v>0</v>
      </c>
      <c r="AI53" s="41"/>
      <c r="AJ53" s="43">
        <f>Table6[[#This Row],[(A/B) AJD]]-TABL12345[[#This Row],[BER_IN]]</f>
        <v>0</v>
      </c>
      <c r="AK53" s="43"/>
      <c r="AL53" s="43"/>
      <c r="AM53" s="32"/>
      <c r="AN53" s="32">
        <f>Table6[[#This Row],[ (RESV. STORGE) SER]]/10</f>
        <v>0</v>
      </c>
      <c r="AO53" s="68"/>
      <c r="AP53" s="103">
        <f>Table6[[#This Row],[(A/S) AJD]]-Table6[[#This Row],[SER_IN]]</f>
        <v>0</v>
      </c>
    </row>
    <row r="54" spans="1:42" ht="18.75" x14ac:dyDescent="0.25">
      <c r="A54" s="10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Table6[[#This Row],[ (T/B) SAR]]+Table6[[#This Row],[ (S/S) SAR]]</f>
        <v>0</v>
      </c>
      <c r="L54" s="45"/>
      <c r="M54" s="46"/>
      <c r="N54" s="46"/>
      <c r="O54" s="40"/>
      <c r="P54" s="3">
        <f>Table6[[#This Row],[ (S/S) SAR]]-Table6[[#This Row],[(S/S) AJD]]</f>
        <v>0</v>
      </c>
      <c r="Q54" s="40"/>
      <c r="R54" s="3">
        <f>Table6[[#This Row],[ (T/B) SAR]]-Table6[[#This Row],[(T/B) AJD]]</f>
        <v>0</v>
      </c>
      <c r="S54" s="3">
        <f>Table6[[#This Row],[S/S_CON.]]+Table6[[#This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Table6[[#This Row],[(RESV. STORGE) AJD]]/10</f>
        <v>0</v>
      </c>
      <c r="AB54" s="3">
        <f t="shared" si="3"/>
        <v>0</v>
      </c>
      <c r="AC54" s="5"/>
      <c r="AD54" s="40">
        <f>(Table6[[#This Row],[( S/S+T/B) AJD]]*1000)-((Table6[[#This Row],[(STORGE DIFF.) AJD]]*1000)+Table6[[#This Row],[AJD_Evaporation]]+(Table6[[#This Row],[(A/B + A/S) AJD]]*1000))</f>
        <v>0</v>
      </c>
      <c r="AE54" s="44"/>
      <c r="AF54" s="45"/>
      <c r="AG54" s="45"/>
      <c r="AH54" s="6">
        <f>Table6[[#This Row],[ (RESV. STORGE) BER]]/10</f>
        <v>0</v>
      </c>
      <c r="AI54" s="44"/>
      <c r="AJ54" s="45">
        <f>Table6[[#This Row],[(A/B) AJD]]-TABL12345[[#This Row],[BER_IN]]</f>
        <v>0</v>
      </c>
      <c r="AK54" s="45"/>
      <c r="AL54" s="45"/>
      <c r="AM54" s="32"/>
      <c r="AN54" s="32">
        <f>Table6[[#This Row],[ (RESV. STORGE) SER]]/10</f>
        <v>0</v>
      </c>
      <c r="AO54" s="68"/>
      <c r="AP54" s="103">
        <f>Table6[[#This Row],[(A/S) AJD]]-Table6[[#This Row],[SER_IN]]</f>
        <v>0</v>
      </c>
    </row>
    <row r="55" spans="1:42" ht="18.75" x14ac:dyDescent="0.25">
      <c r="A55" s="10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Table6[[#This Row],[ (T/B) SAR]]+Table6[[#This Row],[ (S/S) SAR]]</f>
        <v>0</v>
      </c>
      <c r="L55" s="41"/>
      <c r="M55" s="42"/>
      <c r="N55" s="42"/>
      <c r="O55" s="39"/>
      <c r="P55" s="3">
        <f>Table6[[#This Row],[ (S/S) SAR]]-Table6[[#This Row],[(S/S) AJD]]</f>
        <v>0</v>
      </c>
      <c r="Q55" s="39"/>
      <c r="R55" s="3">
        <f>Table6[[#This Row],[ (T/B) SAR]]-Table6[[#This Row],[(T/B) AJD]]</f>
        <v>0</v>
      </c>
      <c r="S55" s="3">
        <f>Table6[[#This Row],[S/S_CON.]]+Table6[[#This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Table6[[#This Row],[(RESV. STORGE) AJD]]/10</f>
        <v>0</v>
      </c>
      <c r="AB55" s="3">
        <f t="shared" si="3"/>
        <v>0</v>
      </c>
      <c r="AC55" s="5"/>
      <c r="AD55" s="39">
        <f>(Table6[[#This Row],[( S/S+T/B) AJD]]*1000)-((Table6[[#This Row],[(STORGE DIFF.) AJD]]*1000)+Table6[[#This Row],[AJD_Evaporation]]+(Table6[[#This Row],[(A/B + A/S) AJD]]*1000))</f>
        <v>0</v>
      </c>
      <c r="AE55" s="41"/>
      <c r="AF55" s="43"/>
      <c r="AG55" s="43"/>
      <c r="AH55" s="6">
        <f>Table6[[#This Row],[ (RESV. STORGE) BER]]/10</f>
        <v>0</v>
      </c>
      <c r="AI55" s="41"/>
      <c r="AJ55" s="43">
        <f>Table6[[#This Row],[(A/B) AJD]]-TABL12345[[#This Row],[BER_IN]]</f>
        <v>0</v>
      </c>
      <c r="AK55" s="43"/>
      <c r="AL55" s="43"/>
      <c r="AM55" s="32"/>
      <c r="AN55" s="32">
        <f>Table6[[#This Row],[ (RESV. STORGE) SER]]/10</f>
        <v>0</v>
      </c>
      <c r="AO55" s="68"/>
      <c r="AP55" s="103">
        <f>Table6[[#This Row],[(A/S) AJD]]-Table6[[#This Row],[SER_IN]]</f>
        <v>0</v>
      </c>
    </row>
    <row r="56" spans="1:42" ht="18.75" x14ac:dyDescent="0.25">
      <c r="A56" s="10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Table6[[#This Row],[ (T/B) SAR]]+Table6[[#This Row],[ (S/S) SAR]]</f>
        <v>0</v>
      </c>
      <c r="L56" s="45"/>
      <c r="M56" s="46"/>
      <c r="N56" s="46"/>
      <c r="O56" s="40"/>
      <c r="P56" s="3">
        <f>Table6[[#This Row],[ (S/S) SAR]]-Table6[[#This Row],[(S/S) AJD]]</f>
        <v>0</v>
      </c>
      <c r="Q56" s="40"/>
      <c r="R56" s="3">
        <f>Table6[[#This Row],[ (T/B) SAR]]-Table6[[#This Row],[(T/B) AJD]]</f>
        <v>0</v>
      </c>
      <c r="S56" s="3">
        <f>Table6[[#This Row],[S/S_CON.]]+Table6[[#This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Table6[[#This Row],[(RESV. STORGE) AJD]]/10</f>
        <v>0</v>
      </c>
      <c r="AB56" s="3">
        <f t="shared" si="3"/>
        <v>0</v>
      </c>
      <c r="AC56" s="5"/>
      <c r="AD56" s="40">
        <f>(Table6[[#This Row],[( S/S+T/B) AJD]]*1000)-((Table6[[#This Row],[(STORGE DIFF.) AJD]]*1000)+Table6[[#This Row],[AJD_Evaporation]]+(Table6[[#This Row],[(A/B + A/S) AJD]]*1000))</f>
        <v>0</v>
      </c>
      <c r="AE56" s="44"/>
      <c r="AF56" s="45"/>
      <c r="AG56" s="45"/>
      <c r="AH56" s="6">
        <f>Table6[[#This Row],[ (RESV. STORGE) BER]]/10</f>
        <v>0</v>
      </c>
      <c r="AI56" s="44"/>
      <c r="AJ56" s="45">
        <f>Table6[[#This Row],[(A/B) AJD]]-TABL12345[[#This Row],[BER_IN]]</f>
        <v>0</v>
      </c>
      <c r="AK56" s="45"/>
      <c r="AL56" s="45"/>
      <c r="AM56" s="32"/>
      <c r="AN56" s="32">
        <f>Table6[[#This Row],[ (RESV. STORGE) SER]]/10</f>
        <v>0</v>
      </c>
      <c r="AO56" s="68"/>
      <c r="AP56" s="103">
        <f>Table6[[#This Row],[(A/S) AJD]]-Table6[[#This Row],[SER_IN]]</f>
        <v>0</v>
      </c>
    </row>
    <row r="57" spans="1:42" ht="18.75" x14ac:dyDescent="0.25">
      <c r="A57" s="10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Table6[[#This Row],[ (T/B) SAR]]+Table6[[#This Row],[ (S/S) SAR]]</f>
        <v>0</v>
      </c>
      <c r="L57" s="41"/>
      <c r="M57" s="42"/>
      <c r="N57" s="42"/>
      <c r="O57" s="39"/>
      <c r="P57" s="3">
        <f>Table6[[#This Row],[ (S/S) SAR]]-Table6[[#This Row],[(S/S) AJD]]</f>
        <v>0</v>
      </c>
      <c r="Q57" s="39"/>
      <c r="R57" s="3">
        <f>Table6[[#This Row],[ (T/B) SAR]]-Table6[[#This Row],[(T/B) AJD]]</f>
        <v>0</v>
      </c>
      <c r="S57" s="3">
        <f>Table6[[#This Row],[S/S_CON.]]+Table6[[#This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Table6[[#This Row],[(RESV. STORGE) AJD]]/10</f>
        <v>0</v>
      </c>
      <c r="AB57" s="3">
        <f t="shared" si="3"/>
        <v>0</v>
      </c>
      <c r="AC57" s="5"/>
      <c r="AD57" s="39">
        <f>(Table6[[#This Row],[( S/S+T/B) AJD]]*1000)-((Table6[[#This Row],[(STORGE DIFF.) AJD]]*1000)+Table6[[#This Row],[AJD_Evaporation]]+(Table6[[#This Row],[(A/B + A/S) AJD]]*1000))</f>
        <v>0</v>
      </c>
      <c r="AE57" s="41"/>
      <c r="AF57" s="43"/>
      <c r="AG57" s="43"/>
      <c r="AH57" s="6">
        <f>Table6[[#This Row],[ (RESV. STORGE) BER]]/10</f>
        <v>0</v>
      </c>
      <c r="AI57" s="41"/>
      <c r="AJ57" s="43">
        <f>Table6[[#This Row],[(A/B) AJD]]-TABL12345[[#This Row],[BER_IN]]</f>
        <v>0</v>
      </c>
      <c r="AK57" s="43"/>
      <c r="AL57" s="43"/>
      <c r="AM57" s="32"/>
      <c r="AN57" s="32">
        <f>Table6[[#This Row],[ (RESV. STORGE) SER]]/10</f>
        <v>0</v>
      </c>
      <c r="AO57" s="68"/>
      <c r="AP57" s="103">
        <f>Table6[[#This Row],[(A/S) AJD]]-Table6[[#This Row],[SER_IN]]</f>
        <v>0</v>
      </c>
    </row>
    <row r="58" spans="1:42" ht="18.75" x14ac:dyDescent="0.25">
      <c r="A58" s="10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Table6[[#This Row],[ (T/B) SAR]]+Table6[[#This Row],[ (S/S) SAR]]</f>
        <v>0</v>
      </c>
      <c r="L58" s="45"/>
      <c r="M58" s="46"/>
      <c r="N58" s="46"/>
      <c r="O58" s="40"/>
      <c r="P58" s="3">
        <f>Table6[[#This Row],[ (S/S) SAR]]-Table6[[#This Row],[(S/S) AJD]]</f>
        <v>0</v>
      </c>
      <c r="Q58" s="40"/>
      <c r="R58" s="3">
        <f>Table6[[#This Row],[ (T/B) SAR]]-Table6[[#This Row],[(T/B) AJD]]</f>
        <v>0</v>
      </c>
      <c r="S58" s="3">
        <f>Table6[[#This Row],[S/S_CON.]]+Table6[[#This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Table6[[#This Row],[(RESV. STORGE) AJD]]/10</f>
        <v>0</v>
      </c>
      <c r="AB58" s="3">
        <f t="shared" si="3"/>
        <v>0</v>
      </c>
      <c r="AC58" s="5"/>
      <c r="AD58" s="40">
        <f>(Table6[[#This Row],[( S/S+T/B) AJD]]*1000)-((Table6[[#This Row],[(STORGE DIFF.) AJD]]*1000)+Table6[[#This Row],[AJD_Evaporation]]+(Table6[[#This Row],[(A/B + A/S) AJD]]*1000))</f>
        <v>0</v>
      </c>
      <c r="AE58" s="44"/>
      <c r="AF58" s="45"/>
      <c r="AG58" s="45"/>
      <c r="AH58" s="6">
        <f>Table6[[#This Row],[ (RESV. STORGE) BER]]/10</f>
        <v>0</v>
      </c>
      <c r="AI58" s="44"/>
      <c r="AJ58" s="45">
        <f>Table6[[#This Row],[(A/B) AJD]]-TABL12345[[#This Row],[BER_IN]]</f>
        <v>0</v>
      </c>
      <c r="AK58" s="45"/>
      <c r="AL58" s="45"/>
      <c r="AM58" s="32"/>
      <c r="AN58" s="32">
        <f>Table6[[#This Row],[ (RESV. STORGE) SER]]/10</f>
        <v>0</v>
      </c>
      <c r="AO58" s="68"/>
      <c r="AP58" s="103">
        <f>Table6[[#This Row],[(A/S) AJD]]-Table6[[#This Row],[SER_IN]]</f>
        <v>0</v>
      </c>
    </row>
    <row r="59" spans="1:42" ht="18.75" x14ac:dyDescent="0.25">
      <c r="A59" s="10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Table6[[#This Row],[ (T/B) SAR]]+Table6[[#This Row],[ (S/S) SAR]]</f>
        <v>0</v>
      </c>
      <c r="L59" s="41"/>
      <c r="M59" s="42"/>
      <c r="N59" s="42"/>
      <c r="O59" s="39"/>
      <c r="P59" s="3">
        <f>Table6[[#This Row],[ (S/S) SAR]]-Table6[[#This Row],[(S/S) AJD]]</f>
        <v>0</v>
      </c>
      <c r="Q59" s="39"/>
      <c r="R59" s="3">
        <f>Table6[[#This Row],[ (T/B) SAR]]-Table6[[#This Row],[(T/B) AJD]]</f>
        <v>0</v>
      </c>
      <c r="S59" s="3">
        <f>Table6[[#This Row],[S/S_CON.]]+Table6[[#This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Table6[[#This Row],[(RESV. STORGE) AJD]]/10</f>
        <v>0</v>
      </c>
      <c r="AB59" s="3">
        <f t="shared" si="3"/>
        <v>0</v>
      </c>
      <c r="AC59" s="5"/>
      <c r="AD59" s="39">
        <f>(Table6[[#This Row],[( S/S+T/B) AJD]]*1000)-((Table6[[#This Row],[(STORGE DIFF.) AJD]]*1000)+Table6[[#This Row],[AJD_Evaporation]]+(Table6[[#This Row],[(A/B + A/S) AJD]]*1000))</f>
        <v>0</v>
      </c>
      <c r="AE59" s="41"/>
      <c r="AF59" s="43"/>
      <c r="AG59" s="43"/>
      <c r="AH59" s="6">
        <f>Table6[[#This Row],[ (RESV. STORGE) BER]]/10</f>
        <v>0</v>
      </c>
      <c r="AI59" s="41"/>
      <c r="AJ59" s="43">
        <f>Table6[[#This Row],[(A/B) AJD]]-TABL12345[[#This Row],[BER_IN]]</f>
        <v>0</v>
      </c>
      <c r="AK59" s="43"/>
      <c r="AL59" s="43"/>
      <c r="AM59" s="32"/>
      <c r="AN59" s="32">
        <f>Table6[[#This Row],[ (RESV. STORGE) SER]]/10</f>
        <v>0</v>
      </c>
      <c r="AO59" s="68"/>
      <c r="AP59" s="103">
        <f>Table6[[#This Row],[(A/S) AJD]]-Table6[[#This Row],[SER_IN]]</f>
        <v>0</v>
      </c>
    </row>
    <row r="60" spans="1:42" ht="18.75" x14ac:dyDescent="0.25">
      <c r="A60" s="10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Table6[[#This Row],[ (T/B) SAR]]+Table6[[#This Row],[ (S/S) SAR]]</f>
        <v>0</v>
      </c>
      <c r="L60" s="45"/>
      <c r="M60" s="46"/>
      <c r="N60" s="46"/>
      <c r="O60" s="40"/>
      <c r="P60" s="3">
        <f>Table6[[#This Row],[ (S/S) SAR]]-Table6[[#This Row],[(S/S) AJD]]</f>
        <v>0</v>
      </c>
      <c r="Q60" s="40"/>
      <c r="R60" s="3">
        <f>Table6[[#This Row],[ (T/B) SAR]]-Table6[[#This Row],[(T/B) AJD]]</f>
        <v>0</v>
      </c>
      <c r="S60" s="3">
        <f>Table6[[#This Row],[S/S_CON.]]+Table6[[#This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Table6[[#This Row],[(RESV. STORGE) AJD]]/10</f>
        <v>0</v>
      </c>
      <c r="AB60" s="3">
        <f t="shared" si="3"/>
        <v>0</v>
      </c>
      <c r="AC60" s="5"/>
      <c r="AD60" s="40">
        <f>(Table6[[#This Row],[( S/S+T/B) AJD]]*1000)-((Table6[[#This Row],[(STORGE DIFF.) AJD]]*1000)+Table6[[#This Row],[AJD_Evaporation]]+(Table6[[#This Row],[(A/B + A/S) AJD]]*1000))</f>
        <v>0</v>
      </c>
      <c r="AE60" s="44"/>
      <c r="AF60" s="45"/>
      <c r="AG60" s="45"/>
      <c r="AH60" s="6">
        <f>Table6[[#This Row],[ (RESV. STORGE) BER]]/10</f>
        <v>0</v>
      </c>
      <c r="AI60" s="44"/>
      <c r="AJ60" s="45">
        <f>Table6[[#This Row],[(A/B) AJD]]-TABL12345[[#This Row],[BER_IN]]</f>
        <v>0</v>
      </c>
      <c r="AK60" s="45"/>
      <c r="AL60" s="45"/>
      <c r="AM60" s="32"/>
      <c r="AN60" s="32">
        <f>Table6[[#This Row],[ (RESV. STORGE) SER]]/10</f>
        <v>0</v>
      </c>
      <c r="AO60" s="68"/>
      <c r="AP60" s="103">
        <f>Table6[[#This Row],[(A/S) AJD]]-Table6[[#This Row],[SER_IN]]</f>
        <v>0</v>
      </c>
    </row>
    <row r="61" spans="1:42" ht="18.75" x14ac:dyDescent="0.25">
      <c r="A61" s="10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Table6[[#This Row],[ (T/B) SAR]]+Table6[[#This Row],[ (S/S) SAR]]</f>
        <v>0</v>
      </c>
      <c r="L61" s="41"/>
      <c r="M61" s="42"/>
      <c r="N61" s="42"/>
      <c r="O61" s="39"/>
      <c r="P61" s="3">
        <f>Table6[[#This Row],[ (S/S) SAR]]-Table6[[#This Row],[(S/S) AJD]]</f>
        <v>0</v>
      </c>
      <c r="Q61" s="39"/>
      <c r="R61" s="3">
        <f>Table6[[#This Row],[ (T/B) SAR]]-Table6[[#This Row],[(T/B) AJD]]</f>
        <v>0</v>
      </c>
      <c r="S61" s="3">
        <f>Table6[[#This Row],[S/S_CON.]]+Table6[[#This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Table6[[#This Row],[(RESV. STORGE) AJD]]/10</f>
        <v>0</v>
      </c>
      <c r="AB61" s="3">
        <f t="shared" si="3"/>
        <v>0</v>
      </c>
      <c r="AC61" s="5"/>
      <c r="AD61" s="39">
        <f>(Table6[[#This Row],[( S/S+T/B) AJD]]*1000)-((Table6[[#This Row],[(STORGE DIFF.) AJD]]*1000)+Table6[[#This Row],[AJD_Evaporation]]+(Table6[[#This Row],[(A/B + A/S) AJD]]*1000))</f>
        <v>0</v>
      </c>
      <c r="AE61" s="41"/>
      <c r="AF61" s="43"/>
      <c r="AG61" s="43"/>
      <c r="AH61" s="6">
        <f>Table6[[#This Row],[ (RESV. STORGE) BER]]/10</f>
        <v>0</v>
      </c>
      <c r="AI61" s="41"/>
      <c r="AJ61" s="43">
        <f>Table6[[#This Row],[(A/B) AJD]]-TABL12345[[#This Row],[BER_IN]]</f>
        <v>0</v>
      </c>
      <c r="AK61" s="43"/>
      <c r="AL61" s="43"/>
      <c r="AM61" s="32"/>
      <c r="AN61" s="32">
        <f>Table6[[#This Row],[ (RESV. STORGE) SER]]/10</f>
        <v>0</v>
      </c>
      <c r="AO61" s="68"/>
      <c r="AP61" s="103">
        <f>Table6[[#This Row],[(A/S) AJD]]-Table6[[#This Row],[SER_IN]]</f>
        <v>0</v>
      </c>
    </row>
    <row r="62" spans="1:42" ht="18.75" x14ac:dyDescent="0.25">
      <c r="A62" s="10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Table6[[#This Row],[ (T/B) SAR]]+Table6[[#This Row],[ (S/S) SAR]]</f>
        <v>0</v>
      </c>
      <c r="L62" s="45"/>
      <c r="M62" s="46"/>
      <c r="N62" s="46"/>
      <c r="O62" s="40"/>
      <c r="P62" s="3">
        <f>Table6[[#This Row],[ (S/S) SAR]]-Table6[[#This Row],[(S/S) AJD]]</f>
        <v>0</v>
      </c>
      <c r="Q62" s="40"/>
      <c r="R62" s="3">
        <f>Table6[[#This Row],[ (T/B) SAR]]-Table6[[#This Row],[(T/B) AJD]]</f>
        <v>0</v>
      </c>
      <c r="S62" s="3">
        <f>Table6[[#This Row],[S/S_CON.]]+Table6[[#This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Table6[[#This Row],[(RESV. STORGE) AJD]]/10</f>
        <v>0</v>
      </c>
      <c r="AB62" s="3">
        <f t="shared" si="3"/>
        <v>0</v>
      </c>
      <c r="AC62" s="5"/>
      <c r="AD62" s="40">
        <f>(Table6[[#This Row],[( S/S+T/B) AJD]]*1000)-((Table6[[#This Row],[(STORGE DIFF.) AJD]]*1000)+Table6[[#This Row],[AJD_Evaporation]]+(Table6[[#This Row],[(A/B + A/S) AJD]]*1000))</f>
        <v>0</v>
      </c>
      <c r="AE62" s="44"/>
      <c r="AF62" s="45"/>
      <c r="AG62" s="45"/>
      <c r="AH62" s="6">
        <f>Table6[[#This Row],[ (RESV. STORGE) BER]]/10</f>
        <v>0</v>
      </c>
      <c r="AI62" s="44"/>
      <c r="AJ62" s="45">
        <f>Table6[[#This Row],[(A/B) AJD]]-TABL12345[[#This Row],[BER_IN]]</f>
        <v>0</v>
      </c>
      <c r="AK62" s="45"/>
      <c r="AL62" s="45"/>
      <c r="AM62" s="32"/>
      <c r="AN62" s="32">
        <f>Table6[[#This Row],[ (RESV. STORGE) SER]]/10</f>
        <v>0</v>
      </c>
      <c r="AO62" s="68"/>
      <c r="AP62" s="103">
        <f>Table6[[#This Row],[(A/S) AJD]]-Table6[[#This Row],[SER_IN]]</f>
        <v>0</v>
      </c>
    </row>
    <row r="63" spans="1:42" ht="18.75" x14ac:dyDescent="0.25">
      <c r="A63" s="10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Table6[[#This Row],[ (T/B) SAR]]+Table6[[#This Row],[ (S/S) SAR]]</f>
        <v>0</v>
      </c>
      <c r="L63" s="41"/>
      <c r="M63" s="42"/>
      <c r="N63" s="42"/>
      <c r="O63" s="39"/>
      <c r="P63" s="3">
        <f>Table6[[#This Row],[ (S/S) SAR]]-Table6[[#This Row],[(S/S) AJD]]</f>
        <v>0</v>
      </c>
      <c r="Q63" s="39"/>
      <c r="R63" s="3">
        <f>Table6[[#This Row],[ (T/B) SAR]]-Table6[[#This Row],[(T/B) AJD]]</f>
        <v>0</v>
      </c>
      <c r="S63" s="3">
        <f>Table6[[#This Row],[S/S_CON.]]+Table6[[#This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Table6[[#This Row],[(RESV. STORGE) AJD]]/10</f>
        <v>0</v>
      </c>
      <c r="AB63" s="3">
        <f t="shared" si="3"/>
        <v>0</v>
      </c>
      <c r="AC63" s="5"/>
      <c r="AD63" s="39">
        <f>(Table6[[#This Row],[( S/S+T/B) AJD]]*1000)-((Table6[[#This Row],[(STORGE DIFF.) AJD]]*1000)+Table6[[#This Row],[AJD_Evaporation]]+(Table6[[#This Row],[(A/B + A/S) AJD]]*1000))</f>
        <v>0</v>
      </c>
      <c r="AE63" s="41"/>
      <c r="AF63" s="43"/>
      <c r="AG63" s="43"/>
      <c r="AH63" s="6">
        <f>Table6[[#This Row],[ (RESV. STORGE) BER]]/10</f>
        <v>0</v>
      </c>
      <c r="AI63" s="41"/>
      <c r="AJ63" s="43">
        <f>Table6[[#This Row],[(A/B) AJD]]-TABL12345[[#This Row],[BER_IN]]</f>
        <v>0</v>
      </c>
      <c r="AK63" s="43"/>
      <c r="AL63" s="43"/>
      <c r="AM63" s="32"/>
      <c r="AN63" s="32">
        <f>Table6[[#This Row],[ (RESV. STORGE) SER]]/10</f>
        <v>0</v>
      </c>
      <c r="AO63" s="68"/>
      <c r="AP63" s="103">
        <f>Table6[[#This Row],[(A/S) AJD]]-Table6[[#This Row],[SER_IN]]</f>
        <v>0</v>
      </c>
    </row>
    <row r="64" spans="1:42" ht="18.75" x14ac:dyDescent="0.25">
      <c r="A64" s="10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Table6[[#This Row],[ (T/B) SAR]]+Table6[[#This Row],[ (S/S) SAR]]</f>
        <v>0</v>
      </c>
      <c r="L64" s="45"/>
      <c r="M64" s="46"/>
      <c r="N64" s="46"/>
      <c r="O64" s="40"/>
      <c r="P64" s="3">
        <f>Table6[[#This Row],[ (S/S) SAR]]-Table6[[#This Row],[(S/S) AJD]]</f>
        <v>0</v>
      </c>
      <c r="Q64" s="40"/>
      <c r="R64" s="3">
        <f>Table6[[#This Row],[ (T/B) SAR]]-Table6[[#This Row],[(T/B) AJD]]</f>
        <v>0</v>
      </c>
      <c r="S64" s="3">
        <f>Table6[[#This Row],[S/S_CON.]]+Table6[[#This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Table6[[#This Row],[(RESV. STORGE) AJD]]/10</f>
        <v>0</v>
      </c>
      <c r="AB64" s="3">
        <f t="shared" si="3"/>
        <v>0</v>
      </c>
      <c r="AC64" s="5"/>
      <c r="AD64" s="40">
        <f>(Table6[[#This Row],[( S/S+T/B) AJD]]*1000)-((Table6[[#This Row],[(STORGE DIFF.) AJD]]*1000)+Table6[[#This Row],[AJD_Evaporation]]+(Table6[[#This Row],[(A/B + A/S) AJD]]*1000))</f>
        <v>0</v>
      </c>
      <c r="AE64" s="44"/>
      <c r="AF64" s="45"/>
      <c r="AG64" s="45"/>
      <c r="AH64" s="6">
        <f>Table6[[#This Row],[ (RESV. STORGE) BER]]/10</f>
        <v>0</v>
      </c>
      <c r="AI64" s="44"/>
      <c r="AJ64" s="45">
        <f>Table6[[#This Row],[(A/B) AJD]]-TABL12345[[#This Row],[BER_IN]]</f>
        <v>0</v>
      </c>
      <c r="AK64" s="45"/>
      <c r="AL64" s="45"/>
      <c r="AM64" s="32"/>
      <c r="AN64" s="32">
        <f>Table6[[#This Row],[ (RESV. STORGE) SER]]/10</f>
        <v>0</v>
      </c>
      <c r="AO64" s="68"/>
      <c r="AP64" s="103">
        <f>Table6[[#This Row],[(A/S) AJD]]-Table6[[#This Row],[SER_IN]]</f>
        <v>0</v>
      </c>
    </row>
    <row r="65" spans="1:42" ht="18.75" x14ac:dyDescent="0.25">
      <c r="A65" s="10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Table6[[#This Row],[ (T/B) SAR]]+Table6[[#This Row],[ (S/S) SAR]]</f>
        <v>0</v>
      </c>
      <c r="L65" s="41"/>
      <c r="M65" s="42"/>
      <c r="N65" s="42"/>
      <c r="O65" s="39"/>
      <c r="P65" s="3">
        <f>Table6[[#This Row],[ (S/S) SAR]]-Table6[[#This Row],[(S/S) AJD]]</f>
        <v>0</v>
      </c>
      <c r="Q65" s="39"/>
      <c r="R65" s="3">
        <f>Table6[[#This Row],[ (T/B) SAR]]-Table6[[#This Row],[(T/B) AJD]]</f>
        <v>0</v>
      </c>
      <c r="S65" s="3">
        <f>Table6[[#This Row],[S/S_CON.]]+Table6[[#This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Table6[[#This Row],[(RESV. STORGE) AJD]]/10</f>
        <v>0</v>
      </c>
      <c r="AB65" s="3">
        <f t="shared" si="3"/>
        <v>0</v>
      </c>
      <c r="AC65" s="5"/>
      <c r="AD65" s="39">
        <f>(Table6[[#This Row],[( S/S+T/B) AJD]]*1000)-((Table6[[#This Row],[(STORGE DIFF.) AJD]]*1000)+Table6[[#This Row],[AJD_Evaporation]]+(Table6[[#This Row],[(A/B + A/S) AJD]]*1000))</f>
        <v>0</v>
      </c>
      <c r="AE65" s="41"/>
      <c r="AF65" s="43"/>
      <c r="AG65" s="43"/>
      <c r="AH65" s="6">
        <f>Table6[[#This Row],[ (RESV. STORGE) BER]]/10</f>
        <v>0</v>
      </c>
      <c r="AI65" s="41"/>
      <c r="AJ65" s="43">
        <f>Table6[[#This Row],[(A/B) AJD]]-TABL12345[[#This Row],[BER_IN]]</f>
        <v>0</v>
      </c>
      <c r="AK65" s="43"/>
      <c r="AL65" s="43"/>
      <c r="AM65" s="32"/>
      <c r="AN65" s="32">
        <f>Table6[[#This Row],[ (RESV. STORGE) SER]]/10</f>
        <v>0</v>
      </c>
      <c r="AO65" s="68"/>
      <c r="AP65" s="103">
        <f>Table6[[#This Row],[(A/S) AJD]]-Table6[[#This Row],[SER_IN]]</f>
        <v>0</v>
      </c>
    </row>
    <row r="66" spans="1:42" ht="18.75" x14ac:dyDescent="0.25">
      <c r="A66" s="10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Table6[[#This Row],[ (T/B) SAR]]+Table6[[#This Row],[ (S/S) SAR]]</f>
        <v>0</v>
      </c>
      <c r="L66" s="45"/>
      <c r="M66" s="46"/>
      <c r="N66" s="46"/>
      <c r="O66" s="40"/>
      <c r="P66" s="3">
        <f>Table6[[#This Row],[ (S/S) SAR]]-Table6[[#This Row],[(S/S) AJD]]</f>
        <v>0</v>
      </c>
      <c r="Q66" s="40"/>
      <c r="R66" s="3">
        <f>Table6[[#This Row],[ (T/B) SAR]]-Table6[[#This Row],[(T/B) AJD]]</f>
        <v>0</v>
      </c>
      <c r="S66" s="3">
        <f>Table6[[#This Row],[S/S_CON.]]+Table6[[#This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Table6[[#This Row],[(RESV. STORGE) AJD]]/10</f>
        <v>0</v>
      </c>
      <c r="AB66" s="3">
        <f t="shared" si="3"/>
        <v>0</v>
      </c>
      <c r="AC66" s="5"/>
      <c r="AD66" s="40">
        <f>(Table6[[#This Row],[( S/S+T/B) AJD]]*1000)-((Table6[[#This Row],[(STORGE DIFF.) AJD]]*1000)+Table6[[#This Row],[AJD_Evaporation]]+(Table6[[#This Row],[(A/B + A/S) AJD]]*1000))</f>
        <v>0</v>
      </c>
      <c r="AE66" s="44"/>
      <c r="AF66" s="45"/>
      <c r="AG66" s="45"/>
      <c r="AH66" s="6">
        <f>Table6[[#This Row],[ (RESV. STORGE) BER]]/10</f>
        <v>0</v>
      </c>
      <c r="AI66" s="44"/>
      <c r="AJ66" s="45">
        <f>Table6[[#This Row],[(A/B) AJD]]-TABL12345[[#This Row],[BER_IN]]</f>
        <v>0</v>
      </c>
      <c r="AK66" s="45"/>
      <c r="AL66" s="45"/>
      <c r="AM66" s="32"/>
      <c r="AN66" s="32">
        <f>Table6[[#This Row],[ (RESV. STORGE) SER]]/10</f>
        <v>0</v>
      </c>
      <c r="AO66" s="68"/>
      <c r="AP66" s="103">
        <f>Table6[[#This Row],[(A/S) AJD]]-Table6[[#This Row],[SER_IN]]</f>
        <v>0</v>
      </c>
    </row>
    <row r="67" spans="1:42" ht="18.75" x14ac:dyDescent="0.25">
      <c r="A67" s="10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Table6[[#This Row],[ (T/B) SAR]]+Table6[[#This Row],[ (S/S) SAR]]</f>
        <v>0</v>
      </c>
      <c r="L67" s="41"/>
      <c r="M67" s="42"/>
      <c r="N67" s="42"/>
      <c r="O67" s="39"/>
      <c r="P67" s="3">
        <f>Table6[[#This Row],[ (S/S) SAR]]-Table6[[#This Row],[(S/S) AJD]]</f>
        <v>0</v>
      </c>
      <c r="Q67" s="39"/>
      <c r="R67" s="3">
        <f>Table6[[#This Row],[ (T/B) SAR]]-Table6[[#This Row],[(T/B) AJD]]</f>
        <v>0</v>
      </c>
      <c r="S67" s="3">
        <f>Table6[[#This Row],[S/S_CON.]]+Table6[[#This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Table6[[#This Row],[(RESV. STORGE) AJD]]/10</f>
        <v>0</v>
      </c>
      <c r="AB67" s="3">
        <f t="shared" si="3"/>
        <v>0</v>
      </c>
      <c r="AC67" s="5"/>
      <c r="AD67" s="39">
        <f>(Table6[[#This Row],[( S/S+T/B) AJD]]*1000)-((Table6[[#This Row],[(STORGE DIFF.) AJD]]*1000)+Table6[[#This Row],[AJD_Evaporation]]+(Table6[[#This Row],[(A/B + A/S) AJD]]*1000))</f>
        <v>0</v>
      </c>
      <c r="AE67" s="41"/>
      <c r="AF67" s="43"/>
      <c r="AG67" s="43"/>
      <c r="AH67" s="6">
        <f>Table6[[#This Row],[ (RESV. STORGE) BER]]/10</f>
        <v>0</v>
      </c>
      <c r="AI67" s="41"/>
      <c r="AJ67" s="43">
        <f>Table6[[#This Row],[(A/B) AJD]]-TABL12345[[#This Row],[BER_IN]]</f>
        <v>0</v>
      </c>
      <c r="AK67" s="43"/>
      <c r="AL67" s="43"/>
      <c r="AM67" s="32"/>
      <c r="AN67" s="32">
        <f>Table6[[#This Row],[ (RESV. STORGE) SER]]/10</f>
        <v>0</v>
      </c>
      <c r="AO67" s="68"/>
      <c r="AP67" s="103">
        <f>Table6[[#This Row],[(A/S) AJD]]-Table6[[#This Row],[SER_IN]]</f>
        <v>0</v>
      </c>
    </row>
    <row r="68" spans="1:42" ht="18.75" x14ac:dyDescent="0.25">
      <c r="A68" s="10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Table6[[#This Row],[ (T/B) SAR]]+Table6[[#This Row],[ (S/S) SAR]]</f>
        <v>0</v>
      </c>
      <c r="L68" s="45"/>
      <c r="M68" s="46"/>
      <c r="N68" s="46"/>
      <c r="O68" s="40"/>
      <c r="P68" s="3">
        <f>Table6[[#This Row],[ (S/S) SAR]]-Table6[[#This Row],[(S/S) AJD]]</f>
        <v>0</v>
      </c>
      <c r="Q68" s="40"/>
      <c r="R68" s="3">
        <f>Table6[[#This Row],[ (T/B) SAR]]-Table6[[#This Row],[(T/B) AJD]]</f>
        <v>0</v>
      </c>
      <c r="S68" s="3">
        <f>Table6[[#This Row],[S/S_CON.]]+Table6[[#This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Table6[[#This Row],[(RESV. STORGE) AJD]]/10</f>
        <v>0</v>
      </c>
      <c r="AB68" s="3">
        <f t="shared" ref="AB68:AB131" si="7">IF(TRIM(Z68)="",,(Z68-Z67)/1000)</f>
        <v>0</v>
      </c>
      <c r="AC68" s="5"/>
      <c r="AD68" s="40">
        <f>(Table6[[#This Row],[( S/S+T/B) AJD]]*1000)-((Table6[[#This Row],[(STORGE DIFF.) AJD]]*1000)+Table6[[#This Row],[AJD_Evaporation]]+(Table6[[#This Row],[(A/B + A/S) AJD]]*1000))</f>
        <v>0</v>
      </c>
      <c r="AE68" s="44"/>
      <c r="AF68" s="45"/>
      <c r="AG68" s="45"/>
      <c r="AH68" s="6">
        <f>Table6[[#This Row],[ (RESV. STORGE) BER]]/10</f>
        <v>0</v>
      </c>
      <c r="AI68" s="44"/>
      <c r="AJ68" s="45">
        <f>Table6[[#This Row],[(A/B) AJD]]-TABL12345[[#This Row],[BER_IN]]</f>
        <v>0</v>
      </c>
      <c r="AK68" s="45"/>
      <c r="AL68" s="45"/>
      <c r="AM68" s="32"/>
      <c r="AN68" s="32">
        <f>Table6[[#This Row],[ (RESV. STORGE) SER]]/10</f>
        <v>0</v>
      </c>
      <c r="AO68" s="68"/>
      <c r="AP68" s="103">
        <f>Table6[[#This Row],[(A/S) AJD]]-Table6[[#This Row],[SER_IN]]</f>
        <v>0</v>
      </c>
    </row>
    <row r="69" spans="1:42" ht="18.75" x14ac:dyDescent="0.25">
      <c r="A69" s="10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Table6[[#This Row],[ (T/B) SAR]]+Table6[[#This Row],[ (S/S) SAR]]</f>
        <v>0</v>
      </c>
      <c r="L69" s="41"/>
      <c r="M69" s="42"/>
      <c r="N69" s="42"/>
      <c r="O69" s="39"/>
      <c r="P69" s="3">
        <f>Table6[[#This Row],[ (S/S) SAR]]-Table6[[#This Row],[(S/S) AJD]]</f>
        <v>0</v>
      </c>
      <c r="Q69" s="39"/>
      <c r="R69" s="3">
        <f>Table6[[#This Row],[ (T/B) SAR]]-Table6[[#This Row],[(T/B) AJD]]</f>
        <v>0</v>
      </c>
      <c r="S69" s="3">
        <f>Table6[[#This Row],[S/S_CON.]]+Table6[[#This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Table6[[#This Row],[(RESV. STORGE) AJD]]/10</f>
        <v>0</v>
      </c>
      <c r="AB69" s="3">
        <f t="shared" si="7"/>
        <v>0</v>
      </c>
      <c r="AC69" s="5"/>
      <c r="AD69" s="39">
        <f>(Table6[[#This Row],[( S/S+T/B) AJD]]*1000)-((Table6[[#This Row],[(STORGE DIFF.) AJD]]*1000)+Table6[[#This Row],[AJD_Evaporation]]+(Table6[[#This Row],[(A/B + A/S) AJD]]*1000))</f>
        <v>0</v>
      </c>
      <c r="AE69" s="41"/>
      <c r="AF69" s="43"/>
      <c r="AG69" s="43"/>
      <c r="AH69" s="6">
        <f>Table6[[#This Row],[ (RESV. STORGE) BER]]/10</f>
        <v>0</v>
      </c>
      <c r="AI69" s="41"/>
      <c r="AJ69" s="43">
        <f>Table6[[#This Row],[(A/B) AJD]]-TABL12345[[#This Row],[BER_IN]]</f>
        <v>0</v>
      </c>
      <c r="AK69" s="43"/>
      <c r="AL69" s="43"/>
      <c r="AM69" s="32"/>
      <c r="AN69" s="32">
        <f>Table6[[#This Row],[ (RESV. STORGE) SER]]/10</f>
        <v>0</v>
      </c>
      <c r="AO69" s="68"/>
      <c r="AP69" s="103">
        <f>Table6[[#This Row],[(A/S) AJD]]-Table6[[#This Row],[SER_IN]]</f>
        <v>0</v>
      </c>
    </row>
    <row r="70" spans="1:42" ht="18.75" x14ac:dyDescent="0.25">
      <c r="A70" s="10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Table6[[#This Row],[ (T/B) SAR]]+Table6[[#This Row],[ (S/S) SAR]]</f>
        <v>0</v>
      </c>
      <c r="L70" s="45"/>
      <c r="M70" s="46"/>
      <c r="N70" s="46"/>
      <c r="O70" s="40"/>
      <c r="P70" s="3">
        <f>Table6[[#This Row],[ (S/S) SAR]]-Table6[[#This Row],[(S/S) AJD]]</f>
        <v>0</v>
      </c>
      <c r="Q70" s="40"/>
      <c r="R70" s="3">
        <f>Table6[[#This Row],[ (T/B) SAR]]-Table6[[#This Row],[(T/B) AJD]]</f>
        <v>0</v>
      </c>
      <c r="S70" s="3">
        <f>Table6[[#This Row],[S/S_CON.]]+Table6[[#This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Table6[[#This Row],[(RESV. STORGE) AJD]]/10</f>
        <v>0</v>
      </c>
      <c r="AB70" s="3">
        <f t="shared" si="7"/>
        <v>0</v>
      </c>
      <c r="AC70" s="5"/>
      <c r="AD70" s="40">
        <f>(Table6[[#This Row],[( S/S+T/B) AJD]]*1000)-((Table6[[#This Row],[(STORGE DIFF.) AJD]]*1000)+Table6[[#This Row],[AJD_Evaporation]]+(Table6[[#This Row],[(A/B + A/S) AJD]]*1000))</f>
        <v>0</v>
      </c>
      <c r="AE70" s="44"/>
      <c r="AF70" s="45"/>
      <c r="AG70" s="45"/>
      <c r="AH70" s="6">
        <f>Table6[[#This Row],[ (RESV. STORGE) BER]]/10</f>
        <v>0</v>
      </c>
      <c r="AI70" s="44"/>
      <c r="AJ70" s="45">
        <f>Table6[[#This Row],[(A/B) AJD]]-TABL12345[[#This Row],[BER_IN]]</f>
        <v>0</v>
      </c>
      <c r="AK70" s="45"/>
      <c r="AL70" s="45"/>
      <c r="AM70" s="32"/>
      <c r="AN70" s="32">
        <f>Table6[[#This Row],[ (RESV. STORGE) SER]]/10</f>
        <v>0</v>
      </c>
      <c r="AO70" s="68"/>
      <c r="AP70" s="103">
        <f>Table6[[#This Row],[(A/S) AJD]]-Table6[[#This Row],[SER_IN]]</f>
        <v>0</v>
      </c>
    </row>
    <row r="71" spans="1:42" ht="18.75" x14ac:dyDescent="0.25">
      <c r="A71" s="10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Table6[[#This Row],[ (T/B) SAR]]+Table6[[#This Row],[ (S/S) SAR]]</f>
        <v>0</v>
      </c>
      <c r="L71" s="41"/>
      <c r="M71" s="42"/>
      <c r="N71" s="42"/>
      <c r="O71" s="39"/>
      <c r="P71" s="3">
        <f>Table6[[#This Row],[ (S/S) SAR]]-Table6[[#This Row],[(S/S) AJD]]</f>
        <v>0</v>
      </c>
      <c r="Q71" s="39"/>
      <c r="R71" s="3">
        <f>Table6[[#This Row],[ (T/B) SAR]]-Table6[[#This Row],[(T/B) AJD]]</f>
        <v>0</v>
      </c>
      <c r="S71" s="3">
        <f>Table6[[#This Row],[S/S_CON.]]+Table6[[#This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Table6[[#This Row],[(RESV. STORGE) AJD]]/10</f>
        <v>0</v>
      </c>
      <c r="AB71" s="3">
        <f t="shared" si="7"/>
        <v>0</v>
      </c>
      <c r="AC71" s="5"/>
      <c r="AD71" s="39">
        <f>(Table6[[#This Row],[( S/S+T/B) AJD]]*1000)-((Table6[[#This Row],[(STORGE DIFF.) AJD]]*1000)+Table6[[#This Row],[AJD_Evaporation]]+(Table6[[#This Row],[(A/B + A/S) AJD]]*1000))</f>
        <v>0</v>
      </c>
      <c r="AE71" s="41"/>
      <c r="AF71" s="43"/>
      <c r="AG71" s="68"/>
      <c r="AH71" s="6">
        <f>Table6[[#This Row],[ (RESV. STORGE) BER]]/10</f>
        <v>0</v>
      </c>
      <c r="AI71" s="41"/>
      <c r="AJ71" s="68">
        <f>Table6[[#This Row],[(A/B) AJD]]-TABL12345[[#This Row],[BER_IN]]</f>
        <v>0</v>
      </c>
      <c r="AK71" s="43"/>
      <c r="AL71" s="43"/>
      <c r="AM71" s="32"/>
      <c r="AN71" s="32">
        <f>Table6[[#This Row],[ (RESV. STORGE) SER]]/10</f>
        <v>0</v>
      </c>
      <c r="AO71" s="68"/>
      <c r="AP71" s="103">
        <f>Table6[[#This Row],[(A/S) AJD]]-Table6[[#This Row],[SER_IN]]</f>
        <v>0</v>
      </c>
    </row>
    <row r="72" spans="1:42" ht="18.75" x14ac:dyDescent="0.25">
      <c r="A72" s="10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Table6[[#This Row],[ (T/B) SAR]]+Table6[[#This Row],[ (S/S) SAR]]</f>
        <v>0</v>
      </c>
      <c r="L72" s="45"/>
      <c r="M72" s="46"/>
      <c r="N72" s="46"/>
      <c r="O72" s="40"/>
      <c r="P72" s="3">
        <f>Table6[[#This Row],[ (S/S) SAR]]-Table6[[#This Row],[(S/S) AJD]]</f>
        <v>0</v>
      </c>
      <c r="Q72" s="40"/>
      <c r="R72" s="3">
        <f>Table6[[#This Row],[ (T/B) SAR]]-Table6[[#This Row],[(T/B) AJD]]</f>
        <v>0</v>
      </c>
      <c r="S72" s="3">
        <f>Table6[[#This Row],[S/S_CON.]]+Table6[[#This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Table6[[#This Row],[(RESV. STORGE) AJD]]/10</f>
        <v>0</v>
      </c>
      <c r="AB72" s="3">
        <f t="shared" si="7"/>
        <v>0</v>
      </c>
      <c r="AC72" s="5"/>
      <c r="AD72" s="40">
        <f>(Table6[[#This Row],[( S/S+T/B) AJD]]*1000)-((Table6[[#This Row],[(STORGE DIFF.) AJD]]*1000)+Table6[[#This Row],[AJD_Evaporation]]+(Table6[[#This Row],[(A/B + A/S) AJD]]*1000))</f>
        <v>0</v>
      </c>
      <c r="AE72" s="44"/>
      <c r="AF72" s="45"/>
      <c r="AG72" s="45"/>
      <c r="AH72" s="6">
        <f>Table6[[#This Row],[ (RESV. STORGE) BER]]/10</f>
        <v>0</v>
      </c>
      <c r="AI72" s="44"/>
      <c r="AJ72" s="45">
        <f>Table6[[#This Row],[(A/B) AJD]]-TABL12345[[#This Row],[BER_IN]]</f>
        <v>0</v>
      </c>
      <c r="AK72" s="45"/>
      <c r="AL72" s="45"/>
      <c r="AM72" s="32"/>
      <c r="AN72" s="32">
        <f>Table6[[#This Row],[ (RESV. STORGE) SER]]/10</f>
        <v>0</v>
      </c>
      <c r="AO72" s="68"/>
      <c r="AP72" s="103">
        <f>Table6[[#This Row],[(A/S) AJD]]-Table6[[#This Row],[SER_IN]]</f>
        <v>0</v>
      </c>
    </row>
    <row r="73" spans="1:42" ht="18.75" x14ac:dyDescent="0.25">
      <c r="A73" s="10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Table6[[#This Row],[ (T/B) SAR]]+Table6[[#This Row],[ (S/S) SAR]]</f>
        <v>0</v>
      </c>
      <c r="L73" s="41"/>
      <c r="M73" s="42"/>
      <c r="N73" s="42"/>
      <c r="O73" s="39"/>
      <c r="P73" s="3">
        <f>Table6[[#This Row],[ (S/S) SAR]]-Table6[[#This Row],[(S/S) AJD]]</f>
        <v>0</v>
      </c>
      <c r="Q73" s="39"/>
      <c r="R73" s="3">
        <f>Table6[[#This Row],[ (T/B) SAR]]-Table6[[#This Row],[(T/B) AJD]]</f>
        <v>0</v>
      </c>
      <c r="S73" s="3">
        <f>Table6[[#This Row],[S/S_CON.]]+Table6[[#This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Table6[[#This Row],[(RESV. STORGE) AJD]]/10</f>
        <v>0</v>
      </c>
      <c r="AB73" s="3">
        <f t="shared" si="7"/>
        <v>0</v>
      </c>
      <c r="AC73" s="5"/>
      <c r="AD73" s="39">
        <f>(Table6[[#This Row],[( S/S+T/B) AJD]]*1000)-((Table6[[#This Row],[(STORGE DIFF.) AJD]]*1000)+Table6[[#This Row],[AJD_Evaporation]]+(Table6[[#This Row],[(A/B + A/S) AJD]]*1000))</f>
        <v>0</v>
      </c>
      <c r="AE73" s="41"/>
      <c r="AF73" s="43"/>
      <c r="AG73" s="43"/>
      <c r="AH73" s="6">
        <f>Table6[[#This Row],[ (RESV. STORGE) BER]]/10</f>
        <v>0</v>
      </c>
      <c r="AI73" s="41"/>
      <c r="AJ73" s="43">
        <f>Table6[[#This Row],[(A/B) AJD]]-TABL12345[[#This Row],[BER_IN]]</f>
        <v>0</v>
      </c>
      <c r="AK73" s="43"/>
      <c r="AL73" s="43"/>
      <c r="AM73" s="32"/>
      <c r="AN73" s="32">
        <f>Table6[[#This Row],[ (RESV. STORGE) SER]]/10</f>
        <v>0</v>
      </c>
      <c r="AO73" s="68"/>
      <c r="AP73" s="103">
        <f>Table6[[#This Row],[(A/S) AJD]]-Table6[[#This Row],[SER_IN]]</f>
        <v>0</v>
      </c>
    </row>
    <row r="74" spans="1:42" ht="18.75" x14ac:dyDescent="0.25">
      <c r="A74" s="10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Table6[[#This Row],[ (T/B) SAR]]+Table6[[#This Row],[ (S/S) SAR]]</f>
        <v>0</v>
      </c>
      <c r="L74" s="45"/>
      <c r="M74" s="46"/>
      <c r="N74" s="46"/>
      <c r="O74" s="40"/>
      <c r="P74" s="3">
        <f>Table6[[#This Row],[ (S/S) SAR]]-Table6[[#This Row],[(S/S) AJD]]</f>
        <v>0</v>
      </c>
      <c r="Q74" s="40"/>
      <c r="R74" s="3">
        <f>Table6[[#This Row],[ (T/B) SAR]]-Table6[[#This Row],[(T/B) AJD]]</f>
        <v>0</v>
      </c>
      <c r="S74" s="3">
        <f>Table6[[#This Row],[S/S_CON.]]+Table6[[#This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Table6[[#This Row],[(RESV. STORGE) AJD]]/10</f>
        <v>0</v>
      </c>
      <c r="AB74" s="3">
        <f t="shared" si="7"/>
        <v>0</v>
      </c>
      <c r="AC74" s="5"/>
      <c r="AD74" s="40">
        <f>(Table6[[#This Row],[( S/S+T/B) AJD]]*1000)-((Table6[[#This Row],[(STORGE DIFF.) AJD]]*1000)+Table6[[#This Row],[AJD_Evaporation]]+(Table6[[#This Row],[(A/B + A/S) AJD]]*1000))</f>
        <v>0</v>
      </c>
      <c r="AE74" s="44"/>
      <c r="AF74" s="45"/>
      <c r="AG74" s="45"/>
      <c r="AH74" s="6">
        <f>Table6[[#This Row],[ (RESV. STORGE) BER]]/10</f>
        <v>0</v>
      </c>
      <c r="AI74" s="44"/>
      <c r="AJ74" s="45">
        <f>Table6[[#This Row],[(A/B) AJD]]-TABL12345[[#This Row],[BER_IN]]</f>
        <v>0</v>
      </c>
      <c r="AK74" s="45"/>
      <c r="AL74" s="45"/>
      <c r="AM74" s="32"/>
      <c r="AN74" s="32">
        <f>Table6[[#This Row],[ (RESV. STORGE) SER]]/10</f>
        <v>0</v>
      </c>
      <c r="AO74" s="68"/>
      <c r="AP74" s="103">
        <f>Table6[[#This Row],[(A/S) AJD]]-Table6[[#This Row],[SER_IN]]</f>
        <v>0</v>
      </c>
    </row>
    <row r="75" spans="1:42" ht="18.75" x14ac:dyDescent="0.25">
      <c r="A75" s="10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Table6[[#This Row],[ (T/B) SAR]]+Table6[[#This Row],[ (S/S) SAR]]</f>
        <v>0</v>
      </c>
      <c r="L75" s="41"/>
      <c r="M75" s="42"/>
      <c r="N75" s="42"/>
      <c r="O75" s="39"/>
      <c r="P75" s="3">
        <f>Table6[[#This Row],[ (S/S) SAR]]-Table6[[#This Row],[(S/S) AJD]]</f>
        <v>0</v>
      </c>
      <c r="Q75" s="39"/>
      <c r="R75" s="3">
        <f>Table6[[#This Row],[ (T/B) SAR]]-Table6[[#This Row],[(T/B) AJD]]</f>
        <v>0</v>
      </c>
      <c r="S75" s="3">
        <f>Table6[[#This Row],[S/S_CON.]]+Table6[[#This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Table6[[#This Row],[(RESV. STORGE) AJD]]/10</f>
        <v>0</v>
      </c>
      <c r="AB75" s="3">
        <f t="shared" si="7"/>
        <v>0</v>
      </c>
      <c r="AC75" s="5"/>
      <c r="AD75" s="39">
        <f>(Table6[[#This Row],[( S/S+T/B) AJD]]*1000)-((Table6[[#This Row],[(STORGE DIFF.) AJD]]*1000)+Table6[[#This Row],[AJD_Evaporation]]+(Table6[[#This Row],[(A/B + A/S) AJD]]*1000))</f>
        <v>0</v>
      </c>
      <c r="AE75" s="41"/>
      <c r="AF75" s="43"/>
      <c r="AG75" s="43"/>
      <c r="AH75" s="6">
        <f>Table6[[#This Row],[ (RESV. STORGE) BER]]/10</f>
        <v>0</v>
      </c>
      <c r="AI75" s="41"/>
      <c r="AJ75" s="43">
        <f>Table6[[#This Row],[(A/B) AJD]]-TABL12345[[#This Row],[BER_IN]]</f>
        <v>0</v>
      </c>
      <c r="AK75" s="43"/>
      <c r="AL75" s="43"/>
      <c r="AM75" s="32"/>
      <c r="AN75" s="32">
        <f>Table6[[#This Row],[ (RESV. STORGE) SER]]/10</f>
        <v>0</v>
      </c>
      <c r="AO75" s="68"/>
      <c r="AP75" s="103">
        <f>Table6[[#This Row],[(A/S) AJD]]-Table6[[#This Row],[SER_IN]]</f>
        <v>0</v>
      </c>
    </row>
    <row r="76" spans="1:42" ht="18.75" x14ac:dyDescent="0.25">
      <c r="A76" s="10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Table6[[#This Row],[ (T/B) SAR]]+Table6[[#This Row],[ (S/S) SAR]]</f>
        <v>0</v>
      </c>
      <c r="L76" s="45"/>
      <c r="M76" s="46"/>
      <c r="N76" s="46"/>
      <c r="O76" s="40"/>
      <c r="P76" s="3">
        <f>Table6[[#This Row],[ (S/S) SAR]]-Table6[[#This Row],[(S/S) AJD]]</f>
        <v>0</v>
      </c>
      <c r="Q76" s="40"/>
      <c r="R76" s="3">
        <f>Table6[[#This Row],[ (T/B) SAR]]-Table6[[#This Row],[(T/B) AJD]]</f>
        <v>0</v>
      </c>
      <c r="S76" s="3">
        <f>Table6[[#This Row],[S/S_CON.]]+Table6[[#This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Table6[[#This Row],[(RESV. STORGE) AJD]]/10</f>
        <v>0</v>
      </c>
      <c r="AB76" s="3">
        <f t="shared" si="7"/>
        <v>0</v>
      </c>
      <c r="AC76" s="5"/>
      <c r="AD76" s="40">
        <f>(Table6[[#This Row],[( S/S+T/B) AJD]]*1000)-((Table6[[#This Row],[(STORGE DIFF.) AJD]]*1000)+Table6[[#This Row],[AJD_Evaporation]]+(Table6[[#This Row],[(A/B + A/S) AJD]]*1000))</f>
        <v>0</v>
      </c>
      <c r="AE76" s="44"/>
      <c r="AF76" s="45"/>
      <c r="AG76" s="45"/>
      <c r="AH76" s="6">
        <f>Table6[[#This Row],[ (RESV. STORGE) BER]]/10</f>
        <v>0</v>
      </c>
      <c r="AI76" s="44"/>
      <c r="AJ76" s="45">
        <f>Table6[[#This Row],[(A/B) AJD]]-TABL12345[[#This Row],[BER_IN]]</f>
        <v>0</v>
      </c>
      <c r="AK76" s="45"/>
      <c r="AL76" s="45"/>
      <c r="AM76" s="32"/>
      <c r="AN76" s="32">
        <f>Table6[[#This Row],[ (RESV. STORGE) SER]]/10</f>
        <v>0</v>
      </c>
      <c r="AO76" s="68"/>
      <c r="AP76" s="103">
        <f>Table6[[#This Row],[(A/S) AJD]]-Table6[[#This Row],[SER_IN]]</f>
        <v>0</v>
      </c>
    </row>
    <row r="77" spans="1:42" ht="18.75" x14ac:dyDescent="0.25">
      <c r="A77" s="10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Table6[[#This Row],[ (T/B) SAR]]+Table6[[#This Row],[ (S/S) SAR]]</f>
        <v>0</v>
      </c>
      <c r="L77" s="41"/>
      <c r="M77" s="42"/>
      <c r="N77" s="42"/>
      <c r="O77" s="39"/>
      <c r="P77" s="3">
        <f>Table6[[#This Row],[ (S/S) SAR]]-Table6[[#This Row],[(S/S) AJD]]</f>
        <v>0</v>
      </c>
      <c r="Q77" s="39"/>
      <c r="R77" s="3">
        <f>Table6[[#This Row],[ (T/B) SAR]]-Table6[[#This Row],[(T/B) AJD]]</f>
        <v>0</v>
      </c>
      <c r="S77" s="3">
        <f>Table6[[#This Row],[S/S_CON.]]+Table6[[#This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Table6[[#This Row],[(RESV. STORGE) AJD]]/10</f>
        <v>0</v>
      </c>
      <c r="AB77" s="3">
        <f t="shared" si="7"/>
        <v>0</v>
      </c>
      <c r="AC77" s="5"/>
      <c r="AD77" s="39">
        <f>(Table6[[#This Row],[( S/S+T/B) AJD]]*1000)-((Table6[[#This Row],[(STORGE DIFF.) AJD]]*1000)+Table6[[#This Row],[AJD_Evaporation]]+(Table6[[#This Row],[(A/B + A/S) AJD]]*1000))</f>
        <v>0</v>
      </c>
      <c r="AE77" s="41"/>
      <c r="AF77" s="43"/>
      <c r="AG77" s="43"/>
      <c r="AH77" s="6">
        <f>Table6[[#This Row],[ (RESV. STORGE) BER]]/10</f>
        <v>0</v>
      </c>
      <c r="AI77" s="41"/>
      <c r="AJ77" s="43">
        <f>Table6[[#This Row],[(A/B) AJD]]-TABL12345[[#This Row],[BER_IN]]</f>
        <v>0</v>
      </c>
      <c r="AK77" s="43"/>
      <c r="AL77" s="43"/>
      <c r="AM77" s="32"/>
      <c r="AN77" s="32">
        <f>Table6[[#This Row],[ (RESV. STORGE) SER]]/10</f>
        <v>0</v>
      </c>
      <c r="AO77" s="68"/>
      <c r="AP77" s="103">
        <f>Table6[[#This Row],[(A/S) AJD]]-Table6[[#This Row],[SER_IN]]</f>
        <v>0</v>
      </c>
    </row>
    <row r="78" spans="1:42" ht="18.75" x14ac:dyDescent="0.25">
      <c r="A78" s="10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Table6[[#This Row],[ (T/B) SAR]]+Table6[[#This Row],[ (S/S) SAR]]</f>
        <v>0</v>
      </c>
      <c r="L78" s="45"/>
      <c r="M78" s="46"/>
      <c r="N78" s="46"/>
      <c r="O78" s="40"/>
      <c r="P78" s="3">
        <f>Table6[[#This Row],[ (S/S) SAR]]-Table6[[#This Row],[(S/S) AJD]]</f>
        <v>0</v>
      </c>
      <c r="Q78" s="40"/>
      <c r="R78" s="3">
        <f>Table6[[#This Row],[ (T/B) SAR]]-Table6[[#This Row],[(T/B) AJD]]</f>
        <v>0</v>
      </c>
      <c r="S78" s="3">
        <f>Table6[[#This Row],[S/S_CON.]]+Table6[[#This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Table6[[#This Row],[(RESV. STORGE) AJD]]/10</f>
        <v>0</v>
      </c>
      <c r="AB78" s="3">
        <f t="shared" si="7"/>
        <v>0</v>
      </c>
      <c r="AC78" s="5"/>
      <c r="AD78" s="40">
        <f>(Table6[[#This Row],[( S/S+T/B) AJD]]*1000)-((Table6[[#This Row],[(STORGE DIFF.) AJD]]*1000)+Table6[[#This Row],[AJD_Evaporation]]+(Table6[[#This Row],[(A/B + A/S) AJD]]*1000))</f>
        <v>0</v>
      </c>
      <c r="AE78" s="44"/>
      <c r="AF78" s="45"/>
      <c r="AG78" s="45"/>
      <c r="AH78" s="6">
        <f>Table6[[#This Row],[ (RESV. STORGE) BER]]/10</f>
        <v>0</v>
      </c>
      <c r="AI78" s="44"/>
      <c r="AJ78" s="45">
        <f>Table6[[#This Row],[(A/B) AJD]]-TABL12345[[#This Row],[BER_IN]]</f>
        <v>0</v>
      </c>
      <c r="AK78" s="45"/>
      <c r="AL78" s="45"/>
      <c r="AM78" s="32"/>
      <c r="AN78" s="32">
        <f>Table6[[#This Row],[ (RESV. STORGE) SER]]/10</f>
        <v>0</v>
      </c>
      <c r="AO78" s="68"/>
      <c r="AP78" s="103">
        <f>Table6[[#This Row],[(A/S) AJD]]-Table6[[#This Row],[SER_IN]]</f>
        <v>0</v>
      </c>
    </row>
    <row r="79" spans="1:42" ht="18.75" x14ac:dyDescent="0.25">
      <c r="A79" s="10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Table6[[#This Row],[ (T/B) SAR]]+Table6[[#This Row],[ (S/S) SAR]]</f>
        <v>0</v>
      </c>
      <c r="L79" s="41"/>
      <c r="M79" s="42"/>
      <c r="N79" s="42"/>
      <c r="O79" s="39"/>
      <c r="P79" s="3">
        <f>Table6[[#This Row],[ (S/S) SAR]]-Table6[[#This Row],[(S/S) AJD]]</f>
        <v>0</v>
      </c>
      <c r="Q79" s="39"/>
      <c r="R79" s="3">
        <f>Table6[[#This Row],[ (T/B) SAR]]-Table6[[#This Row],[(T/B) AJD]]</f>
        <v>0</v>
      </c>
      <c r="S79" s="3">
        <f>Table6[[#This Row],[S/S_CON.]]+Table6[[#This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Table6[[#This Row],[(RESV. STORGE) AJD]]/10</f>
        <v>0</v>
      </c>
      <c r="AB79" s="3">
        <f t="shared" si="7"/>
        <v>0</v>
      </c>
      <c r="AC79" s="5"/>
      <c r="AD79" s="39">
        <f>(Table6[[#This Row],[( S/S+T/B) AJD]]*1000)-((Table6[[#This Row],[(STORGE DIFF.) AJD]]*1000)+Table6[[#This Row],[AJD_Evaporation]]+(Table6[[#This Row],[(A/B + A/S) AJD]]*1000))</f>
        <v>0</v>
      </c>
      <c r="AE79" s="41"/>
      <c r="AF79" s="43"/>
      <c r="AG79" s="43"/>
      <c r="AH79" s="6">
        <f>Table6[[#This Row],[ (RESV. STORGE) BER]]/10</f>
        <v>0</v>
      </c>
      <c r="AI79" s="41"/>
      <c r="AJ79" s="43">
        <f>Table6[[#This Row],[(A/B) AJD]]-TABL12345[[#This Row],[BER_IN]]</f>
        <v>0</v>
      </c>
      <c r="AK79" s="43"/>
      <c r="AL79" s="43"/>
      <c r="AM79" s="32"/>
      <c r="AN79" s="32">
        <f>Table6[[#This Row],[ (RESV. STORGE) SER]]/10</f>
        <v>0</v>
      </c>
      <c r="AO79" s="68"/>
      <c r="AP79" s="103">
        <f>Table6[[#This Row],[(A/S) AJD]]-Table6[[#This Row],[SER_IN]]</f>
        <v>0</v>
      </c>
    </row>
    <row r="80" spans="1:42" ht="18.75" x14ac:dyDescent="0.25">
      <c r="A80" s="10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Table6[[#This Row],[ (T/B) SAR]]+Table6[[#This Row],[ (S/S) SAR]]</f>
        <v>0</v>
      </c>
      <c r="L80" s="45"/>
      <c r="M80" s="46"/>
      <c r="N80" s="46"/>
      <c r="O80" s="40"/>
      <c r="P80" s="3">
        <f>Table6[[#This Row],[ (S/S) SAR]]-Table6[[#This Row],[(S/S) AJD]]</f>
        <v>0</v>
      </c>
      <c r="Q80" s="40"/>
      <c r="R80" s="3">
        <f>Table6[[#This Row],[ (T/B) SAR]]-Table6[[#This Row],[(T/B) AJD]]</f>
        <v>0</v>
      </c>
      <c r="S80" s="3">
        <f>Table6[[#This Row],[S/S_CON.]]+Table6[[#This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Table6[[#This Row],[(RESV. STORGE) AJD]]/10</f>
        <v>0</v>
      </c>
      <c r="AB80" s="3">
        <f t="shared" si="7"/>
        <v>0</v>
      </c>
      <c r="AC80" s="5"/>
      <c r="AD80" s="40">
        <f>(Table6[[#This Row],[( S/S+T/B) AJD]]*1000)-((Table6[[#This Row],[(STORGE DIFF.) AJD]]*1000)+Table6[[#This Row],[AJD_Evaporation]]+(Table6[[#This Row],[(A/B + A/S) AJD]]*1000))</f>
        <v>0</v>
      </c>
      <c r="AE80" s="44"/>
      <c r="AF80" s="45"/>
      <c r="AG80" s="45"/>
      <c r="AH80" s="6">
        <f>Table6[[#This Row],[ (RESV. STORGE) BER]]/10</f>
        <v>0</v>
      </c>
      <c r="AI80" s="44"/>
      <c r="AJ80" s="45">
        <f>Table6[[#This Row],[(A/B) AJD]]-TABL12345[[#This Row],[BER_IN]]</f>
        <v>0</v>
      </c>
      <c r="AK80" s="45"/>
      <c r="AL80" s="45"/>
      <c r="AM80" s="32"/>
      <c r="AN80" s="32">
        <f>Table6[[#This Row],[ (RESV. STORGE) SER]]/10</f>
        <v>0</v>
      </c>
      <c r="AO80" s="68"/>
      <c r="AP80" s="103">
        <f>Table6[[#This Row],[(A/S) AJD]]-Table6[[#This Row],[SER_IN]]</f>
        <v>0</v>
      </c>
    </row>
    <row r="81" spans="1:42" ht="18.75" x14ac:dyDescent="0.25">
      <c r="A81" s="10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Table6[[#This Row],[ (T/B) SAR]]+Table6[[#This Row],[ (S/S) SAR]]</f>
        <v>0</v>
      </c>
      <c r="L81" s="41"/>
      <c r="M81" s="42"/>
      <c r="N81" s="42"/>
      <c r="O81" s="39"/>
      <c r="P81" s="3">
        <f>Table6[[#This Row],[ (S/S) SAR]]-Table6[[#This Row],[(S/S) AJD]]</f>
        <v>0</v>
      </c>
      <c r="Q81" s="39"/>
      <c r="R81" s="3">
        <f>Table6[[#This Row],[ (T/B) SAR]]-Table6[[#This Row],[(T/B) AJD]]</f>
        <v>0</v>
      </c>
      <c r="S81" s="3">
        <f>Table6[[#This Row],[S/S_CON.]]+Table6[[#This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Table6[[#This Row],[(RESV. STORGE) AJD]]/10</f>
        <v>0</v>
      </c>
      <c r="AB81" s="3">
        <f t="shared" si="7"/>
        <v>0</v>
      </c>
      <c r="AC81" s="5"/>
      <c r="AD81" s="39">
        <f>(Table6[[#This Row],[( S/S+T/B) AJD]]*1000)-((Table6[[#This Row],[(STORGE DIFF.) AJD]]*1000)+Table6[[#This Row],[AJD_Evaporation]]+(Table6[[#This Row],[(A/B + A/S) AJD]]*1000))</f>
        <v>0</v>
      </c>
      <c r="AE81" s="41"/>
      <c r="AF81" s="43"/>
      <c r="AG81" s="43"/>
      <c r="AH81" s="6">
        <f>Table6[[#This Row],[ (RESV. STORGE) BER]]/10</f>
        <v>0</v>
      </c>
      <c r="AI81" s="41"/>
      <c r="AJ81" s="43">
        <f>Table6[[#This Row],[(A/B) AJD]]-TABL12345[[#This Row],[BER_IN]]</f>
        <v>0</v>
      </c>
      <c r="AK81" s="43"/>
      <c r="AL81" s="43"/>
      <c r="AM81" s="32"/>
      <c r="AN81" s="32">
        <f>Table6[[#This Row],[ (RESV. STORGE) SER]]/10</f>
        <v>0</v>
      </c>
      <c r="AO81" s="68"/>
      <c r="AP81" s="103">
        <f>Table6[[#This Row],[(A/S) AJD]]-Table6[[#This Row],[SER_IN]]</f>
        <v>0</v>
      </c>
    </row>
    <row r="82" spans="1:42" ht="18.75" x14ac:dyDescent="0.25">
      <c r="A82" s="10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Table6[[#This Row],[ (T/B) SAR]]+Table6[[#This Row],[ (S/S) SAR]]</f>
        <v>0</v>
      </c>
      <c r="L82" s="45"/>
      <c r="M82" s="46"/>
      <c r="N82" s="46"/>
      <c r="O82" s="40"/>
      <c r="P82" s="3">
        <f>Table6[[#This Row],[ (S/S) SAR]]-Table6[[#This Row],[(S/S) AJD]]</f>
        <v>0</v>
      </c>
      <c r="Q82" s="40"/>
      <c r="R82" s="3">
        <f>Table6[[#This Row],[ (T/B) SAR]]-Table6[[#This Row],[(T/B) AJD]]</f>
        <v>0</v>
      </c>
      <c r="S82" s="3">
        <f>Table6[[#This Row],[S/S_CON.]]+Table6[[#This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Table6[[#This Row],[(RESV. STORGE) AJD]]/10</f>
        <v>0</v>
      </c>
      <c r="AB82" s="3">
        <f t="shared" si="7"/>
        <v>0</v>
      </c>
      <c r="AC82" s="5"/>
      <c r="AD82" s="40">
        <f>(Table6[[#This Row],[( S/S+T/B) AJD]]*1000)-((Table6[[#This Row],[(STORGE DIFF.) AJD]]*1000)+Table6[[#This Row],[AJD_Evaporation]]+(Table6[[#This Row],[(A/B + A/S) AJD]]*1000))</f>
        <v>0</v>
      </c>
      <c r="AE82" s="44"/>
      <c r="AF82" s="45"/>
      <c r="AG82" s="45"/>
      <c r="AH82" s="6">
        <f>Table6[[#This Row],[ (RESV. STORGE) BER]]/10</f>
        <v>0</v>
      </c>
      <c r="AI82" s="44"/>
      <c r="AJ82" s="45">
        <f>Table6[[#This Row],[(A/B) AJD]]-TABL12345[[#This Row],[BER_IN]]</f>
        <v>0</v>
      </c>
      <c r="AK82" s="45"/>
      <c r="AL82" s="45"/>
      <c r="AM82" s="32"/>
      <c r="AN82" s="32">
        <f>Table6[[#This Row],[ (RESV. STORGE) SER]]/10</f>
        <v>0</v>
      </c>
      <c r="AO82" s="68"/>
      <c r="AP82" s="103">
        <f>Table6[[#This Row],[(A/S) AJD]]-Table6[[#This Row],[SER_IN]]</f>
        <v>0</v>
      </c>
    </row>
    <row r="83" spans="1:42" ht="18.75" x14ac:dyDescent="0.25">
      <c r="A83" s="10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Table6[[#This Row],[ (T/B) SAR]]+Table6[[#This Row],[ (S/S) SAR]]</f>
        <v>0</v>
      </c>
      <c r="L83" s="41"/>
      <c r="M83" s="42"/>
      <c r="N83" s="42"/>
      <c r="O83" s="39"/>
      <c r="P83" s="3">
        <f>Table6[[#This Row],[ (S/S) SAR]]-Table6[[#This Row],[(S/S) AJD]]</f>
        <v>0</v>
      </c>
      <c r="Q83" s="39"/>
      <c r="R83" s="3">
        <f>Table6[[#This Row],[ (T/B) SAR]]-Table6[[#This Row],[(T/B) AJD]]</f>
        <v>0</v>
      </c>
      <c r="S83" s="3">
        <f>Table6[[#This Row],[S/S_CON.]]+Table6[[#This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Table6[[#This Row],[(RESV. STORGE) AJD]]/10</f>
        <v>0</v>
      </c>
      <c r="AB83" s="3">
        <f t="shared" si="7"/>
        <v>0</v>
      </c>
      <c r="AC83" s="5"/>
      <c r="AD83" s="39">
        <f>(Table6[[#This Row],[( S/S+T/B) AJD]]*1000)-((Table6[[#This Row],[(STORGE DIFF.) AJD]]*1000)+Table6[[#This Row],[AJD_Evaporation]]+(Table6[[#This Row],[(A/B + A/S) AJD]]*1000))</f>
        <v>0</v>
      </c>
      <c r="AE83" s="41"/>
      <c r="AF83" s="43"/>
      <c r="AG83" s="43"/>
      <c r="AH83" s="6">
        <f>Table6[[#This Row],[ (RESV. STORGE) BER]]/10</f>
        <v>0</v>
      </c>
      <c r="AI83" s="41"/>
      <c r="AJ83" s="43">
        <f>Table6[[#This Row],[(A/B) AJD]]-TABL12345[[#This Row],[BER_IN]]</f>
        <v>0</v>
      </c>
      <c r="AK83" s="43"/>
      <c r="AL83" s="43"/>
      <c r="AM83" s="32"/>
      <c r="AN83" s="32">
        <f>Table6[[#This Row],[ (RESV. STORGE) SER]]/10</f>
        <v>0</v>
      </c>
      <c r="AO83" s="68"/>
      <c r="AP83" s="103">
        <f>Table6[[#This Row],[(A/S) AJD]]-Table6[[#This Row],[SER_IN]]</f>
        <v>0</v>
      </c>
    </row>
    <row r="84" spans="1:42" ht="18.75" x14ac:dyDescent="0.25">
      <c r="A84" s="10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Table6[[#This Row],[ (T/B) SAR]]+Table6[[#This Row],[ (S/S) SAR]]</f>
        <v>0</v>
      </c>
      <c r="L84" s="45"/>
      <c r="M84" s="46"/>
      <c r="N84" s="46"/>
      <c r="O84" s="40"/>
      <c r="P84" s="3">
        <f>Table6[[#This Row],[ (S/S) SAR]]-Table6[[#This Row],[(S/S) AJD]]</f>
        <v>0</v>
      </c>
      <c r="Q84" s="40"/>
      <c r="R84" s="3">
        <f>Table6[[#This Row],[ (T/B) SAR]]-Table6[[#This Row],[(T/B) AJD]]</f>
        <v>0</v>
      </c>
      <c r="S84" s="3">
        <f>Table6[[#This Row],[S/S_CON.]]+Table6[[#This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Table6[[#This Row],[(RESV. STORGE) AJD]]/10</f>
        <v>0</v>
      </c>
      <c r="AB84" s="3">
        <f t="shared" si="7"/>
        <v>0</v>
      </c>
      <c r="AC84" s="5"/>
      <c r="AD84" s="40">
        <f>(Table6[[#This Row],[( S/S+T/B) AJD]]*1000)-((Table6[[#This Row],[(STORGE DIFF.) AJD]]*1000)+Table6[[#This Row],[AJD_Evaporation]]+(Table6[[#This Row],[(A/B + A/S) AJD]]*1000))</f>
        <v>0</v>
      </c>
      <c r="AE84" s="44"/>
      <c r="AF84" s="45"/>
      <c r="AG84" s="45"/>
      <c r="AH84" s="6">
        <f>Table6[[#This Row],[ (RESV. STORGE) BER]]/10</f>
        <v>0</v>
      </c>
      <c r="AI84" s="44"/>
      <c r="AJ84" s="45">
        <f>Table6[[#This Row],[(A/B) AJD]]-TABL12345[[#This Row],[BER_IN]]</f>
        <v>0</v>
      </c>
      <c r="AK84" s="45"/>
      <c r="AL84" s="45"/>
      <c r="AM84" s="32"/>
      <c r="AN84" s="32">
        <f>Table6[[#This Row],[ (RESV. STORGE) SER]]/10</f>
        <v>0</v>
      </c>
      <c r="AO84" s="68"/>
      <c r="AP84" s="103">
        <f>Table6[[#This Row],[(A/S) AJD]]-Table6[[#This Row],[SER_IN]]</f>
        <v>0</v>
      </c>
    </row>
    <row r="85" spans="1:42" ht="18.75" x14ac:dyDescent="0.25">
      <c r="A85" s="10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Table6[[#This Row],[ (T/B) SAR]]+Table6[[#This Row],[ (S/S) SAR]]</f>
        <v>0</v>
      </c>
      <c r="L85" s="41"/>
      <c r="M85" s="42"/>
      <c r="N85" s="42"/>
      <c r="O85" s="39"/>
      <c r="P85" s="3">
        <f>Table6[[#This Row],[ (S/S) SAR]]-Table6[[#This Row],[(S/S) AJD]]</f>
        <v>0</v>
      </c>
      <c r="Q85" s="39"/>
      <c r="R85" s="3">
        <f>Table6[[#This Row],[ (T/B) SAR]]-Table6[[#This Row],[(T/B) AJD]]</f>
        <v>0</v>
      </c>
      <c r="S85" s="3">
        <f>Table6[[#This Row],[S/S_CON.]]+Table6[[#This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Table6[[#This Row],[(RESV. STORGE) AJD]]/10</f>
        <v>0</v>
      </c>
      <c r="AB85" s="3">
        <f t="shared" si="7"/>
        <v>0</v>
      </c>
      <c r="AC85" s="5"/>
      <c r="AD85" s="39">
        <f>(Table6[[#This Row],[( S/S+T/B) AJD]]*1000)-((Table6[[#This Row],[(STORGE DIFF.) AJD]]*1000)+Table6[[#This Row],[AJD_Evaporation]]+(Table6[[#This Row],[(A/B + A/S) AJD]]*1000))</f>
        <v>0</v>
      </c>
      <c r="AE85" s="41"/>
      <c r="AF85" s="43"/>
      <c r="AG85" s="43"/>
      <c r="AH85" s="6">
        <f>Table6[[#This Row],[ (RESV. STORGE) BER]]/10</f>
        <v>0</v>
      </c>
      <c r="AI85" s="41"/>
      <c r="AJ85" s="43">
        <f>Table6[[#This Row],[(A/B) AJD]]-TABL12345[[#This Row],[BER_IN]]</f>
        <v>0</v>
      </c>
      <c r="AK85" s="43"/>
      <c r="AL85" s="43"/>
      <c r="AM85" s="32"/>
      <c r="AN85" s="32">
        <f>Table6[[#This Row],[ (RESV. STORGE) SER]]/10</f>
        <v>0</v>
      </c>
      <c r="AO85" s="68"/>
      <c r="AP85" s="103">
        <f>Table6[[#This Row],[(A/S) AJD]]-Table6[[#This Row],[SER_IN]]</f>
        <v>0</v>
      </c>
    </row>
    <row r="86" spans="1:42" ht="18.75" x14ac:dyDescent="0.25">
      <c r="A86" s="10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Table6[[#This Row],[ (T/B) SAR]]+Table6[[#This Row],[ (S/S) SAR]]</f>
        <v>0</v>
      </c>
      <c r="L86" s="45"/>
      <c r="M86" s="46"/>
      <c r="N86" s="46"/>
      <c r="O86" s="40"/>
      <c r="P86" s="3">
        <f>Table6[[#This Row],[ (S/S) SAR]]-Table6[[#This Row],[(S/S) AJD]]</f>
        <v>0</v>
      </c>
      <c r="Q86" s="40"/>
      <c r="R86" s="3">
        <f>Table6[[#This Row],[ (T/B) SAR]]-Table6[[#This Row],[(T/B) AJD]]</f>
        <v>0</v>
      </c>
      <c r="S86" s="3">
        <f>Table6[[#This Row],[S/S_CON.]]+Table6[[#This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Table6[[#This Row],[(RESV. STORGE) AJD]]/10</f>
        <v>0</v>
      </c>
      <c r="AB86" s="3">
        <f t="shared" si="7"/>
        <v>0</v>
      </c>
      <c r="AC86" s="5"/>
      <c r="AD86" s="40">
        <f>(Table6[[#This Row],[( S/S+T/B) AJD]]*1000)-((Table6[[#This Row],[(STORGE DIFF.) AJD]]*1000)+Table6[[#This Row],[AJD_Evaporation]]+(Table6[[#This Row],[(A/B + A/S) AJD]]*1000))</f>
        <v>0</v>
      </c>
      <c r="AE86" s="44"/>
      <c r="AF86" s="45"/>
      <c r="AG86" s="45"/>
      <c r="AH86" s="6">
        <f>Table6[[#This Row],[ (RESV. STORGE) BER]]/10</f>
        <v>0</v>
      </c>
      <c r="AI86" s="44"/>
      <c r="AJ86" s="45">
        <f>Table6[[#This Row],[(A/B) AJD]]-TABL12345[[#This Row],[BER_IN]]</f>
        <v>0</v>
      </c>
      <c r="AK86" s="45"/>
      <c r="AL86" s="45"/>
      <c r="AM86" s="32"/>
      <c r="AN86" s="32">
        <f>Table6[[#This Row],[ (RESV. STORGE) SER]]/10</f>
        <v>0</v>
      </c>
      <c r="AO86" s="68"/>
      <c r="AP86" s="103">
        <f>Table6[[#This Row],[(A/S) AJD]]-Table6[[#This Row],[SER_IN]]</f>
        <v>0</v>
      </c>
    </row>
    <row r="87" spans="1:42" ht="18.75" x14ac:dyDescent="0.25">
      <c r="A87" s="10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Table6[[#This Row],[ (T/B) SAR]]+Table6[[#This Row],[ (S/S) SAR]]</f>
        <v>0</v>
      </c>
      <c r="L87" s="41"/>
      <c r="M87" s="42"/>
      <c r="N87" s="42"/>
      <c r="O87" s="39"/>
      <c r="P87" s="3">
        <f>Table6[[#This Row],[ (S/S) SAR]]-Table6[[#This Row],[(S/S) AJD]]</f>
        <v>0</v>
      </c>
      <c r="Q87" s="39"/>
      <c r="R87" s="3">
        <f>Table6[[#This Row],[ (T/B) SAR]]-Table6[[#This Row],[(T/B) AJD]]</f>
        <v>0</v>
      </c>
      <c r="S87" s="3">
        <f>Table6[[#This Row],[S/S_CON.]]+Table6[[#This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Table6[[#This Row],[(RESV. STORGE) AJD]]/10</f>
        <v>0</v>
      </c>
      <c r="AB87" s="3">
        <f t="shared" si="7"/>
        <v>0</v>
      </c>
      <c r="AC87" s="5"/>
      <c r="AD87" s="39">
        <f>(Table6[[#This Row],[( S/S+T/B) AJD]]*1000)-((Table6[[#This Row],[(STORGE DIFF.) AJD]]*1000)+Table6[[#This Row],[AJD_Evaporation]]+(Table6[[#This Row],[(A/B + A/S) AJD]]*1000))</f>
        <v>0</v>
      </c>
      <c r="AE87" s="41"/>
      <c r="AF87" s="43"/>
      <c r="AG87" s="43"/>
      <c r="AH87" s="6">
        <f>Table6[[#This Row],[ (RESV. STORGE) BER]]/10</f>
        <v>0</v>
      </c>
      <c r="AI87" s="41"/>
      <c r="AJ87" s="43">
        <f>Table6[[#This Row],[(A/B) AJD]]-TABL12345[[#This Row],[BER_IN]]</f>
        <v>0</v>
      </c>
      <c r="AK87" s="43"/>
      <c r="AL87" s="43"/>
      <c r="AM87" s="32"/>
      <c r="AN87" s="32">
        <f>Table6[[#This Row],[ (RESV. STORGE) SER]]/10</f>
        <v>0</v>
      </c>
      <c r="AO87" s="68"/>
      <c r="AP87" s="103">
        <f>Table6[[#This Row],[(A/S) AJD]]-Table6[[#This Row],[SER_IN]]</f>
        <v>0</v>
      </c>
    </row>
    <row r="88" spans="1:42" ht="18.75" x14ac:dyDescent="0.25">
      <c r="A88" s="10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Table6[[#This Row],[ (T/B) SAR]]+Table6[[#This Row],[ (S/S) SAR]]</f>
        <v>0</v>
      </c>
      <c r="L88" s="45"/>
      <c r="M88" s="46"/>
      <c r="N88" s="46"/>
      <c r="O88" s="40"/>
      <c r="P88" s="3">
        <f>Table6[[#This Row],[ (S/S) SAR]]-Table6[[#This Row],[(S/S) AJD]]</f>
        <v>0</v>
      </c>
      <c r="Q88" s="40"/>
      <c r="R88" s="3">
        <f>Table6[[#This Row],[ (T/B) SAR]]-Table6[[#This Row],[(T/B) AJD]]</f>
        <v>0</v>
      </c>
      <c r="S88" s="3">
        <f>Table6[[#This Row],[S/S_CON.]]+Table6[[#This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Table6[[#This Row],[(RESV. STORGE) AJD]]/10</f>
        <v>0</v>
      </c>
      <c r="AB88" s="3">
        <f t="shared" si="7"/>
        <v>0</v>
      </c>
      <c r="AC88" s="5"/>
      <c r="AD88" s="40">
        <f>(Table6[[#This Row],[( S/S+T/B) AJD]]*1000)-((Table6[[#This Row],[(STORGE DIFF.) AJD]]*1000)+Table6[[#This Row],[AJD_Evaporation]]+(Table6[[#This Row],[(A/B + A/S) AJD]]*1000))</f>
        <v>0</v>
      </c>
      <c r="AE88" s="44"/>
      <c r="AF88" s="45"/>
      <c r="AG88" s="45"/>
      <c r="AH88" s="6">
        <f>Table6[[#This Row],[ (RESV. STORGE) BER]]/10</f>
        <v>0</v>
      </c>
      <c r="AI88" s="44"/>
      <c r="AJ88" s="45">
        <f>Table6[[#This Row],[(A/B) AJD]]-TABL12345[[#This Row],[BER_IN]]</f>
        <v>0</v>
      </c>
      <c r="AK88" s="45"/>
      <c r="AL88" s="45"/>
      <c r="AM88" s="32"/>
      <c r="AN88" s="32">
        <f>Table6[[#This Row],[ (RESV. STORGE) SER]]/10</f>
        <v>0</v>
      </c>
      <c r="AO88" s="68"/>
      <c r="AP88" s="103">
        <f>Table6[[#This Row],[(A/S) AJD]]-Table6[[#This Row],[SER_IN]]</f>
        <v>0</v>
      </c>
    </row>
    <row r="89" spans="1:42" ht="18.75" x14ac:dyDescent="0.25">
      <c r="A89" s="10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Table6[[#This Row],[ (T/B) SAR]]+Table6[[#This Row],[ (S/S) SAR]]</f>
        <v>0</v>
      </c>
      <c r="L89" s="41"/>
      <c r="M89" s="42"/>
      <c r="N89" s="42"/>
      <c r="O89" s="39"/>
      <c r="P89" s="3">
        <f>Table6[[#This Row],[ (S/S) SAR]]-Table6[[#This Row],[(S/S) AJD]]</f>
        <v>0</v>
      </c>
      <c r="Q89" s="39"/>
      <c r="R89" s="3">
        <f>Table6[[#This Row],[ (T/B) SAR]]-Table6[[#This Row],[(T/B) AJD]]</f>
        <v>0</v>
      </c>
      <c r="S89" s="3">
        <f>Table6[[#This Row],[S/S_CON.]]+Table6[[#This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Table6[[#This Row],[(RESV. STORGE) AJD]]/10</f>
        <v>0</v>
      </c>
      <c r="AB89" s="3">
        <f t="shared" si="7"/>
        <v>0</v>
      </c>
      <c r="AC89" s="5"/>
      <c r="AD89" s="39">
        <f>(Table6[[#This Row],[( S/S+T/B) AJD]]*1000)-((Table6[[#This Row],[(STORGE DIFF.) AJD]]*1000)+Table6[[#This Row],[AJD_Evaporation]]+(Table6[[#This Row],[(A/B + A/S) AJD]]*1000))</f>
        <v>0</v>
      </c>
      <c r="AE89" s="41"/>
      <c r="AF89" s="43"/>
      <c r="AG89" s="43"/>
      <c r="AH89" s="6">
        <f>Table6[[#This Row],[ (RESV. STORGE) BER]]/10</f>
        <v>0</v>
      </c>
      <c r="AI89" s="41"/>
      <c r="AJ89" s="43">
        <f>Table6[[#This Row],[(A/B) AJD]]-TABL12345[[#This Row],[BER_IN]]</f>
        <v>0</v>
      </c>
      <c r="AK89" s="43"/>
      <c r="AL89" s="43"/>
      <c r="AM89" s="32"/>
      <c r="AN89" s="32">
        <f>Table6[[#This Row],[ (RESV. STORGE) SER]]/10</f>
        <v>0</v>
      </c>
      <c r="AO89" s="68"/>
      <c r="AP89" s="103">
        <f>Table6[[#This Row],[(A/S) AJD]]-Table6[[#This Row],[SER_IN]]</f>
        <v>0</v>
      </c>
    </row>
    <row r="90" spans="1:42" ht="18.75" x14ac:dyDescent="0.25">
      <c r="A90" s="10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Table6[[#This Row],[ (T/B) SAR]]+Table6[[#This Row],[ (S/S) SAR]]</f>
        <v>0</v>
      </c>
      <c r="L90" s="45"/>
      <c r="M90" s="46"/>
      <c r="N90" s="46"/>
      <c r="O90" s="40"/>
      <c r="P90" s="3">
        <f>Table6[[#This Row],[ (S/S) SAR]]-Table6[[#This Row],[(S/S) AJD]]</f>
        <v>0</v>
      </c>
      <c r="Q90" s="40"/>
      <c r="R90" s="3">
        <f>Table6[[#This Row],[ (T/B) SAR]]-Table6[[#This Row],[(T/B) AJD]]</f>
        <v>0</v>
      </c>
      <c r="S90" s="3">
        <f>Table6[[#This Row],[S/S_CON.]]+Table6[[#This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Table6[[#This Row],[(RESV. STORGE) AJD]]/10</f>
        <v>0</v>
      </c>
      <c r="AB90" s="3">
        <f t="shared" si="7"/>
        <v>0</v>
      </c>
      <c r="AC90" s="5"/>
      <c r="AD90" s="70">
        <f>(Table6[[#This Row],[( S/S+T/B) AJD]]*1000)-((Table6[[#This Row],[(STORGE DIFF.) AJD]]*1000)+Table6[[#This Row],[AJD_Evaporation]]+(Table6[[#This Row],[(A/B + A/S) AJD]]*1000))</f>
        <v>0</v>
      </c>
      <c r="AE90" s="44"/>
      <c r="AF90" s="45"/>
      <c r="AG90" s="45"/>
      <c r="AH90" s="6">
        <f>Table6[[#This Row],[ (RESV. STORGE) BER]]/10</f>
        <v>0</v>
      </c>
      <c r="AI90" s="44"/>
      <c r="AJ90" s="90">
        <f>Table6[[#This Row],[(A/B) AJD]]-TABL12345[[#This Row],[BER_IN]]</f>
        <v>0</v>
      </c>
      <c r="AK90" s="45"/>
      <c r="AL90" s="45"/>
      <c r="AM90" s="32"/>
      <c r="AN90" s="32">
        <f>Table6[[#This Row],[ (RESV. STORGE) SER]]/10</f>
        <v>0</v>
      </c>
      <c r="AO90" s="68"/>
      <c r="AP90" s="103">
        <f>Table6[[#This Row],[(A/S) AJD]]-Table6[[#This Row],[SER_IN]]</f>
        <v>0</v>
      </c>
    </row>
    <row r="91" spans="1:42" ht="18.75" x14ac:dyDescent="0.25">
      <c r="A91" s="10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Table6[[#This Row],[ (T/B) SAR]]+Table6[[#This Row],[ (S/S) SAR]]</f>
        <v>0</v>
      </c>
      <c r="L91" s="41"/>
      <c r="M91" s="42"/>
      <c r="N91" s="42"/>
      <c r="O91" s="39"/>
      <c r="P91" s="3">
        <f>Table6[[#This Row],[ (S/S) SAR]]-Table6[[#This Row],[(S/S) AJD]]</f>
        <v>0</v>
      </c>
      <c r="Q91" s="39"/>
      <c r="R91" s="3">
        <f>Table6[[#This Row],[ (T/B) SAR]]-Table6[[#This Row],[(T/B) AJD]]</f>
        <v>0</v>
      </c>
      <c r="S91" s="3">
        <f>Table6[[#This Row],[S/S_CON.]]+Table6[[#This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Table6[[#This Row],[(RESV. STORGE) AJD]]/10</f>
        <v>0</v>
      </c>
      <c r="AB91" s="3">
        <f t="shared" si="7"/>
        <v>0</v>
      </c>
      <c r="AC91" s="5"/>
      <c r="AD91" s="39">
        <f>(Table6[[#This Row],[( S/S+T/B) AJD]]*1000)-((Table6[[#This Row],[(STORGE DIFF.) AJD]]*1000)+Table6[[#This Row],[AJD_Evaporation]]+(Table6[[#This Row],[(A/B + A/S) AJD]]*1000))</f>
        <v>0</v>
      </c>
      <c r="AE91" s="41"/>
      <c r="AF91" s="43"/>
      <c r="AG91" s="43"/>
      <c r="AH91" s="6">
        <f>Table6[[#This Row],[ (RESV. STORGE) BER]]/10</f>
        <v>0</v>
      </c>
      <c r="AI91" s="41"/>
      <c r="AJ91" s="43">
        <f>Table6[[#This Row],[(A/B) AJD]]-TABL12345[[#This Row],[BER_IN]]</f>
        <v>0</v>
      </c>
      <c r="AK91" s="43"/>
      <c r="AL91" s="43"/>
      <c r="AM91" s="32"/>
      <c r="AN91" s="32">
        <f>Table6[[#This Row],[ (RESV. STORGE) SER]]/10</f>
        <v>0</v>
      </c>
      <c r="AO91" s="68"/>
      <c r="AP91" s="103">
        <f>Table6[[#This Row],[(A/S) AJD]]-Table6[[#This Row],[SER_IN]]</f>
        <v>0</v>
      </c>
    </row>
    <row r="92" spans="1:42" ht="18.75" x14ac:dyDescent="0.25">
      <c r="A92" s="10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Table6[[#This Row],[ (T/B) SAR]]+Table6[[#This Row],[ (S/S) SAR]]</f>
        <v>0</v>
      </c>
      <c r="L92" s="41"/>
      <c r="M92" s="42"/>
      <c r="N92" s="42"/>
      <c r="O92" s="39"/>
      <c r="P92" s="3">
        <f>Table6[[#This Row],[ (S/S) SAR]]-Table6[[#This Row],[(S/S) AJD]]</f>
        <v>0</v>
      </c>
      <c r="Q92" s="39"/>
      <c r="R92" s="3">
        <f>Table6[[#This Row],[ (T/B) SAR]]-Table6[[#This Row],[(T/B) AJD]]</f>
        <v>0</v>
      </c>
      <c r="S92" s="3">
        <f>Table6[[#This Row],[S/S_CON.]]+Table6[[#This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Table6[[#This Row],[(RESV. STORGE) AJD]]/10</f>
        <v>0</v>
      </c>
      <c r="AB92" s="3">
        <f t="shared" si="7"/>
        <v>0</v>
      </c>
      <c r="AC92" s="5"/>
      <c r="AD92" s="39">
        <f>(Table6[[#This Row],[( S/S+T/B) AJD]]*1000)-((Table6[[#This Row],[(STORGE DIFF.) AJD]]*1000)+Table6[[#This Row],[AJD_Evaporation]]+(Table6[[#This Row],[(A/B + A/S) AJD]]*1000))</f>
        <v>0</v>
      </c>
      <c r="AE92" s="41"/>
      <c r="AF92" s="43"/>
      <c r="AG92" s="43"/>
      <c r="AH92" s="6">
        <f>Table6[[#This Row],[ (RESV. STORGE) BER]]/10</f>
        <v>0</v>
      </c>
      <c r="AI92" s="41"/>
      <c r="AJ92" s="43">
        <f>Table6[[#This Row],[(A/B) AJD]]-TABL12345[[#This Row],[BER_IN]]</f>
        <v>0</v>
      </c>
      <c r="AK92" s="43"/>
      <c r="AL92" s="43"/>
      <c r="AM92" s="32"/>
      <c r="AN92" s="32">
        <f>Table6[[#This Row],[ (RESV. STORGE) SER]]/10</f>
        <v>0</v>
      </c>
      <c r="AO92" s="68"/>
      <c r="AP92" s="103">
        <f>Table6[[#This Row],[(A/S) AJD]]-Table6[[#This Row],[SER_IN]]</f>
        <v>0</v>
      </c>
    </row>
    <row r="93" spans="1:42" ht="18.75" x14ac:dyDescent="0.25">
      <c r="A93" s="10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Table6[[#This Row],[ (T/B) SAR]]+Table6[[#This Row],[ (S/S) SAR]]</f>
        <v>0</v>
      </c>
      <c r="L93" s="45"/>
      <c r="M93" s="46"/>
      <c r="N93" s="46"/>
      <c r="O93" s="40"/>
      <c r="P93" s="3">
        <f>Table6[[#This Row],[ (S/S) SAR]]-Table6[[#This Row],[(S/S) AJD]]</f>
        <v>0</v>
      </c>
      <c r="Q93" s="40"/>
      <c r="R93" s="3">
        <f>Table6[[#This Row],[ (T/B) SAR]]-Table6[[#This Row],[(T/B) AJD]]</f>
        <v>0</v>
      </c>
      <c r="S93" s="3">
        <f>Table6[[#This Row],[S/S_CON.]]+Table6[[#This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Table6[[#This Row],[(RESV. STORGE) AJD]]/10</f>
        <v>0</v>
      </c>
      <c r="AB93" s="3">
        <f t="shared" si="7"/>
        <v>0</v>
      </c>
      <c r="AC93" s="5"/>
      <c r="AD93" s="40">
        <f>(Table6[[#This Row],[( S/S+T/B) AJD]]*1000)-((Table6[[#This Row],[(STORGE DIFF.) AJD]]*1000)+Table6[[#This Row],[AJD_Evaporation]]+(Table6[[#This Row],[(A/B + A/S) AJD]]*1000))</f>
        <v>0</v>
      </c>
      <c r="AE93" s="44"/>
      <c r="AF93" s="45"/>
      <c r="AG93" s="45"/>
      <c r="AH93" s="6">
        <f>Table6[[#This Row],[ (RESV. STORGE) BER]]/10</f>
        <v>0</v>
      </c>
      <c r="AI93" s="44"/>
      <c r="AJ93" s="45">
        <f>Table6[[#This Row],[(A/B) AJD]]-TABL12345[[#This Row],[BER_IN]]</f>
        <v>0</v>
      </c>
      <c r="AK93" s="45"/>
      <c r="AL93" s="45"/>
      <c r="AM93" s="32"/>
      <c r="AN93" s="32">
        <f>Table6[[#This Row],[ (RESV. STORGE) SER]]/10</f>
        <v>0</v>
      </c>
      <c r="AO93" s="68"/>
      <c r="AP93" s="103">
        <f>Table6[[#This Row],[(A/S) AJD]]-Table6[[#This Row],[SER_IN]]</f>
        <v>0</v>
      </c>
    </row>
    <row r="94" spans="1:42" ht="18.75" x14ac:dyDescent="0.25">
      <c r="A94" s="10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Table6[[#This Row],[ (T/B) SAR]]+Table6[[#This Row],[ (S/S) SAR]]</f>
        <v>0</v>
      </c>
      <c r="L94" s="41"/>
      <c r="M94" s="42"/>
      <c r="N94" s="42"/>
      <c r="O94" s="39"/>
      <c r="P94" s="3">
        <f>Table6[[#This Row],[ (S/S) SAR]]-Table6[[#This Row],[(S/S) AJD]]</f>
        <v>0</v>
      </c>
      <c r="Q94" s="39"/>
      <c r="R94" s="3">
        <f>Table6[[#This Row],[ (T/B) SAR]]-Table6[[#This Row],[(T/B) AJD]]</f>
        <v>0</v>
      </c>
      <c r="S94" s="3">
        <f>Table6[[#This Row],[S/S_CON.]]+Table6[[#This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Table6[[#This Row],[(RESV. STORGE) AJD]]/10</f>
        <v>0</v>
      </c>
      <c r="AB94" s="3">
        <f t="shared" si="7"/>
        <v>0</v>
      </c>
      <c r="AC94" s="5"/>
      <c r="AD94" s="39">
        <f>(Table6[[#This Row],[( S/S+T/B) AJD]]*1000)-((Table6[[#This Row],[(STORGE DIFF.) AJD]]*1000)+Table6[[#This Row],[AJD_Evaporation]]+(Table6[[#This Row],[(A/B + A/S) AJD]]*1000))</f>
        <v>0</v>
      </c>
      <c r="AE94" s="41"/>
      <c r="AF94" s="43"/>
      <c r="AG94" s="43"/>
      <c r="AH94" s="6">
        <f>Table6[[#This Row],[ (RESV. STORGE) BER]]/10</f>
        <v>0</v>
      </c>
      <c r="AI94" s="41"/>
      <c r="AJ94" s="43">
        <f>Table6[[#This Row],[(A/B) AJD]]-TABL12345[[#This Row],[BER_IN]]</f>
        <v>0</v>
      </c>
      <c r="AK94" s="43"/>
      <c r="AL94" s="43"/>
      <c r="AM94" s="32"/>
      <c r="AN94" s="32">
        <f>Table6[[#This Row],[ (RESV. STORGE) SER]]/10</f>
        <v>0</v>
      </c>
      <c r="AO94" s="68"/>
      <c r="AP94" s="103">
        <f>Table6[[#This Row],[(A/S) AJD]]-Table6[[#This Row],[SER_IN]]</f>
        <v>0</v>
      </c>
    </row>
    <row r="95" spans="1:42" ht="18.75" x14ac:dyDescent="0.25">
      <c r="A95" s="10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Table6[[#This Row],[ (T/B) SAR]]+Table6[[#This Row],[ (S/S) SAR]]</f>
        <v>0</v>
      </c>
      <c r="L95" s="45"/>
      <c r="M95" s="46"/>
      <c r="N95" s="46"/>
      <c r="O95" s="40"/>
      <c r="P95" s="3">
        <f>Table6[[#This Row],[ (S/S) SAR]]-Table6[[#This Row],[(S/S) AJD]]</f>
        <v>0</v>
      </c>
      <c r="Q95" s="40"/>
      <c r="R95" s="3">
        <f>Table6[[#This Row],[ (T/B) SAR]]-Table6[[#This Row],[(T/B) AJD]]</f>
        <v>0</v>
      </c>
      <c r="S95" s="3">
        <f>Table6[[#This Row],[S/S_CON.]]+Table6[[#This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Table6[[#This Row],[(RESV. STORGE) AJD]]/10</f>
        <v>0</v>
      </c>
      <c r="AB95" s="3">
        <f t="shared" si="7"/>
        <v>0</v>
      </c>
      <c r="AC95" s="5"/>
      <c r="AD95" s="40">
        <f>(Table6[[#This Row],[( S/S+T/B) AJD]]*1000)-((Table6[[#This Row],[(STORGE DIFF.) AJD]]*1000)+Table6[[#This Row],[AJD_Evaporation]]+(Table6[[#This Row],[(A/B + A/S) AJD]]*1000))</f>
        <v>0</v>
      </c>
      <c r="AE95" s="44"/>
      <c r="AF95" s="45"/>
      <c r="AG95" s="45"/>
      <c r="AH95" s="6">
        <f>Table6[[#This Row],[ (RESV. STORGE) BER]]/10</f>
        <v>0</v>
      </c>
      <c r="AI95" s="44"/>
      <c r="AJ95" s="45">
        <f>Table6[[#This Row],[(A/B) AJD]]-TABL12345[[#This Row],[BER_IN]]</f>
        <v>0</v>
      </c>
      <c r="AK95" s="45"/>
      <c r="AL95" s="45"/>
      <c r="AM95" s="32"/>
      <c r="AN95" s="32">
        <f>Table6[[#This Row],[ (RESV. STORGE) SER]]/10</f>
        <v>0</v>
      </c>
      <c r="AO95" s="68"/>
      <c r="AP95" s="103">
        <f>Table6[[#This Row],[(A/S) AJD]]-Table6[[#This Row],[SER_IN]]</f>
        <v>0</v>
      </c>
    </row>
    <row r="96" spans="1:42" ht="18.75" x14ac:dyDescent="0.25">
      <c r="A96" s="10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Table6[[#This Row],[ (T/B) SAR]]+Table6[[#This Row],[ (S/S) SAR]]</f>
        <v>0</v>
      </c>
      <c r="L96" s="41"/>
      <c r="M96" s="42"/>
      <c r="N96" s="42"/>
      <c r="O96" s="39"/>
      <c r="P96" s="3">
        <f>Table6[[#This Row],[ (S/S) SAR]]-Table6[[#This Row],[(S/S) AJD]]</f>
        <v>0</v>
      </c>
      <c r="Q96" s="39"/>
      <c r="R96" s="3">
        <f>Table6[[#This Row],[ (T/B) SAR]]-Table6[[#This Row],[(T/B) AJD]]</f>
        <v>0</v>
      </c>
      <c r="S96" s="3">
        <f>Table6[[#This Row],[S/S_CON.]]+Table6[[#This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Table6[[#This Row],[(RESV. STORGE) AJD]]/10</f>
        <v>0</v>
      </c>
      <c r="AB96" s="3">
        <f t="shared" si="7"/>
        <v>0</v>
      </c>
      <c r="AC96" s="5"/>
      <c r="AD96" s="39">
        <f>(Table6[[#This Row],[( S/S+T/B) AJD]]*1000)-((Table6[[#This Row],[(STORGE DIFF.) AJD]]*1000)+Table6[[#This Row],[AJD_Evaporation]]+(Table6[[#This Row],[(A/B + A/S) AJD]]*1000))</f>
        <v>0</v>
      </c>
      <c r="AE96" s="41"/>
      <c r="AF96" s="43"/>
      <c r="AG96" s="43"/>
      <c r="AH96" s="6">
        <f>Table6[[#This Row],[ (RESV. STORGE) BER]]/10</f>
        <v>0</v>
      </c>
      <c r="AI96" s="41"/>
      <c r="AJ96" s="43">
        <f>Table6[[#This Row],[(A/B) AJD]]-TABL12345[[#This Row],[BER_IN]]</f>
        <v>0</v>
      </c>
      <c r="AK96" s="43"/>
      <c r="AL96" s="43"/>
      <c r="AM96" s="32"/>
      <c r="AN96" s="32">
        <f>Table6[[#This Row],[ (RESV. STORGE) SER]]/10</f>
        <v>0</v>
      </c>
      <c r="AO96" s="68"/>
      <c r="AP96" s="103">
        <f>Table6[[#This Row],[(A/S) AJD]]-Table6[[#This Row],[SER_IN]]</f>
        <v>0</v>
      </c>
    </row>
    <row r="97" spans="1:42" ht="18.75" x14ac:dyDescent="0.25">
      <c r="A97" s="10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Table6[[#This Row],[ (T/B) SAR]]+Table6[[#This Row],[ (S/S) SAR]]</f>
        <v>0</v>
      </c>
      <c r="L97" s="45"/>
      <c r="M97" s="46"/>
      <c r="N97" s="46"/>
      <c r="O97" s="40"/>
      <c r="P97" s="3">
        <f>Table6[[#This Row],[ (S/S) SAR]]-Table6[[#This Row],[(S/S) AJD]]</f>
        <v>0</v>
      </c>
      <c r="Q97" s="40"/>
      <c r="R97" s="3">
        <f>Table6[[#This Row],[ (T/B) SAR]]-Table6[[#This Row],[(T/B) AJD]]</f>
        <v>0</v>
      </c>
      <c r="S97" s="3">
        <f>Table6[[#This Row],[S/S_CON.]]+Table6[[#This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Table6[[#This Row],[(RESV. STORGE) AJD]]/10</f>
        <v>0</v>
      </c>
      <c r="AB97" s="3">
        <f t="shared" si="7"/>
        <v>0</v>
      </c>
      <c r="AC97" s="5"/>
      <c r="AD97" s="40">
        <f>(Table6[[#This Row],[( S/S+T/B) AJD]]*1000)-((Table6[[#This Row],[(STORGE DIFF.) AJD]]*1000)+Table6[[#This Row],[AJD_Evaporation]]+(Table6[[#This Row],[(A/B + A/S) AJD]]*1000))</f>
        <v>0</v>
      </c>
      <c r="AE97" s="44"/>
      <c r="AF97" s="45"/>
      <c r="AG97" s="45"/>
      <c r="AH97" s="6">
        <f>Table6[[#This Row],[ (RESV. STORGE) BER]]/10</f>
        <v>0</v>
      </c>
      <c r="AI97" s="44"/>
      <c r="AJ97" s="45">
        <f>Table6[[#This Row],[(A/B) AJD]]-TABL12345[[#This Row],[BER_IN]]</f>
        <v>0</v>
      </c>
      <c r="AK97" s="45"/>
      <c r="AL97" s="45"/>
      <c r="AM97" s="32"/>
      <c r="AN97" s="32">
        <f>Table6[[#This Row],[ (RESV. STORGE) SER]]/10</f>
        <v>0</v>
      </c>
      <c r="AO97" s="68"/>
      <c r="AP97" s="103">
        <f>Table6[[#This Row],[(A/S) AJD]]-Table6[[#This Row],[SER_IN]]</f>
        <v>0</v>
      </c>
    </row>
    <row r="98" spans="1:42" ht="18.75" x14ac:dyDescent="0.25">
      <c r="A98" s="10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Table6[[#This Row],[ (T/B) SAR]]+Table6[[#This Row],[ (S/S) SAR]]</f>
        <v>0</v>
      </c>
      <c r="L98" s="41"/>
      <c r="M98" s="42"/>
      <c r="N98" s="42"/>
      <c r="O98" s="39"/>
      <c r="P98" s="3">
        <f>Table6[[#This Row],[ (S/S) SAR]]-Table6[[#This Row],[(S/S) AJD]]</f>
        <v>0</v>
      </c>
      <c r="Q98" s="39"/>
      <c r="R98" s="3">
        <f>Table6[[#This Row],[ (T/B) SAR]]-Table6[[#This Row],[(T/B) AJD]]</f>
        <v>0</v>
      </c>
      <c r="S98" s="3">
        <f>Table6[[#This Row],[S/S_CON.]]+Table6[[#This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Table6[[#This Row],[(RESV. STORGE) AJD]]/10</f>
        <v>0</v>
      </c>
      <c r="AB98" s="3">
        <f t="shared" si="7"/>
        <v>0</v>
      </c>
      <c r="AC98" s="5"/>
      <c r="AD98" s="39">
        <f>(Table6[[#This Row],[( S/S+T/B) AJD]]*1000)-((Table6[[#This Row],[(STORGE DIFF.) AJD]]*1000)+Table6[[#This Row],[AJD_Evaporation]]+(Table6[[#This Row],[(A/B + A/S) AJD]]*1000))</f>
        <v>0</v>
      </c>
      <c r="AE98" s="41"/>
      <c r="AF98" s="43"/>
      <c r="AG98" s="43"/>
      <c r="AH98" s="6">
        <f>Table6[[#This Row],[ (RESV. STORGE) BER]]/10</f>
        <v>0</v>
      </c>
      <c r="AI98" s="41"/>
      <c r="AJ98" s="43">
        <f>Table6[[#This Row],[(A/B) AJD]]-TABL12345[[#This Row],[BER_IN]]</f>
        <v>0</v>
      </c>
      <c r="AK98" s="43"/>
      <c r="AL98" s="43"/>
      <c r="AM98" s="32"/>
      <c r="AN98" s="32">
        <f>Table6[[#This Row],[ (RESV. STORGE) SER]]/10</f>
        <v>0</v>
      </c>
      <c r="AO98" s="68"/>
      <c r="AP98" s="103">
        <f>Table6[[#This Row],[(A/S) AJD]]-Table6[[#This Row],[SER_IN]]</f>
        <v>0</v>
      </c>
    </row>
    <row r="99" spans="1:42" ht="18.75" x14ac:dyDescent="0.25">
      <c r="A99" s="10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Table6[[#This Row],[ (T/B) SAR]]+Table6[[#This Row],[ (S/S) SAR]]</f>
        <v>0</v>
      </c>
      <c r="L99" s="45"/>
      <c r="M99" s="46"/>
      <c r="N99" s="46"/>
      <c r="O99" s="40"/>
      <c r="P99" s="3">
        <f>Table6[[#This Row],[ (S/S) SAR]]-Table6[[#This Row],[(S/S) AJD]]</f>
        <v>0</v>
      </c>
      <c r="Q99" s="40"/>
      <c r="R99" s="3">
        <f>Table6[[#This Row],[ (T/B) SAR]]-Table6[[#This Row],[(T/B) AJD]]</f>
        <v>0</v>
      </c>
      <c r="S99" s="3">
        <f>Table6[[#This Row],[S/S_CON.]]+Table6[[#This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Table6[[#This Row],[(RESV. STORGE) AJD]]/10</f>
        <v>0</v>
      </c>
      <c r="AB99" s="3">
        <f t="shared" si="7"/>
        <v>0</v>
      </c>
      <c r="AC99" s="5"/>
      <c r="AD99" s="40">
        <f>(Table6[[#This Row],[( S/S+T/B) AJD]]*1000)-((Table6[[#This Row],[(STORGE DIFF.) AJD]]*1000)+Table6[[#This Row],[AJD_Evaporation]]+(Table6[[#This Row],[(A/B + A/S) AJD]]*1000))</f>
        <v>0</v>
      </c>
      <c r="AE99" s="44"/>
      <c r="AF99" s="45"/>
      <c r="AG99" s="45"/>
      <c r="AH99" s="6">
        <f>Table6[[#This Row],[ (RESV. STORGE) BER]]/10</f>
        <v>0</v>
      </c>
      <c r="AI99" s="44"/>
      <c r="AJ99" s="45">
        <f>Table6[[#This Row],[(A/B) AJD]]-TABL12345[[#This Row],[BER_IN]]</f>
        <v>0</v>
      </c>
      <c r="AK99" s="45"/>
      <c r="AL99" s="45"/>
      <c r="AM99" s="32"/>
      <c r="AN99" s="32">
        <f>Table6[[#This Row],[ (RESV. STORGE) SER]]/10</f>
        <v>0</v>
      </c>
      <c r="AO99" s="68"/>
      <c r="AP99" s="103">
        <f>Table6[[#This Row],[(A/S) AJD]]-Table6[[#This Row],[SER_IN]]</f>
        <v>0</v>
      </c>
    </row>
    <row r="100" spans="1:42" ht="18.75" x14ac:dyDescent="0.25">
      <c r="A100" s="10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Table6[[#This Row],[ (T/B) SAR]]+Table6[[#This Row],[ (S/S) SAR]]</f>
        <v>0</v>
      </c>
      <c r="L100" s="41"/>
      <c r="M100" s="42"/>
      <c r="N100" s="42"/>
      <c r="O100" s="39"/>
      <c r="P100" s="3">
        <f>Table6[[#This Row],[ (S/S) SAR]]-Table6[[#This Row],[(S/S) AJD]]</f>
        <v>0</v>
      </c>
      <c r="Q100" s="39"/>
      <c r="R100" s="3">
        <f>Table6[[#This Row],[ (T/B) SAR]]-Table6[[#This Row],[(T/B) AJD]]</f>
        <v>0</v>
      </c>
      <c r="S100" s="3">
        <f>Table6[[#This Row],[S/S_CON.]]+Table6[[#This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Table6[[#This Row],[(RESV. STORGE) AJD]]/10</f>
        <v>0</v>
      </c>
      <c r="AB100" s="3">
        <f t="shared" si="7"/>
        <v>0</v>
      </c>
      <c r="AC100" s="5"/>
      <c r="AD100" s="39">
        <f>(Table6[[#This Row],[( S/S+T/B) AJD]]*1000)-((Table6[[#This Row],[(STORGE DIFF.) AJD]]*1000)+Table6[[#This Row],[AJD_Evaporation]]+(Table6[[#This Row],[(A/B + A/S) AJD]]*1000))</f>
        <v>0</v>
      </c>
      <c r="AE100" s="41"/>
      <c r="AF100" s="43"/>
      <c r="AG100" s="43"/>
      <c r="AH100" s="6">
        <f>Table6[[#This Row],[ (RESV. STORGE) BER]]/10</f>
        <v>0</v>
      </c>
      <c r="AI100" s="41"/>
      <c r="AJ100" s="43">
        <f>Table6[[#This Row],[(A/B) AJD]]-TABL12345[[#This Row],[BER_IN]]</f>
        <v>0</v>
      </c>
      <c r="AK100" s="43"/>
      <c r="AL100" s="43"/>
      <c r="AM100" s="32"/>
      <c r="AN100" s="32">
        <f>Table6[[#This Row],[ (RESV. STORGE) SER]]/10</f>
        <v>0</v>
      </c>
      <c r="AO100" s="68"/>
      <c r="AP100" s="103">
        <f>Table6[[#This Row],[(A/S) AJD]]-Table6[[#This Row],[SER_IN]]</f>
        <v>0</v>
      </c>
    </row>
    <row r="101" spans="1:42" ht="18.75" x14ac:dyDescent="0.25">
      <c r="A101" s="10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Table6[[#This Row],[ (T/B) SAR]]+Table6[[#This Row],[ (S/S) SAR]]</f>
        <v>0</v>
      </c>
      <c r="L101" s="45"/>
      <c r="M101" s="46"/>
      <c r="N101" s="46"/>
      <c r="O101" s="40"/>
      <c r="P101" s="3">
        <f>Table6[[#This Row],[ (S/S) SAR]]-Table6[[#This Row],[(S/S) AJD]]</f>
        <v>0</v>
      </c>
      <c r="Q101" s="40"/>
      <c r="R101" s="3">
        <f>Table6[[#This Row],[ (T/B) SAR]]-Table6[[#This Row],[(T/B) AJD]]</f>
        <v>0</v>
      </c>
      <c r="S101" s="3">
        <f>Table6[[#This Row],[S/S_CON.]]+Table6[[#This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Table6[[#This Row],[(RESV. STORGE) AJD]]/10</f>
        <v>0</v>
      </c>
      <c r="AB101" s="3">
        <f t="shared" si="7"/>
        <v>0</v>
      </c>
      <c r="AC101" s="5"/>
      <c r="AD101" s="40">
        <f>(Table6[[#This Row],[( S/S+T/B) AJD]]*1000)-((Table6[[#This Row],[(STORGE DIFF.) AJD]]*1000)+Table6[[#This Row],[AJD_Evaporation]]+(Table6[[#This Row],[(A/B + A/S) AJD]]*1000))</f>
        <v>0</v>
      </c>
      <c r="AE101" s="44"/>
      <c r="AF101" s="45"/>
      <c r="AG101" s="45"/>
      <c r="AH101" s="6">
        <f>Table6[[#This Row],[ (RESV. STORGE) BER]]/10</f>
        <v>0</v>
      </c>
      <c r="AI101" s="44"/>
      <c r="AJ101" s="45">
        <f>Table6[[#This Row],[(A/B) AJD]]-TABL12345[[#This Row],[BER_IN]]</f>
        <v>0</v>
      </c>
      <c r="AK101" s="45"/>
      <c r="AL101" s="45"/>
      <c r="AM101" s="32"/>
      <c r="AN101" s="32">
        <f>Table6[[#This Row],[ (RESV. STORGE) SER]]/10</f>
        <v>0</v>
      </c>
      <c r="AO101" s="68"/>
      <c r="AP101" s="103">
        <f>Table6[[#This Row],[(A/S) AJD]]-Table6[[#This Row],[SER_IN]]</f>
        <v>0</v>
      </c>
    </row>
    <row r="102" spans="1:42" ht="18.75" x14ac:dyDescent="0.25">
      <c r="A102" s="10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Table6[[#This Row],[ (T/B) SAR]]+Table6[[#This Row],[ (S/S) SAR]]</f>
        <v>0</v>
      </c>
      <c r="L102" s="41"/>
      <c r="M102" s="42"/>
      <c r="N102" s="42"/>
      <c r="O102" s="39"/>
      <c r="P102" s="3">
        <f>Table6[[#This Row],[ (S/S) SAR]]-Table6[[#This Row],[(S/S) AJD]]</f>
        <v>0</v>
      </c>
      <c r="Q102" s="39"/>
      <c r="R102" s="3">
        <f>Table6[[#This Row],[ (T/B) SAR]]-Table6[[#This Row],[(T/B) AJD]]</f>
        <v>0</v>
      </c>
      <c r="S102" s="3">
        <f>Table6[[#This Row],[S/S_CON.]]+Table6[[#This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Table6[[#This Row],[(RESV. STORGE) AJD]]/10</f>
        <v>0</v>
      </c>
      <c r="AB102" s="3">
        <f t="shared" si="7"/>
        <v>0</v>
      </c>
      <c r="AC102" s="5"/>
      <c r="AD102" s="39">
        <f>(Table6[[#This Row],[( S/S+T/B) AJD]]*1000)-((Table6[[#This Row],[(STORGE DIFF.) AJD]]*1000)+Table6[[#This Row],[AJD_Evaporation]]+(Table6[[#This Row],[(A/B + A/S) AJD]]*1000))</f>
        <v>0</v>
      </c>
      <c r="AE102" s="41"/>
      <c r="AF102" s="43"/>
      <c r="AG102" s="43"/>
      <c r="AH102" s="6">
        <f>Table6[[#This Row],[ (RESV. STORGE) BER]]/10</f>
        <v>0</v>
      </c>
      <c r="AI102" s="41"/>
      <c r="AJ102" s="43">
        <f>Table6[[#This Row],[(A/B) AJD]]-TABL12345[[#This Row],[BER_IN]]</f>
        <v>0</v>
      </c>
      <c r="AK102" s="43"/>
      <c r="AL102" s="43"/>
      <c r="AM102" s="32"/>
      <c r="AN102" s="32">
        <f>Table6[[#This Row],[ (RESV. STORGE) SER]]/10</f>
        <v>0</v>
      </c>
      <c r="AO102" s="68"/>
      <c r="AP102" s="103">
        <f>Table6[[#This Row],[(A/S) AJD]]-Table6[[#This Row],[SER_IN]]</f>
        <v>0</v>
      </c>
    </row>
    <row r="103" spans="1:42" ht="18.75" x14ac:dyDescent="0.25">
      <c r="A103" s="10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Table6[[#This Row],[ (T/B) SAR]]+Table6[[#This Row],[ (S/S) SAR]]</f>
        <v>0</v>
      </c>
      <c r="L103" s="45"/>
      <c r="M103" s="46"/>
      <c r="N103" s="46"/>
      <c r="O103" s="40"/>
      <c r="P103" s="3">
        <f>Table6[[#This Row],[ (S/S) SAR]]-Table6[[#This Row],[(S/S) AJD]]</f>
        <v>0</v>
      </c>
      <c r="Q103" s="40"/>
      <c r="R103" s="3">
        <f>Table6[[#This Row],[ (T/B) SAR]]-Table6[[#This Row],[(T/B) AJD]]</f>
        <v>0</v>
      </c>
      <c r="S103" s="3">
        <f>Table6[[#This Row],[S/S_CON.]]+Table6[[#This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Table6[[#This Row],[(RESV. STORGE) AJD]]/10</f>
        <v>0</v>
      </c>
      <c r="AB103" s="3">
        <f t="shared" si="7"/>
        <v>0</v>
      </c>
      <c r="AC103" s="5"/>
      <c r="AD103" s="40">
        <f>(Table6[[#This Row],[( S/S+T/B) AJD]]*1000)-((Table6[[#This Row],[(STORGE DIFF.) AJD]]*1000)+Table6[[#This Row],[AJD_Evaporation]]+(Table6[[#This Row],[(A/B + A/S) AJD]]*1000))</f>
        <v>0</v>
      </c>
      <c r="AE103" s="44"/>
      <c r="AF103" s="45"/>
      <c r="AG103" s="45"/>
      <c r="AH103" s="6">
        <f>Table6[[#This Row],[ (RESV. STORGE) BER]]/10</f>
        <v>0</v>
      </c>
      <c r="AI103" s="44"/>
      <c r="AJ103" s="45">
        <f>Table6[[#This Row],[(A/B) AJD]]-TABL12345[[#This Row],[BER_IN]]</f>
        <v>0</v>
      </c>
      <c r="AK103" s="45"/>
      <c r="AL103" s="45"/>
      <c r="AM103" s="32"/>
      <c r="AN103" s="32">
        <f>Table6[[#This Row],[ (RESV. STORGE) SER]]/10</f>
        <v>0</v>
      </c>
      <c r="AO103" s="68"/>
      <c r="AP103" s="103">
        <f>Table6[[#This Row],[(A/S) AJD]]-Table6[[#This Row],[SER_IN]]</f>
        <v>0</v>
      </c>
    </row>
    <row r="104" spans="1:42" ht="18.75" x14ac:dyDescent="0.25">
      <c r="A104" s="10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Table6[[#This Row],[ (T/B) SAR]]+Table6[[#This Row],[ (S/S) SAR]]</f>
        <v>0</v>
      </c>
      <c r="L104" s="41"/>
      <c r="M104" s="42"/>
      <c r="N104" s="42"/>
      <c r="O104" s="39"/>
      <c r="P104" s="3">
        <f>Table6[[#This Row],[ (S/S) SAR]]-Table6[[#This Row],[(S/S) AJD]]</f>
        <v>0</v>
      </c>
      <c r="Q104" s="39"/>
      <c r="R104" s="3">
        <f>Table6[[#This Row],[ (T/B) SAR]]-Table6[[#This Row],[(T/B) AJD]]</f>
        <v>0</v>
      </c>
      <c r="S104" s="3">
        <f>Table6[[#This Row],[S/S_CON.]]+Table6[[#This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Table6[[#This Row],[(RESV. STORGE) AJD]]/10</f>
        <v>0</v>
      </c>
      <c r="AB104" s="3">
        <f t="shared" si="7"/>
        <v>0</v>
      </c>
      <c r="AC104" s="5"/>
      <c r="AD104" s="39">
        <f>(Table6[[#This Row],[( S/S+T/B) AJD]]*1000)-((Table6[[#This Row],[(STORGE DIFF.) AJD]]*1000)+Table6[[#This Row],[AJD_Evaporation]]+(Table6[[#This Row],[(A/B + A/S) AJD]]*1000))</f>
        <v>0</v>
      </c>
      <c r="AE104" s="41"/>
      <c r="AF104" s="43"/>
      <c r="AG104" s="43"/>
      <c r="AH104" s="6">
        <f>Table6[[#This Row],[ (RESV. STORGE) BER]]/10</f>
        <v>0</v>
      </c>
      <c r="AI104" s="41"/>
      <c r="AJ104" s="43">
        <f>Table6[[#This Row],[(A/B) AJD]]-TABL12345[[#This Row],[BER_IN]]</f>
        <v>0</v>
      </c>
      <c r="AK104" s="43"/>
      <c r="AL104" s="43"/>
      <c r="AM104" s="32"/>
      <c r="AN104" s="32">
        <f>Table6[[#This Row],[ (RESV. STORGE) SER]]/10</f>
        <v>0</v>
      </c>
      <c r="AO104" s="68"/>
      <c r="AP104" s="103">
        <f>Table6[[#This Row],[(A/S) AJD]]-Table6[[#This Row],[SER_IN]]</f>
        <v>0</v>
      </c>
    </row>
    <row r="105" spans="1:42" ht="18.75" x14ac:dyDescent="0.25">
      <c r="A105" s="10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Table6[[#This Row],[ (T/B) SAR]]+Table6[[#This Row],[ (S/S) SAR]]</f>
        <v>0</v>
      </c>
      <c r="L105" s="45"/>
      <c r="M105" s="46"/>
      <c r="N105" s="46"/>
      <c r="O105" s="40"/>
      <c r="P105" s="3">
        <f>Table6[[#This Row],[ (S/S) SAR]]-Table6[[#This Row],[(S/S) AJD]]</f>
        <v>0</v>
      </c>
      <c r="Q105" s="40"/>
      <c r="R105" s="3">
        <f>Table6[[#This Row],[ (T/B) SAR]]-Table6[[#This Row],[(T/B) AJD]]</f>
        <v>0</v>
      </c>
      <c r="S105" s="3">
        <f>Table6[[#This Row],[S/S_CON.]]+Table6[[#This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Table6[[#This Row],[(RESV. STORGE) AJD]]/10</f>
        <v>0</v>
      </c>
      <c r="AB105" s="3">
        <f t="shared" si="7"/>
        <v>0</v>
      </c>
      <c r="AC105" s="5"/>
      <c r="AD105" s="40">
        <f>(Table6[[#This Row],[( S/S+T/B) AJD]]*1000)-((Table6[[#This Row],[(STORGE DIFF.) AJD]]*1000)+Table6[[#This Row],[AJD_Evaporation]]+(Table6[[#This Row],[(A/B + A/S) AJD]]*1000))</f>
        <v>0</v>
      </c>
      <c r="AE105" s="44"/>
      <c r="AF105" s="45"/>
      <c r="AG105" s="45"/>
      <c r="AH105" s="6">
        <f>Table6[[#This Row],[ (RESV. STORGE) BER]]/10</f>
        <v>0</v>
      </c>
      <c r="AI105" s="44"/>
      <c r="AJ105" s="45">
        <f>Table6[[#This Row],[(A/B) AJD]]-TABL12345[[#This Row],[BER_IN]]</f>
        <v>0</v>
      </c>
      <c r="AK105" s="45"/>
      <c r="AL105" s="45"/>
      <c r="AM105" s="32"/>
      <c r="AN105" s="32">
        <f>Table6[[#This Row],[ (RESV. STORGE) SER]]/10</f>
        <v>0</v>
      </c>
      <c r="AO105" s="68"/>
      <c r="AP105" s="103">
        <f>Table6[[#This Row],[(A/S) AJD]]-Table6[[#This Row],[SER_IN]]</f>
        <v>0</v>
      </c>
    </row>
    <row r="106" spans="1:42" ht="18.75" x14ac:dyDescent="0.25">
      <c r="A106" s="10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Table6[[#This Row],[ (T/B) SAR]]+Table6[[#This Row],[ (S/S) SAR]]</f>
        <v>0</v>
      </c>
      <c r="L106" s="41"/>
      <c r="M106" s="42"/>
      <c r="N106" s="42"/>
      <c r="O106" s="39"/>
      <c r="P106" s="3">
        <f>Table6[[#This Row],[ (S/S) SAR]]-Table6[[#This Row],[(S/S) AJD]]</f>
        <v>0</v>
      </c>
      <c r="Q106" s="39"/>
      <c r="R106" s="3">
        <f>Table6[[#This Row],[ (T/B) SAR]]-Table6[[#This Row],[(T/B) AJD]]</f>
        <v>0</v>
      </c>
      <c r="S106" s="3">
        <f>Table6[[#This Row],[S/S_CON.]]+Table6[[#This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Table6[[#This Row],[(RESV. STORGE) AJD]]/10</f>
        <v>0</v>
      </c>
      <c r="AB106" s="3">
        <f t="shared" si="7"/>
        <v>0</v>
      </c>
      <c r="AC106" s="5"/>
      <c r="AD106" s="39">
        <f>(Table6[[#This Row],[( S/S+T/B) AJD]]*1000)-((Table6[[#This Row],[(STORGE DIFF.) AJD]]*1000)+Table6[[#This Row],[AJD_Evaporation]]+(Table6[[#This Row],[(A/B + A/S) AJD]]*1000))</f>
        <v>0</v>
      </c>
      <c r="AE106" s="41"/>
      <c r="AF106" s="43"/>
      <c r="AG106" s="43"/>
      <c r="AH106" s="6">
        <f>Table6[[#This Row],[ (RESV. STORGE) BER]]/10</f>
        <v>0</v>
      </c>
      <c r="AI106" s="41"/>
      <c r="AJ106" s="43">
        <f>Table6[[#This Row],[(A/B) AJD]]-TABL12345[[#This Row],[BER_IN]]</f>
        <v>0</v>
      </c>
      <c r="AK106" s="43"/>
      <c r="AL106" s="43"/>
      <c r="AM106" s="32"/>
      <c r="AN106" s="32">
        <f>Table6[[#This Row],[ (RESV. STORGE) SER]]/10</f>
        <v>0</v>
      </c>
      <c r="AO106" s="68"/>
      <c r="AP106" s="103">
        <f>Table6[[#This Row],[(A/S) AJD]]-Table6[[#This Row],[SER_IN]]</f>
        <v>0</v>
      </c>
    </row>
    <row r="107" spans="1:42" ht="18.75" x14ac:dyDescent="0.25">
      <c r="A107" s="10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Table6[[#This Row],[ (T/B) SAR]]+Table6[[#This Row],[ (S/S) SAR]]</f>
        <v>0</v>
      </c>
      <c r="L107" s="45"/>
      <c r="M107" s="46"/>
      <c r="N107" s="46"/>
      <c r="O107" s="40"/>
      <c r="P107" s="3">
        <f>Table6[[#This Row],[ (S/S) SAR]]-Table6[[#This Row],[(S/S) AJD]]</f>
        <v>0</v>
      </c>
      <c r="Q107" s="40"/>
      <c r="R107" s="3">
        <f>Table6[[#This Row],[ (T/B) SAR]]-Table6[[#This Row],[(T/B) AJD]]</f>
        <v>0</v>
      </c>
      <c r="S107" s="3">
        <f>Table6[[#This Row],[S/S_CON.]]+Table6[[#This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Table6[[#This Row],[(RESV. STORGE) AJD]]/10</f>
        <v>0</v>
      </c>
      <c r="AB107" s="3">
        <f t="shared" si="7"/>
        <v>0</v>
      </c>
      <c r="AC107" s="5"/>
      <c r="AD107" s="40">
        <f>(Table6[[#This Row],[( S/S+T/B) AJD]]*1000)-((Table6[[#This Row],[(STORGE DIFF.) AJD]]*1000)+Table6[[#This Row],[AJD_Evaporation]]+(Table6[[#This Row],[(A/B + A/S) AJD]]*1000))</f>
        <v>0</v>
      </c>
      <c r="AE107" s="44"/>
      <c r="AF107" s="45"/>
      <c r="AG107" s="45"/>
      <c r="AH107" s="6">
        <f>Table6[[#This Row],[ (RESV. STORGE) BER]]/10</f>
        <v>0</v>
      </c>
      <c r="AI107" s="44"/>
      <c r="AJ107" s="45">
        <f>Table6[[#This Row],[(A/B) AJD]]-TABL12345[[#This Row],[BER_IN]]</f>
        <v>0</v>
      </c>
      <c r="AK107" s="45"/>
      <c r="AL107" s="45"/>
      <c r="AM107" s="32"/>
      <c r="AN107" s="32">
        <f>Table6[[#This Row],[ (RESV. STORGE) SER]]/10</f>
        <v>0</v>
      </c>
      <c r="AO107" s="68"/>
      <c r="AP107" s="103">
        <f>Table6[[#This Row],[(A/S) AJD]]-Table6[[#This Row],[SER_IN]]</f>
        <v>0</v>
      </c>
    </row>
    <row r="108" spans="1:42" ht="18.75" x14ac:dyDescent="0.25">
      <c r="A108" s="10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Table6[[#This Row],[ (T/B) SAR]]+Table6[[#This Row],[ (S/S) SAR]]</f>
        <v>0</v>
      </c>
      <c r="L108" s="41"/>
      <c r="M108" s="42"/>
      <c r="N108" s="42"/>
      <c r="O108" s="39"/>
      <c r="P108" s="3">
        <f>Table6[[#This Row],[ (S/S) SAR]]-Table6[[#This Row],[(S/S) AJD]]</f>
        <v>0</v>
      </c>
      <c r="Q108" s="39"/>
      <c r="R108" s="3">
        <f>Table6[[#This Row],[ (T/B) SAR]]-Table6[[#This Row],[(T/B) AJD]]</f>
        <v>0</v>
      </c>
      <c r="S108" s="3">
        <f>Table6[[#This Row],[S/S_CON.]]+Table6[[#This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Table6[[#This Row],[(RESV. STORGE) AJD]]/10</f>
        <v>0</v>
      </c>
      <c r="AB108" s="3">
        <f t="shared" si="7"/>
        <v>0</v>
      </c>
      <c r="AC108" s="5"/>
      <c r="AD108" s="39">
        <f>(Table6[[#This Row],[( S/S+T/B) AJD]]*1000)-((Table6[[#This Row],[(STORGE DIFF.) AJD]]*1000)+Table6[[#This Row],[AJD_Evaporation]]+(Table6[[#This Row],[(A/B + A/S) AJD]]*1000))</f>
        <v>0</v>
      </c>
      <c r="AE108" s="41"/>
      <c r="AF108" s="43"/>
      <c r="AG108" s="43"/>
      <c r="AH108" s="6">
        <f>Table6[[#This Row],[ (RESV. STORGE) BER]]/10</f>
        <v>0</v>
      </c>
      <c r="AI108" s="41"/>
      <c r="AJ108" s="43">
        <f>Table6[[#This Row],[(A/B) AJD]]-TABL12345[[#This Row],[BER_IN]]</f>
        <v>0</v>
      </c>
      <c r="AK108" s="43"/>
      <c r="AL108" s="43"/>
      <c r="AM108" s="32"/>
      <c r="AN108" s="32">
        <f>Table6[[#This Row],[ (RESV. STORGE) SER]]/10</f>
        <v>0</v>
      </c>
      <c r="AO108" s="68"/>
      <c r="AP108" s="103">
        <f>Table6[[#This Row],[(A/S) AJD]]-Table6[[#This Row],[SER_IN]]</f>
        <v>0</v>
      </c>
    </row>
    <row r="109" spans="1:42" ht="18.75" x14ac:dyDescent="0.25">
      <c r="A109" s="10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Table6[[#This Row],[ (T/B) SAR]]+Table6[[#This Row],[ (S/S) SAR]]</f>
        <v>0</v>
      </c>
      <c r="L109" s="45"/>
      <c r="M109" s="46"/>
      <c r="N109" s="46"/>
      <c r="O109" s="40"/>
      <c r="P109" s="3">
        <f>Table6[[#This Row],[ (S/S) SAR]]-Table6[[#This Row],[(S/S) AJD]]</f>
        <v>0</v>
      </c>
      <c r="Q109" s="40"/>
      <c r="R109" s="3">
        <f>Table6[[#This Row],[ (T/B) SAR]]-Table6[[#This Row],[(T/B) AJD]]</f>
        <v>0</v>
      </c>
      <c r="S109" s="3">
        <f>Table6[[#This Row],[S/S_CON.]]+Table6[[#This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Table6[[#This Row],[(RESV. STORGE) AJD]]/10</f>
        <v>0</v>
      </c>
      <c r="AB109" s="3">
        <f t="shared" si="7"/>
        <v>0</v>
      </c>
      <c r="AC109" s="5"/>
      <c r="AD109" s="40">
        <f>(Table6[[#This Row],[( S/S+T/B) AJD]]*1000)-((Table6[[#This Row],[(STORGE DIFF.) AJD]]*1000)+Table6[[#This Row],[AJD_Evaporation]]+(Table6[[#This Row],[(A/B + A/S) AJD]]*1000))</f>
        <v>0</v>
      </c>
      <c r="AE109" s="44"/>
      <c r="AF109" s="45"/>
      <c r="AG109" s="45"/>
      <c r="AH109" s="6">
        <f>Table6[[#This Row],[ (RESV. STORGE) BER]]/10</f>
        <v>0</v>
      </c>
      <c r="AI109" s="44"/>
      <c r="AJ109" s="45">
        <f>Table6[[#This Row],[(A/B) AJD]]-TABL12345[[#This Row],[BER_IN]]</f>
        <v>0</v>
      </c>
      <c r="AK109" s="45"/>
      <c r="AL109" s="45"/>
      <c r="AM109" s="32"/>
      <c r="AN109" s="32">
        <f>Table6[[#This Row],[ (RESV. STORGE) SER]]/10</f>
        <v>0</v>
      </c>
      <c r="AO109" s="68"/>
      <c r="AP109" s="103">
        <f>Table6[[#This Row],[(A/S) AJD]]-Table6[[#This Row],[SER_IN]]</f>
        <v>0</v>
      </c>
    </row>
    <row r="110" spans="1:42" ht="18.75" x14ac:dyDescent="0.25">
      <c r="A110" s="10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Table6[[#This Row],[ (T/B) SAR]]+Table6[[#This Row],[ (S/S) SAR]]</f>
        <v>0</v>
      </c>
      <c r="L110" s="41"/>
      <c r="M110" s="42"/>
      <c r="N110" s="42"/>
      <c r="O110" s="39"/>
      <c r="P110" s="3">
        <f>Table6[[#This Row],[ (S/S) SAR]]-Table6[[#This Row],[(S/S) AJD]]</f>
        <v>0</v>
      </c>
      <c r="Q110" s="39"/>
      <c r="R110" s="3">
        <f>Table6[[#This Row],[ (T/B) SAR]]-Table6[[#This Row],[(T/B) AJD]]</f>
        <v>0</v>
      </c>
      <c r="S110" s="3">
        <f>Table6[[#This Row],[S/S_CON.]]+Table6[[#This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Table6[[#This Row],[(RESV. STORGE) AJD]]/10</f>
        <v>0</v>
      </c>
      <c r="AB110" s="3">
        <f t="shared" si="7"/>
        <v>0</v>
      </c>
      <c r="AC110" s="5"/>
      <c r="AD110" s="39">
        <f>(Table6[[#This Row],[( S/S+T/B) AJD]]*1000)-((Table6[[#This Row],[(STORGE DIFF.) AJD]]*1000)+Table6[[#This Row],[AJD_Evaporation]]+(Table6[[#This Row],[(A/B + A/S) AJD]]*1000))</f>
        <v>0</v>
      </c>
      <c r="AE110" s="41"/>
      <c r="AF110" s="43"/>
      <c r="AG110" s="43"/>
      <c r="AH110" s="6">
        <f>Table6[[#This Row],[ (RESV. STORGE) BER]]/10</f>
        <v>0</v>
      </c>
      <c r="AI110" s="41"/>
      <c r="AJ110" s="43">
        <f>Table6[[#This Row],[(A/B) AJD]]-TABL12345[[#This Row],[BER_IN]]</f>
        <v>0</v>
      </c>
      <c r="AK110" s="43"/>
      <c r="AL110" s="43"/>
      <c r="AM110" s="32"/>
      <c r="AN110" s="32">
        <f>Table6[[#This Row],[ (RESV. STORGE) SER]]/10</f>
        <v>0</v>
      </c>
      <c r="AO110" s="68"/>
      <c r="AP110" s="103">
        <f>Table6[[#This Row],[(A/S) AJD]]-Table6[[#This Row],[SER_IN]]</f>
        <v>0</v>
      </c>
    </row>
    <row r="111" spans="1:42" ht="18.75" x14ac:dyDescent="0.25">
      <c r="A111" s="10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Table6[[#This Row],[ (T/B) SAR]]+Table6[[#This Row],[ (S/S) SAR]]</f>
        <v>0</v>
      </c>
      <c r="L111" s="45"/>
      <c r="M111" s="46"/>
      <c r="N111" s="46"/>
      <c r="O111" s="40"/>
      <c r="P111" s="3">
        <f>Table6[[#This Row],[ (S/S) SAR]]-Table6[[#This Row],[(S/S) AJD]]</f>
        <v>0</v>
      </c>
      <c r="Q111" s="40"/>
      <c r="R111" s="3">
        <f>Table6[[#This Row],[ (T/B) SAR]]-Table6[[#This Row],[(T/B) AJD]]</f>
        <v>0</v>
      </c>
      <c r="S111" s="3">
        <f>Table6[[#This Row],[S/S_CON.]]+Table6[[#This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Table6[[#This Row],[(RESV. STORGE) AJD]]/10</f>
        <v>0</v>
      </c>
      <c r="AB111" s="3">
        <f t="shared" si="7"/>
        <v>0</v>
      </c>
      <c r="AC111" s="5"/>
      <c r="AD111" s="40">
        <f>(Table6[[#This Row],[( S/S+T/B) AJD]]*1000)-((Table6[[#This Row],[(STORGE DIFF.) AJD]]*1000)+Table6[[#This Row],[AJD_Evaporation]]+(Table6[[#This Row],[(A/B + A/S) AJD]]*1000))</f>
        <v>0</v>
      </c>
      <c r="AE111" s="44"/>
      <c r="AF111" s="45"/>
      <c r="AG111" s="45"/>
      <c r="AH111" s="6">
        <f>Table6[[#This Row],[ (RESV. STORGE) BER]]/10</f>
        <v>0</v>
      </c>
      <c r="AI111" s="44"/>
      <c r="AJ111" s="45">
        <f>Table6[[#This Row],[(A/B) AJD]]-TABL12345[[#This Row],[BER_IN]]</f>
        <v>0</v>
      </c>
      <c r="AK111" s="45"/>
      <c r="AL111" s="45"/>
      <c r="AM111" s="32"/>
      <c r="AN111" s="32">
        <f>Table6[[#This Row],[ (RESV. STORGE) SER]]/10</f>
        <v>0</v>
      </c>
      <c r="AO111" s="68"/>
      <c r="AP111" s="103">
        <f>Table6[[#This Row],[(A/S) AJD]]-Table6[[#This Row],[SER_IN]]</f>
        <v>0</v>
      </c>
    </row>
    <row r="112" spans="1:42" ht="18.75" x14ac:dyDescent="0.25">
      <c r="A112" s="10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Table6[[#This Row],[ (T/B) SAR]]+Table6[[#This Row],[ (S/S) SAR]]</f>
        <v>0</v>
      </c>
      <c r="L112" s="41"/>
      <c r="M112" s="42"/>
      <c r="N112" s="42"/>
      <c r="O112" s="39"/>
      <c r="P112" s="3">
        <f>Table6[[#This Row],[ (S/S) SAR]]-Table6[[#This Row],[(S/S) AJD]]</f>
        <v>0</v>
      </c>
      <c r="Q112" s="39"/>
      <c r="R112" s="3">
        <f>Table6[[#This Row],[ (T/B) SAR]]-Table6[[#This Row],[(T/B) AJD]]</f>
        <v>0</v>
      </c>
      <c r="S112" s="3">
        <f>Table6[[#This Row],[S/S_CON.]]+Table6[[#This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Table6[[#This Row],[(RESV. STORGE) AJD]]/10</f>
        <v>0</v>
      </c>
      <c r="AB112" s="3">
        <f t="shared" si="7"/>
        <v>0</v>
      </c>
      <c r="AC112" s="5"/>
      <c r="AD112" s="39">
        <f>(Table6[[#This Row],[( S/S+T/B) AJD]]*1000)-((Table6[[#This Row],[(STORGE DIFF.) AJD]]*1000)+Table6[[#This Row],[AJD_Evaporation]]+(Table6[[#This Row],[(A/B + A/S) AJD]]*1000))</f>
        <v>0</v>
      </c>
      <c r="AE112" s="41"/>
      <c r="AF112" s="43"/>
      <c r="AG112" s="43"/>
      <c r="AH112" s="6">
        <f>Table6[[#This Row],[ (RESV. STORGE) BER]]/10</f>
        <v>0</v>
      </c>
      <c r="AI112" s="41"/>
      <c r="AJ112" s="43">
        <f>Table6[[#This Row],[(A/B) AJD]]-TABL12345[[#This Row],[BER_IN]]</f>
        <v>0</v>
      </c>
      <c r="AK112" s="43"/>
      <c r="AL112" s="43"/>
      <c r="AM112" s="32"/>
      <c r="AN112" s="32">
        <f>Table6[[#This Row],[ (RESV. STORGE) SER]]/10</f>
        <v>0</v>
      </c>
      <c r="AO112" s="68"/>
      <c r="AP112" s="103">
        <f>Table6[[#This Row],[(A/S) AJD]]-Table6[[#This Row],[SER_IN]]</f>
        <v>0</v>
      </c>
    </row>
    <row r="113" spans="1:42" ht="18.75" x14ac:dyDescent="0.25">
      <c r="A113" s="10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Table6[[#This Row],[ (T/B) SAR]]+Table6[[#This Row],[ (S/S) SAR]]</f>
        <v>0</v>
      </c>
      <c r="L113" s="45"/>
      <c r="M113" s="46"/>
      <c r="N113" s="46"/>
      <c r="O113" s="40"/>
      <c r="P113" s="3">
        <f>Table6[[#This Row],[ (S/S) SAR]]-Table6[[#This Row],[(S/S) AJD]]</f>
        <v>0</v>
      </c>
      <c r="Q113" s="40"/>
      <c r="R113" s="3">
        <f>Table6[[#This Row],[ (T/B) SAR]]-Table6[[#This Row],[(T/B) AJD]]</f>
        <v>0</v>
      </c>
      <c r="S113" s="3">
        <f>Table6[[#This Row],[S/S_CON.]]+Table6[[#This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Table6[[#This Row],[(RESV. STORGE) AJD]]/10</f>
        <v>0</v>
      </c>
      <c r="AB113" s="3">
        <f t="shared" si="7"/>
        <v>0</v>
      </c>
      <c r="AC113" s="5"/>
      <c r="AD113" s="40">
        <f>(Table6[[#This Row],[( S/S+T/B) AJD]]*1000)-((Table6[[#This Row],[(STORGE DIFF.) AJD]]*1000)+Table6[[#This Row],[AJD_Evaporation]]+(Table6[[#This Row],[(A/B + A/S) AJD]]*1000))</f>
        <v>0</v>
      </c>
      <c r="AE113" s="44"/>
      <c r="AF113" s="45"/>
      <c r="AG113" s="45"/>
      <c r="AH113" s="6">
        <f>Table6[[#This Row],[ (RESV. STORGE) BER]]/10</f>
        <v>0</v>
      </c>
      <c r="AI113" s="44"/>
      <c r="AJ113" s="45">
        <f>Table6[[#This Row],[(A/B) AJD]]-TABL12345[[#This Row],[BER_IN]]</f>
        <v>0</v>
      </c>
      <c r="AK113" s="45"/>
      <c r="AL113" s="45"/>
      <c r="AM113" s="32"/>
      <c r="AN113" s="32">
        <f>Table6[[#This Row],[ (RESV. STORGE) SER]]/10</f>
        <v>0</v>
      </c>
      <c r="AO113" s="68"/>
      <c r="AP113" s="103">
        <f>Table6[[#This Row],[(A/S) AJD]]-Table6[[#This Row],[SER_IN]]</f>
        <v>0</v>
      </c>
    </row>
    <row r="114" spans="1:42" ht="18.75" x14ac:dyDescent="0.25">
      <c r="A114" s="10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Table6[[#This Row],[ (T/B) SAR]]+Table6[[#This Row],[ (S/S) SAR]]</f>
        <v>0</v>
      </c>
      <c r="L114" s="41"/>
      <c r="M114" s="42"/>
      <c r="N114" s="42"/>
      <c r="O114" s="39"/>
      <c r="P114" s="3">
        <f>Table6[[#This Row],[ (S/S) SAR]]-Table6[[#This Row],[(S/S) AJD]]</f>
        <v>0</v>
      </c>
      <c r="Q114" s="39"/>
      <c r="R114" s="3">
        <f>Table6[[#This Row],[ (T/B) SAR]]-Table6[[#This Row],[(T/B) AJD]]</f>
        <v>0</v>
      </c>
      <c r="S114" s="3">
        <f>Table6[[#This Row],[S/S_CON.]]+Table6[[#This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Table6[[#This Row],[(RESV. STORGE) AJD]]/10</f>
        <v>0</v>
      </c>
      <c r="AB114" s="3">
        <f t="shared" si="7"/>
        <v>0</v>
      </c>
      <c r="AC114" s="5"/>
      <c r="AD114" s="39">
        <f>(Table6[[#This Row],[( S/S+T/B) AJD]]*1000)-((Table6[[#This Row],[(STORGE DIFF.) AJD]]*1000)+Table6[[#This Row],[AJD_Evaporation]]+(Table6[[#This Row],[(A/B + A/S) AJD]]*1000))</f>
        <v>0</v>
      </c>
      <c r="AE114" s="41"/>
      <c r="AF114" s="43"/>
      <c r="AG114" s="43"/>
      <c r="AH114" s="6">
        <f>Table6[[#This Row],[ (RESV. STORGE) BER]]/10</f>
        <v>0</v>
      </c>
      <c r="AI114" s="41"/>
      <c r="AJ114" s="43">
        <f>Table6[[#This Row],[(A/B) AJD]]-TABL12345[[#This Row],[BER_IN]]</f>
        <v>0</v>
      </c>
      <c r="AK114" s="43"/>
      <c r="AL114" s="43"/>
      <c r="AM114" s="32"/>
      <c r="AN114" s="32">
        <f>Table6[[#This Row],[ (RESV. STORGE) SER]]/10</f>
        <v>0</v>
      </c>
      <c r="AO114" s="68"/>
      <c r="AP114" s="103">
        <f>Table6[[#This Row],[(A/S) AJD]]-Table6[[#This Row],[SER_IN]]</f>
        <v>0</v>
      </c>
    </row>
    <row r="115" spans="1:42" ht="18.75" x14ac:dyDescent="0.25">
      <c r="A115" s="10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Table6[[#This Row],[ (T/B) SAR]]+Table6[[#This Row],[ (S/S) SAR]]</f>
        <v>0</v>
      </c>
      <c r="L115" s="45"/>
      <c r="M115" s="46"/>
      <c r="N115" s="46"/>
      <c r="O115" s="40"/>
      <c r="P115" s="3">
        <f>Table6[[#This Row],[ (S/S) SAR]]-Table6[[#This Row],[(S/S) AJD]]</f>
        <v>0</v>
      </c>
      <c r="Q115" s="40"/>
      <c r="R115" s="3">
        <f>Table6[[#This Row],[ (T/B) SAR]]-Table6[[#This Row],[(T/B) AJD]]</f>
        <v>0</v>
      </c>
      <c r="S115" s="3">
        <f>Table6[[#This Row],[S/S_CON.]]+Table6[[#This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Table6[[#This Row],[(RESV. STORGE) AJD]]/10</f>
        <v>0</v>
      </c>
      <c r="AB115" s="3">
        <f t="shared" si="7"/>
        <v>0</v>
      </c>
      <c r="AC115" s="5"/>
      <c r="AD115" s="40">
        <f>(Table6[[#This Row],[( S/S+T/B) AJD]]*1000)-((Table6[[#This Row],[(STORGE DIFF.) AJD]]*1000)+Table6[[#This Row],[AJD_Evaporation]]+(Table6[[#This Row],[(A/B + A/S) AJD]]*1000))</f>
        <v>0</v>
      </c>
      <c r="AE115" s="44"/>
      <c r="AF115" s="45"/>
      <c r="AG115" s="45"/>
      <c r="AH115" s="6">
        <f>Table6[[#This Row],[ (RESV. STORGE) BER]]/10</f>
        <v>0</v>
      </c>
      <c r="AI115" s="44"/>
      <c r="AJ115" s="45">
        <f>Table6[[#This Row],[(A/B) AJD]]-TABL12345[[#This Row],[BER_IN]]</f>
        <v>0</v>
      </c>
      <c r="AK115" s="45"/>
      <c r="AL115" s="45"/>
      <c r="AM115" s="32"/>
      <c r="AN115" s="32">
        <f>Table6[[#This Row],[ (RESV. STORGE) SER]]/10</f>
        <v>0</v>
      </c>
      <c r="AO115" s="68"/>
      <c r="AP115" s="103">
        <f>Table6[[#This Row],[(A/S) AJD]]-Table6[[#This Row],[SER_IN]]</f>
        <v>0</v>
      </c>
    </row>
    <row r="116" spans="1:42" ht="18.75" x14ac:dyDescent="0.25">
      <c r="A116" s="10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Table6[[#This Row],[ (T/B) SAR]]+Table6[[#This Row],[ (S/S) SAR]]</f>
        <v>0</v>
      </c>
      <c r="L116" s="41"/>
      <c r="M116" s="42"/>
      <c r="N116" s="42"/>
      <c r="O116" s="39"/>
      <c r="P116" s="3">
        <f>Table6[[#This Row],[ (S/S) SAR]]-Table6[[#This Row],[(S/S) AJD]]</f>
        <v>0</v>
      </c>
      <c r="Q116" s="39"/>
      <c r="R116" s="3">
        <f>Table6[[#This Row],[ (T/B) SAR]]-Table6[[#This Row],[(T/B) AJD]]</f>
        <v>0</v>
      </c>
      <c r="S116" s="3">
        <f>Table6[[#This Row],[S/S_CON.]]+Table6[[#This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Table6[[#This Row],[(RESV. STORGE) AJD]]/10</f>
        <v>0</v>
      </c>
      <c r="AB116" s="3">
        <f t="shared" si="7"/>
        <v>0</v>
      </c>
      <c r="AC116" s="5"/>
      <c r="AD116" s="39">
        <f>(Table6[[#This Row],[( S/S+T/B) AJD]]*1000)-((Table6[[#This Row],[(STORGE DIFF.) AJD]]*1000)+Table6[[#This Row],[AJD_Evaporation]]+(Table6[[#This Row],[(A/B + A/S) AJD]]*1000))</f>
        <v>0</v>
      </c>
      <c r="AE116" s="41"/>
      <c r="AF116" s="43"/>
      <c r="AG116" s="43"/>
      <c r="AH116" s="6">
        <f>Table6[[#This Row],[ (RESV. STORGE) BER]]/10</f>
        <v>0</v>
      </c>
      <c r="AI116" s="41"/>
      <c r="AJ116" s="43">
        <f>Table6[[#This Row],[(A/B) AJD]]-TABL12345[[#This Row],[BER_IN]]</f>
        <v>0</v>
      </c>
      <c r="AK116" s="43"/>
      <c r="AL116" s="43"/>
      <c r="AM116" s="32"/>
      <c r="AN116" s="32">
        <f>Table6[[#This Row],[ (RESV. STORGE) SER]]/10</f>
        <v>0</v>
      </c>
      <c r="AO116" s="68"/>
      <c r="AP116" s="103">
        <f>Table6[[#This Row],[(A/S) AJD]]-Table6[[#This Row],[SER_IN]]</f>
        <v>0</v>
      </c>
    </row>
    <row r="117" spans="1:42" ht="18.75" x14ac:dyDescent="0.25">
      <c r="A117" s="102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Table6[[#This Row],[ (T/B) SAR]]+Table6[[#This Row],[ (S/S) SAR]]</f>
        <v>0</v>
      </c>
      <c r="L117" s="45"/>
      <c r="M117" s="46"/>
      <c r="N117" s="46"/>
      <c r="O117" s="40"/>
      <c r="P117" s="3">
        <f>Table6[[#This Row],[ (S/S) SAR]]-Table6[[#This Row],[(S/S) AJD]]</f>
        <v>0</v>
      </c>
      <c r="Q117" s="40"/>
      <c r="R117" s="3">
        <f>Table6[[#This Row],[ (T/B) SAR]]-Table6[[#This Row],[(T/B) AJD]]</f>
        <v>0</v>
      </c>
      <c r="S117" s="3">
        <f>Table6[[#This Row],[S/S_CON.]]+Table6[[#This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Table6[[#This Row],[(RESV. STORGE) AJD]]/10</f>
        <v>0</v>
      </c>
      <c r="AB117" s="3">
        <f t="shared" si="7"/>
        <v>0</v>
      </c>
      <c r="AC117" s="5"/>
      <c r="AD117" s="40">
        <f>(Table6[[#This Row],[( S/S+T/B) AJD]]*1000)-((Table6[[#This Row],[(STORGE DIFF.) AJD]]*1000)+Table6[[#This Row],[AJD_Evaporation]]+(Table6[[#This Row],[(A/B + A/S) AJD]]*1000))</f>
        <v>0</v>
      </c>
      <c r="AE117" s="44"/>
      <c r="AF117" s="45"/>
      <c r="AG117" s="45"/>
      <c r="AH117" s="6">
        <f>Table6[[#This Row],[ (RESV. STORGE) BER]]/10</f>
        <v>0</v>
      </c>
      <c r="AI117" s="44"/>
      <c r="AJ117" s="45">
        <f>Table6[[#This Row],[(A/B) AJD]]-TABL12345[[#This Row],[BER_IN]]</f>
        <v>0</v>
      </c>
      <c r="AK117" s="45"/>
      <c r="AL117" s="45"/>
      <c r="AM117" s="32"/>
      <c r="AN117" s="32">
        <f>Table6[[#This Row],[ (RESV. STORGE) SER]]/10</f>
        <v>0</v>
      </c>
      <c r="AO117" s="68"/>
      <c r="AP117" s="103">
        <f>Table6[[#This Row],[(A/S) AJD]]-Table6[[#This Row],[SER_IN]]</f>
        <v>0</v>
      </c>
    </row>
    <row r="118" spans="1:42" ht="18.75" x14ac:dyDescent="0.25">
      <c r="A118" s="10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Table6[[#This Row],[ (T/B) SAR]]+Table6[[#This Row],[ (S/S) SAR]]</f>
        <v>0</v>
      </c>
      <c r="L118" s="41"/>
      <c r="M118" s="42"/>
      <c r="N118" s="42"/>
      <c r="O118" s="39"/>
      <c r="P118" s="3">
        <f>Table6[[#This Row],[ (S/S) SAR]]-Table6[[#This Row],[(S/S) AJD]]</f>
        <v>0</v>
      </c>
      <c r="Q118" s="39"/>
      <c r="R118" s="3">
        <f>Table6[[#This Row],[ (T/B) SAR]]-Table6[[#This Row],[(T/B) AJD]]</f>
        <v>0</v>
      </c>
      <c r="S118" s="3">
        <f>Table6[[#This Row],[S/S_CON.]]+Table6[[#This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Table6[[#This Row],[(RESV. STORGE) AJD]]/10</f>
        <v>0</v>
      </c>
      <c r="AB118" s="3">
        <f t="shared" si="7"/>
        <v>0</v>
      </c>
      <c r="AC118" s="5"/>
      <c r="AD118" s="39">
        <f>(Table6[[#This Row],[( S/S+T/B) AJD]]*1000)-((Table6[[#This Row],[(STORGE DIFF.) AJD]]*1000)+Table6[[#This Row],[AJD_Evaporation]]+(Table6[[#This Row],[(A/B + A/S) AJD]]*1000))</f>
        <v>0</v>
      </c>
      <c r="AE118" s="41"/>
      <c r="AF118" s="43"/>
      <c r="AG118" s="43"/>
      <c r="AH118" s="6">
        <f>Table6[[#This Row],[ (RESV. STORGE) BER]]/10</f>
        <v>0</v>
      </c>
      <c r="AI118" s="41"/>
      <c r="AJ118" s="43">
        <f>Table6[[#This Row],[(A/B) AJD]]-TABL12345[[#This Row],[BER_IN]]</f>
        <v>0</v>
      </c>
      <c r="AK118" s="43"/>
      <c r="AL118" s="43"/>
      <c r="AM118" s="32"/>
      <c r="AN118" s="32">
        <f>Table6[[#This Row],[ (RESV. STORGE) SER]]/10</f>
        <v>0</v>
      </c>
      <c r="AO118" s="68"/>
      <c r="AP118" s="103">
        <f>Table6[[#This Row],[(A/S) AJD]]-Table6[[#This Row],[SER_IN]]</f>
        <v>0</v>
      </c>
    </row>
    <row r="119" spans="1:42" ht="18.75" x14ac:dyDescent="0.25">
      <c r="A119" s="10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Table6[[#This Row],[ (T/B) SAR]]+Table6[[#This Row],[ (S/S) SAR]]</f>
        <v>0</v>
      </c>
      <c r="L119" s="45"/>
      <c r="M119" s="46"/>
      <c r="N119" s="46"/>
      <c r="O119" s="40"/>
      <c r="P119" s="3">
        <f>Table6[[#This Row],[ (S/S) SAR]]-Table6[[#This Row],[(S/S) AJD]]</f>
        <v>0</v>
      </c>
      <c r="Q119" s="40"/>
      <c r="R119" s="3">
        <f>Table6[[#This Row],[ (T/B) SAR]]-Table6[[#This Row],[(T/B) AJD]]</f>
        <v>0</v>
      </c>
      <c r="S119" s="3">
        <f>Table6[[#This Row],[S/S_CON.]]+Table6[[#This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Table6[[#This Row],[(RESV. STORGE) AJD]]/10</f>
        <v>0</v>
      </c>
      <c r="AB119" s="3">
        <f t="shared" si="7"/>
        <v>0</v>
      </c>
      <c r="AC119" s="5"/>
      <c r="AD119" s="40">
        <f>(Table6[[#This Row],[( S/S+T/B) AJD]]*1000)-((Table6[[#This Row],[(STORGE DIFF.) AJD]]*1000)+Table6[[#This Row],[AJD_Evaporation]]+(Table6[[#This Row],[(A/B + A/S) AJD]]*1000))</f>
        <v>0</v>
      </c>
      <c r="AE119" s="44"/>
      <c r="AF119" s="45"/>
      <c r="AG119" s="45"/>
      <c r="AH119" s="6">
        <f>Table6[[#This Row],[ (RESV. STORGE) BER]]/10</f>
        <v>0</v>
      </c>
      <c r="AI119" s="44"/>
      <c r="AJ119" s="45">
        <f>Table6[[#This Row],[(A/B) AJD]]-TABL12345[[#This Row],[BER_IN]]</f>
        <v>0</v>
      </c>
      <c r="AK119" s="45"/>
      <c r="AL119" s="45"/>
      <c r="AM119" s="32"/>
      <c r="AN119" s="32">
        <f>Table6[[#This Row],[ (RESV. STORGE) SER]]/10</f>
        <v>0</v>
      </c>
      <c r="AO119" s="68"/>
      <c r="AP119" s="103">
        <f>Table6[[#This Row],[(A/S) AJD]]-Table6[[#This Row],[SER_IN]]</f>
        <v>0</v>
      </c>
    </row>
    <row r="120" spans="1:42" ht="18.75" x14ac:dyDescent="0.25">
      <c r="A120" s="10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Table6[[#This Row],[ (T/B) SAR]]+Table6[[#This Row],[ (S/S) SAR]]</f>
        <v>0</v>
      </c>
      <c r="L120" s="41"/>
      <c r="M120" s="42"/>
      <c r="N120" s="42"/>
      <c r="O120" s="39"/>
      <c r="P120" s="3">
        <f>Table6[[#This Row],[ (S/S) SAR]]-Table6[[#This Row],[(S/S) AJD]]</f>
        <v>0</v>
      </c>
      <c r="Q120" s="39"/>
      <c r="R120" s="3">
        <f>Table6[[#This Row],[ (T/B) SAR]]-Table6[[#This Row],[(T/B) AJD]]</f>
        <v>0</v>
      </c>
      <c r="S120" s="3">
        <f>Table6[[#This Row],[S/S_CON.]]+Table6[[#This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Table6[[#This Row],[(RESV. STORGE) AJD]]/10</f>
        <v>0</v>
      </c>
      <c r="AB120" s="3">
        <f t="shared" si="7"/>
        <v>0</v>
      </c>
      <c r="AC120" s="5"/>
      <c r="AD120" s="39">
        <f>(Table6[[#This Row],[( S/S+T/B) AJD]]*1000)-((Table6[[#This Row],[(STORGE DIFF.) AJD]]*1000)+Table6[[#This Row],[AJD_Evaporation]]+(Table6[[#This Row],[(A/B + A/S) AJD]]*1000))</f>
        <v>0</v>
      </c>
      <c r="AE120" s="41"/>
      <c r="AF120" s="43"/>
      <c r="AG120" s="43"/>
      <c r="AH120" s="6">
        <f>Table6[[#This Row],[ (RESV. STORGE) BER]]/10</f>
        <v>0</v>
      </c>
      <c r="AI120" s="41"/>
      <c r="AJ120" s="43">
        <f>Table6[[#This Row],[(A/B) AJD]]-TABL12345[[#This Row],[BER_IN]]</f>
        <v>0</v>
      </c>
      <c r="AK120" s="43"/>
      <c r="AL120" s="43"/>
      <c r="AM120" s="32"/>
      <c r="AN120" s="32">
        <f>Table6[[#This Row],[ (RESV. STORGE) SER]]/10</f>
        <v>0</v>
      </c>
      <c r="AO120" s="68"/>
      <c r="AP120" s="103">
        <f>Table6[[#This Row],[(A/S) AJD]]-Table6[[#This Row],[SER_IN]]</f>
        <v>0</v>
      </c>
    </row>
    <row r="121" spans="1:42" ht="18.75" x14ac:dyDescent="0.25">
      <c r="A121" s="10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Table6[[#This Row],[ (T/B) SAR]]+Table6[[#This Row],[ (S/S) SAR]]</f>
        <v>0</v>
      </c>
      <c r="L121" s="45"/>
      <c r="M121" s="46"/>
      <c r="N121" s="46"/>
      <c r="O121" s="40"/>
      <c r="P121" s="3">
        <f>Table6[[#This Row],[ (S/S) SAR]]-Table6[[#This Row],[(S/S) AJD]]</f>
        <v>0</v>
      </c>
      <c r="Q121" s="40"/>
      <c r="R121" s="3">
        <f>Table6[[#This Row],[ (T/B) SAR]]-Table6[[#This Row],[(T/B) AJD]]</f>
        <v>0</v>
      </c>
      <c r="S121" s="3">
        <f>Table6[[#This Row],[S/S_CON.]]+Table6[[#This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Table6[[#This Row],[(RESV. STORGE) AJD]]/10</f>
        <v>0</v>
      </c>
      <c r="AB121" s="3">
        <f t="shared" si="7"/>
        <v>0</v>
      </c>
      <c r="AC121" s="5"/>
      <c r="AD121" s="40">
        <f>(Table6[[#This Row],[( S/S+T/B) AJD]]*1000)-((Table6[[#This Row],[(STORGE DIFF.) AJD]]*1000)+Table6[[#This Row],[AJD_Evaporation]]+(Table6[[#This Row],[(A/B + A/S) AJD]]*1000))</f>
        <v>0</v>
      </c>
      <c r="AE121" s="44"/>
      <c r="AF121" s="45"/>
      <c r="AG121" s="45"/>
      <c r="AH121" s="6">
        <f>Table6[[#This Row],[ (RESV. STORGE) BER]]/10</f>
        <v>0</v>
      </c>
      <c r="AI121" s="44"/>
      <c r="AJ121" s="45">
        <f>Table6[[#This Row],[(A/B) AJD]]-TABL12345[[#This Row],[BER_IN]]</f>
        <v>0</v>
      </c>
      <c r="AK121" s="45"/>
      <c r="AL121" s="45"/>
      <c r="AM121" s="32"/>
      <c r="AN121" s="32">
        <f>Table6[[#This Row],[ (RESV. STORGE) SER]]/10</f>
        <v>0</v>
      </c>
      <c r="AO121" s="68"/>
      <c r="AP121" s="103">
        <f>Table6[[#This Row],[(A/S) AJD]]-Table6[[#This Row],[SER_IN]]</f>
        <v>0</v>
      </c>
    </row>
    <row r="122" spans="1:42" ht="18.75" x14ac:dyDescent="0.25">
      <c r="A122" s="10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Table6[[#This Row],[ (T/B) SAR]]+Table6[[#This Row],[ (S/S) SAR]]</f>
        <v>0</v>
      </c>
      <c r="L122" s="41"/>
      <c r="M122" s="42"/>
      <c r="N122" s="42"/>
      <c r="O122" s="39"/>
      <c r="P122" s="3">
        <f>Table6[[#This Row],[ (S/S) SAR]]-Table6[[#This Row],[(S/S) AJD]]</f>
        <v>0</v>
      </c>
      <c r="Q122" s="39"/>
      <c r="R122" s="3">
        <f>Table6[[#This Row],[ (T/B) SAR]]-Table6[[#This Row],[(T/B) AJD]]</f>
        <v>0</v>
      </c>
      <c r="S122" s="3">
        <f>Table6[[#This Row],[S/S_CON.]]+Table6[[#This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Table6[[#This Row],[(RESV. STORGE) AJD]]/10</f>
        <v>0</v>
      </c>
      <c r="AB122" s="3">
        <f t="shared" si="7"/>
        <v>0</v>
      </c>
      <c r="AC122" s="5"/>
      <c r="AD122" s="39">
        <f>(Table6[[#This Row],[( S/S+T/B) AJD]]*1000)-((Table6[[#This Row],[(STORGE DIFF.) AJD]]*1000)+Table6[[#This Row],[AJD_Evaporation]]+(Table6[[#This Row],[(A/B + A/S) AJD]]*1000))</f>
        <v>0</v>
      </c>
      <c r="AE122" s="41"/>
      <c r="AF122" s="43"/>
      <c r="AG122" s="43"/>
      <c r="AH122" s="6">
        <f>Table6[[#This Row],[ (RESV. STORGE) BER]]/10</f>
        <v>0</v>
      </c>
      <c r="AI122" s="41"/>
      <c r="AJ122" s="43">
        <f>Table6[[#This Row],[(A/B) AJD]]-TABL12345[[#This Row],[BER_IN]]</f>
        <v>0</v>
      </c>
      <c r="AK122" s="43"/>
      <c r="AL122" s="43"/>
      <c r="AM122" s="32"/>
      <c r="AN122" s="32">
        <f>Table6[[#This Row],[ (RESV. STORGE) SER]]/10</f>
        <v>0</v>
      </c>
      <c r="AO122" s="68"/>
      <c r="AP122" s="103">
        <f>Table6[[#This Row],[(A/S) AJD]]-Table6[[#This Row],[SER_IN]]</f>
        <v>0</v>
      </c>
    </row>
    <row r="123" spans="1:42" ht="18.75" x14ac:dyDescent="0.25">
      <c r="A123" s="10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Table6[[#This Row],[ (T/B) SAR]]+Table6[[#This Row],[ (S/S) SAR]]</f>
        <v>0</v>
      </c>
      <c r="L123" s="45"/>
      <c r="M123" s="46"/>
      <c r="N123" s="46"/>
      <c r="O123" s="40"/>
      <c r="P123" s="3">
        <f>Table6[[#This Row],[ (S/S) SAR]]-Table6[[#This Row],[(S/S) AJD]]</f>
        <v>0</v>
      </c>
      <c r="Q123" s="40"/>
      <c r="R123" s="3">
        <f>Table6[[#This Row],[ (T/B) SAR]]-Table6[[#This Row],[(T/B) AJD]]</f>
        <v>0</v>
      </c>
      <c r="S123" s="3">
        <f>Table6[[#This Row],[S/S_CON.]]+Table6[[#This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Table6[[#This Row],[(RESV. STORGE) AJD]]/10</f>
        <v>0</v>
      </c>
      <c r="AB123" s="3">
        <f t="shared" si="7"/>
        <v>0</v>
      </c>
      <c r="AC123" s="5"/>
      <c r="AD123" s="40">
        <f>(Table6[[#This Row],[( S/S+T/B) AJD]]*1000)-((Table6[[#This Row],[(STORGE DIFF.) AJD]]*1000)+Table6[[#This Row],[AJD_Evaporation]]+(Table6[[#This Row],[(A/B + A/S) AJD]]*1000))</f>
        <v>0</v>
      </c>
      <c r="AE123" s="44"/>
      <c r="AF123" s="45"/>
      <c r="AG123" s="45"/>
      <c r="AH123" s="6">
        <f>Table6[[#This Row],[ (RESV. STORGE) BER]]/10</f>
        <v>0</v>
      </c>
      <c r="AI123" s="44"/>
      <c r="AJ123" s="45">
        <f>Table6[[#This Row],[(A/B) AJD]]-TABL12345[[#This Row],[BER_IN]]</f>
        <v>0</v>
      </c>
      <c r="AK123" s="45"/>
      <c r="AL123" s="45"/>
      <c r="AM123" s="32"/>
      <c r="AN123" s="32">
        <f>Table6[[#This Row],[ (RESV. STORGE) SER]]/10</f>
        <v>0</v>
      </c>
      <c r="AO123" s="68"/>
      <c r="AP123" s="103">
        <f>Table6[[#This Row],[(A/S) AJD]]-Table6[[#This Row],[SER_IN]]</f>
        <v>0</v>
      </c>
    </row>
    <row r="124" spans="1:42" ht="18.75" x14ac:dyDescent="0.25">
      <c r="A124" s="10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Table6[[#This Row],[ (T/B) SAR]]+Table6[[#This Row],[ (S/S) SAR]]</f>
        <v>0</v>
      </c>
      <c r="L124" s="41"/>
      <c r="M124" s="42"/>
      <c r="N124" s="42"/>
      <c r="O124" s="39"/>
      <c r="P124" s="3">
        <f>Table6[[#This Row],[ (S/S) SAR]]-Table6[[#This Row],[(S/S) AJD]]</f>
        <v>0</v>
      </c>
      <c r="Q124" s="39"/>
      <c r="R124" s="3">
        <f>Table6[[#This Row],[ (T/B) SAR]]-Table6[[#This Row],[(T/B) AJD]]</f>
        <v>0</v>
      </c>
      <c r="S124" s="3">
        <f>Table6[[#This Row],[S/S_CON.]]+Table6[[#This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Table6[[#This Row],[(RESV. STORGE) AJD]]/10</f>
        <v>0</v>
      </c>
      <c r="AB124" s="3">
        <f t="shared" si="7"/>
        <v>0</v>
      </c>
      <c r="AC124" s="5"/>
      <c r="AD124" s="39">
        <f>(Table6[[#This Row],[( S/S+T/B) AJD]]*1000)-((Table6[[#This Row],[(STORGE DIFF.) AJD]]*1000)+Table6[[#This Row],[AJD_Evaporation]]+(Table6[[#This Row],[(A/B + A/S) AJD]]*1000))</f>
        <v>0</v>
      </c>
      <c r="AE124" s="41"/>
      <c r="AF124" s="43"/>
      <c r="AG124" s="43"/>
      <c r="AH124" s="6">
        <f>Table6[[#This Row],[ (RESV. STORGE) BER]]/10</f>
        <v>0</v>
      </c>
      <c r="AI124" s="41"/>
      <c r="AJ124" s="43">
        <f>Table6[[#This Row],[(A/B) AJD]]-TABL12345[[#This Row],[BER_IN]]</f>
        <v>0</v>
      </c>
      <c r="AK124" s="43"/>
      <c r="AL124" s="43"/>
      <c r="AM124" s="32"/>
      <c r="AN124" s="32">
        <f>Table6[[#This Row],[ (RESV. STORGE) SER]]/10</f>
        <v>0</v>
      </c>
      <c r="AO124" s="68"/>
      <c r="AP124" s="103">
        <f>Table6[[#This Row],[(A/S) AJD]]-Table6[[#This Row],[SER_IN]]</f>
        <v>0</v>
      </c>
    </row>
    <row r="125" spans="1:42" ht="18.75" x14ac:dyDescent="0.25">
      <c r="A125" s="10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Table6[[#This Row],[ (T/B) SAR]]+Table6[[#This Row],[ (S/S) SAR]]</f>
        <v>0</v>
      </c>
      <c r="L125" s="45"/>
      <c r="M125" s="46"/>
      <c r="N125" s="46"/>
      <c r="O125" s="40"/>
      <c r="P125" s="3">
        <f>Table6[[#This Row],[ (S/S) SAR]]-Table6[[#This Row],[(S/S) AJD]]</f>
        <v>0</v>
      </c>
      <c r="Q125" s="40"/>
      <c r="R125" s="3">
        <f>Table6[[#This Row],[ (T/B) SAR]]-Table6[[#This Row],[(T/B) AJD]]</f>
        <v>0</v>
      </c>
      <c r="S125" s="3">
        <f>Table6[[#This Row],[S/S_CON.]]+Table6[[#This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Table6[[#This Row],[(RESV. STORGE) AJD]]/10</f>
        <v>0</v>
      </c>
      <c r="AB125" s="3">
        <f t="shared" si="7"/>
        <v>0</v>
      </c>
      <c r="AC125" s="5"/>
      <c r="AD125" s="40">
        <f>(Table6[[#This Row],[( S/S+T/B) AJD]]*1000)-((Table6[[#This Row],[(STORGE DIFF.) AJD]]*1000)+Table6[[#This Row],[AJD_Evaporation]]+(Table6[[#This Row],[(A/B + A/S) AJD]]*1000))</f>
        <v>0</v>
      </c>
      <c r="AE125" s="44"/>
      <c r="AF125" s="45"/>
      <c r="AG125" s="45"/>
      <c r="AH125" s="6">
        <f>Table6[[#This Row],[ (RESV. STORGE) BER]]/10</f>
        <v>0</v>
      </c>
      <c r="AI125" s="44"/>
      <c r="AJ125" s="45">
        <f>Table6[[#This Row],[(A/B) AJD]]-TABL12345[[#This Row],[BER_IN]]</f>
        <v>0</v>
      </c>
      <c r="AK125" s="45"/>
      <c r="AL125" s="45"/>
      <c r="AM125" s="32"/>
      <c r="AN125" s="32">
        <f>Table6[[#This Row],[ (RESV. STORGE) SER]]/10</f>
        <v>0</v>
      </c>
      <c r="AO125" s="68"/>
      <c r="AP125" s="103">
        <f>Table6[[#This Row],[(A/S) AJD]]-Table6[[#This Row],[SER_IN]]</f>
        <v>0</v>
      </c>
    </row>
    <row r="126" spans="1:42" ht="18.75" x14ac:dyDescent="0.25">
      <c r="A126" s="10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Table6[[#This Row],[ (T/B) SAR]]+Table6[[#This Row],[ (S/S) SAR]]</f>
        <v>0</v>
      </c>
      <c r="L126" s="41"/>
      <c r="M126" s="42"/>
      <c r="N126" s="42"/>
      <c r="O126" s="39"/>
      <c r="P126" s="3">
        <f>Table6[[#This Row],[ (S/S) SAR]]-Table6[[#This Row],[(S/S) AJD]]</f>
        <v>0</v>
      </c>
      <c r="Q126" s="39"/>
      <c r="R126" s="3">
        <f>Table6[[#This Row],[ (T/B) SAR]]-Table6[[#This Row],[(T/B) AJD]]</f>
        <v>0</v>
      </c>
      <c r="S126" s="3">
        <f>Table6[[#This Row],[S/S_CON.]]+Table6[[#This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Table6[[#This Row],[(RESV. STORGE) AJD]]/10</f>
        <v>0</v>
      </c>
      <c r="AB126" s="3">
        <f t="shared" si="7"/>
        <v>0</v>
      </c>
      <c r="AC126" s="5"/>
      <c r="AD126" s="39">
        <f>(Table6[[#This Row],[( S/S+T/B) AJD]]*1000)-((Table6[[#This Row],[(STORGE DIFF.) AJD]]*1000)+Table6[[#This Row],[AJD_Evaporation]]+(Table6[[#This Row],[(A/B + A/S) AJD]]*1000))</f>
        <v>0</v>
      </c>
      <c r="AE126" s="41"/>
      <c r="AF126" s="43"/>
      <c r="AG126" s="43"/>
      <c r="AH126" s="6">
        <f>Table6[[#This Row],[ (RESV. STORGE) BER]]/10</f>
        <v>0</v>
      </c>
      <c r="AI126" s="41"/>
      <c r="AJ126" s="43">
        <f>Table6[[#This Row],[(A/B) AJD]]-TABL12345[[#This Row],[BER_IN]]</f>
        <v>0</v>
      </c>
      <c r="AK126" s="43"/>
      <c r="AL126" s="43"/>
      <c r="AM126" s="32"/>
      <c r="AN126" s="32">
        <f>Table6[[#This Row],[ (RESV. STORGE) SER]]/10</f>
        <v>0</v>
      </c>
      <c r="AO126" s="68"/>
      <c r="AP126" s="103">
        <f>Table6[[#This Row],[(A/S) AJD]]-Table6[[#This Row],[SER_IN]]</f>
        <v>0</v>
      </c>
    </row>
    <row r="127" spans="1:42" ht="18.75" x14ac:dyDescent="0.25">
      <c r="A127" s="10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Table6[[#This Row],[ (T/B) SAR]]+Table6[[#This Row],[ (S/S) SAR]]</f>
        <v>0</v>
      </c>
      <c r="L127" s="45"/>
      <c r="M127" s="46"/>
      <c r="N127" s="46"/>
      <c r="O127" s="40"/>
      <c r="P127" s="3">
        <f>Table6[[#This Row],[ (S/S) SAR]]-Table6[[#This Row],[(S/S) AJD]]</f>
        <v>0</v>
      </c>
      <c r="Q127" s="40"/>
      <c r="R127" s="3">
        <f>Table6[[#This Row],[ (T/B) SAR]]-Table6[[#This Row],[(T/B) AJD]]</f>
        <v>0</v>
      </c>
      <c r="S127" s="3">
        <f>Table6[[#This Row],[S/S_CON.]]+Table6[[#This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Table6[[#This Row],[(RESV. STORGE) AJD]]/10</f>
        <v>0</v>
      </c>
      <c r="AB127" s="3">
        <f t="shared" si="7"/>
        <v>0</v>
      </c>
      <c r="AC127" s="5"/>
      <c r="AD127" s="40">
        <f>(Table6[[#This Row],[( S/S+T/B) AJD]]*1000)-((Table6[[#This Row],[(STORGE DIFF.) AJD]]*1000)+Table6[[#This Row],[AJD_Evaporation]]+(Table6[[#This Row],[(A/B + A/S) AJD]]*1000))</f>
        <v>0</v>
      </c>
      <c r="AE127" s="44"/>
      <c r="AF127" s="45"/>
      <c r="AG127" s="45"/>
      <c r="AH127" s="6">
        <f>Table6[[#This Row],[ (RESV. STORGE) BER]]/10</f>
        <v>0</v>
      </c>
      <c r="AI127" s="44"/>
      <c r="AJ127" s="45">
        <f>Table6[[#This Row],[(A/B) AJD]]-TABL12345[[#This Row],[BER_IN]]</f>
        <v>0</v>
      </c>
      <c r="AK127" s="45"/>
      <c r="AL127" s="45"/>
      <c r="AM127" s="32"/>
      <c r="AN127" s="32">
        <f>Table6[[#This Row],[ (RESV. STORGE) SER]]/10</f>
        <v>0</v>
      </c>
      <c r="AO127" s="68"/>
      <c r="AP127" s="103">
        <f>Table6[[#This Row],[(A/S) AJD]]-Table6[[#This Row],[SER_IN]]</f>
        <v>0</v>
      </c>
    </row>
    <row r="128" spans="1:42" ht="18.75" x14ac:dyDescent="0.25">
      <c r="A128" s="10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Table6[[#This Row],[ (T/B) SAR]]+Table6[[#This Row],[ (S/S) SAR]]</f>
        <v>0</v>
      </c>
      <c r="L128" s="41"/>
      <c r="M128" s="42"/>
      <c r="N128" s="42"/>
      <c r="O128" s="39"/>
      <c r="P128" s="3">
        <f>Table6[[#This Row],[ (S/S) SAR]]-Table6[[#This Row],[(S/S) AJD]]</f>
        <v>0</v>
      </c>
      <c r="Q128" s="39"/>
      <c r="R128" s="3">
        <f>Table6[[#This Row],[ (T/B) SAR]]-Table6[[#This Row],[(T/B) AJD]]</f>
        <v>0</v>
      </c>
      <c r="S128" s="3">
        <f>Table6[[#This Row],[S/S_CON.]]+Table6[[#This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Table6[[#This Row],[(RESV. STORGE) AJD]]/10</f>
        <v>0</v>
      </c>
      <c r="AB128" s="3">
        <f t="shared" si="7"/>
        <v>0</v>
      </c>
      <c r="AC128" s="5"/>
      <c r="AD128" s="39">
        <f>(Table6[[#This Row],[( S/S+T/B) AJD]]*1000)-((Table6[[#This Row],[(STORGE DIFF.) AJD]]*1000)+Table6[[#This Row],[AJD_Evaporation]]+(Table6[[#This Row],[(A/B + A/S) AJD]]*1000))</f>
        <v>0</v>
      </c>
      <c r="AE128" s="41"/>
      <c r="AF128" s="43"/>
      <c r="AG128" s="43"/>
      <c r="AH128" s="6">
        <f>Table6[[#This Row],[ (RESV. STORGE) BER]]/10</f>
        <v>0</v>
      </c>
      <c r="AI128" s="41"/>
      <c r="AJ128" s="43">
        <f>Table6[[#This Row],[(A/B) AJD]]-TABL12345[[#This Row],[BER_IN]]</f>
        <v>0</v>
      </c>
      <c r="AK128" s="43"/>
      <c r="AL128" s="43"/>
      <c r="AM128" s="32"/>
      <c r="AN128" s="32">
        <f>Table6[[#This Row],[ (RESV. STORGE) SER]]/10</f>
        <v>0</v>
      </c>
      <c r="AO128" s="68"/>
      <c r="AP128" s="103">
        <f>Table6[[#This Row],[(A/S) AJD]]-Table6[[#This Row],[SER_IN]]</f>
        <v>0</v>
      </c>
    </row>
    <row r="129" spans="1:42" ht="18.75" x14ac:dyDescent="0.25">
      <c r="A129" s="10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Table6[[#This Row],[ (T/B) SAR]]+Table6[[#This Row],[ (S/S) SAR]]</f>
        <v>0</v>
      </c>
      <c r="L129" s="45"/>
      <c r="M129" s="46"/>
      <c r="N129" s="46"/>
      <c r="O129" s="40"/>
      <c r="P129" s="3">
        <f>Table6[[#This Row],[ (S/S) SAR]]-Table6[[#This Row],[(S/S) AJD]]</f>
        <v>0</v>
      </c>
      <c r="Q129" s="40"/>
      <c r="R129" s="3">
        <f>Table6[[#This Row],[ (T/B) SAR]]-Table6[[#This Row],[(T/B) AJD]]</f>
        <v>0</v>
      </c>
      <c r="S129" s="3">
        <f>Table6[[#This Row],[S/S_CON.]]+Table6[[#This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Table6[[#This Row],[(RESV. STORGE) AJD]]/10</f>
        <v>0</v>
      </c>
      <c r="AB129" s="3">
        <f t="shared" si="7"/>
        <v>0</v>
      </c>
      <c r="AC129" s="5"/>
      <c r="AD129" s="40">
        <f>(Table6[[#This Row],[( S/S+T/B) AJD]]*1000)-((Table6[[#This Row],[(STORGE DIFF.) AJD]]*1000)+Table6[[#This Row],[AJD_Evaporation]]+(Table6[[#This Row],[(A/B + A/S) AJD]]*1000))</f>
        <v>0</v>
      </c>
      <c r="AE129" s="44"/>
      <c r="AF129" s="45"/>
      <c r="AG129" s="45"/>
      <c r="AH129" s="6">
        <f>Table6[[#This Row],[ (RESV. STORGE) BER]]/10</f>
        <v>0</v>
      </c>
      <c r="AI129" s="44"/>
      <c r="AJ129" s="45">
        <f>Table6[[#This Row],[(A/B) AJD]]-TABL12345[[#This Row],[BER_IN]]</f>
        <v>0</v>
      </c>
      <c r="AK129" s="45"/>
      <c r="AL129" s="45"/>
      <c r="AM129" s="32"/>
      <c r="AN129" s="32">
        <f>Table6[[#This Row],[ (RESV. STORGE) SER]]/10</f>
        <v>0</v>
      </c>
      <c r="AO129" s="68"/>
      <c r="AP129" s="103">
        <f>Table6[[#This Row],[(A/S) AJD]]-Table6[[#This Row],[SER_IN]]</f>
        <v>0</v>
      </c>
    </row>
    <row r="130" spans="1:42" ht="18.75" x14ac:dyDescent="0.25">
      <c r="A130" s="10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Table6[[#This Row],[ (T/B) SAR]]+Table6[[#This Row],[ (S/S) SAR]]</f>
        <v>0</v>
      </c>
      <c r="L130" s="41"/>
      <c r="M130" s="42"/>
      <c r="N130" s="42"/>
      <c r="O130" s="39"/>
      <c r="P130" s="3">
        <f>Table6[[#This Row],[ (S/S) SAR]]-Table6[[#This Row],[(S/S) AJD]]</f>
        <v>0</v>
      </c>
      <c r="Q130" s="39"/>
      <c r="R130" s="3">
        <f>Table6[[#This Row],[ (T/B) SAR]]-Table6[[#This Row],[(T/B) AJD]]</f>
        <v>0</v>
      </c>
      <c r="S130" s="3">
        <f>Table6[[#This Row],[S/S_CON.]]+Table6[[#This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Table6[[#This Row],[(RESV. STORGE) AJD]]/10</f>
        <v>0</v>
      </c>
      <c r="AB130" s="3">
        <f t="shared" si="7"/>
        <v>0</v>
      </c>
      <c r="AC130" s="5"/>
      <c r="AD130" s="39">
        <f>(Table6[[#This Row],[( S/S+T/B) AJD]]*1000)-((Table6[[#This Row],[(STORGE DIFF.) AJD]]*1000)+Table6[[#This Row],[AJD_Evaporation]]+(Table6[[#This Row],[(A/B + A/S) AJD]]*1000))</f>
        <v>0</v>
      </c>
      <c r="AE130" s="41"/>
      <c r="AF130" s="43"/>
      <c r="AG130" s="43"/>
      <c r="AH130" s="6">
        <f>Table6[[#This Row],[ (RESV. STORGE) BER]]/10</f>
        <v>0</v>
      </c>
      <c r="AI130" s="41"/>
      <c r="AJ130" s="43">
        <f>Table6[[#This Row],[(A/B) AJD]]-TABL12345[[#This Row],[BER_IN]]</f>
        <v>0</v>
      </c>
      <c r="AK130" s="43"/>
      <c r="AL130" s="43"/>
      <c r="AM130" s="32"/>
      <c r="AN130" s="32">
        <f>Table6[[#This Row],[ (RESV. STORGE) SER]]/10</f>
        <v>0</v>
      </c>
      <c r="AO130" s="68"/>
      <c r="AP130" s="103">
        <f>Table6[[#This Row],[(A/S) AJD]]-Table6[[#This Row],[SER_IN]]</f>
        <v>0</v>
      </c>
    </row>
    <row r="131" spans="1:42" ht="18.75" x14ac:dyDescent="0.25">
      <c r="A131" s="10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Table6[[#This Row],[ (T/B) SAR]]+Table6[[#This Row],[ (S/S) SAR]]</f>
        <v>0</v>
      </c>
      <c r="L131" s="45"/>
      <c r="M131" s="46"/>
      <c r="N131" s="46"/>
      <c r="O131" s="40"/>
      <c r="P131" s="3">
        <f>Table6[[#This Row],[ (S/S) SAR]]-Table6[[#This Row],[(S/S) AJD]]</f>
        <v>0</v>
      </c>
      <c r="Q131" s="40"/>
      <c r="R131" s="3">
        <f>Table6[[#This Row],[ (T/B) SAR]]-Table6[[#This Row],[(T/B) AJD]]</f>
        <v>0</v>
      </c>
      <c r="S131" s="3">
        <f>Table6[[#This Row],[S/S_CON.]]+Table6[[#This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Table6[[#This Row],[(RESV. STORGE) AJD]]/10</f>
        <v>0</v>
      </c>
      <c r="AB131" s="3">
        <f t="shared" si="7"/>
        <v>0</v>
      </c>
      <c r="AC131" s="5"/>
      <c r="AD131" s="40">
        <f>(Table6[[#This Row],[( S/S+T/B) AJD]]*1000)-((Table6[[#This Row],[(STORGE DIFF.) AJD]]*1000)+Table6[[#This Row],[AJD_Evaporation]]+(Table6[[#This Row],[(A/B + A/S) AJD]]*1000))</f>
        <v>0</v>
      </c>
      <c r="AE131" s="44"/>
      <c r="AF131" s="45"/>
      <c r="AG131" s="45"/>
      <c r="AH131" s="6">
        <f>Table6[[#This Row],[ (RESV. STORGE) BER]]/10</f>
        <v>0</v>
      </c>
      <c r="AI131" s="44"/>
      <c r="AJ131" s="45">
        <f>Table6[[#This Row],[(A/B) AJD]]-TABL12345[[#This Row],[BER_IN]]</f>
        <v>0</v>
      </c>
      <c r="AK131" s="45"/>
      <c r="AL131" s="45"/>
      <c r="AM131" s="32"/>
      <c r="AN131" s="32">
        <f>Table6[[#This Row],[ (RESV. STORGE) SER]]/10</f>
        <v>0</v>
      </c>
      <c r="AO131" s="68"/>
      <c r="AP131" s="103">
        <f>Table6[[#This Row],[(A/S) AJD]]-Table6[[#This Row],[SER_IN]]</f>
        <v>0</v>
      </c>
    </row>
    <row r="132" spans="1:42" ht="18.75" x14ac:dyDescent="0.25">
      <c r="A132" s="10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Table6[[#This Row],[ (T/B) SAR]]+Table6[[#This Row],[ (S/S) SAR]]</f>
        <v>0</v>
      </c>
      <c r="L132" s="41"/>
      <c r="M132" s="42"/>
      <c r="N132" s="42"/>
      <c r="O132" s="39"/>
      <c r="P132" s="3">
        <f>Table6[[#This Row],[ (S/S) SAR]]-Table6[[#This Row],[(S/S) AJD]]</f>
        <v>0</v>
      </c>
      <c r="Q132" s="39"/>
      <c r="R132" s="3">
        <f>Table6[[#This Row],[ (T/B) SAR]]-Table6[[#This Row],[(T/B) AJD]]</f>
        <v>0</v>
      </c>
      <c r="S132" s="3">
        <f>Table6[[#This Row],[S/S_CON.]]+Table6[[#This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Table6[[#This Row],[(RESV. STORGE) AJD]]/10</f>
        <v>0</v>
      </c>
      <c r="AB132" s="3">
        <f t="shared" ref="AB132:AB195" si="11">IF(TRIM(Z132)="",,(Z132-Z131)/1000)</f>
        <v>0</v>
      </c>
      <c r="AC132" s="5"/>
      <c r="AD132" s="39">
        <f>(Table6[[#This Row],[( S/S+T/B) AJD]]*1000)-((Table6[[#This Row],[(STORGE DIFF.) AJD]]*1000)+Table6[[#This Row],[AJD_Evaporation]]+(Table6[[#This Row],[(A/B + A/S) AJD]]*1000))</f>
        <v>0</v>
      </c>
      <c r="AE132" s="41"/>
      <c r="AF132" s="43"/>
      <c r="AG132" s="68"/>
      <c r="AH132" s="6">
        <f>Table6[[#This Row],[ (RESV. STORGE) BER]]/10</f>
        <v>0</v>
      </c>
      <c r="AI132" s="41"/>
      <c r="AJ132" s="68">
        <f>Table6[[#This Row],[(A/B) AJD]]-TABL12345[[#This Row],[BER_IN]]</f>
        <v>0</v>
      </c>
      <c r="AK132" s="43"/>
      <c r="AL132" s="43"/>
      <c r="AM132" s="32"/>
      <c r="AN132" s="32">
        <f>Table6[[#This Row],[ (RESV. STORGE) SER]]/10</f>
        <v>0</v>
      </c>
      <c r="AO132" s="68"/>
      <c r="AP132" s="103">
        <f>Table6[[#This Row],[(A/S) AJD]]-Table6[[#This Row],[SER_IN]]</f>
        <v>0</v>
      </c>
    </row>
    <row r="133" spans="1:42" ht="18.75" x14ac:dyDescent="0.25">
      <c r="A133" s="10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Table6[[#This Row],[ (T/B) SAR]]+Table6[[#This Row],[ (S/S) SAR]]</f>
        <v>0</v>
      </c>
      <c r="L133" s="45"/>
      <c r="M133" s="46"/>
      <c r="N133" s="46"/>
      <c r="O133" s="40"/>
      <c r="P133" s="3">
        <f>Table6[[#This Row],[ (S/S) SAR]]-Table6[[#This Row],[(S/S) AJD]]</f>
        <v>0</v>
      </c>
      <c r="Q133" s="40"/>
      <c r="R133" s="3">
        <f>Table6[[#This Row],[ (T/B) SAR]]-Table6[[#This Row],[(T/B) AJD]]</f>
        <v>0</v>
      </c>
      <c r="S133" s="3">
        <f>Table6[[#This Row],[S/S_CON.]]+Table6[[#This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Table6[[#This Row],[(RESV. STORGE) AJD]]/10</f>
        <v>0</v>
      </c>
      <c r="AB133" s="3">
        <f t="shared" si="11"/>
        <v>0</v>
      </c>
      <c r="AC133" s="5"/>
      <c r="AD133" s="40">
        <f>(Table6[[#This Row],[( S/S+T/B) AJD]]*1000)-((Table6[[#This Row],[(STORGE DIFF.) AJD]]*1000)+Table6[[#This Row],[AJD_Evaporation]]+(Table6[[#This Row],[(A/B + A/S) AJD]]*1000))</f>
        <v>0</v>
      </c>
      <c r="AE133" s="44"/>
      <c r="AF133" s="45"/>
      <c r="AG133" s="45"/>
      <c r="AH133" s="6">
        <f>Table6[[#This Row],[ (RESV. STORGE) BER]]/10</f>
        <v>0</v>
      </c>
      <c r="AI133" s="44"/>
      <c r="AJ133" s="45">
        <f>Table6[[#This Row],[(A/B) AJD]]-TABL12345[[#This Row],[BER_IN]]</f>
        <v>0</v>
      </c>
      <c r="AK133" s="45"/>
      <c r="AL133" s="45"/>
      <c r="AM133" s="32"/>
      <c r="AN133" s="32">
        <f>Table6[[#This Row],[ (RESV. STORGE) SER]]/10</f>
        <v>0</v>
      </c>
      <c r="AO133" s="68"/>
      <c r="AP133" s="103">
        <f>Table6[[#This Row],[(A/S) AJD]]-Table6[[#This Row],[SER_IN]]</f>
        <v>0</v>
      </c>
    </row>
    <row r="134" spans="1:42" ht="18.75" x14ac:dyDescent="0.25">
      <c r="A134" s="10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Table6[[#This Row],[ (T/B) SAR]]+Table6[[#This Row],[ (S/S) SAR]]</f>
        <v>0</v>
      </c>
      <c r="L134" s="41"/>
      <c r="M134" s="42"/>
      <c r="N134" s="42"/>
      <c r="O134" s="39"/>
      <c r="P134" s="3">
        <f>Table6[[#This Row],[ (S/S) SAR]]-Table6[[#This Row],[(S/S) AJD]]</f>
        <v>0</v>
      </c>
      <c r="Q134" s="39"/>
      <c r="R134" s="3">
        <f>Table6[[#This Row],[ (T/B) SAR]]-Table6[[#This Row],[(T/B) AJD]]</f>
        <v>0</v>
      </c>
      <c r="S134" s="3">
        <f>Table6[[#This Row],[S/S_CON.]]+Table6[[#This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Table6[[#This Row],[(RESV. STORGE) AJD]]/10</f>
        <v>0</v>
      </c>
      <c r="AB134" s="3">
        <f t="shared" si="11"/>
        <v>0</v>
      </c>
      <c r="AC134" s="5"/>
      <c r="AD134" s="39">
        <f>(Table6[[#This Row],[( S/S+T/B) AJD]]*1000)-((Table6[[#This Row],[(STORGE DIFF.) AJD]]*1000)+Table6[[#This Row],[AJD_Evaporation]]+(Table6[[#This Row],[(A/B + A/S) AJD]]*1000))</f>
        <v>0</v>
      </c>
      <c r="AE134" s="41"/>
      <c r="AF134" s="43"/>
      <c r="AG134" s="43"/>
      <c r="AH134" s="6">
        <f>Table6[[#This Row],[ (RESV. STORGE) BER]]/10</f>
        <v>0</v>
      </c>
      <c r="AI134" s="41"/>
      <c r="AJ134" s="43">
        <f>Table6[[#This Row],[(A/B) AJD]]-TABL12345[[#This Row],[BER_IN]]</f>
        <v>0</v>
      </c>
      <c r="AK134" s="43"/>
      <c r="AL134" s="43"/>
      <c r="AM134" s="32"/>
      <c r="AN134" s="32">
        <f>Table6[[#This Row],[ (RESV. STORGE) SER]]/10</f>
        <v>0</v>
      </c>
      <c r="AO134" s="68"/>
      <c r="AP134" s="103">
        <f>Table6[[#This Row],[(A/S) AJD]]-Table6[[#This Row],[SER_IN]]</f>
        <v>0</v>
      </c>
    </row>
    <row r="135" spans="1:42" ht="18.75" x14ac:dyDescent="0.25">
      <c r="A135" s="10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Table6[[#This Row],[ (T/B) SAR]]+Table6[[#This Row],[ (S/S) SAR]]</f>
        <v>0</v>
      </c>
      <c r="L135" s="45"/>
      <c r="M135" s="46"/>
      <c r="N135" s="46"/>
      <c r="O135" s="40"/>
      <c r="P135" s="3">
        <f>Table6[[#This Row],[ (S/S) SAR]]-Table6[[#This Row],[(S/S) AJD]]</f>
        <v>0</v>
      </c>
      <c r="Q135" s="40"/>
      <c r="R135" s="3">
        <f>Table6[[#This Row],[ (T/B) SAR]]-Table6[[#This Row],[(T/B) AJD]]</f>
        <v>0</v>
      </c>
      <c r="S135" s="3">
        <f>Table6[[#This Row],[S/S_CON.]]+Table6[[#This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Table6[[#This Row],[(RESV. STORGE) AJD]]/10</f>
        <v>0</v>
      </c>
      <c r="AB135" s="3">
        <f t="shared" si="11"/>
        <v>0</v>
      </c>
      <c r="AC135" s="5"/>
      <c r="AD135" s="40">
        <f>(Table6[[#This Row],[( S/S+T/B) AJD]]*1000)-((Table6[[#This Row],[(STORGE DIFF.) AJD]]*1000)+Table6[[#This Row],[AJD_Evaporation]]+(Table6[[#This Row],[(A/B + A/S) AJD]]*1000))</f>
        <v>0</v>
      </c>
      <c r="AE135" s="44"/>
      <c r="AF135" s="45"/>
      <c r="AG135" s="45"/>
      <c r="AH135" s="6">
        <f>Table6[[#This Row],[ (RESV. STORGE) BER]]/10</f>
        <v>0</v>
      </c>
      <c r="AI135" s="44"/>
      <c r="AJ135" s="45">
        <f>Table6[[#This Row],[(A/B) AJD]]-TABL12345[[#This Row],[BER_IN]]</f>
        <v>0</v>
      </c>
      <c r="AK135" s="45"/>
      <c r="AL135" s="45"/>
      <c r="AM135" s="32"/>
      <c r="AN135" s="32">
        <f>Table6[[#This Row],[ (RESV. STORGE) SER]]/10</f>
        <v>0</v>
      </c>
      <c r="AO135" s="68"/>
      <c r="AP135" s="103">
        <f>Table6[[#This Row],[(A/S) AJD]]-Table6[[#This Row],[SER_IN]]</f>
        <v>0</v>
      </c>
    </row>
    <row r="136" spans="1:42" ht="18.75" x14ac:dyDescent="0.25">
      <c r="A136" s="10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Table6[[#This Row],[ (T/B) SAR]]+Table6[[#This Row],[ (S/S) SAR]]</f>
        <v>0</v>
      </c>
      <c r="L136" s="41"/>
      <c r="M136" s="42"/>
      <c r="N136" s="42"/>
      <c r="O136" s="39"/>
      <c r="P136" s="3">
        <f>Table6[[#This Row],[ (S/S) SAR]]-Table6[[#This Row],[(S/S) AJD]]</f>
        <v>0</v>
      </c>
      <c r="Q136" s="39"/>
      <c r="R136" s="3">
        <f>Table6[[#This Row],[ (T/B) SAR]]-Table6[[#This Row],[(T/B) AJD]]</f>
        <v>0</v>
      </c>
      <c r="S136" s="3">
        <f>Table6[[#This Row],[S/S_CON.]]+Table6[[#This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Table6[[#This Row],[(RESV. STORGE) AJD]]/10</f>
        <v>0</v>
      </c>
      <c r="AB136" s="3">
        <f t="shared" si="11"/>
        <v>0</v>
      </c>
      <c r="AC136" s="5"/>
      <c r="AD136" s="39">
        <f>(Table6[[#This Row],[( S/S+T/B) AJD]]*1000)-((Table6[[#This Row],[(STORGE DIFF.) AJD]]*1000)+Table6[[#This Row],[AJD_Evaporation]]+(Table6[[#This Row],[(A/B + A/S) AJD]]*1000))</f>
        <v>0</v>
      </c>
      <c r="AE136" s="41"/>
      <c r="AF136" s="43"/>
      <c r="AG136" s="43"/>
      <c r="AH136" s="6">
        <f>Table6[[#This Row],[ (RESV. STORGE) BER]]/10</f>
        <v>0</v>
      </c>
      <c r="AI136" s="41"/>
      <c r="AJ136" s="43">
        <f>Table6[[#This Row],[(A/B) AJD]]-TABL12345[[#This Row],[BER_IN]]</f>
        <v>0</v>
      </c>
      <c r="AK136" s="43"/>
      <c r="AL136" s="43"/>
      <c r="AM136" s="32"/>
      <c r="AN136" s="32">
        <f>Table6[[#This Row],[ (RESV. STORGE) SER]]/10</f>
        <v>0</v>
      </c>
      <c r="AO136" s="68"/>
      <c r="AP136" s="103">
        <f>Table6[[#This Row],[(A/S) AJD]]-Table6[[#This Row],[SER_IN]]</f>
        <v>0</v>
      </c>
    </row>
    <row r="137" spans="1:42" ht="18.75" x14ac:dyDescent="0.25">
      <c r="A137" s="10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Table6[[#This Row],[ (T/B) SAR]]+Table6[[#This Row],[ (S/S) SAR]]</f>
        <v>0</v>
      </c>
      <c r="L137" s="45"/>
      <c r="M137" s="46"/>
      <c r="N137" s="46"/>
      <c r="O137" s="40"/>
      <c r="P137" s="3">
        <f>Table6[[#This Row],[ (S/S) SAR]]-Table6[[#This Row],[(S/S) AJD]]</f>
        <v>0</v>
      </c>
      <c r="Q137" s="40"/>
      <c r="R137" s="3">
        <f>Table6[[#This Row],[ (T/B) SAR]]-Table6[[#This Row],[(T/B) AJD]]</f>
        <v>0</v>
      </c>
      <c r="S137" s="3">
        <f>Table6[[#This Row],[S/S_CON.]]+Table6[[#This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Table6[[#This Row],[(RESV. STORGE) AJD]]/10</f>
        <v>0</v>
      </c>
      <c r="AB137" s="3">
        <f t="shared" si="11"/>
        <v>0</v>
      </c>
      <c r="AC137" s="5"/>
      <c r="AD137" s="40">
        <f>(Table6[[#This Row],[( S/S+T/B) AJD]]*1000)-((Table6[[#This Row],[(STORGE DIFF.) AJD]]*1000)+Table6[[#This Row],[AJD_Evaporation]]+(Table6[[#This Row],[(A/B + A/S) AJD]]*1000))</f>
        <v>0</v>
      </c>
      <c r="AE137" s="44"/>
      <c r="AF137" s="45"/>
      <c r="AG137" s="45"/>
      <c r="AH137" s="6">
        <f>Table6[[#This Row],[ (RESV. STORGE) BER]]/10</f>
        <v>0</v>
      </c>
      <c r="AI137" s="44"/>
      <c r="AJ137" s="45">
        <f>Table6[[#This Row],[(A/B) AJD]]-TABL12345[[#This Row],[BER_IN]]</f>
        <v>0</v>
      </c>
      <c r="AK137" s="45"/>
      <c r="AL137" s="45"/>
      <c r="AM137" s="32"/>
      <c r="AN137" s="32">
        <f>Table6[[#This Row],[ (RESV. STORGE) SER]]/10</f>
        <v>0</v>
      </c>
      <c r="AO137" s="68"/>
      <c r="AP137" s="103">
        <f>Table6[[#This Row],[(A/S) AJD]]-Table6[[#This Row],[SER_IN]]</f>
        <v>0</v>
      </c>
    </row>
    <row r="138" spans="1:42" ht="18.75" x14ac:dyDescent="0.25">
      <c r="A138" s="10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Table6[[#This Row],[ (T/B) SAR]]+Table6[[#This Row],[ (S/S) SAR]]</f>
        <v>0</v>
      </c>
      <c r="L138" s="41"/>
      <c r="M138" s="42"/>
      <c r="N138" s="42"/>
      <c r="O138" s="39"/>
      <c r="P138" s="3">
        <f>Table6[[#This Row],[ (S/S) SAR]]-Table6[[#This Row],[(S/S) AJD]]</f>
        <v>0</v>
      </c>
      <c r="Q138" s="39"/>
      <c r="R138" s="3">
        <f>Table6[[#This Row],[ (T/B) SAR]]-Table6[[#This Row],[(T/B) AJD]]</f>
        <v>0</v>
      </c>
      <c r="S138" s="3">
        <f>Table6[[#This Row],[S/S_CON.]]+Table6[[#This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Table6[[#This Row],[(RESV. STORGE) AJD]]/10</f>
        <v>0</v>
      </c>
      <c r="AB138" s="3">
        <f t="shared" si="11"/>
        <v>0</v>
      </c>
      <c r="AC138" s="5"/>
      <c r="AD138" s="39">
        <f>(Table6[[#This Row],[( S/S+T/B) AJD]]*1000)-((Table6[[#This Row],[(STORGE DIFF.) AJD]]*1000)+Table6[[#This Row],[AJD_Evaporation]]+(Table6[[#This Row],[(A/B + A/S) AJD]]*1000))</f>
        <v>0</v>
      </c>
      <c r="AE138" s="41"/>
      <c r="AF138" s="43"/>
      <c r="AG138" s="43"/>
      <c r="AH138" s="6">
        <f>Table6[[#This Row],[ (RESV. STORGE) BER]]/10</f>
        <v>0</v>
      </c>
      <c r="AI138" s="41"/>
      <c r="AJ138" s="43">
        <f>Table6[[#This Row],[(A/B) AJD]]-TABL12345[[#This Row],[BER_IN]]</f>
        <v>0</v>
      </c>
      <c r="AK138" s="43"/>
      <c r="AL138" s="43"/>
      <c r="AM138" s="32"/>
      <c r="AN138" s="32">
        <f>Table6[[#This Row],[ (RESV. STORGE) SER]]/10</f>
        <v>0</v>
      </c>
      <c r="AO138" s="68"/>
      <c r="AP138" s="103">
        <f>Table6[[#This Row],[(A/S) AJD]]-Table6[[#This Row],[SER_IN]]</f>
        <v>0</v>
      </c>
    </row>
    <row r="139" spans="1:42" ht="18.75" x14ac:dyDescent="0.25">
      <c r="A139" s="10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Table6[[#This Row],[ (T/B) SAR]]+Table6[[#This Row],[ (S/S) SAR]]</f>
        <v>0</v>
      </c>
      <c r="L139" s="45"/>
      <c r="M139" s="46"/>
      <c r="N139" s="46"/>
      <c r="O139" s="40"/>
      <c r="P139" s="3">
        <f>Table6[[#This Row],[ (S/S) SAR]]-Table6[[#This Row],[(S/S) AJD]]</f>
        <v>0</v>
      </c>
      <c r="Q139" s="40"/>
      <c r="R139" s="3">
        <f>Table6[[#This Row],[ (T/B) SAR]]-Table6[[#This Row],[(T/B) AJD]]</f>
        <v>0</v>
      </c>
      <c r="S139" s="3">
        <f>Table6[[#This Row],[S/S_CON.]]+Table6[[#This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Table6[[#This Row],[(RESV. STORGE) AJD]]/10</f>
        <v>0</v>
      </c>
      <c r="AB139" s="3">
        <f t="shared" si="11"/>
        <v>0</v>
      </c>
      <c r="AC139" s="5"/>
      <c r="AD139" s="40">
        <f>(Table6[[#This Row],[( S/S+T/B) AJD]]*1000)-((Table6[[#This Row],[(STORGE DIFF.) AJD]]*1000)+Table6[[#This Row],[AJD_Evaporation]]+(Table6[[#This Row],[(A/B + A/S) AJD]]*1000))</f>
        <v>0</v>
      </c>
      <c r="AE139" s="44"/>
      <c r="AF139" s="45"/>
      <c r="AG139" s="45"/>
      <c r="AH139" s="6">
        <f>Table6[[#This Row],[ (RESV. STORGE) BER]]/10</f>
        <v>0</v>
      </c>
      <c r="AI139" s="44"/>
      <c r="AJ139" s="45">
        <f>Table6[[#This Row],[(A/B) AJD]]-TABL12345[[#This Row],[BER_IN]]</f>
        <v>0</v>
      </c>
      <c r="AK139" s="45"/>
      <c r="AL139" s="45"/>
      <c r="AM139" s="32"/>
      <c r="AN139" s="32">
        <f>Table6[[#This Row],[ (RESV. STORGE) SER]]/10</f>
        <v>0</v>
      </c>
      <c r="AO139" s="68"/>
      <c r="AP139" s="103">
        <f>Table6[[#This Row],[(A/S) AJD]]-Table6[[#This Row],[SER_IN]]</f>
        <v>0</v>
      </c>
    </row>
    <row r="140" spans="1:42" ht="18.75" x14ac:dyDescent="0.25">
      <c r="A140" s="10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Table6[[#This Row],[ (T/B) SAR]]+Table6[[#This Row],[ (S/S) SAR]]</f>
        <v>0</v>
      </c>
      <c r="L140" s="41"/>
      <c r="M140" s="42"/>
      <c r="N140" s="42"/>
      <c r="O140" s="39"/>
      <c r="P140" s="3">
        <f>Table6[[#This Row],[ (S/S) SAR]]-Table6[[#This Row],[(S/S) AJD]]</f>
        <v>0</v>
      </c>
      <c r="Q140" s="39"/>
      <c r="R140" s="3">
        <f>Table6[[#This Row],[ (T/B) SAR]]-Table6[[#This Row],[(T/B) AJD]]</f>
        <v>0</v>
      </c>
      <c r="S140" s="3">
        <f>Table6[[#This Row],[S/S_CON.]]+Table6[[#This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Table6[[#This Row],[(RESV. STORGE) AJD]]/10</f>
        <v>0</v>
      </c>
      <c r="AB140" s="3">
        <f t="shared" si="11"/>
        <v>0</v>
      </c>
      <c r="AC140" s="5"/>
      <c r="AD140" s="39">
        <f>(Table6[[#This Row],[( S/S+T/B) AJD]]*1000)-((Table6[[#This Row],[(STORGE DIFF.) AJD]]*1000)+Table6[[#This Row],[AJD_Evaporation]]+(Table6[[#This Row],[(A/B + A/S) AJD]]*1000))</f>
        <v>0</v>
      </c>
      <c r="AE140" s="41"/>
      <c r="AF140" s="43"/>
      <c r="AG140" s="43"/>
      <c r="AH140" s="6">
        <f>Table6[[#This Row],[ (RESV. STORGE) BER]]/10</f>
        <v>0</v>
      </c>
      <c r="AI140" s="41"/>
      <c r="AJ140" s="43">
        <f>Table6[[#This Row],[(A/B) AJD]]-TABL12345[[#This Row],[BER_IN]]</f>
        <v>0</v>
      </c>
      <c r="AK140" s="43"/>
      <c r="AL140" s="43"/>
      <c r="AM140" s="32"/>
      <c r="AN140" s="32">
        <f>Table6[[#This Row],[ (RESV. STORGE) SER]]/10</f>
        <v>0</v>
      </c>
      <c r="AO140" s="68"/>
      <c r="AP140" s="103">
        <f>Table6[[#This Row],[(A/S) AJD]]-Table6[[#This Row],[SER_IN]]</f>
        <v>0</v>
      </c>
    </row>
    <row r="141" spans="1:42" ht="18.75" x14ac:dyDescent="0.25">
      <c r="A141" s="10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Table6[[#This Row],[ (T/B) SAR]]+Table6[[#This Row],[ (S/S) SAR]]</f>
        <v>0</v>
      </c>
      <c r="L141" s="45"/>
      <c r="M141" s="46"/>
      <c r="N141" s="46"/>
      <c r="O141" s="40"/>
      <c r="P141" s="3">
        <f>Table6[[#This Row],[ (S/S) SAR]]-Table6[[#This Row],[(S/S) AJD]]</f>
        <v>0</v>
      </c>
      <c r="Q141" s="40"/>
      <c r="R141" s="3">
        <f>Table6[[#This Row],[ (T/B) SAR]]-Table6[[#This Row],[(T/B) AJD]]</f>
        <v>0</v>
      </c>
      <c r="S141" s="3">
        <f>Table6[[#This Row],[S/S_CON.]]+Table6[[#This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Table6[[#This Row],[(RESV. STORGE) AJD]]/10</f>
        <v>0</v>
      </c>
      <c r="AB141" s="3">
        <f t="shared" si="11"/>
        <v>0</v>
      </c>
      <c r="AC141" s="5"/>
      <c r="AD141" s="40">
        <f>(Table6[[#This Row],[( S/S+T/B) AJD]]*1000)-((Table6[[#This Row],[(STORGE DIFF.) AJD]]*1000)+Table6[[#This Row],[AJD_Evaporation]]+(Table6[[#This Row],[(A/B + A/S) AJD]]*1000))</f>
        <v>0</v>
      </c>
      <c r="AE141" s="44"/>
      <c r="AF141" s="45"/>
      <c r="AG141" s="45"/>
      <c r="AH141" s="6">
        <f>Table6[[#This Row],[ (RESV. STORGE) BER]]/10</f>
        <v>0</v>
      </c>
      <c r="AI141" s="44"/>
      <c r="AJ141" s="45">
        <f>Table6[[#This Row],[(A/B) AJD]]-TABL12345[[#This Row],[BER_IN]]</f>
        <v>0</v>
      </c>
      <c r="AK141" s="45"/>
      <c r="AL141" s="45"/>
      <c r="AM141" s="32"/>
      <c r="AN141" s="32">
        <f>Table6[[#This Row],[ (RESV. STORGE) SER]]/10</f>
        <v>0</v>
      </c>
      <c r="AO141" s="68"/>
      <c r="AP141" s="103">
        <f>Table6[[#This Row],[(A/S) AJD]]-Table6[[#This Row],[SER_IN]]</f>
        <v>0</v>
      </c>
    </row>
    <row r="142" spans="1:42" ht="18.75" x14ac:dyDescent="0.25">
      <c r="A142" s="10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Table6[[#This Row],[ (T/B) SAR]]+Table6[[#This Row],[ (S/S) SAR]]</f>
        <v>0</v>
      </c>
      <c r="L142" s="41"/>
      <c r="M142" s="42"/>
      <c r="N142" s="42"/>
      <c r="O142" s="39"/>
      <c r="P142" s="3">
        <f>Table6[[#This Row],[ (S/S) SAR]]-Table6[[#This Row],[(S/S) AJD]]</f>
        <v>0</v>
      </c>
      <c r="Q142" s="39"/>
      <c r="R142" s="3">
        <f>Table6[[#This Row],[ (T/B) SAR]]-Table6[[#This Row],[(T/B) AJD]]</f>
        <v>0</v>
      </c>
      <c r="S142" s="3">
        <f>Table6[[#This Row],[S/S_CON.]]+Table6[[#This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Table6[[#This Row],[(RESV. STORGE) AJD]]/10</f>
        <v>0</v>
      </c>
      <c r="AB142" s="3">
        <f t="shared" si="11"/>
        <v>0</v>
      </c>
      <c r="AC142" s="5"/>
      <c r="AD142" s="39">
        <f>(Table6[[#This Row],[( S/S+T/B) AJD]]*1000)-((Table6[[#This Row],[(STORGE DIFF.) AJD]]*1000)+Table6[[#This Row],[AJD_Evaporation]]+(Table6[[#This Row],[(A/B + A/S) AJD]]*1000))</f>
        <v>0</v>
      </c>
      <c r="AE142" s="41"/>
      <c r="AF142" s="43"/>
      <c r="AG142" s="43"/>
      <c r="AH142" s="6">
        <f>Table6[[#This Row],[ (RESV. STORGE) BER]]/10</f>
        <v>0</v>
      </c>
      <c r="AI142" s="41"/>
      <c r="AJ142" s="43">
        <f>Table6[[#This Row],[(A/B) AJD]]-TABL12345[[#This Row],[BER_IN]]</f>
        <v>0</v>
      </c>
      <c r="AK142" s="43"/>
      <c r="AL142" s="43"/>
      <c r="AM142" s="32"/>
      <c r="AN142" s="32">
        <f>Table6[[#This Row],[ (RESV. STORGE) SER]]/10</f>
        <v>0</v>
      </c>
      <c r="AO142" s="68"/>
      <c r="AP142" s="103">
        <f>Table6[[#This Row],[(A/S) AJD]]-Table6[[#This Row],[SER_IN]]</f>
        <v>0</v>
      </c>
    </row>
    <row r="143" spans="1:42" ht="18.75" x14ac:dyDescent="0.25">
      <c r="A143" s="10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Table6[[#This Row],[ (T/B) SAR]]+Table6[[#This Row],[ (S/S) SAR]]</f>
        <v>0</v>
      </c>
      <c r="L143" s="45"/>
      <c r="M143" s="46"/>
      <c r="N143" s="46"/>
      <c r="O143" s="40"/>
      <c r="P143" s="3">
        <f>Table6[[#This Row],[ (S/S) SAR]]-Table6[[#This Row],[(S/S) AJD]]</f>
        <v>0</v>
      </c>
      <c r="Q143" s="40"/>
      <c r="R143" s="3">
        <f>Table6[[#This Row],[ (T/B) SAR]]-Table6[[#This Row],[(T/B) AJD]]</f>
        <v>0</v>
      </c>
      <c r="S143" s="3">
        <f>Table6[[#This Row],[S/S_CON.]]+Table6[[#This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Table6[[#This Row],[(RESV. STORGE) AJD]]/10</f>
        <v>0</v>
      </c>
      <c r="AB143" s="3">
        <f t="shared" si="11"/>
        <v>0</v>
      </c>
      <c r="AC143" s="5"/>
      <c r="AD143" s="40">
        <f>(Table6[[#This Row],[( S/S+T/B) AJD]]*1000)-((Table6[[#This Row],[(STORGE DIFF.) AJD]]*1000)+Table6[[#This Row],[AJD_Evaporation]]+(Table6[[#This Row],[(A/B + A/S) AJD]]*1000))</f>
        <v>0</v>
      </c>
      <c r="AE143" s="44"/>
      <c r="AF143" s="45"/>
      <c r="AG143" s="45"/>
      <c r="AH143" s="6">
        <f>Table6[[#This Row],[ (RESV. STORGE) BER]]/10</f>
        <v>0</v>
      </c>
      <c r="AI143" s="44"/>
      <c r="AJ143" s="45">
        <f>Table6[[#This Row],[(A/B) AJD]]-TABL12345[[#This Row],[BER_IN]]</f>
        <v>0</v>
      </c>
      <c r="AK143" s="45"/>
      <c r="AL143" s="45"/>
      <c r="AM143" s="32"/>
      <c r="AN143" s="32">
        <f>Table6[[#This Row],[ (RESV. STORGE) SER]]/10</f>
        <v>0</v>
      </c>
      <c r="AO143" s="68"/>
      <c r="AP143" s="103">
        <f>Table6[[#This Row],[(A/S) AJD]]-Table6[[#This Row],[SER_IN]]</f>
        <v>0</v>
      </c>
    </row>
    <row r="144" spans="1:42" ht="18.75" x14ac:dyDescent="0.25">
      <c r="A144" s="10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Table6[[#This Row],[ (T/B) SAR]]+Table6[[#This Row],[ (S/S) SAR]]</f>
        <v>0</v>
      </c>
      <c r="L144" s="41"/>
      <c r="M144" s="42"/>
      <c r="N144" s="42"/>
      <c r="O144" s="39"/>
      <c r="P144" s="3">
        <f>Table6[[#This Row],[ (S/S) SAR]]-Table6[[#This Row],[(S/S) AJD]]</f>
        <v>0</v>
      </c>
      <c r="Q144" s="39"/>
      <c r="R144" s="3">
        <f>Table6[[#This Row],[ (T/B) SAR]]-Table6[[#This Row],[(T/B) AJD]]</f>
        <v>0</v>
      </c>
      <c r="S144" s="3">
        <f>Table6[[#This Row],[S/S_CON.]]+Table6[[#This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Table6[[#This Row],[(RESV. STORGE) AJD]]/10</f>
        <v>0</v>
      </c>
      <c r="AB144" s="3">
        <f t="shared" si="11"/>
        <v>0</v>
      </c>
      <c r="AC144" s="5"/>
      <c r="AD144" s="39">
        <f>(Table6[[#This Row],[( S/S+T/B) AJD]]*1000)-((Table6[[#This Row],[(STORGE DIFF.) AJD]]*1000)+Table6[[#This Row],[AJD_Evaporation]]+(Table6[[#This Row],[(A/B + A/S) AJD]]*1000))</f>
        <v>0</v>
      </c>
      <c r="AE144" s="41"/>
      <c r="AF144" s="43"/>
      <c r="AG144" s="43"/>
      <c r="AH144" s="6">
        <f>Table6[[#This Row],[ (RESV. STORGE) BER]]/10</f>
        <v>0</v>
      </c>
      <c r="AI144" s="41"/>
      <c r="AJ144" s="43">
        <f>Table6[[#This Row],[(A/B) AJD]]-TABL12345[[#This Row],[BER_IN]]</f>
        <v>0</v>
      </c>
      <c r="AK144" s="43"/>
      <c r="AL144" s="43"/>
      <c r="AM144" s="32"/>
      <c r="AN144" s="32">
        <f>Table6[[#This Row],[ (RESV. STORGE) SER]]/10</f>
        <v>0</v>
      </c>
      <c r="AO144" s="68"/>
      <c r="AP144" s="103">
        <f>Table6[[#This Row],[(A/S) AJD]]-Table6[[#This Row],[SER_IN]]</f>
        <v>0</v>
      </c>
    </row>
    <row r="145" spans="1:42" ht="18.75" x14ac:dyDescent="0.25">
      <c r="A145" s="10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Table6[[#This Row],[ (T/B) SAR]]+Table6[[#This Row],[ (S/S) SAR]]</f>
        <v>0</v>
      </c>
      <c r="L145" s="45"/>
      <c r="M145" s="46"/>
      <c r="N145" s="46"/>
      <c r="O145" s="40"/>
      <c r="P145" s="3">
        <f>Table6[[#This Row],[ (S/S) SAR]]-Table6[[#This Row],[(S/S) AJD]]</f>
        <v>0</v>
      </c>
      <c r="Q145" s="40"/>
      <c r="R145" s="3">
        <f>Table6[[#This Row],[ (T/B) SAR]]-Table6[[#This Row],[(T/B) AJD]]</f>
        <v>0</v>
      </c>
      <c r="S145" s="3">
        <f>Table6[[#This Row],[S/S_CON.]]+Table6[[#This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Table6[[#This Row],[(RESV. STORGE) AJD]]/10</f>
        <v>0</v>
      </c>
      <c r="AB145" s="3">
        <f t="shared" si="11"/>
        <v>0</v>
      </c>
      <c r="AC145" s="5"/>
      <c r="AD145" s="40">
        <f>(Table6[[#This Row],[( S/S+T/B) AJD]]*1000)-((Table6[[#This Row],[(STORGE DIFF.) AJD]]*1000)+Table6[[#This Row],[AJD_Evaporation]]+(Table6[[#This Row],[(A/B + A/S) AJD]]*1000))</f>
        <v>0</v>
      </c>
      <c r="AE145" s="44"/>
      <c r="AF145" s="45"/>
      <c r="AG145" s="45"/>
      <c r="AH145" s="6">
        <f>Table6[[#This Row],[ (RESV. STORGE) BER]]/10</f>
        <v>0</v>
      </c>
      <c r="AI145" s="44"/>
      <c r="AJ145" s="45">
        <f>Table6[[#This Row],[(A/B) AJD]]-TABL12345[[#This Row],[BER_IN]]</f>
        <v>0</v>
      </c>
      <c r="AK145" s="45"/>
      <c r="AL145" s="45"/>
      <c r="AM145" s="32"/>
      <c r="AN145" s="32">
        <f>Table6[[#This Row],[ (RESV. STORGE) SER]]/10</f>
        <v>0</v>
      </c>
      <c r="AO145" s="68"/>
      <c r="AP145" s="103">
        <f>Table6[[#This Row],[(A/S) AJD]]-Table6[[#This Row],[SER_IN]]</f>
        <v>0</v>
      </c>
    </row>
    <row r="146" spans="1:42" ht="18.75" x14ac:dyDescent="0.25">
      <c r="A146" s="10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Table6[[#This Row],[ (T/B) SAR]]+Table6[[#This Row],[ (S/S) SAR]]</f>
        <v>0</v>
      </c>
      <c r="L146" s="41"/>
      <c r="M146" s="42"/>
      <c r="N146" s="42"/>
      <c r="O146" s="39"/>
      <c r="P146" s="3">
        <f>Table6[[#This Row],[ (S/S) SAR]]-Table6[[#This Row],[(S/S) AJD]]</f>
        <v>0</v>
      </c>
      <c r="Q146" s="39"/>
      <c r="R146" s="3">
        <f>Table6[[#This Row],[ (T/B) SAR]]-Table6[[#This Row],[(T/B) AJD]]</f>
        <v>0</v>
      </c>
      <c r="S146" s="3">
        <f>Table6[[#This Row],[S/S_CON.]]+Table6[[#This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Table6[[#This Row],[(RESV. STORGE) AJD]]/10</f>
        <v>0</v>
      </c>
      <c r="AB146" s="3">
        <f t="shared" si="11"/>
        <v>0</v>
      </c>
      <c r="AC146" s="5"/>
      <c r="AD146" s="39">
        <f>(Table6[[#This Row],[( S/S+T/B) AJD]]*1000)-((Table6[[#This Row],[(STORGE DIFF.) AJD]]*1000)+Table6[[#This Row],[AJD_Evaporation]]+(Table6[[#This Row],[(A/B + A/S) AJD]]*1000))</f>
        <v>0</v>
      </c>
      <c r="AE146" s="41"/>
      <c r="AF146" s="43"/>
      <c r="AG146" s="43"/>
      <c r="AH146" s="6">
        <f>Table6[[#This Row],[ (RESV. STORGE) BER]]/10</f>
        <v>0</v>
      </c>
      <c r="AI146" s="41"/>
      <c r="AJ146" s="43">
        <f>Table6[[#This Row],[(A/B) AJD]]-TABL12345[[#This Row],[BER_IN]]</f>
        <v>0</v>
      </c>
      <c r="AK146" s="43"/>
      <c r="AL146" s="43"/>
      <c r="AM146" s="32"/>
      <c r="AN146" s="32">
        <f>Table6[[#This Row],[ (RESV. STORGE) SER]]/10</f>
        <v>0</v>
      </c>
      <c r="AO146" s="68"/>
      <c r="AP146" s="103">
        <f>Table6[[#This Row],[(A/S) AJD]]-Table6[[#This Row],[SER_IN]]</f>
        <v>0</v>
      </c>
    </row>
    <row r="147" spans="1:42" ht="18.75" x14ac:dyDescent="0.25">
      <c r="A147" s="10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Table6[[#This Row],[ (T/B) SAR]]+Table6[[#This Row],[ (S/S) SAR]]</f>
        <v>0</v>
      </c>
      <c r="L147" s="45"/>
      <c r="M147" s="46"/>
      <c r="N147" s="46"/>
      <c r="O147" s="40"/>
      <c r="P147" s="3">
        <f>Table6[[#This Row],[ (S/S) SAR]]-Table6[[#This Row],[(S/S) AJD]]</f>
        <v>0</v>
      </c>
      <c r="Q147" s="40"/>
      <c r="R147" s="3">
        <f>Table6[[#This Row],[ (T/B) SAR]]-Table6[[#This Row],[(T/B) AJD]]</f>
        <v>0</v>
      </c>
      <c r="S147" s="3">
        <f>Table6[[#This Row],[S/S_CON.]]+Table6[[#This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Table6[[#This Row],[(RESV. STORGE) AJD]]/10</f>
        <v>0</v>
      </c>
      <c r="AB147" s="3">
        <f t="shared" si="11"/>
        <v>0</v>
      </c>
      <c r="AC147" s="5"/>
      <c r="AD147" s="40">
        <f>(Table6[[#This Row],[( S/S+T/B) AJD]]*1000)-((Table6[[#This Row],[(STORGE DIFF.) AJD]]*1000)+Table6[[#This Row],[AJD_Evaporation]]+(Table6[[#This Row],[(A/B + A/S) AJD]]*1000))</f>
        <v>0</v>
      </c>
      <c r="AE147" s="44"/>
      <c r="AF147" s="45"/>
      <c r="AG147" s="45"/>
      <c r="AH147" s="6">
        <f>Table6[[#This Row],[ (RESV. STORGE) BER]]/10</f>
        <v>0</v>
      </c>
      <c r="AI147" s="44"/>
      <c r="AJ147" s="45">
        <f>Table6[[#This Row],[(A/B) AJD]]-TABL12345[[#This Row],[BER_IN]]</f>
        <v>0</v>
      </c>
      <c r="AK147" s="45"/>
      <c r="AL147" s="45"/>
      <c r="AM147" s="32"/>
      <c r="AN147" s="32">
        <f>Table6[[#This Row],[ (RESV. STORGE) SER]]/10</f>
        <v>0</v>
      </c>
      <c r="AO147" s="68"/>
      <c r="AP147" s="103">
        <f>Table6[[#This Row],[(A/S) AJD]]-Table6[[#This Row],[SER_IN]]</f>
        <v>0</v>
      </c>
    </row>
    <row r="148" spans="1:42" ht="18.75" x14ac:dyDescent="0.25">
      <c r="A148" s="10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Table6[[#This Row],[ (T/B) SAR]]+Table6[[#This Row],[ (S/S) SAR]]</f>
        <v>0</v>
      </c>
      <c r="L148" s="41"/>
      <c r="M148" s="42"/>
      <c r="N148" s="42"/>
      <c r="O148" s="39"/>
      <c r="P148" s="3">
        <f>Table6[[#This Row],[ (S/S) SAR]]-Table6[[#This Row],[(S/S) AJD]]</f>
        <v>0</v>
      </c>
      <c r="Q148" s="39"/>
      <c r="R148" s="3">
        <f>Table6[[#This Row],[ (T/B) SAR]]-Table6[[#This Row],[(T/B) AJD]]</f>
        <v>0</v>
      </c>
      <c r="S148" s="3">
        <f>Table6[[#This Row],[S/S_CON.]]+Table6[[#This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Table6[[#This Row],[(RESV. STORGE) AJD]]/10</f>
        <v>0</v>
      </c>
      <c r="AB148" s="3">
        <f t="shared" si="11"/>
        <v>0</v>
      </c>
      <c r="AC148" s="5"/>
      <c r="AD148" s="39">
        <f>(Table6[[#This Row],[( S/S+T/B) AJD]]*1000)-((Table6[[#This Row],[(STORGE DIFF.) AJD]]*1000)+Table6[[#This Row],[AJD_Evaporation]]+(Table6[[#This Row],[(A/B + A/S) AJD]]*1000))</f>
        <v>0</v>
      </c>
      <c r="AE148" s="41"/>
      <c r="AF148" s="43"/>
      <c r="AG148" s="43"/>
      <c r="AH148" s="6">
        <f>Table6[[#This Row],[ (RESV. STORGE) BER]]/10</f>
        <v>0</v>
      </c>
      <c r="AI148" s="41"/>
      <c r="AJ148" s="43">
        <f>Table6[[#This Row],[(A/B) AJD]]-TABL12345[[#This Row],[BER_IN]]</f>
        <v>0</v>
      </c>
      <c r="AK148" s="43"/>
      <c r="AL148" s="43"/>
      <c r="AM148" s="32"/>
      <c r="AN148" s="32">
        <f>Table6[[#This Row],[ (RESV. STORGE) SER]]/10</f>
        <v>0</v>
      </c>
      <c r="AO148" s="68"/>
      <c r="AP148" s="103">
        <f>Table6[[#This Row],[(A/S) AJD]]-Table6[[#This Row],[SER_IN]]</f>
        <v>0</v>
      </c>
    </row>
    <row r="149" spans="1:42" ht="18.75" x14ac:dyDescent="0.25">
      <c r="A149" s="10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Table6[[#This Row],[ (T/B) SAR]]+Table6[[#This Row],[ (S/S) SAR]]</f>
        <v>0</v>
      </c>
      <c r="L149" s="45"/>
      <c r="M149" s="46"/>
      <c r="N149" s="46"/>
      <c r="O149" s="40"/>
      <c r="P149" s="3">
        <f>Table6[[#This Row],[ (S/S) SAR]]-Table6[[#This Row],[(S/S) AJD]]</f>
        <v>0</v>
      </c>
      <c r="Q149" s="40"/>
      <c r="R149" s="3">
        <f>Table6[[#This Row],[ (T/B) SAR]]-Table6[[#This Row],[(T/B) AJD]]</f>
        <v>0</v>
      </c>
      <c r="S149" s="3">
        <f>Table6[[#This Row],[S/S_CON.]]+Table6[[#This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Table6[[#This Row],[(RESV. STORGE) AJD]]/10</f>
        <v>0</v>
      </c>
      <c r="AB149" s="3">
        <f t="shared" si="11"/>
        <v>0</v>
      </c>
      <c r="AC149" s="5"/>
      <c r="AD149" s="40">
        <f>(Table6[[#This Row],[( S/S+T/B) AJD]]*1000)-((Table6[[#This Row],[(STORGE DIFF.) AJD]]*1000)+Table6[[#This Row],[AJD_Evaporation]]+(Table6[[#This Row],[(A/B + A/S) AJD]]*1000))</f>
        <v>0</v>
      </c>
      <c r="AE149" s="44"/>
      <c r="AF149" s="45"/>
      <c r="AG149" s="45"/>
      <c r="AH149" s="6">
        <f>Table6[[#This Row],[ (RESV. STORGE) BER]]/10</f>
        <v>0</v>
      </c>
      <c r="AI149" s="44"/>
      <c r="AJ149" s="45">
        <f>Table6[[#This Row],[(A/B) AJD]]-TABL12345[[#This Row],[BER_IN]]</f>
        <v>0</v>
      </c>
      <c r="AK149" s="45"/>
      <c r="AL149" s="45"/>
      <c r="AM149" s="32"/>
      <c r="AN149" s="32">
        <f>Table6[[#This Row],[ (RESV. STORGE) SER]]/10</f>
        <v>0</v>
      </c>
      <c r="AO149" s="68"/>
      <c r="AP149" s="103">
        <f>Table6[[#This Row],[(A/S) AJD]]-Table6[[#This Row],[SER_IN]]</f>
        <v>0</v>
      </c>
    </row>
    <row r="150" spans="1:42" ht="18.75" x14ac:dyDescent="0.25">
      <c r="A150" s="10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Table6[[#This Row],[ (T/B) SAR]]+Table6[[#This Row],[ (S/S) SAR]]</f>
        <v>0</v>
      </c>
      <c r="L150" s="41"/>
      <c r="M150" s="42"/>
      <c r="N150" s="42"/>
      <c r="O150" s="39"/>
      <c r="P150" s="3">
        <f>Table6[[#This Row],[ (S/S) SAR]]-Table6[[#This Row],[(S/S) AJD]]</f>
        <v>0</v>
      </c>
      <c r="Q150" s="39"/>
      <c r="R150" s="3">
        <f>Table6[[#This Row],[ (T/B) SAR]]-Table6[[#This Row],[(T/B) AJD]]</f>
        <v>0</v>
      </c>
      <c r="S150" s="3">
        <f>Table6[[#This Row],[S/S_CON.]]+Table6[[#This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Table6[[#This Row],[(RESV. STORGE) AJD]]/10</f>
        <v>0</v>
      </c>
      <c r="AB150" s="3">
        <f t="shared" si="11"/>
        <v>0</v>
      </c>
      <c r="AC150" s="5"/>
      <c r="AD150" s="39">
        <f>(Table6[[#This Row],[( S/S+T/B) AJD]]*1000)-((Table6[[#This Row],[(STORGE DIFF.) AJD]]*1000)+Table6[[#This Row],[AJD_Evaporation]]+(Table6[[#This Row],[(A/B + A/S) AJD]]*1000))</f>
        <v>0</v>
      </c>
      <c r="AE150" s="41"/>
      <c r="AF150" s="43"/>
      <c r="AG150" s="43"/>
      <c r="AH150" s="6">
        <f>Table6[[#This Row],[ (RESV. STORGE) BER]]/10</f>
        <v>0</v>
      </c>
      <c r="AI150" s="41"/>
      <c r="AJ150" s="43">
        <f>Table6[[#This Row],[(A/B) AJD]]-TABL12345[[#This Row],[BER_IN]]</f>
        <v>0</v>
      </c>
      <c r="AK150" s="43"/>
      <c r="AL150" s="43"/>
      <c r="AM150" s="32"/>
      <c r="AN150" s="32">
        <f>Table6[[#This Row],[ (RESV. STORGE) SER]]/10</f>
        <v>0</v>
      </c>
      <c r="AO150" s="68"/>
      <c r="AP150" s="103">
        <f>Table6[[#This Row],[(A/S) AJD]]-Table6[[#This Row],[SER_IN]]</f>
        <v>0</v>
      </c>
    </row>
    <row r="151" spans="1:42" ht="18.75" x14ac:dyDescent="0.25">
      <c r="A151" s="10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Table6[[#This Row],[ (T/B) SAR]]+Table6[[#This Row],[ (S/S) SAR]]</f>
        <v>0</v>
      </c>
      <c r="L151" s="45"/>
      <c r="M151" s="46"/>
      <c r="N151" s="46"/>
      <c r="O151" s="40"/>
      <c r="P151" s="3">
        <f>Table6[[#This Row],[ (S/S) SAR]]-Table6[[#This Row],[(S/S) AJD]]</f>
        <v>0</v>
      </c>
      <c r="Q151" s="40"/>
      <c r="R151" s="3">
        <f>Table6[[#This Row],[ (T/B) SAR]]-Table6[[#This Row],[(T/B) AJD]]</f>
        <v>0</v>
      </c>
      <c r="S151" s="3">
        <f>Table6[[#This Row],[S/S_CON.]]+Table6[[#This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Table6[[#This Row],[(RESV. STORGE) AJD]]/10</f>
        <v>0</v>
      </c>
      <c r="AB151" s="3">
        <f t="shared" si="11"/>
        <v>0</v>
      </c>
      <c r="AC151" s="5"/>
      <c r="AD151" s="70">
        <f>(Table6[[#This Row],[( S/S+T/B) AJD]]*1000)-((Table6[[#This Row],[(STORGE DIFF.) AJD]]*1000)+Table6[[#This Row],[AJD_Evaporation]]+(Table6[[#This Row],[(A/B + A/S) AJD]]*1000))</f>
        <v>0</v>
      </c>
      <c r="AE151" s="44"/>
      <c r="AF151" s="45"/>
      <c r="AG151" s="45"/>
      <c r="AH151" s="6">
        <f>Table6[[#This Row],[ (RESV. STORGE) BER]]/10</f>
        <v>0</v>
      </c>
      <c r="AI151" s="44"/>
      <c r="AJ151" s="90">
        <f>Table6[[#This Row],[(A/B) AJD]]-TABL12345[[#This Row],[BER_IN]]</f>
        <v>0</v>
      </c>
      <c r="AK151" s="45"/>
      <c r="AL151" s="45"/>
      <c r="AM151" s="32"/>
      <c r="AN151" s="32">
        <f>Table6[[#This Row],[ (RESV. STORGE) SER]]/10</f>
        <v>0</v>
      </c>
      <c r="AO151" s="68"/>
      <c r="AP151" s="103">
        <f>Table6[[#This Row],[(A/S) AJD]]-Table6[[#This Row],[SER_IN]]</f>
        <v>0</v>
      </c>
    </row>
    <row r="152" spans="1:42" ht="18.75" x14ac:dyDescent="0.25">
      <c r="A152" s="10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Table6[[#This Row],[ (T/B) SAR]]+Table6[[#This Row],[ (S/S) SAR]]</f>
        <v>0</v>
      </c>
      <c r="L152" s="41"/>
      <c r="M152" s="42"/>
      <c r="N152" s="42"/>
      <c r="O152" s="39"/>
      <c r="P152" s="3">
        <f>Table6[[#This Row],[ (S/S) SAR]]-Table6[[#This Row],[(S/S) AJD]]</f>
        <v>0</v>
      </c>
      <c r="Q152" s="39"/>
      <c r="R152" s="3">
        <f>Table6[[#This Row],[ (T/B) SAR]]-Table6[[#This Row],[(T/B) AJD]]</f>
        <v>0</v>
      </c>
      <c r="S152" s="3">
        <f>Table6[[#This Row],[S/S_CON.]]+Table6[[#This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Table6[[#This Row],[(RESV. STORGE) AJD]]/10</f>
        <v>0</v>
      </c>
      <c r="AB152" s="3">
        <f t="shared" si="11"/>
        <v>0</v>
      </c>
      <c r="AC152" s="5"/>
      <c r="AD152" s="39">
        <f>(Table6[[#This Row],[( S/S+T/B) AJD]]*1000)-((Table6[[#This Row],[(STORGE DIFF.) AJD]]*1000)+Table6[[#This Row],[AJD_Evaporation]]+(Table6[[#This Row],[(A/B + A/S) AJD]]*1000))</f>
        <v>0</v>
      </c>
      <c r="AE152" s="41"/>
      <c r="AF152" s="43"/>
      <c r="AG152" s="43"/>
      <c r="AH152" s="6">
        <f>Table6[[#This Row],[ (RESV. STORGE) BER]]/10</f>
        <v>0</v>
      </c>
      <c r="AI152" s="41"/>
      <c r="AJ152" s="43">
        <f>Table6[[#This Row],[(A/B) AJD]]-TABL12345[[#This Row],[BER_IN]]</f>
        <v>0</v>
      </c>
      <c r="AK152" s="43"/>
      <c r="AL152" s="43"/>
      <c r="AM152" s="32"/>
      <c r="AN152" s="32">
        <f>Table6[[#This Row],[ (RESV. STORGE) SER]]/10</f>
        <v>0</v>
      </c>
      <c r="AO152" s="68"/>
      <c r="AP152" s="103">
        <f>Table6[[#This Row],[(A/S) AJD]]-Table6[[#This Row],[SER_IN]]</f>
        <v>0</v>
      </c>
    </row>
    <row r="153" spans="1:42" ht="18.75" x14ac:dyDescent="0.25">
      <c r="A153" s="10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Table6[[#This Row],[ (T/B) SAR]]+Table6[[#This Row],[ (S/S) SAR]]</f>
        <v>0</v>
      </c>
      <c r="L153" s="41"/>
      <c r="M153" s="42"/>
      <c r="N153" s="42"/>
      <c r="O153" s="39"/>
      <c r="P153" s="10">
        <f>Table6[[#This Row],[ (S/S) SAR]]-Table6[[#This Row],[(S/S) AJD]]</f>
        <v>0</v>
      </c>
      <c r="Q153" s="39"/>
      <c r="R153" s="10">
        <f>Table6[[#This Row],[ (T/B) SAR]]-Table6[[#This Row],[(T/B) AJD]]</f>
        <v>0</v>
      </c>
      <c r="S153" s="10">
        <f>Table6[[#This Row],[S/S_CON.]]+Table6[[#This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Table6[[#This Row],[(RESV. STORGE) AJD]]/10</f>
        <v>0</v>
      </c>
      <c r="AB153" s="3">
        <f t="shared" si="11"/>
        <v>0</v>
      </c>
      <c r="AC153" s="5"/>
      <c r="AD153" s="39">
        <f>(Table6[[#This Row],[( S/S+T/B) AJD]]*1000)-((Table6[[#This Row],[(STORGE DIFF.) AJD]]*1000)+Table6[[#This Row],[AJD_Evaporation]]+(Table6[[#This Row],[(A/B + A/S) AJD]]*1000))</f>
        <v>0</v>
      </c>
      <c r="AE153" s="41"/>
      <c r="AF153" s="43"/>
      <c r="AG153" s="43"/>
      <c r="AH153" s="6">
        <f>Table6[[#This Row],[ (RESV. STORGE) BER]]/10</f>
        <v>0</v>
      </c>
      <c r="AI153" s="41"/>
      <c r="AJ153" s="43">
        <f>Table6[[#This Row],[(A/B) AJD]]-TABL12345[[#This Row],[BER_IN]]</f>
        <v>0</v>
      </c>
      <c r="AK153" s="43"/>
      <c r="AL153" s="43"/>
      <c r="AM153" s="32"/>
      <c r="AN153" s="32">
        <f>Table6[[#This Row],[ (RESV. STORGE) SER]]/10</f>
        <v>0</v>
      </c>
      <c r="AO153" s="68"/>
      <c r="AP153" s="103">
        <f>Table6[[#This Row],[(A/S) AJD]]-Table6[[#This Row],[SER_IN]]</f>
        <v>0</v>
      </c>
    </row>
    <row r="154" spans="1:42" ht="18.75" x14ac:dyDescent="0.25">
      <c r="A154" s="10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Table6[[#This Row],[ (T/B) SAR]]+Table6[[#This Row],[ (S/S) SAR]]</f>
        <v>0</v>
      </c>
      <c r="L154" s="45"/>
      <c r="M154" s="46"/>
      <c r="N154" s="46"/>
      <c r="O154" s="40"/>
      <c r="P154" s="10">
        <f>Table6[[#This Row],[ (S/S) SAR]]-Table6[[#This Row],[(S/S) AJD]]</f>
        <v>0</v>
      </c>
      <c r="Q154" s="40"/>
      <c r="R154" s="10">
        <f>Table6[[#This Row],[ (T/B) SAR]]-Table6[[#This Row],[(T/B) AJD]]</f>
        <v>0</v>
      </c>
      <c r="S154" s="10">
        <f>Table6[[#This Row],[S/S_CON.]]+Table6[[#This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Table6[[#This Row],[(RESV. STORGE) AJD]]/10</f>
        <v>0</v>
      </c>
      <c r="AB154" s="3">
        <f t="shared" si="11"/>
        <v>0</v>
      </c>
      <c r="AC154" s="5"/>
      <c r="AD154" s="40">
        <f>(Table6[[#This Row],[( S/S+T/B) AJD]]*1000)-((Table6[[#This Row],[(STORGE DIFF.) AJD]]*1000)+Table6[[#This Row],[AJD_Evaporation]]+(Table6[[#This Row],[(A/B + A/S) AJD]]*1000))</f>
        <v>0</v>
      </c>
      <c r="AE154" s="44"/>
      <c r="AF154" s="45"/>
      <c r="AG154" s="45"/>
      <c r="AH154" s="6">
        <f>Table6[[#This Row],[ (RESV. STORGE) BER]]/10</f>
        <v>0</v>
      </c>
      <c r="AI154" s="44"/>
      <c r="AJ154" s="45">
        <f>Table6[[#This Row],[(A/B) AJD]]-TABL12345[[#This Row],[BER_IN]]</f>
        <v>0</v>
      </c>
      <c r="AK154" s="45"/>
      <c r="AL154" s="45"/>
      <c r="AM154" s="32"/>
      <c r="AN154" s="32">
        <f>Table6[[#This Row],[ (RESV. STORGE) SER]]/10</f>
        <v>0</v>
      </c>
      <c r="AO154" s="68"/>
      <c r="AP154" s="103">
        <f>Table6[[#This Row],[(A/S) AJD]]-Table6[[#This Row],[SER_IN]]</f>
        <v>0</v>
      </c>
    </row>
    <row r="155" spans="1:42" ht="18.75" x14ac:dyDescent="0.25">
      <c r="A155" s="10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Table6[[#This Row],[ (T/B) SAR]]+Table6[[#This Row],[ (S/S) SAR]]</f>
        <v>0</v>
      </c>
      <c r="L155" s="41"/>
      <c r="M155" s="42"/>
      <c r="N155" s="42"/>
      <c r="O155" s="39"/>
      <c r="P155" s="10">
        <f>Table6[[#This Row],[ (S/S) SAR]]-Table6[[#This Row],[(S/S) AJD]]</f>
        <v>0</v>
      </c>
      <c r="Q155" s="39"/>
      <c r="R155" s="10">
        <f>Table6[[#This Row],[ (T/B) SAR]]-Table6[[#This Row],[(T/B) AJD]]</f>
        <v>0</v>
      </c>
      <c r="S155" s="10">
        <f>Table6[[#This Row],[S/S_CON.]]+Table6[[#This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Table6[[#This Row],[(RESV. STORGE) AJD]]/10</f>
        <v>0</v>
      </c>
      <c r="AB155" s="3">
        <f t="shared" si="11"/>
        <v>0</v>
      </c>
      <c r="AC155" s="5"/>
      <c r="AD155" s="39">
        <f>(Table6[[#This Row],[( S/S+T/B) AJD]]*1000)-((Table6[[#This Row],[(STORGE DIFF.) AJD]]*1000)+Table6[[#This Row],[AJD_Evaporation]]+(Table6[[#This Row],[(A/B + A/S) AJD]]*1000))</f>
        <v>0</v>
      </c>
      <c r="AE155" s="41"/>
      <c r="AF155" s="43"/>
      <c r="AG155" s="43"/>
      <c r="AH155" s="6">
        <f>Table6[[#This Row],[ (RESV. STORGE) BER]]/10</f>
        <v>0</v>
      </c>
      <c r="AI155" s="41"/>
      <c r="AJ155" s="43">
        <f>Table6[[#This Row],[(A/B) AJD]]-TABL12345[[#This Row],[BER_IN]]</f>
        <v>0</v>
      </c>
      <c r="AK155" s="43"/>
      <c r="AL155" s="43"/>
      <c r="AM155" s="32"/>
      <c r="AN155" s="32">
        <f>Table6[[#This Row],[ (RESV. STORGE) SER]]/10</f>
        <v>0</v>
      </c>
      <c r="AO155" s="68"/>
      <c r="AP155" s="103">
        <f>Table6[[#This Row],[(A/S) AJD]]-Table6[[#This Row],[SER_IN]]</f>
        <v>0</v>
      </c>
    </row>
    <row r="156" spans="1:42" ht="18.75" x14ac:dyDescent="0.25">
      <c r="A156" s="10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Table6[[#This Row],[ (T/B) SAR]]+Table6[[#This Row],[ (S/S) SAR]]</f>
        <v>0</v>
      </c>
      <c r="L156" s="45"/>
      <c r="M156" s="46"/>
      <c r="N156" s="46"/>
      <c r="O156" s="40"/>
      <c r="P156" s="10">
        <f>Table6[[#This Row],[ (S/S) SAR]]-Table6[[#This Row],[(S/S) AJD]]</f>
        <v>0</v>
      </c>
      <c r="Q156" s="40"/>
      <c r="R156" s="10">
        <f>Table6[[#This Row],[ (T/B) SAR]]-Table6[[#This Row],[(T/B) AJD]]</f>
        <v>0</v>
      </c>
      <c r="S156" s="10">
        <f>Table6[[#This Row],[S/S_CON.]]+Table6[[#This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Table6[[#This Row],[(RESV. STORGE) AJD]]/10</f>
        <v>0</v>
      </c>
      <c r="AB156" s="3">
        <f t="shared" si="11"/>
        <v>0</v>
      </c>
      <c r="AC156" s="5"/>
      <c r="AD156" s="40">
        <f>(Table6[[#This Row],[( S/S+T/B) AJD]]*1000)-((Table6[[#This Row],[(STORGE DIFF.) AJD]]*1000)+Table6[[#This Row],[AJD_Evaporation]]+(Table6[[#This Row],[(A/B + A/S) AJD]]*1000))</f>
        <v>0</v>
      </c>
      <c r="AE156" s="44"/>
      <c r="AF156" s="45"/>
      <c r="AG156" s="45"/>
      <c r="AH156" s="6">
        <f>Table6[[#This Row],[ (RESV. STORGE) BER]]/10</f>
        <v>0</v>
      </c>
      <c r="AI156" s="44"/>
      <c r="AJ156" s="45">
        <f>Table6[[#This Row],[(A/B) AJD]]-TABL12345[[#This Row],[BER_IN]]</f>
        <v>0</v>
      </c>
      <c r="AK156" s="45"/>
      <c r="AL156" s="45"/>
      <c r="AM156" s="32"/>
      <c r="AN156" s="32">
        <f>Table6[[#This Row],[ (RESV. STORGE) SER]]/10</f>
        <v>0</v>
      </c>
      <c r="AO156" s="68"/>
      <c r="AP156" s="103">
        <f>Table6[[#This Row],[(A/S) AJD]]-Table6[[#This Row],[SER_IN]]</f>
        <v>0</v>
      </c>
    </row>
    <row r="157" spans="1:42" ht="18.75" x14ac:dyDescent="0.25">
      <c r="A157" s="10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Table6[[#This Row],[ (T/B) SAR]]+Table6[[#This Row],[ (S/S) SAR]]</f>
        <v>0</v>
      </c>
      <c r="L157" s="41"/>
      <c r="M157" s="42"/>
      <c r="N157" s="42"/>
      <c r="O157" s="39"/>
      <c r="P157" s="10">
        <f>Table6[[#This Row],[ (S/S) SAR]]-Table6[[#This Row],[(S/S) AJD]]</f>
        <v>0</v>
      </c>
      <c r="Q157" s="39"/>
      <c r="R157" s="10">
        <f>Table6[[#This Row],[ (T/B) SAR]]-Table6[[#This Row],[(T/B) AJD]]</f>
        <v>0</v>
      </c>
      <c r="S157" s="10">
        <f>Table6[[#This Row],[S/S_CON.]]+Table6[[#This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Table6[[#This Row],[(RESV. STORGE) AJD]]/10</f>
        <v>0</v>
      </c>
      <c r="AB157" s="3">
        <f t="shared" si="11"/>
        <v>0</v>
      </c>
      <c r="AC157" s="5"/>
      <c r="AD157" s="39">
        <f>(Table6[[#This Row],[( S/S+T/B) AJD]]*1000)-((Table6[[#This Row],[(STORGE DIFF.) AJD]]*1000)+Table6[[#This Row],[AJD_Evaporation]]+(Table6[[#This Row],[(A/B + A/S) AJD]]*1000))</f>
        <v>0</v>
      </c>
      <c r="AE157" s="41"/>
      <c r="AF157" s="43"/>
      <c r="AG157" s="43"/>
      <c r="AH157" s="6">
        <f>Table6[[#This Row],[ (RESV. STORGE) BER]]/10</f>
        <v>0</v>
      </c>
      <c r="AI157" s="41"/>
      <c r="AJ157" s="43">
        <f>Table6[[#This Row],[(A/B) AJD]]-TABL12345[[#This Row],[BER_IN]]</f>
        <v>0</v>
      </c>
      <c r="AK157" s="43"/>
      <c r="AL157" s="43"/>
      <c r="AM157" s="32"/>
      <c r="AN157" s="32">
        <f>Table6[[#This Row],[ (RESV. STORGE) SER]]/10</f>
        <v>0</v>
      </c>
      <c r="AO157" s="68"/>
      <c r="AP157" s="103">
        <f>Table6[[#This Row],[(A/S) AJD]]-Table6[[#This Row],[SER_IN]]</f>
        <v>0</v>
      </c>
    </row>
    <row r="158" spans="1:42" ht="18.75" x14ac:dyDescent="0.25">
      <c r="A158" s="10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Table6[[#This Row],[ (T/B) SAR]]+Table6[[#This Row],[ (S/S) SAR]]</f>
        <v>0</v>
      </c>
      <c r="L158" s="45"/>
      <c r="M158" s="46"/>
      <c r="N158" s="46"/>
      <c r="O158" s="40"/>
      <c r="P158" s="10">
        <f>Table6[[#This Row],[ (S/S) SAR]]-Table6[[#This Row],[(S/S) AJD]]</f>
        <v>0</v>
      </c>
      <c r="Q158" s="40"/>
      <c r="R158" s="10">
        <f>Table6[[#This Row],[ (T/B) SAR]]-Table6[[#This Row],[(T/B) AJD]]</f>
        <v>0</v>
      </c>
      <c r="S158" s="10">
        <f>Table6[[#This Row],[S/S_CON.]]+Table6[[#This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Table6[[#This Row],[(RESV. STORGE) AJD]]/10</f>
        <v>0</v>
      </c>
      <c r="AB158" s="3">
        <f t="shared" si="11"/>
        <v>0</v>
      </c>
      <c r="AC158" s="5"/>
      <c r="AD158" s="40">
        <f>(Table6[[#This Row],[( S/S+T/B) AJD]]*1000)-((Table6[[#This Row],[(STORGE DIFF.) AJD]]*1000)+Table6[[#This Row],[AJD_Evaporation]]+(Table6[[#This Row],[(A/B + A/S) AJD]]*1000))</f>
        <v>0</v>
      </c>
      <c r="AE158" s="44"/>
      <c r="AF158" s="45"/>
      <c r="AG158" s="45"/>
      <c r="AH158" s="6">
        <f>Table6[[#This Row],[ (RESV. STORGE) BER]]/10</f>
        <v>0</v>
      </c>
      <c r="AI158" s="44"/>
      <c r="AJ158" s="45">
        <f>Table6[[#This Row],[(A/B) AJD]]-TABL12345[[#This Row],[BER_IN]]</f>
        <v>0</v>
      </c>
      <c r="AK158" s="45"/>
      <c r="AL158" s="45"/>
      <c r="AM158" s="32"/>
      <c r="AN158" s="32">
        <f>Table6[[#This Row],[ (RESV. STORGE) SER]]/10</f>
        <v>0</v>
      </c>
      <c r="AO158" s="68"/>
      <c r="AP158" s="103">
        <f>Table6[[#This Row],[(A/S) AJD]]-Table6[[#This Row],[SER_IN]]</f>
        <v>0</v>
      </c>
    </row>
    <row r="159" spans="1:42" ht="18.75" x14ac:dyDescent="0.25">
      <c r="A159" s="10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Table6[[#This Row],[ (T/B) SAR]]+Table6[[#This Row],[ (S/S) SAR]]</f>
        <v>0</v>
      </c>
      <c r="L159" s="41"/>
      <c r="M159" s="42"/>
      <c r="N159" s="42"/>
      <c r="O159" s="39"/>
      <c r="P159" s="10">
        <f>Table6[[#This Row],[ (S/S) SAR]]-Table6[[#This Row],[(S/S) AJD]]</f>
        <v>0</v>
      </c>
      <c r="Q159" s="39"/>
      <c r="R159" s="10">
        <f>Table6[[#This Row],[ (T/B) SAR]]-Table6[[#This Row],[(T/B) AJD]]</f>
        <v>0</v>
      </c>
      <c r="S159" s="10">
        <f>Table6[[#This Row],[S/S_CON.]]+Table6[[#This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Table6[[#This Row],[(RESV. STORGE) AJD]]/10</f>
        <v>0</v>
      </c>
      <c r="AB159" s="3">
        <f t="shared" si="11"/>
        <v>0</v>
      </c>
      <c r="AC159" s="5"/>
      <c r="AD159" s="39">
        <f>(Table6[[#This Row],[( S/S+T/B) AJD]]*1000)-((Table6[[#This Row],[(STORGE DIFF.) AJD]]*1000)+Table6[[#This Row],[AJD_Evaporation]]+(Table6[[#This Row],[(A/B + A/S) AJD]]*1000))</f>
        <v>0</v>
      </c>
      <c r="AE159" s="41"/>
      <c r="AF159" s="43"/>
      <c r="AG159" s="43"/>
      <c r="AH159" s="6">
        <f>Table6[[#This Row],[ (RESV. STORGE) BER]]/10</f>
        <v>0</v>
      </c>
      <c r="AI159" s="41"/>
      <c r="AJ159" s="43">
        <f>Table6[[#This Row],[(A/B) AJD]]-TABL12345[[#This Row],[BER_IN]]</f>
        <v>0</v>
      </c>
      <c r="AK159" s="43"/>
      <c r="AL159" s="43"/>
      <c r="AM159" s="32"/>
      <c r="AN159" s="32">
        <f>Table6[[#This Row],[ (RESV. STORGE) SER]]/10</f>
        <v>0</v>
      </c>
      <c r="AO159" s="68"/>
      <c r="AP159" s="103">
        <f>Table6[[#This Row],[(A/S) AJD]]-Table6[[#This Row],[SER_IN]]</f>
        <v>0</v>
      </c>
    </row>
    <row r="160" spans="1:42" ht="18.75" x14ac:dyDescent="0.25">
      <c r="A160" s="10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Table6[[#This Row],[ (T/B) SAR]]+Table6[[#This Row],[ (S/S) SAR]]</f>
        <v>0</v>
      </c>
      <c r="L160" s="45"/>
      <c r="M160" s="46"/>
      <c r="N160" s="46"/>
      <c r="O160" s="40"/>
      <c r="P160" s="10">
        <f>Table6[[#This Row],[ (S/S) SAR]]-Table6[[#This Row],[(S/S) AJD]]</f>
        <v>0</v>
      </c>
      <c r="Q160" s="40"/>
      <c r="R160" s="10">
        <f>Table6[[#This Row],[ (T/B) SAR]]-Table6[[#This Row],[(T/B) AJD]]</f>
        <v>0</v>
      </c>
      <c r="S160" s="10">
        <f>Table6[[#This Row],[S/S_CON.]]+Table6[[#This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Table6[[#This Row],[(RESV. STORGE) AJD]]/10</f>
        <v>0</v>
      </c>
      <c r="AB160" s="3">
        <f t="shared" si="11"/>
        <v>0</v>
      </c>
      <c r="AC160" s="5"/>
      <c r="AD160" s="40">
        <f>(Table6[[#This Row],[( S/S+T/B) AJD]]*1000)-((Table6[[#This Row],[(STORGE DIFF.) AJD]]*1000)+Table6[[#This Row],[AJD_Evaporation]]+(Table6[[#This Row],[(A/B + A/S) AJD]]*1000))</f>
        <v>0</v>
      </c>
      <c r="AE160" s="44"/>
      <c r="AF160" s="45"/>
      <c r="AG160" s="45"/>
      <c r="AH160" s="6">
        <f>Table6[[#This Row],[ (RESV. STORGE) BER]]/10</f>
        <v>0</v>
      </c>
      <c r="AI160" s="44"/>
      <c r="AJ160" s="45">
        <f>Table6[[#This Row],[(A/B) AJD]]-TABL12345[[#This Row],[BER_IN]]</f>
        <v>0</v>
      </c>
      <c r="AK160" s="45"/>
      <c r="AL160" s="45"/>
      <c r="AM160" s="32"/>
      <c r="AN160" s="32">
        <f>Table6[[#This Row],[ (RESV. STORGE) SER]]/10</f>
        <v>0</v>
      </c>
      <c r="AO160" s="68"/>
      <c r="AP160" s="103">
        <f>Table6[[#This Row],[(A/S) AJD]]-Table6[[#This Row],[SER_IN]]</f>
        <v>0</v>
      </c>
    </row>
    <row r="161" spans="1:42" ht="18.75" x14ac:dyDescent="0.25">
      <c r="A161" s="10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Table6[[#This Row],[ (T/B) SAR]]+Table6[[#This Row],[ (S/S) SAR]]</f>
        <v>0</v>
      </c>
      <c r="L161" s="41"/>
      <c r="M161" s="42"/>
      <c r="N161" s="42"/>
      <c r="O161" s="39"/>
      <c r="P161" s="10">
        <f>Table6[[#This Row],[ (S/S) SAR]]-Table6[[#This Row],[(S/S) AJD]]</f>
        <v>0</v>
      </c>
      <c r="Q161" s="39"/>
      <c r="R161" s="10">
        <f>Table6[[#This Row],[ (T/B) SAR]]-Table6[[#This Row],[(T/B) AJD]]</f>
        <v>0</v>
      </c>
      <c r="S161" s="10">
        <f>Table6[[#This Row],[S/S_CON.]]+Table6[[#This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Table6[[#This Row],[(RESV. STORGE) AJD]]/10</f>
        <v>0</v>
      </c>
      <c r="AB161" s="3">
        <f t="shared" si="11"/>
        <v>0</v>
      </c>
      <c r="AC161" s="5"/>
      <c r="AD161" s="39">
        <f>(Table6[[#This Row],[( S/S+T/B) AJD]]*1000)-((Table6[[#This Row],[(STORGE DIFF.) AJD]]*1000)+Table6[[#This Row],[AJD_Evaporation]]+(Table6[[#This Row],[(A/B + A/S) AJD]]*1000))</f>
        <v>0</v>
      </c>
      <c r="AE161" s="41"/>
      <c r="AF161" s="43"/>
      <c r="AG161" s="43"/>
      <c r="AH161" s="6">
        <f>Table6[[#This Row],[ (RESV. STORGE) BER]]/10</f>
        <v>0</v>
      </c>
      <c r="AI161" s="41"/>
      <c r="AJ161" s="43">
        <f>Table6[[#This Row],[(A/B) AJD]]-TABL12345[[#This Row],[BER_IN]]</f>
        <v>0</v>
      </c>
      <c r="AK161" s="43"/>
      <c r="AL161" s="43"/>
      <c r="AM161" s="32"/>
      <c r="AN161" s="32">
        <f>Table6[[#This Row],[ (RESV. STORGE) SER]]/10</f>
        <v>0</v>
      </c>
      <c r="AO161" s="68"/>
      <c r="AP161" s="103">
        <f>Table6[[#This Row],[(A/S) AJD]]-Table6[[#This Row],[SER_IN]]</f>
        <v>0</v>
      </c>
    </row>
    <row r="162" spans="1:42" ht="18.75" x14ac:dyDescent="0.25">
      <c r="A162" s="10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Table6[[#This Row],[ (T/B) SAR]]+Table6[[#This Row],[ (S/S) SAR]]</f>
        <v>0</v>
      </c>
      <c r="L162" s="45"/>
      <c r="M162" s="46"/>
      <c r="N162" s="46"/>
      <c r="O162" s="40"/>
      <c r="P162" s="10">
        <f>Table6[[#This Row],[ (S/S) SAR]]-Table6[[#This Row],[(S/S) AJD]]</f>
        <v>0</v>
      </c>
      <c r="Q162" s="40"/>
      <c r="R162" s="10">
        <f>Table6[[#This Row],[ (T/B) SAR]]-Table6[[#This Row],[(T/B) AJD]]</f>
        <v>0</v>
      </c>
      <c r="S162" s="10">
        <f>Table6[[#This Row],[S/S_CON.]]+Table6[[#This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Table6[[#This Row],[(RESV. STORGE) AJD]]/10</f>
        <v>0</v>
      </c>
      <c r="AB162" s="3">
        <f t="shared" si="11"/>
        <v>0</v>
      </c>
      <c r="AC162" s="5"/>
      <c r="AD162" s="40">
        <f>(Table6[[#This Row],[( S/S+T/B) AJD]]*1000)-((Table6[[#This Row],[(STORGE DIFF.) AJD]]*1000)+Table6[[#This Row],[AJD_Evaporation]]+(Table6[[#This Row],[(A/B + A/S) AJD]]*1000))</f>
        <v>0</v>
      </c>
      <c r="AE162" s="44"/>
      <c r="AF162" s="45"/>
      <c r="AG162" s="45"/>
      <c r="AH162" s="6">
        <f>Table6[[#This Row],[ (RESV. STORGE) BER]]/10</f>
        <v>0</v>
      </c>
      <c r="AI162" s="44"/>
      <c r="AJ162" s="45">
        <f>Table6[[#This Row],[(A/B) AJD]]-TABL12345[[#This Row],[BER_IN]]</f>
        <v>0</v>
      </c>
      <c r="AK162" s="45"/>
      <c r="AL162" s="45"/>
      <c r="AM162" s="32"/>
      <c r="AN162" s="32">
        <f>Table6[[#This Row],[ (RESV. STORGE) SER]]/10</f>
        <v>0</v>
      </c>
      <c r="AO162" s="68"/>
      <c r="AP162" s="103">
        <f>Table6[[#This Row],[(A/S) AJD]]-Table6[[#This Row],[SER_IN]]</f>
        <v>0</v>
      </c>
    </row>
    <row r="163" spans="1:42" ht="18.75" x14ac:dyDescent="0.25">
      <c r="A163" s="10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Table6[[#This Row],[ (T/B) SAR]]+Table6[[#This Row],[ (S/S) SAR]]</f>
        <v>0</v>
      </c>
      <c r="L163" s="41"/>
      <c r="M163" s="42"/>
      <c r="N163" s="42"/>
      <c r="O163" s="39"/>
      <c r="P163" s="10">
        <f>Table6[[#This Row],[ (S/S) SAR]]-Table6[[#This Row],[(S/S) AJD]]</f>
        <v>0</v>
      </c>
      <c r="Q163" s="39"/>
      <c r="R163" s="10">
        <f>Table6[[#This Row],[ (T/B) SAR]]-Table6[[#This Row],[(T/B) AJD]]</f>
        <v>0</v>
      </c>
      <c r="S163" s="10">
        <f>Table6[[#This Row],[S/S_CON.]]+Table6[[#This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Table6[[#This Row],[(RESV. STORGE) AJD]]/10</f>
        <v>0</v>
      </c>
      <c r="AB163" s="3">
        <f t="shared" si="11"/>
        <v>0</v>
      </c>
      <c r="AC163" s="5"/>
      <c r="AD163" s="39">
        <f>(Table6[[#This Row],[( S/S+T/B) AJD]]*1000)-((Table6[[#This Row],[(STORGE DIFF.) AJD]]*1000)+Table6[[#This Row],[AJD_Evaporation]]+(Table6[[#This Row],[(A/B + A/S) AJD]]*1000))</f>
        <v>0</v>
      </c>
      <c r="AE163" s="41"/>
      <c r="AF163" s="43"/>
      <c r="AG163" s="43"/>
      <c r="AH163" s="6">
        <f>Table6[[#This Row],[ (RESV. STORGE) BER]]/10</f>
        <v>0</v>
      </c>
      <c r="AI163" s="41"/>
      <c r="AJ163" s="43">
        <f>Table6[[#This Row],[(A/B) AJD]]-TABL12345[[#This Row],[BER_IN]]</f>
        <v>0</v>
      </c>
      <c r="AK163" s="43"/>
      <c r="AL163" s="43"/>
      <c r="AM163" s="32"/>
      <c r="AN163" s="32">
        <f>Table6[[#This Row],[ (RESV. STORGE) SER]]/10</f>
        <v>0</v>
      </c>
      <c r="AO163" s="68"/>
      <c r="AP163" s="103">
        <f>Table6[[#This Row],[(A/S) AJD]]-Table6[[#This Row],[SER_IN]]</f>
        <v>0</v>
      </c>
    </row>
    <row r="164" spans="1:42" ht="18.75" x14ac:dyDescent="0.25">
      <c r="A164" s="10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Table6[[#This Row],[ (T/B) SAR]]+Table6[[#This Row],[ (S/S) SAR]]</f>
        <v>0</v>
      </c>
      <c r="L164" s="45"/>
      <c r="M164" s="46"/>
      <c r="N164" s="46"/>
      <c r="O164" s="40"/>
      <c r="P164" s="10">
        <f>Table6[[#This Row],[ (S/S) SAR]]-Table6[[#This Row],[(S/S) AJD]]</f>
        <v>0</v>
      </c>
      <c r="Q164" s="40"/>
      <c r="R164" s="10">
        <f>Table6[[#This Row],[ (T/B) SAR]]-Table6[[#This Row],[(T/B) AJD]]</f>
        <v>0</v>
      </c>
      <c r="S164" s="10">
        <f>Table6[[#This Row],[S/S_CON.]]+Table6[[#This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Table6[[#This Row],[(RESV. STORGE) AJD]]/10</f>
        <v>0</v>
      </c>
      <c r="AB164" s="3">
        <f t="shared" si="11"/>
        <v>0</v>
      </c>
      <c r="AC164" s="5"/>
      <c r="AD164" s="40">
        <f>(Table6[[#This Row],[( S/S+T/B) AJD]]*1000)-((Table6[[#This Row],[(STORGE DIFF.) AJD]]*1000)+Table6[[#This Row],[AJD_Evaporation]]+(Table6[[#This Row],[(A/B + A/S) AJD]]*1000))</f>
        <v>0</v>
      </c>
      <c r="AE164" s="44"/>
      <c r="AF164" s="45"/>
      <c r="AG164" s="45"/>
      <c r="AH164" s="6">
        <f>Table6[[#This Row],[ (RESV. STORGE) BER]]/10</f>
        <v>0</v>
      </c>
      <c r="AI164" s="44"/>
      <c r="AJ164" s="45">
        <f>Table6[[#This Row],[(A/B) AJD]]-TABL12345[[#This Row],[BER_IN]]</f>
        <v>0</v>
      </c>
      <c r="AK164" s="45"/>
      <c r="AL164" s="45"/>
      <c r="AM164" s="32"/>
      <c r="AN164" s="32">
        <f>Table6[[#This Row],[ (RESV. STORGE) SER]]/10</f>
        <v>0</v>
      </c>
      <c r="AO164" s="68"/>
      <c r="AP164" s="103">
        <f>Table6[[#This Row],[(A/S) AJD]]-Table6[[#This Row],[SER_IN]]</f>
        <v>0</v>
      </c>
    </row>
    <row r="165" spans="1:42" ht="18.75" x14ac:dyDescent="0.25">
      <c r="A165" s="10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Table6[[#This Row],[ (T/B) SAR]]+Table6[[#This Row],[ (S/S) SAR]]</f>
        <v>0</v>
      </c>
      <c r="L165" s="41"/>
      <c r="M165" s="42"/>
      <c r="N165" s="42"/>
      <c r="O165" s="39"/>
      <c r="P165" s="10">
        <f>Table6[[#This Row],[ (S/S) SAR]]-Table6[[#This Row],[(S/S) AJD]]</f>
        <v>0</v>
      </c>
      <c r="Q165" s="39"/>
      <c r="R165" s="10">
        <f>Table6[[#This Row],[ (T/B) SAR]]-Table6[[#This Row],[(T/B) AJD]]</f>
        <v>0</v>
      </c>
      <c r="S165" s="10">
        <f>Table6[[#This Row],[S/S_CON.]]+Table6[[#This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Table6[[#This Row],[(RESV. STORGE) AJD]]/10</f>
        <v>0</v>
      </c>
      <c r="AB165" s="3">
        <f t="shared" si="11"/>
        <v>0</v>
      </c>
      <c r="AC165" s="5"/>
      <c r="AD165" s="39">
        <f>(Table6[[#This Row],[( S/S+T/B) AJD]]*1000)-((Table6[[#This Row],[(STORGE DIFF.) AJD]]*1000)+Table6[[#This Row],[AJD_Evaporation]]+(Table6[[#This Row],[(A/B + A/S) AJD]]*1000))</f>
        <v>0</v>
      </c>
      <c r="AE165" s="41"/>
      <c r="AF165" s="43"/>
      <c r="AG165" s="43"/>
      <c r="AH165" s="6">
        <f>Table6[[#This Row],[ (RESV. STORGE) BER]]/10</f>
        <v>0</v>
      </c>
      <c r="AI165" s="41"/>
      <c r="AJ165" s="43">
        <f>Table6[[#This Row],[(A/B) AJD]]-TABL12345[[#This Row],[BER_IN]]</f>
        <v>0</v>
      </c>
      <c r="AK165" s="43"/>
      <c r="AL165" s="43"/>
      <c r="AM165" s="32"/>
      <c r="AN165" s="32">
        <f>Table6[[#This Row],[ (RESV. STORGE) SER]]/10</f>
        <v>0</v>
      </c>
      <c r="AO165" s="68"/>
      <c r="AP165" s="103">
        <f>Table6[[#This Row],[(A/S) AJD]]-Table6[[#This Row],[SER_IN]]</f>
        <v>0</v>
      </c>
    </row>
    <row r="166" spans="1:42" ht="18.75" x14ac:dyDescent="0.25">
      <c r="A166" s="10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Table6[[#This Row],[ (T/B) SAR]]+Table6[[#This Row],[ (S/S) SAR]]</f>
        <v>0</v>
      </c>
      <c r="L166" s="45"/>
      <c r="M166" s="46"/>
      <c r="N166" s="46"/>
      <c r="O166" s="40"/>
      <c r="P166" s="10">
        <f>Table6[[#This Row],[ (S/S) SAR]]-Table6[[#This Row],[(S/S) AJD]]</f>
        <v>0</v>
      </c>
      <c r="Q166" s="40"/>
      <c r="R166" s="10">
        <f>Table6[[#This Row],[ (T/B) SAR]]-Table6[[#This Row],[(T/B) AJD]]</f>
        <v>0</v>
      </c>
      <c r="S166" s="10">
        <f>Table6[[#This Row],[S/S_CON.]]+Table6[[#This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Table6[[#This Row],[(RESV. STORGE) AJD]]/10</f>
        <v>0</v>
      </c>
      <c r="AB166" s="3">
        <f t="shared" si="11"/>
        <v>0</v>
      </c>
      <c r="AC166" s="5"/>
      <c r="AD166" s="40">
        <f>(Table6[[#This Row],[( S/S+T/B) AJD]]*1000)-((Table6[[#This Row],[(STORGE DIFF.) AJD]]*1000)+Table6[[#This Row],[AJD_Evaporation]]+(Table6[[#This Row],[(A/B + A/S) AJD]]*1000))</f>
        <v>0</v>
      </c>
      <c r="AE166" s="44"/>
      <c r="AF166" s="45"/>
      <c r="AG166" s="45"/>
      <c r="AH166" s="6">
        <f>Table6[[#This Row],[ (RESV. STORGE) BER]]/10</f>
        <v>0</v>
      </c>
      <c r="AI166" s="44"/>
      <c r="AJ166" s="45">
        <f>Table6[[#This Row],[(A/B) AJD]]-TABL12345[[#This Row],[BER_IN]]</f>
        <v>0</v>
      </c>
      <c r="AK166" s="45"/>
      <c r="AL166" s="45"/>
      <c r="AM166" s="32"/>
      <c r="AN166" s="32">
        <f>Table6[[#This Row],[ (RESV. STORGE) SER]]/10</f>
        <v>0</v>
      </c>
      <c r="AO166" s="68"/>
      <c r="AP166" s="103">
        <f>Table6[[#This Row],[(A/S) AJD]]-Table6[[#This Row],[SER_IN]]</f>
        <v>0</v>
      </c>
    </row>
    <row r="167" spans="1:42" ht="18.75" x14ac:dyDescent="0.25">
      <c r="A167" s="10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Table6[[#This Row],[ (T/B) SAR]]+Table6[[#This Row],[ (S/S) SAR]]</f>
        <v>0</v>
      </c>
      <c r="L167" s="41"/>
      <c r="M167" s="42"/>
      <c r="N167" s="42"/>
      <c r="O167" s="39"/>
      <c r="P167" s="10">
        <f>Table6[[#This Row],[ (S/S) SAR]]-Table6[[#This Row],[(S/S) AJD]]</f>
        <v>0</v>
      </c>
      <c r="Q167" s="39"/>
      <c r="R167" s="10">
        <f>Table6[[#This Row],[ (T/B) SAR]]-Table6[[#This Row],[(T/B) AJD]]</f>
        <v>0</v>
      </c>
      <c r="S167" s="10">
        <f>Table6[[#This Row],[S/S_CON.]]+Table6[[#This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Table6[[#This Row],[(RESV. STORGE) AJD]]/10</f>
        <v>0</v>
      </c>
      <c r="AB167" s="3">
        <f t="shared" si="11"/>
        <v>0</v>
      </c>
      <c r="AC167" s="5"/>
      <c r="AD167" s="39">
        <f>(Table6[[#This Row],[( S/S+T/B) AJD]]*1000)-((Table6[[#This Row],[(STORGE DIFF.) AJD]]*1000)+Table6[[#This Row],[AJD_Evaporation]]+(Table6[[#This Row],[(A/B + A/S) AJD]]*1000))</f>
        <v>0</v>
      </c>
      <c r="AE167" s="41"/>
      <c r="AF167" s="43"/>
      <c r="AG167" s="43"/>
      <c r="AH167" s="6">
        <f>Table6[[#This Row],[ (RESV. STORGE) BER]]/10</f>
        <v>0</v>
      </c>
      <c r="AI167" s="41"/>
      <c r="AJ167" s="43">
        <f>Table6[[#This Row],[(A/B) AJD]]-TABL12345[[#This Row],[BER_IN]]</f>
        <v>0</v>
      </c>
      <c r="AK167" s="43"/>
      <c r="AL167" s="43"/>
      <c r="AM167" s="32"/>
      <c r="AN167" s="32">
        <f>Table6[[#This Row],[ (RESV. STORGE) SER]]/10</f>
        <v>0</v>
      </c>
      <c r="AO167" s="68"/>
      <c r="AP167" s="103">
        <f>Table6[[#This Row],[(A/S) AJD]]-Table6[[#This Row],[SER_IN]]</f>
        <v>0</v>
      </c>
    </row>
    <row r="168" spans="1:42" ht="18.75" x14ac:dyDescent="0.25">
      <c r="A168" s="10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Table6[[#This Row],[ (T/B) SAR]]+Table6[[#This Row],[ (S/S) SAR]]</f>
        <v>0</v>
      </c>
      <c r="L168" s="45"/>
      <c r="M168" s="46"/>
      <c r="N168" s="46"/>
      <c r="O168" s="40"/>
      <c r="P168" s="10">
        <f>Table6[[#This Row],[ (S/S) SAR]]-Table6[[#This Row],[(S/S) AJD]]</f>
        <v>0</v>
      </c>
      <c r="Q168" s="40"/>
      <c r="R168" s="10">
        <f>Table6[[#This Row],[ (T/B) SAR]]-Table6[[#This Row],[(T/B) AJD]]</f>
        <v>0</v>
      </c>
      <c r="S168" s="10">
        <f>Table6[[#This Row],[S/S_CON.]]+Table6[[#This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Table6[[#This Row],[(RESV. STORGE) AJD]]/10</f>
        <v>0</v>
      </c>
      <c r="AB168" s="3">
        <f t="shared" si="11"/>
        <v>0</v>
      </c>
      <c r="AC168" s="5"/>
      <c r="AD168" s="40">
        <f>(Table6[[#This Row],[( S/S+T/B) AJD]]*1000)-((Table6[[#This Row],[(STORGE DIFF.) AJD]]*1000)+Table6[[#This Row],[AJD_Evaporation]]+(Table6[[#This Row],[(A/B + A/S) AJD]]*1000))</f>
        <v>0</v>
      </c>
      <c r="AE168" s="44"/>
      <c r="AF168" s="45"/>
      <c r="AG168" s="45"/>
      <c r="AH168" s="6">
        <f>Table6[[#This Row],[ (RESV. STORGE) BER]]/10</f>
        <v>0</v>
      </c>
      <c r="AI168" s="44"/>
      <c r="AJ168" s="45">
        <f>Table6[[#This Row],[(A/B) AJD]]-TABL12345[[#This Row],[BER_IN]]</f>
        <v>0</v>
      </c>
      <c r="AK168" s="45"/>
      <c r="AL168" s="45"/>
      <c r="AM168" s="32"/>
      <c r="AN168" s="32">
        <f>Table6[[#This Row],[ (RESV. STORGE) SER]]/10</f>
        <v>0</v>
      </c>
      <c r="AO168" s="68"/>
      <c r="AP168" s="103">
        <f>Table6[[#This Row],[(A/S) AJD]]-Table6[[#This Row],[SER_IN]]</f>
        <v>0</v>
      </c>
    </row>
    <row r="169" spans="1:42" ht="18.75" x14ac:dyDescent="0.25">
      <c r="A169" s="10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Table6[[#This Row],[ (T/B) SAR]]+Table6[[#This Row],[ (S/S) SAR]]</f>
        <v>0</v>
      </c>
      <c r="L169" s="41"/>
      <c r="M169" s="42"/>
      <c r="N169" s="42"/>
      <c r="O169" s="39"/>
      <c r="P169" s="10">
        <f>Table6[[#This Row],[ (S/S) SAR]]-Table6[[#This Row],[(S/S) AJD]]</f>
        <v>0</v>
      </c>
      <c r="Q169" s="39"/>
      <c r="R169" s="10">
        <f>Table6[[#This Row],[ (T/B) SAR]]-Table6[[#This Row],[(T/B) AJD]]</f>
        <v>0</v>
      </c>
      <c r="S169" s="10">
        <f>Table6[[#This Row],[S/S_CON.]]+Table6[[#This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Table6[[#This Row],[(RESV. STORGE) AJD]]/10</f>
        <v>0</v>
      </c>
      <c r="AB169" s="3">
        <f t="shared" si="11"/>
        <v>0</v>
      </c>
      <c r="AC169" s="5"/>
      <c r="AD169" s="39">
        <f>(Table6[[#This Row],[( S/S+T/B) AJD]]*1000)-((Table6[[#This Row],[(STORGE DIFF.) AJD]]*1000)+Table6[[#This Row],[AJD_Evaporation]]+(Table6[[#This Row],[(A/B + A/S) AJD]]*1000))</f>
        <v>0</v>
      </c>
      <c r="AE169" s="41"/>
      <c r="AF169" s="43"/>
      <c r="AG169" s="43"/>
      <c r="AH169" s="6">
        <f>Table6[[#This Row],[ (RESV. STORGE) BER]]/10</f>
        <v>0</v>
      </c>
      <c r="AI169" s="41"/>
      <c r="AJ169" s="43">
        <f>Table6[[#This Row],[(A/B) AJD]]-TABL12345[[#This Row],[BER_IN]]</f>
        <v>0</v>
      </c>
      <c r="AK169" s="43"/>
      <c r="AL169" s="43"/>
      <c r="AM169" s="32"/>
      <c r="AN169" s="32">
        <f>Table6[[#This Row],[ (RESV. STORGE) SER]]/10</f>
        <v>0</v>
      </c>
      <c r="AO169" s="68"/>
      <c r="AP169" s="103">
        <f>Table6[[#This Row],[(A/S) AJD]]-Table6[[#This Row],[SER_IN]]</f>
        <v>0</v>
      </c>
    </row>
    <row r="170" spans="1:42" ht="18.75" x14ac:dyDescent="0.25">
      <c r="A170" s="10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Table6[[#This Row],[ (T/B) SAR]]+Table6[[#This Row],[ (S/S) SAR]]</f>
        <v>0</v>
      </c>
      <c r="L170" s="45"/>
      <c r="M170" s="46"/>
      <c r="N170" s="46"/>
      <c r="O170" s="40"/>
      <c r="P170" s="3">
        <f>Table6[[#This Row],[ (S/S) SAR]]-Table6[[#This Row],[(S/S) AJD]]</f>
        <v>0</v>
      </c>
      <c r="Q170" s="40"/>
      <c r="R170" s="3">
        <f>Table6[[#This Row],[ (T/B) SAR]]-Table6[[#This Row],[(T/B) AJD]]</f>
        <v>0</v>
      </c>
      <c r="S170" s="3">
        <f>Table6[[#This Row],[S/S_CON.]]+Table6[[#This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Table6[[#This Row],[(RESV. STORGE) AJD]]/10</f>
        <v>0</v>
      </c>
      <c r="AB170" s="3">
        <f t="shared" si="11"/>
        <v>0</v>
      </c>
      <c r="AC170" s="5"/>
      <c r="AD170" s="40">
        <f>(Table6[[#This Row],[( S/S+T/B) AJD]]*1000)-((Table6[[#This Row],[(STORGE DIFF.) AJD]]*1000)+Table6[[#This Row],[AJD_Evaporation]]+(Table6[[#This Row],[(A/B + A/S) AJD]]*1000))</f>
        <v>0</v>
      </c>
      <c r="AE170" s="44"/>
      <c r="AF170" s="45"/>
      <c r="AG170" s="45"/>
      <c r="AH170" s="6">
        <f>Table6[[#This Row],[ (RESV. STORGE) BER]]/10</f>
        <v>0</v>
      </c>
      <c r="AI170" s="44"/>
      <c r="AJ170" s="45">
        <f>Table6[[#This Row],[(A/B) AJD]]-TABL12345[[#This Row],[BER_IN]]</f>
        <v>0</v>
      </c>
      <c r="AK170" s="45"/>
      <c r="AL170" s="45"/>
      <c r="AM170" s="32"/>
      <c r="AN170" s="32">
        <f>Table6[[#This Row],[ (RESV. STORGE) SER]]/10</f>
        <v>0</v>
      </c>
      <c r="AO170" s="68"/>
      <c r="AP170" s="103">
        <f>Table6[[#This Row],[(A/S) AJD]]-Table6[[#This Row],[SER_IN]]</f>
        <v>0</v>
      </c>
    </row>
    <row r="171" spans="1:42" ht="18.75" x14ac:dyDescent="0.25">
      <c r="A171" s="10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Table6[[#This Row],[ (T/B) SAR]]+Table6[[#This Row],[ (S/S) SAR]]</f>
        <v>0</v>
      </c>
      <c r="L171" s="41"/>
      <c r="M171" s="42"/>
      <c r="N171" s="42"/>
      <c r="O171" s="39"/>
      <c r="P171" s="3">
        <f>Table6[[#This Row],[ (S/S) SAR]]-Table6[[#This Row],[(S/S) AJD]]</f>
        <v>0</v>
      </c>
      <c r="Q171" s="39"/>
      <c r="R171" s="3">
        <f>Table6[[#This Row],[ (T/B) SAR]]-Table6[[#This Row],[(T/B) AJD]]</f>
        <v>0</v>
      </c>
      <c r="S171" s="3">
        <f>Table6[[#This Row],[S/S_CON.]]+Table6[[#This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Table6[[#This Row],[(RESV. STORGE) AJD]]/10</f>
        <v>0</v>
      </c>
      <c r="AB171" s="3">
        <f t="shared" si="11"/>
        <v>0</v>
      </c>
      <c r="AC171" s="5"/>
      <c r="AD171" s="39">
        <f>(Table6[[#This Row],[( S/S+T/B) AJD]]*1000)-((Table6[[#This Row],[(STORGE DIFF.) AJD]]*1000)+Table6[[#This Row],[AJD_Evaporation]]+(Table6[[#This Row],[(A/B + A/S) AJD]]*1000))</f>
        <v>0</v>
      </c>
      <c r="AE171" s="41"/>
      <c r="AF171" s="43"/>
      <c r="AG171" s="43"/>
      <c r="AH171" s="6">
        <f>Table6[[#This Row],[ (RESV. STORGE) BER]]/10</f>
        <v>0</v>
      </c>
      <c r="AI171" s="41"/>
      <c r="AJ171" s="43">
        <f>Table6[[#This Row],[(A/B) AJD]]-TABL12345[[#This Row],[BER_IN]]</f>
        <v>0</v>
      </c>
      <c r="AK171" s="43"/>
      <c r="AL171" s="43"/>
      <c r="AM171" s="32"/>
      <c r="AN171" s="32">
        <f>Table6[[#This Row],[ (RESV. STORGE) SER]]/10</f>
        <v>0</v>
      </c>
      <c r="AO171" s="68"/>
      <c r="AP171" s="103">
        <f>Table6[[#This Row],[(A/S) AJD]]-Table6[[#This Row],[SER_IN]]</f>
        <v>0</v>
      </c>
    </row>
    <row r="172" spans="1:42" ht="18.75" x14ac:dyDescent="0.25">
      <c r="A172" s="10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Table6[[#This Row],[ (T/B) SAR]]+Table6[[#This Row],[ (S/S) SAR]]</f>
        <v>0</v>
      </c>
      <c r="L172" s="44"/>
      <c r="M172" s="46"/>
      <c r="N172" s="46"/>
      <c r="O172" s="40"/>
      <c r="P172" s="3">
        <f>Table6[[#This Row],[ (S/S) SAR]]-Table6[[#This Row],[(S/S) AJD]]</f>
        <v>0</v>
      </c>
      <c r="Q172" s="40"/>
      <c r="R172" s="3">
        <f>Table6[[#This Row],[ (T/B) SAR]]-Table6[[#This Row],[(T/B) AJD]]</f>
        <v>0</v>
      </c>
      <c r="S172" s="3">
        <f>Table6[[#This Row],[S/S_CON.]]+Table6[[#This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Table6[[#This Row],[(RESV. STORGE) AJD]]/10</f>
        <v>0</v>
      </c>
      <c r="AB172" s="3">
        <f t="shared" si="11"/>
        <v>0</v>
      </c>
      <c r="AC172" s="5"/>
      <c r="AD172" s="40">
        <f>(Table6[[#This Row],[( S/S+T/B) AJD]]*1000)-((Table6[[#This Row],[(STORGE DIFF.) AJD]]*1000)+Table6[[#This Row],[AJD_Evaporation]]+(Table6[[#This Row],[(A/B + A/S) AJD]]*1000))</f>
        <v>0</v>
      </c>
      <c r="AE172" s="44"/>
      <c r="AF172" s="45"/>
      <c r="AG172" s="45"/>
      <c r="AH172" s="6">
        <f>Table6[[#This Row],[ (RESV. STORGE) BER]]/10</f>
        <v>0</v>
      </c>
      <c r="AI172" s="44"/>
      <c r="AJ172" s="45">
        <f>Table6[[#This Row],[(A/B) AJD]]-TABL12345[[#This Row],[BER_IN]]</f>
        <v>0</v>
      </c>
      <c r="AK172" s="45"/>
      <c r="AL172" s="45"/>
      <c r="AM172" s="32"/>
      <c r="AN172" s="32">
        <f>Table6[[#This Row],[ (RESV. STORGE) SER]]/10</f>
        <v>0</v>
      </c>
      <c r="AO172" s="68"/>
      <c r="AP172" s="103">
        <f>Table6[[#This Row],[(A/S) AJD]]-Table6[[#This Row],[SER_IN]]</f>
        <v>0</v>
      </c>
    </row>
    <row r="173" spans="1:42" ht="18.75" x14ac:dyDescent="0.25">
      <c r="A173" s="10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Table6[[#This Row],[ (T/B) SAR]]+Table6[[#This Row],[ (S/S) SAR]]</f>
        <v>0</v>
      </c>
      <c r="L173" s="41"/>
      <c r="M173" s="42"/>
      <c r="N173" s="42"/>
      <c r="O173" s="39"/>
      <c r="P173" s="3">
        <f>Table6[[#This Row],[ (S/S) SAR]]-Table6[[#This Row],[(S/S) AJD]]</f>
        <v>0</v>
      </c>
      <c r="Q173" s="39"/>
      <c r="R173" s="3">
        <f>Table6[[#This Row],[ (T/B) SAR]]-Table6[[#This Row],[(T/B) AJD]]</f>
        <v>0</v>
      </c>
      <c r="S173" s="3">
        <f>Table6[[#This Row],[S/S_CON.]]+Table6[[#This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Table6[[#This Row],[(RESV. STORGE) AJD]]/10</f>
        <v>0</v>
      </c>
      <c r="AB173" s="3">
        <f t="shared" si="11"/>
        <v>0</v>
      </c>
      <c r="AC173" s="5"/>
      <c r="AD173" s="39">
        <f>(Table6[[#This Row],[( S/S+T/B) AJD]]*1000)-((Table6[[#This Row],[(STORGE DIFF.) AJD]]*1000)+Table6[[#This Row],[AJD_Evaporation]]+(Table6[[#This Row],[(A/B + A/S) AJD]]*1000))</f>
        <v>0</v>
      </c>
      <c r="AE173" s="41"/>
      <c r="AF173" s="43"/>
      <c r="AG173" s="43"/>
      <c r="AH173" s="6">
        <f>Table6[[#This Row],[ (RESV. STORGE) BER]]/10</f>
        <v>0</v>
      </c>
      <c r="AI173" s="41"/>
      <c r="AJ173" s="43">
        <f>Table6[[#This Row],[(A/B) AJD]]-TABL12345[[#This Row],[BER_IN]]</f>
        <v>0</v>
      </c>
      <c r="AK173" s="43"/>
      <c r="AL173" s="43"/>
      <c r="AM173" s="32"/>
      <c r="AN173" s="32">
        <f>Table6[[#This Row],[ (RESV. STORGE) SER]]/10</f>
        <v>0</v>
      </c>
      <c r="AO173" s="68"/>
      <c r="AP173" s="103">
        <f>Table6[[#This Row],[(A/S) AJD]]-Table6[[#This Row],[SER_IN]]</f>
        <v>0</v>
      </c>
    </row>
    <row r="174" spans="1:42" ht="18.75" x14ac:dyDescent="0.25">
      <c r="A174" s="10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Table6[[#This Row],[ (T/B) SAR]]+Table6[[#This Row],[ (S/S) SAR]]</f>
        <v>0</v>
      </c>
      <c r="L174" s="45"/>
      <c r="M174" s="46"/>
      <c r="N174" s="46"/>
      <c r="O174" s="40"/>
      <c r="P174" s="3">
        <f>Table6[[#This Row],[ (S/S) SAR]]-Table6[[#This Row],[(S/S) AJD]]</f>
        <v>0</v>
      </c>
      <c r="Q174" s="40"/>
      <c r="R174" s="3">
        <f>Table6[[#This Row],[ (T/B) SAR]]-Table6[[#This Row],[(T/B) AJD]]</f>
        <v>0</v>
      </c>
      <c r="S174" s="3">
        <f>Table6[[#This Row],[S/S_CON.]]+Table6[[#This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Table6[[#This Row],[(RESV. STORGE) AJD]]/10</f>
        <v>0</v>
      </c>
      <c r="AB174" s="3">
        <f t="shared" si="11"/>
        <v>0</v>
      </c>
      <c r="AC174" s="5"/>
      <c r="AD174" s="40">
        <f>(Table6[[#This Row],[( S/S+T/B) AJD]]*1000)-((Table6[[#This Row],[(STORGE DIFF.) AJD]]*1000)+Table6[[#This Row],[AJD_Evaporation]]+(Table6[[#This Row],[(A/B + A/S) AJD]]*1000))</f>
        <v>0</v>
      </c>
      <c r="AE174" s="44"/>
      <c r="AF174" s="45"/>
      <c r="AG174" s="45"/>
      <c r="AH174" s="6">
        <f>Table6[[#This Row],[ (RESV. STORGE) BER]]/10</f>
        <v>0</v>
      </c>
      <c r="AI174" s="44"/>
      <c r="AJ174" s="45">
        <f>Table6[[#This Row],[(A/B) AJD]]-TABL12345[[#This Row],[BER_IN]]</f>
        <v>0</v>
      </c>
      <c r="AK174" s="45"/>
      <c r="AL174" s="45"/>
      <c r="AM174" s="32"/>
      <c r="AN174" s="32">
        <f>Table6[[#This Row],[ (RESV. STORGE) SER]]/10</f>
        <v>0</v>
      </c>
      <c r="AO174" s="68"/>
      <c r="AP174" s="103">
        <f>Table6[[#This Row],[(A/S) AJD]]-Table6[[#This Row],[SER_IN]]</f>
        <v>0</v>
      </c>
    </row>
    <row r="175" spans="1:42" ht="18.75" x14ac:dyDescent="0.25">
      <c r="A175" s="10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Table6[[#This Row],[ (T/B) SAR]]+Table6[[#This Row],[ (S/S) SAR]]</f>
        <v>0</v>
      </c>
      <c r="L175" s="41"/>
      <c r="M175" s="42"/>
      <c r="N175" s="42"/>
      <c r="O175" s="39"/>
      <c r="P175" s="3">
        <f>Table6[[#This Row],[ (S/S) SAR]]-Table6[[#This Row],[(S/S) AJD]]</f>
        <v>0</v>
      </c>
      <c r="Q175" s="39"/>
      <c r="R175" s="3">
        <f>Table6[[#This Row],[ (T/B) SAR]]-Table6[[#This Row],[(T/B) AJD]]</f>
        <v>0</v>
      </c>
      <c r="S175" s="3">
        <f>Table6[[#This Row],[S/S_CON.]]+Table6[[#This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Table6[[#This Row],[(RESV. STORGE) AJD]]/10</f>
        <v>0</v>
      </c>
      <c r="AB175" s="3">
        <f t="shared" si="11"/>
        <v>0</v>
      </c>
      <c r="AC175" s="5"/>
      <c r="AD175" s="39">
        <f>(Table6[[#This Row],[( S/S+T/B) AJD]]*1000)-((Table6[[#This Row],[(STORGE DIFF.) AJD]]*1000)+Table6[[#This Row],[AJD_Evaporation]]+(Table6[[#This Row],[(A/B + A/S) AJD]]*1000))</f>
        <v>0</v>
      </c>
      <c r="AE175" s="41"/>
      <c r="AF175" s="43"/>
      <c r="AG175" s="43"/>
      <c r="AH175" s="6">
        <f>Table6[[#This Row],[ (RESV. STORGE) BER]]/10</f>
        <v>0</v>
      </c>
      <c r="AI175" s="41"/>
      <c r="AJ175" s="43">
        <f>Table6[[#This Row],[(A/B) AJD]]-TABL12345[[#This Row],[BER_IN]]</f>
        <v>0</v>
      </c>
      <c r="AK175" s="43"/>
      <c r="AL175" s="43"/>
      <c r="AM175" s="32"/>
      <c r="AN175" s="32">
        <f>Table6[[#This Row],[ (RESV. STORGE) SER]]/10</f>
        <v>0</v>
      </c>
      <c r="AO175" s="68"/>
      <c r="AP175" s="103">
        <f>Table6[[#This Row],[(A/S) AJD]]-Table6[[#This Row],[SER_IN]]</f>
        <v>0</v>
      </c>
    </row>
    <row r="176" spans="1:42" ht="18.75" x14ac:dyDescent="0.25">
      <c r="A176" s="10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Table6[[#This Row],[ (T/B) SAR]]+Table6[[#This Row],[ (S/S) SAR]]</f>
        <v>0</v>
      </c>
      <c r="L176" s="45"/>
      <c r="M176" s="46"/>
      <c r="N176" s="46"/>
      <c r="O176" s="40"/>
      <c r="P176" s="3">
        <f>Table6[[#This Row],[ (S/S) SAR]]-Table6[[#This Row],[(S/S) AJD]]</f>
        <v>0</v>
      </c>
      <c r="Q176" s="40"/>
      <c r="R176" s="3">
        <f>Table6[[#This Row],[ (T/B) SAR]]-Table6[[#This Row],[(T/B) AJD]]</f>
        <v>0</v>
      </c>
      <c r="S176" s="3">
        <f>Table6[[#This Row],[S/S_CON.]]+Table6[[#This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Table6[[#This Row],[(RESV. STORGE) AJD]]/10</f>
        <v>0</v>
      </c>
      <c r="AB176" s="3">
        <f t="shared" si="11"/>
        <v>0</v>
      </c>
      <c r="AC176" s="5"/>
      <c r="AD176" s="40">
        <f>(Table6[[#This Row],[( S/S+T/B) AJD]]*1000)-((Table6[[#This Row],[(STORGE DIFF.) AJD]]*1000)+Table6[[#This Row],[AJD_Evaporation]]+(Table6[[#This Row],[(A/B + A/S) AJD]]*1000))</f>
        <v>0</v>
      </c>
      <c r="AE176" s="44"/>
      <c r="AF176" s="45"/>
      <c r="AG176" s="45"/>
      <c r="AH176" s="6">
        <f>Table6[[#This Row],[ (RESV. STORGE) BER]]/10</f>
        <v>0</v>
      </c>
      <c r="AI176" s="44"/>
      <c r="AJ176" s="45">
        <f>Table6[[#This Row],[(A/B) AJD]]-TABL12345[[#This Row],[BER_IN]]</f>
        <v>0</v>
      </c>
      <c r="AK176" s="45"/>
      <c r="AL176" s="45"/>
      <c r="AM176" s="32"/>
      <c r="AN176" s="32">
        <f>Table6[[#This Row],[ (RESV. STORGE) SER]]/10</f>
        <v>0</v>
      </c>
      <c r="AO176" s="68"/>
      <c r="AP176" s="103">
        <f>Table6[[#This Row],[(A/S) AJD]]-Table6[[#This Row],[SER_IN]]</f>
        <v>0</v>
      </c>
    </row>
    <row r="177" spans="1:42" ht="18.75" x14ac:dyDescent="0.25">
      <c r="A177" s="10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Table6[[#This Row],[ (T/B) SAR]]+Table6[[#This Row],[ (S/S) SAR]]</f>
        <v>0</v>
      </c>
      <c r="L177" s="41"/>
      <c r="M177" s="42"/>
      <c r="N177" s="42"/>
      <c r="O177" s="39"/>
      <c r="P177" s="3">
        <f>Table6[[#This Row],[ (S/S) SAR]]-Table6[[#This Row],[(S/S) AJD]]</f>
        <v>0</v>
      </c>
      <c r="Q177" s="39"/>
      <c r="R177" s="3">
        <f>Table6[[#This Row],[ (T/B) SAR]]-Table6[[#This Row],[(T/B) AJD]]</f>
        <v>0</v>
      </c>
      <c r="S177" s="3">
        <f>Table6[[#This Row],[S/S_CON.]]+Table6[[#This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Table6[[#This Row],[(RESV. STORGE) AJD]]/10</f>
        <v>0</v>
      </c>
      <c r="AB177" s="3">
        <f t="shared" si="11"/>
        <v>0</v>
      </c>
      <c r="AC177" s="5"/>
      <c r="AD177" s="39">
        <f>(Table6[[#This Row],[( S/S+T/B) AJD]]*1000)-((Table6[[#This Row],[(STORGE DIFF.) AJD]]*1000)+Table6[[#This Row],[AJD_Evaporation]]+(Table6[[#This Row],[(A/B + A/S) AJD]]*1000))</f>
        <v>0</v>
      </c>
      <c r="AE177" s="41"/>
      <c r="AF177" s="43"/>
      <c r="AG177" s="43"/>
      <c r="AH177" s="6">
        <f>Table6[[#This Row],[ (RESV. STORGE) BER]]/10</f>
        <v>0</v>
      </c>
      <c r="AI177" s="41"/>
      <c r="AJ177" s="43">
        <f>Table6[[#This Row],[(A/B) AJD]]-TABL12345[[#This Row],[BER_IN]]</f>
        <v>0</v>
      </c>
      <c r="AK177" s="43"/>
      <c r="AL177" s="43"/>
      <c r="AM177" s="32"/>
      <c r="AN177" s="32">
        <f>Table6[[#This Row],[ (RESV. STORGE) SER]]/10</f>
        <v>0</v>
      </c>
      <c r="AO177" s="68"/>
      <c r="AP177" s="103">
        <f>Table6[[#This Row],[(A/S) AJD]]-Table6[[#This Row],[SER_IN]]</f>
        <v>0</v>
      </c>
    </row>
    <row r="178" spans="1:42" ht="18.75" x14ac:dyDescent="0.25">
      <c r="A178" s="10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Table6[[#This Row],[ (T/B) SAR]]+Table6[[#This Row],[ (S/S) SAR]]</f>
        <v>0</v>
      </c>
      <c r="L178" s="45"/>
      <c r="M178" s="46"/>
      <c r="N178" s="46"/>
      <c r="O178" s="40"/>
      <c r="P178" s="3">
        <f>Table6[[#This Row],[ (S/S) SAR]]-Table6[[#This Row],[(S/S) AJD]]</f>
        <v>0</v>
      </c>
      <c r="Q178" s="40"/>
      <c r="R178" s="3">
        <f>Table6[[#This Row],[ (T/B) SAR]]-Table6[[#This Row],[(T/B) AJD]]</f>
        <v>0</v>
      </c>
      <c r="S178" s="3">
        <f>Table6[[#This Row],[S/S_CON.]]+Table6[[#This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Table6[[#This Row],[(RESV. STORGE) AJD]]/10</f>
        <v>0</v>
      </c>
      <c r="AB178" s="3">
        <f t="shared" si="11"/>
        <v>0</v>
      </c>
      <c r="AC178" s="5"/>
      <c r="AD178" s="40">
        <f>(Table6[[#This Row],[( S/S+T/B) AJD]]*1000)-((Table6[[#This Row],[(STORGE DIFF.) AJD]]*1000)+Table6[[#This Row],[AJD_Evaporation]]+(Table6[[#This Row],[(A/B + A/S) AJD]]*1000))</f>
        <v>0</v>
      </c>
      <c r="AE178" s="44"/>
      <c r="AF178" s="45"/>
      <c r="AG178" s="45"/>
      <c r="AH178" s="6">
        <f>Table6[[#This Row],[ (RESV. STORGE) BER]]/10</f>
        <v>0</v>
      </c>
      <c r="AI178" s="44"/>
      <c r="AJ178" s="45">
        <f>Table6[[#This Row],[(A/B) AJD]]-TABL12345[[#This Row],[BER_IN]]</f>
        <v>0</v>
      </c>
      <c r="AK178" s="45"/>
      <c r="AL178" s="45"/>
      <c r="AM178" s="32"/>
      <c r="AN178" s="32">
        <f>Table6[[#This Row],[ (RESV. STORGE) SER]]/10</f>
        <v>0</v>
      </c>
      <c r="AO178" s="68"/>
      <c r="AP178" s="103">
        <f>Table6[[#This Row],[(A/S) AJD]]-Table6[[#This Row],[SER_IN]]</f>
        <v>0</v>
      </c>
    </row>
    <row r="179" spans="1:42" ht="18.75" x14ac:dyDescent="0.25">
      <c r="A179" s="10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Table6[[#This Row],[ (T/B) SAR]]+Table6[[#This Row],[ (S/S) SAR]]</f>
        <v>0</v>
      </c>
      <c r="L179" s="41"/>
      <c r="M179" s="42"/>
      <c r="N179" s="42"/>
      <c r="O179" s="39"/>
      <c r="P179" s="3">
        <f>Table6[[#This Row],[ (S/S) SAR]]-Table6[[#This Row],[(S/S) AJD]]</f>
        <v>0</v>
      </c>
      <c r="Q179" s="39"/>
      <c r="R179" s="3">
        <f>Table6[[#This Row],[ (T/B) SAR]]-Table6[[#This Row],[(T/B) AJD]]</f>
        <v>0</v>
      </c>
      <c r="S179" s="3">
        <f>Table6[[#This Row],[S/S_CON.]]+Table6[[#This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Table6[[#This Row],[(RESV. STORGE) AJD]]/10</f>
        <v>0</v>
      </c>
      <c r="AB179" s="3">
        <f t="shared" si="11"/>
        <v>0</v>
      </c>
      <c r="AC179" s="5"/>
      <c r="AD179" s="39">
        <f>(Table6[[#This Row],[( S/S+T/B) AJD]]*1000)-((Table6[[#This Row],[(STORGE DIFF.) AJD]]*1000)+Table6[[#This Row],[AJD_Evaporation]]+(Table6[[#This Row],[(A/B + A/S) AJD]]*1000))</f>
        <v>0</v>
      </c>
      <c r="AE179" s="41"/>
      <c r="AF179" s="43"/>
      <c r="AG179" s="43"/>
      <c r="AH179" s="6">
        <f>Table6[[#This Row],[ (RESV. STORGE) BER]]/10</f>
        <v>0</v>
      </c>
      <c r="AI179" s="41"/>
      <c r="AJ179" s="43">
        <f>Table6[[#This Row],[(A/B) AJD]]-TABL12345[[#This Row],[BER_IN]]</f>
        <v>0</v>
      </c>
      <c r="AK179" s="43"/>
      <c r="AL179" s="43"/>
      <c r="AM179" s="32"/>
      <c r="AN179" s="32">
        <f>Table6[[#This Row],[ (RESV. STORGE) SER]]/10</f>
        <v>0</v>
      </c>
      <c r="AO179" s="68"/>
      <c r="AP179" s="103">
        <f>Table6[[#This Row],[(A/S) AJD]]-Table6[[#This Row],[SER_IN]]</f>
        <v>0</v>
      </c>
    </row>
    <row r="180" spans="1:42" ht="18.75" x14ac:dyDescent="0.25">
      <c r="A180" s="10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Table6[[#This Row],[ (T/B) SAR]]+Table6[[#This Row],[ (S/S) SAR]]</f>
        <v>0</v>
      </c>
      <c r="L180" s="45"/>
      <c r="M180" s="46"/>
      <c r="N180" s="46"/>
      <c r="O180" s="40"/>
      <c r="P180" s="3">
        <f>Table6[[#This Row],[ (S/S) SAR]]-Table6[[#This Row],[(S/S) AJD]]</f>
        <v>0</v>
      </c>
      <c r="Q180" s="40"/>
      <c r="R180" s="3">
        <f>Table6[[#This Row],[ (T/B) SAR]]-Table6[[#This Row],[(T/B) AJD]]</f>
        <v>0</v>
      </c>
      <c r="S180" s="3">
        <f>Table6[[#This Row],[S/S_CON.]]+Table6[[#This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Table6[[#This Row],[(RESV. STORGE) AJD]]/10</f>
        <v>0</v>
      </c>
      <c r="AB180" s="3">
        <f t="shared" si="11"/>
        <v>0</v>
      </c>
      <c r="AC180" s="5"/>
      <c r="AD180" s="40">
        <f>(Table6[[#This Row],[( S/S+T/B) AJD]]*1000)-((Table6[[#This Row],[(STORGE DIFF.) AJD]]*1000)+Table6[[#This Row],[AJD_Evaporation]]+(Table6[[#This Row],[(A/B + A/S) AJD]]*1000))</f>
        <v>0</v>
      </c>
      <c r="AE180" s="44"/>
      <c r="AF180" s="45"/>
      <c r="AG180" s="45"/>
      <c r="AH180" s="6">
        <f>Table6[[#This Row],[ (RESV. STORGE) BER]]/10</f>
        <v>0</v>
      </c>
      <c r="AI180" s="44"/>
      <c r="AJ180" s="45">
        <f>Table6[[#This Row],[(A/B) AJD]]-TABL12345[[#This Row],[BER_IN]]</f>
        <v>0</v>
      </c>
      <c r="AK180" s="45"/>
      <c r="AL180" s="45"/>
      <c r="AM180" s="32"/>
      <c r="AN180" s="32">
        <f>Table6[[#This Row],[ (RESV. STORGE) SER]]/10</f>
        <v>0</v>
      </c>
      <c r="AO180" s="68"/>
      <c r="AP180" s="103">
        <f>Table6[[#This Row],[(A/S) AJD]]-Table6[[#This Row],[SER_IN]]</f>
        <v>0</v>
      </c>
    </row>
    <row r="181" spans="1:42" ht="18.75" x14ac:dyDescent="0.25">
      <c r="A181" s="10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Table6[[#This Row],[ (T/B) SAR]]+Table6[[#This Row],[ (S/S) SAR]]</f>
        <v>0</v>
      </c>
      <c r="L181" s="41"/>
      <c r="M181" s="42"/>
      <c r="N181" s="42"/>
      <c r="O181" s="39"/>
      <c r="P181" s="3">
        <f>Table6[[#This Row],[ (S/S) SAR]]-Table6[[#This Row],[(S/S) AJD]]</f>
        <v>0</v>
      </c>
      <c r="Q181" s="39"/>
      <c r="R181" s="3">
        <f>Table6[[#This Row],[ (T/B) SAR]]-Table6[[#This Row],[(T/B) AJD]]</f>
        <v>0</v>
      </c>
      <c r="S181" s="3">
        <f>Table6[[#This Row],[S/S_CON.]]+Table6[[#This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Table6[[#This Row],[(RESV. STORGE) AJD]]/10</f>
        <v>0</v>
      </c>
      <c r="AB181" s="3">
        <f t="shared" si="11"/>
        <v>0</v>
      </c>
      <c r="AC181" s="5"/>
      <c r="AD181" s="39">
        <f>(Table6[[#This Row],[( S/S+T/B) AJD]]*1000)-((Table6[[#This Row],[(STORGE DIFF.) AJD]]*1000)+Table6[[#This Row],[AJD_Evaporation]]+(Table6[[#This Row],[(A/B + A/S) AJD]]*1000))</f>
        <v>0</v>
      </c>
      <c r="AE181" s="41"/>
      <c r="AF181" s="43"/>
      <c r="AG181" s="43"/>
      <c r="AH181" s="6">
        <f>Table6[[#This Row],[ (RESV. STORGE) BER]]/10</f>
        <v>0</v>
      </c>
      <c r="AI181" s="41"/>
      <c r="AJ181" s="43">
        <f>Table6[[#This Row],[(A/B) AJD]]-TABL12345[[#This Row],[BER_IN]]</f>
        <v>0</v>
      </c>
      <c r="AK181" s="43"/>
      <c r="AL181" s="43"/>
      <c r="AM181" s="32"/>
      <c r="AN181" s="32">
        <f>Table6[[#This Row],[ (RESV. STORGE) SER]]/10</f>
        <v>0</v>
      </c>
      <c r="AO181" s="68"/>
      <c r="AP181" s="103">
        <f>Table6[[#This Row],[(A/S) AJD]]-Table6[[#This Row],[SER_IN]]</f>
        <v>0</v>
      </c>
    </row>
    <row r="182" spans="1:42" ht="18.75" x14ac:dyDescent="0.25">
      <c r="A182" s="10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Table6[[#This Row],[ (T/B) SAR]]+Table6[[#This Row],[ (S/S) SAR]]</f>
        <v>0</v>
      </c>
      <c r="L182" s="45"/>
      <c r="M182" s="46"/>
      <c r="N182" s="46"/>
      <c r="O182" s="40"/>
      <c r="P182" s="3">
        <f>Table6[[#This Row],[ (S/S) SAR]]-Table6[[#This Row],[(S/S) AJD]]</f>
        <v>0</v>
      </c>
      <c r="Q182" s="40"/>
      <c r="R182" s="3">
        <f>Table6[[#This Row],[ (T/B) SAR]]-Table6[[#This Row],[(T/B) AJD]]</f>
        <v>0</v>
      </c>
      <c r="S182" s="3">
        <f>Table6[[#This Row],[S/S_CON.]]+Table6[[#This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Table6[[#This Row],[(RESV. STORGE) AJD]]/10</f>
        <v>0</v>
      </c>
      <c r="AB182" s="3">
        <f t="shared" si="11"/>
        <v>0</v>
      </c>
      <c r="AC182" s="5"/>
      <c r="AD182" s="40">
        <f>(Table6[[#This Row],[( S/S+T/B) AJD]]*1000)-((Table6[[#This Row],[(STORGE DIFF.) AJD]]*1000)+Table6[[#This Row],[AJD_Evaporation]]+(Table6[[#This Row],[(A/B + A/S) AJD]]*1000))</f>
        <v>0</v>
      </c>
      <c r="AE182" s="44"/>
      <c r="AF182" s="45"/>
      <c r="AG182" s="45"/>
      <c r="AH182" s="6">
        <f>Table6[[#This Row],[ (RESV. STORGE) BER]]/10</f>
        <v>0</v>
      </c>
      <c r="AI182" s="44"/>
      <c r="AJ182" s="45">
        <f>Table6[[#This Row],[(A/B) AJD]]-TABL12345[[#This Row],[BER_IN]]</f>
        <v>0</v>
      </c>
      <c r="AK182" s="45"/>
      <c r="AL182" s="45"/>
      <c r="AM182" s="32"/>
      <c r="AN182" s="32">
        <f>Table6[[#This Row],[ (RESV. STORGE) SER]]/10</f>
        <v>0</v>
      </c>
      <c r="AO182" s="68"/>
      <c r="AP182" s="103">
        <f>Table6[[#This Row],[(A/S) AJD]]-Table6[[#This Row],[SER_IN]]</f>
        <v>0</v>
      </c>
    </row>
    <row r="183" spans="1:42" ht="18.75" x14ac:dyDescent="0.25">
      <c r="A183" s="10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Table6[[#This Row],[ (T/B) SAR]]+Table6[[#This Row],[ (S/S) SAR]]</f>
        <v>0</v>
      </c>
      <c r="L183" s="41"/>
      <c r="M183" s="42"/>
      <c r="N183" s="42"/>
      <c r="O183" s="39"/>
      <c r="P183" s="12">
        <f>Table6[[#This Row],[ (S/S) SAR]]-Table6[[#This Row],[(S/S) AJD]]</f>
        <v>0</v>
      </c>
      <c r="Q183" s="39"/>
      <c r="R183" s="12">
        <f>Table6[[#This Row],[ (T/B) SAR]]-Table6[[#This Row],[(T/B) AJD]]</f>
        <v>0</v>
      </c>
      <c r="S183" s="12">
        <f>Table6[[#This Row],[S/S_CON.]]+Table6[[#This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Table6[[#This Row],[(RESV. STORGE) AJD]]/10</f>
        <v>0</v>
      </c>
      <c r="AB183" s="3">
        <f t="shared" si="11"/>
        <v>0</v>
      </c>
      <c r="AC183" s="5"/>
      <c r="AD183" s="39">
        <f>(Table6[[#This Row],[( S/S+T/B) AJD]]*1000)-((Table6[[#This Row],[(STORGE DIFF.) AJD]]*1000)+Table6[[#This Row],[AJD_Evaporation]]+(Table6[[#This Row],[(A/B + A/S) AJD]]*1000))</f>
        <v>0</v>
      </c>
      <c r="AE183" s="41"/>
      <c r="AF183" s="43"/>
      <c r="AG183" s="43"/>
      <c r="AH183" s="6">
        <f>Table6[[#This Row],[ (RESV. STORGE) BER]]/10</f>
        <v>0</v>
      </c>
      <c r="AI183" s="41"/>
      <c r="AJ183" s="43">
        <f>Table6[[#This Row],[(A/B) AJD]]-TABL12345[[#This Row],[BER_IN]]</f>
        <v>0</v>
      </c>
      <c r="AK183" s="43"/>
      <c r="AL183" s="43"/>
      <c r="AM183" s="32"/>
      <c r="AN183" s="32">
        <f>Table6[[#This Row],[ (RESV. STORGE) SER]]/10</f>
        <v>0</v>
      </c>
      <c r="AO183" s="68"/>
      <c r="AP183" s="103">
        <f>Table6[[#This Row],[(A/S) AJD]]-Table6[[#This Row],[SER_IN]]</f>
        <v>0</v>
      </c>
    </row>
    <row r="184" spans="1:42" ht="18.75" x14ac:dyDescent="0.25">
      <c r="A184" s="10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Table6[[#This Row],[ (T/B) SAR]]+Table6[[#This Row],[ (S/S) SAR]]</f>
        <v>0</v>
      </c>
      <c r="L184" s="45"/>
      <c r="M184" s="46"/>
      <c r="N184" s="46"/>
      <c r="O184" s="40"/>
      <c r="P184" s="12">
        <f>Table6[[#This Row],[ (S/S) SAR]]-Table6[[#This Row],[(S/S) AJD]]</f>
        <v>0</v>
      </c>
      <c r="Q184" s="40"/>
      <c r="R184" s="12">
        <f>Table6[[#This Row],[ (T/B) SAR]]-Table6[[#This Row],[(T/B) AJD]]</f>
        <v>0</v>
      </c>
      <c r="S184" s="12">
        <f>Table6[[#This Row],[S/S_CON.]]+Table6[[#This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Table6[[#This Row],[(RESV. STORGE) AJD]]/10</f>
        <v>0</v>
      </c>
      <c r="AB184" s="3">
        <f t="shared" si="11"/>
        <v>0</v>
      </c>
      <c r="AC184" s="5"/>
      <c r="AD184" s="40">
        <f>(Table6[[#This Row],[( S/S+T/B) AJD]]*1000)-((Table6[[#This Row],[(STORGE DIFF.) AJD]]*1000)+Table6[[#This Row],[AJD_Evaporation]]+(Table6[[#This Row],[(A/B + A/S) AJD]]*1000))</f>
        <v>0</v>
      </c>
      <c r="AE184" s="44"/>
      <c r="AF184" s="45"/>
      <c r="AG184" s="45"/>
      <c r="AH184" s="6">
        <f>Table6[[#This Row],[ (RESV. STORGE) BER]]/10</f>
        <v>0</v>
      </c>
      <c r="AI184" s="44"/>
      <c r="AJ184" s="45">
        <f>Table6[[#This Row],[(A/B) AJD]]-TABL12345[[#This Row],[BER_IN]]</f>
        <v>0</v>
      </c>
      <c r="AK184" s="45"/>
      <c r="AL184" s="45"/>
      <c r="AM184" s="32"/>
      <c r="AN184" s="32">
        <f>Table6[[#This Row],[ (RESV. STORGE) SER]]/10</f>
        <v>0</v>
      </c>
      <c r="AO184" s="68"/>
      <c r="AP184" s="103">
        <f>Table6[[#This Row],[(A/S) AJD]]-Table6[[#This Row],[SER_IN]]</f>
        <v>0</v>
      </c>
    </row>
    <row r="185" spans="1:42" ht="18.75" x14ac:dyDescent="0.25">
      <c r="A185" s="10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Table6[[#This Row],[ (T/B) SAR]]+Table6[[#This Row],[ (S/S) SAR]]</f>
        <v>0</v>
      </c>
      <c r="L185" s="41"/>
      <c r="M185" s="42"/>
      <c r="N185" s="42"/>
      <c r="O185" s="39"/>
      <c r="P185" s="12">
        <f>Table6[[#This Row],[ (S/S) SAR]]-Table6[[#This Row],[(S/S) AJD]]</f>
        <v>0</v>
      </c>
      <c r="Q185" s="39"/>
      <c r="R185" s="12">
        <f>Table6[[#This Row],[ (T/B) SAR]]-Table6[[#This Row],[(T/B) AJD]]</f>
        <v>0</v>
      </c>
      <c r="S185" s="12">
        <f>Table6[[#This Row],[S/S_CON.]]+Table6[[#This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Table6[[#This Row],[(RESV. STORGE) AJD]]/10</f>
        <v>0</v>
      </c>
      <c r="AB185" s="3">
        <f t="shared" si="11"/>
        <v>0</v>
      </c>
      <c r="AC185" s="5"/>
      <c r="AD185" s="39">
        <f>(Table6[[#This Row],[( S/S+T/B) AJD]]*1000)-((Table6[[#This Row],[(STORGE DIFF.) AJD]]*1000)+Table6[[#This Row],[AJD_Evaporation]]+(Table6[[#This Row],[(A/B + A/S) AJD]]*1000))</f>
        <v>0</v>
      </c>
      <c r="AE185" s="41"/>
      <c r="AF185" s="43"/>
      <c r="AG185" s="43"/>
      <c r="AH185" s="6">
        <f>Table6[[#This Row],[ (RESV. STORGE) BER]]/10</f>
        <v>0</v>
      </c>
      <c r="AI185" s="41"/>
      <c r="AJ185" s="43">
        <f>Table6[[#This Row],[(A/B) AJD]]-TABL12345[[#This Row],[BER_IN]]</f>
        <v>0</v>
      </c>
      <c r="AK185" s="43"/>
      <c r="AL185" s="43"/>
      <c r="AM185" s="32"/>
      <c r="AN185" s="32">
        <f>Table6[[#This Row],[ (RESV. STORGE) SER]]/10</f>
        <v>0</v>
      </c>
      <c r="AO185" s="68"/>
      <c r="AP185" s="103">
        <f>Table6[[#This Row],[(A/S) AJD]]-Table6[[#This Row],[SER_IN]]</f>
        <v>0</v>
      </c>
    </row>
    <row r="186" spans="1:42" ht="18.75" x14ac:dyDescent="0.25">
      <c r="A186" s="10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Table6[[#This Row],[ (T/B) SAR]]+Table6[[#This Row],[ (S/S) SAR]]</f>
        <v>0</v>
      </c>
      <c r="L186" s="45"/>
      <c r="M186" s="46"/>
      <c r="N186" s="46"/>
      <c r="O186" s="40"/>
      <c r="P186" s="12">
        <f>Table6[[#This Row],[ (S/S) SAR]]-Table6[[#This Row],[(S/S) AJD]]</f>
        <v>0</v>
      </c>
      <c r="Q186" s="40"/>
      <c r="R186" s="12">
        <f>Table6[[#This Row],[ (T/B) SAR]]-Table6[[#This Row],[(T/B) AJD]]</f>
        <v>0</v>
      </c>
      <c r="S186" s="12">
        <f>Table6[[#This Row],[S/S_CON.]]+Table6[[#This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Table6[[#This Row],[(RESV. STORGE) AJD]]/10</f>
        <v>0</v>
      </c>
      <c r="AB186" s="3">
        <f t="shared" si="11"/>
        <v>0</v>
      </c>
      <c r="AC186" s="5"/>
      <c r="AD186" s="40">
        <f>(Table6[[#This Row],[( S/S+T/B) AJD]]*1000)-((Table6[[#This Row],[(STORGE DIFF.) AJD]]*1000)+Table6[[#This Row],[AJD_Evaporation]]+(Table6[[#This Row],[(A/B + A/S) AJD]]*1000))</f>
        <v>0</v>
      </c>
      <c r="AE186" s="44"/>
      <c r="AF186" s="45"/>
      <c r="AG186" s="45"/>
      <c r="AH186" s="6">
        <f>Table6[[#This Row],[ (RESV. STORGE) BER]]/10</f>
        <v>0</v>
      </c>
      <c r="AI186" s="44"/>
      <c r="AJ186" s="45">
        <f>Table6[[#This Row],[(A/B) AJD]]-TABL12345[[#This Row],[BER_IN]]</f>
        <v>0</v>
      </c>
      <c r="AK186" s="45"/>
      <c r="AL186" s="45"/>
      <c r="AM186" s="32"/>
      <c r="AN186" s="32">
        <f>Table6[[#This Row],[ (RESV. STORGE) SER]]/10</f>
        <v>0</v>
      </c>
      <c r="AO186" s="68"/>
      <c r="AP186" s="103">
        <f>Table6[[#This Row],[(A/S) AJD]]-Table6[[#This Row],[SER_IN]]</f>
        <v>0</v>
      </c>
    </row>
    <row r="187" spans="1:42" ht="18.75" x14ac:dyDescent="0.25">
      <c r="A187" s="10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Table6[[#This Row],[ (T/B) SAR]]+Table6[[#This Row],[ (S/S) SAR]]</f>
        <v>0</v>
      </c>
      <c r="L187" s="41"/>
      <c r="M187" s="42"/>
      <c r="N187" s="42"/>
      <c r="O187" s="39"/>
      <c r="P187" s="12">
        <f>Table6[[#This Row],[ (S/S) SAR]]-Table6[[#This Row],[(S/S) AJD]]</f>
        <v>0</v>
      </c>
      <c r="Q187" s="39"/>
      <c r="R187" s="12">
        <f>Table6[[#This Row],[ (T/B) SAR]]-Table6[[#This Row],[(T/B) AJD]]</f>
        <v>0</v>
      </c>
      <c r="S187" s="12">
        <f>Table6[[#This Row],[S/S_CON.]]+Table6[[#This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Table6[[#This Row],[(RESV. STORGE) AJD]]/10</f>
        <v>0</v>
      </c>
      <c r="AB187" s="3">
        <f t="shared" si="11"/>
        <v>0</v>
      </c>
      <c r="AC187" s="5"/>
      <c r="AD187" s="39">
        <f>(Table6[[#This Row],[( S/S+T/B) AJD]]*1000)-((Table6[[#This Row],[(STORGE DIFF.) AJD]]*1000)+Table6[[#This Row],[AJD_Evaporation]]+(Table6[[#This Row],[(A/B + A/S) AJD]]*1000))</f>
        <v>0</v>
      </c>
      <c r="AE187" s="41"/>
      <c r="AF187" s="43"/>
      <c r="AG187" s="43"/>
      <c r="AH187" s="6">
        <f>Table6[[#This Row],[ (RESV. STORGE) BER]]/10</f>
        <v>0</v>
      </c>
      <c r="AI187" s="41"/>
      <c r="AJ187" s="43">
        <f>Table6[[#This Row],[(A/B) AJD]]-TABL12345[[#This Row],[BER_IN]]</f>
        <v>0</v>
      </c>
      <c r="AK187" s="43"/>
      <c r="AL187" s="43"/>
      <c r="AM187" s="32"/>
      <c r="AN187" s="32">
        <f>Table6[[#This Row],[ (RESV. STORGE) SER]]/10</f>
        <v>0</v>
      </c>
      <c r="AO187" s="68"/>
      <c r="AP187" s="103">
        <f>Table6[[#This Row],[(A/S) AJD]]-Table6[[#This Row],[SER_IN]]</f>
        <v>0</v>
      </c>
    </row>
    <row r="188" spans="1:42" ht="18.75" x14ac:dyDescent="0.25">
      <c r="A188" s="10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Table6[[#This Row],[ (T/B) SAR]]+Table6[[#This Row],[ (S/S) SAR]]</f>
        <v>0</v>
      </c>
      <c r="L188" s="45"/>
      <c r="M188" s="46"/>
      <c r="N188" s="46"/>
      <c r="O188" s="40"/>
      <c r="P188" s="12">
        <f>Table6[[#This Row],[ (S/S) SAR]]-Table6[[#This Row],[(S/S) AJD]]</f>
        <v>0</v>
      </c>
      <c r="Q188" s="40"/>
      <c r="R188" s="12">
        <f>Table6[[#This Row],[ (T/B) SAR]]-Table6[[#This Row],[(T/B) AJD]]</f>
        <v>0</v>
      </c>
      <c r="S188" s="12">
        <f>Table6[[#This Row],[S/S_CON.]]+Table6[[#This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Table6[[#This Row],[(RESV. STORGE) AJD]]/10</f>
        <v>0</v>
      </c>
      <c r="AB188" s="3">
        <f t="shared" si="11"/>
        <v>0</v>
      </c>
      <c r="AC188" s="5"/>
      <c r="AD188" s="40">
        <f>(Table6[[#This Row],[( S/S+T/B) AJD]]*1000)-((Table6[[#This Row],[(STORGE DIFF.) AJD]]*1000)+Table6[[#This Row],[AJD_Evaporation]]+(Table6[[#This Row],[(A/B + A/S) AJD]]*1000))</f>
        <v>0</v>
      </c>
      <c r="AE188" s="44"/>
      <c r="AF188" s="45"/>
      <c r="AG188" s="45"/>
      <c r="AH188" s="6">
        <f>Table6[[#This Row],[ (RESV. STORGE) BER]]/10</f>
        <v>0</v>
      </c>
      <c r="AI188" s="44"/>
      <c r="AJ188" s="45">
        <f>Table6[[#This Row],[(A/B) AJD]]-TABL12345[[#This Row],[BER_IN]]</f>
        <v>0</v>
      </c>
      <c r="AK188" s="45"/>
      <c r="AL188" s="45"/>
      <c r="AM188" s="32"/>
      <c r="AN188" s="32">
        <f>Table6[[#This Row],[ (RESV. STORGE) SER]]/10</f>
        <v>0</v>
      </c>
      <c r="AO188" s="68"/>
      <c r="AP188" s="103">
        <f>Table6[[#This Row],[(A/S) AJD]]-Table6[[#This Row],[SER_IN]]</f>
        <v>0</v>
      </c>
    </row>
    <row r="189" spans="1:42" ht="18.75" x14ac:dyDescent="0.25">
      <c r="A189" s="10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Table6[[#This Row],[ (T/B) SAR]]+Table6[[#This Row],[ (S/S) SAR]]</f>
        <v>0</v>
      </c>
      <c r="L189" s="41"/>
      <c r="M189" s="42"/>
      <c r="N189" s="42"/>
      <c r="O189" s="39"/>
      <c r="P189" s="12">
        <f>Table6[[#This Row],[ (S/S) SAR]]-Table6[[#This Row],[(S/S) AJD]]</f>
        <v>0</v>
      </c>
      <c r="Q189" s="39"/>
      <c r="R189" s="12">
        <f>Table6[[#This Row],[ (T/B) SAR]]-Table6[[#This Row],[(T/B) AJD]]</f>
        <v>0</v>
      </c>
      <c r="S189" s="12">
        <f>Table6[[#This Row],[S/S_CON.]]+Table6[[#This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Table6[[#This Row],[(RESV. STORGE) AJD]]/10</f>
        <v>0</v>
      </c>
      <c r="AB189" s="3">
        <f t="shared" si="11"/>
        <v>0</v>
      </c>
      <c r="AC189" s="5"/>
      <c r="AD189" s="39">
        <f>(Table6[[#This Row],[( S/S+T/B) AJD]]*1000)-((Table6[[#This Row],[(STORGE DIFF.) AJD]]*1000)+Table6[[#This Row],[AJD_Evaporation]]+(Table6[[#This Row],[(A/B + A/S) AJD]]*1000))</f>
        <v>0</v>
      </c>
      <c r="AE189" s="41"/>
      <c r="AF189" s="43"/>
      <c r="AG189" s="43"/>
      <c r="AH189" s="6">
        <f>Table6[[#This Row],[ (RESV. STORGE) BER]]/10</f>
        <v>0</v>
      </c>
      <c r="AI189" s="41"/>
      <c r="AJ189" s="43">
        <f>Table6[[#This Row],[(A/B) AJD]]-TABL12345[[#This Row],[BER_IN]]</f>
        <v>0</v>
      </c>
      <c r="AK189" s="43"/>
      <c r="AL189" s="43"/>
      <c r="AM189" s="32"/>
      <c r="AN189" s="32">
        <f>Table6[[#This Row],[ (RESV. STORGE) SER]]/10</f>
        <v>0</v>
      </c>
      <c r="AO189" s="68"/>
      <c r="AP189" s="103">
        <f>Table6[[#This Row],[(A/S) AJD]]-Table6[[#This Row],[SER_IN]]</f>
        <v>0</v>
      </c>
    </row>
    <row r="190" spans="1:42" ht="18.75" x14ac:dyDescent="0.25">
      <c r="A190" s="10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Table6[[#This Row],[ (T/B) SAR]]+Table6[[#This Row],[ (S/S) SAR]]</f>
        <v>0</v>
      </c>
      <c r="L190" s="45"/>
      <c r="M190" s="46"/>
      <c r="N190" s="46"/>
      <c r="O190" s="40"/>
      <c r="P190" s="12">
        <f>Table6[[#This Row],[ (S/S) SAR]]-Table6[[#This Row],[(S/S) AJD]]</f>
        <v>0</v>
      </c>
      <c r="Q190" s="40"/>
      <c r="R190" s="12">
        <f>Table6[[#This Row],[ (T/B) SAR]]-Table6[[#This Row],[(T/B) AJD]]</f>
        <v>0</v>
      </c>
      <c r="S190" s="12">
        <f>Table6[[#This Row],[S/S_CON.]]+Table6[[#This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Table6[[#This Row],[(RESV. STORGE) AJD]]/10</f>
        <v>0</v>
      </c>
      <c r="AB190" s="3">
        <f t="shared" si="11"/>
        <v>0</v>
      </c>
      <c r="AC190" s="5"/>
      <c r="AD190" s="40">
        <f>(Table6[[#This Row],[( S/S+T/B) AJD]]*1000)-((Table6[[#This Row],[(STORGE DIFF.) AJD]]*1000)+Table6[[#This Row],[AJD_Evaporation]]+(Table6[[#This Row],[(A/B + A/S) AJD]]*1000))</f>
        <v>0</v>
      </c>
      <c r="AE190" s="44"/>
      <c r="AF190" s="45"/>
      <c r="AG190" s="45"/>
      <c r="AH190" s="6">
        <f>Table6[[#This Row],[ (RESV. STORGE) BER]]/10</f>
        <v>0</v>
      </c>
      <c r="AI190" s="44"/>
      <c r="AJ190" s="45">
        <f>Table6[[#This Row],[(A/B) AJD]]-TABL12345[[#This Row],[BER_IN]]</f>
        <v>0</v>
      </c>
      <c r="AK190" s="45"/>
      <c r="AL190" s="45"/>
      <c r="AM190" s="32"/>
      <c r="AN190" s="32">
        <f>Table6[[#This Row],[ (RESV. STORGE) SER]]/10</f>
        <v>0</v>
      </c>
      <c r="AO190" s="68"/>
      <c r="AP190" s="103">
        <f>Table6[[#This Row],[(A/S) AJD]]-Table6[[#This Row],[SER_IN]]</f>
        <v>0</v>
      </c>
    </row>
    <row r="191" spans="1:42" ht="18.75" x14ac:dyDescent="0.25">
      <c r="A191" s="10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Table6[[#This Row],[ (T/B) SAR]]+Table6[[#This Row],[ (S/S) SAR]]</f>
        <v>0</v>
      </c>
      <c r="L191" s="41"/>
      <c r="M191" s="42"/>
      <c r="N191" s="42"/>
      <c r="O191" s="39"/>
      <c r="P191" s="12">
        <f>Table6[[#This Row],[ (S/S) SAR]]-Table6[[#This Row],[(S/S) AJD]]</f>
        <v>0</v>
      </c>
      <c r="Q191" s="39"/>
      <c r="R191" s="12">
        <f>Table6[[#This Row],[ (T/B) SAR]]-Table6[[#This Row],[(T/B) AJD]]</f>
        <v>0</v>
      </c>
      <c r="S191" s="12">
        <f>Table6[[#This Row],[S/S_CON.]]+Table6[[#This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Table6[[#This Row],[(RESV. STORGE) AJD]]/10</f>
        <v>0</v>
      </c>
      <c r="AB191" s="3">
        <f t="shared" si="11"/>
        <v>0</v>
      </c>
      <c r="AC191" s="5"/>
      <c r="AD191" s="39">
        <f>(Table6[[#This Row],[( S/S+T/B) AJD]]*1000)-((Table6[[#This Row],[(STORGE DIFF.) AJD]]*1000)+Table6[[#This Row],[AJD_Evaporation]]+(Table6[[#This Row],[(A/B + A/S) AJD]]*1000))</f>
        <v>0</v>
      </c>
      <c r="AE191" s="41"/>
      <c r="AF191" s="43"/>
      <c r="AG191" s="43"/>
      <c r="AH191" s="6">
        <f>Table6[[#This Row],[ (RESV. STORGE) BER]]/10</f>
        <v>0</v>
      </c>
      <c r="AI191" s="41"/>
      <c r="AJ191" s="43">
        <f>Table6[[#This Row],[(A/B) AJD]]-TABL12345[[#This Row],[BER_IN]]</f>
        <v>0</v>
      </c>
      <c r="AK191" s="43"/>
      <c r="AL191" s="43"/>
      <c r="AM191" s="32"/>
      <c r="AN191" s="32">
        <f>Table6[[#This Row],[ (RESV. STORGE) SER]]/10</f>
        <v>0</v>
      </c>
      <c r="AO191" s="68"/>
      <c r="AP191" s="103">
        <f>Table6[[#This Row],[(A/S) AJD]]-Table6[[#This Row],[SER_IN]]</f>
        <v>0</v>
      </c>
    </row>
    <row r="192" spans="1:42" ht="18.75" x14ac:dyDescent="0.25">
      <c r="A192" s="10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Table6[[#This Row],[ (T/B) SAR]]+Table6[[#This Row],[ (S/S) SAR]]</f>
        <v>0</v>
      </c>
      <c r="L192" s="45"/>
      <c r="M192" s="46"/>
      <c r="N192" s="46"/>
      <c r="O192" s="40"/>
      <c r="P192" s="12">
        <f>Table6[[#This Row],[ (S/S) SAR]]-Table6[[#This Row],[(S/S) AJD]]</f>
        <v>0</v>
      </c>
      <c r="Q192" s="40"/>
      <c r="R192" s="12">
        <f>Table6[[#This Row],[ (T/B) SAR]]-Table6[[#This Row],[(T/B) AJD]]</f>
        <v>0</v>
      </c>
      <c r="S192" s="12">
        <f>Table6[[#This Row],[S/S_CON.]]+Table6[[#This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Table6[[#This Row],[(RESV. STORGE) AJD]]/10</f>
        <v>0</v>
      </c>
      <c r="AB192" s="3">
        <f t="shared" si="11"/>
        <v>0</v>
      </c>
      <c r="AC192" s="5"/>
      <c r="AD192" s="40">
        <f>(Table6[[#This Row],[( S/S+T/B) AJD]]*1000)-((Table6[[#This Row],[(STORGE DIFF.) AJD]]*1000)+Table6[[#This Row],[AJD_Evaporation]]+(Table6[[#This Row],[(A/B + A/S) AJD]]*1000))</f>
        <v>0</v>
      </c>
      <c r="AE192" s="44"/>
      <c r="AF192" s="45"/>
      <c r="AG192" s="45"/>
      <c r="AH192" s="6">
        <f>Table6[[#This Row],[ (RESV. STORGE) BER]]/10</f>
        <v>0</v>
      </c>
      <c r="AI192" s="44"/>
      <c r="AJ192" s="45">
        <f>Table6[[#This Row],[(A/B) AJD]]-TABL12345[[#This Row],[BER_IN]]</f>
        <v>0</v>
      </c>
      <c r="AK192" s="45"/>
      <c r="AL192" s="45"/>
      <c r="AM192" s="32"/>
      <c r="AN192" s="32">
        <f>Table6[[#This Row],[ (RESV. STORGE) SER]]/10</f>
        <v>0</v>
      </c>
      <c r="AO192" s="68"/>
      <c r="AP192" s="103">
        <f>Table6[[#This Row],[(A/S) AJD]]-Table6[[#This Row],[SER_IN]]</f>
        <v>0</v>
      </c>
    </row>
    <row r="193" spans="1:42" ht="18.75" x14ac:dyDescent="0.25">
      <c r="A193" s="10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Table6[[#This Row],[ (T/B) SAR]]+Table6[[#This Row],[ (S/S) SAR]]</f>
        <v>0</v>
      </c>
      <c r="L193" s="41"/>
      <c r="M193" s="42"/>
      <c r="N193" s="42"/>
      <c r="O193" s="39"/>
      <c r="P193" s="12">
        <f>Table6[[#This Row],[ (S/S) SAR]]-Table6[[#This Row],[(S/S) AJD]]</f>
        <v>0</v>
      </c>
      <c r="Q193" s="39"/>
      <c r="R193" s="12">
        <f>Table6[[#This Row],[ (T/B) SAR]]-Table6[[#This Row],[(T/B) AJD]]</f>
        <v>0</v>
      </c>
      <c r="S193" s="12">
        <f>Table6[[#This Row],[S/S_CON.]]+Table6[[#This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Table6[[#This Row],[(RESV. STORGE) AJD]]/10</f>
        <v>0</v>
      </c>
      <c r="AB193" s="3">
        <f t="shared" si="11"/>
        <v>0</v>
      </c>
      <c r="AC193" s="5"/>
      <c r="AD193" s="39">
        <f>(Table6[[#This Row],[( S/S+T/B) AJD]]*1000)-((Table6[[#This Row],[(STORGE DIFF.) AJD]]*1000)+Table6[[#This Row],[AJD_Evaporation]]+(Table6[[#This Row],[(A/B + A/S) AJD]]*1000))</f>
        <v>0</v>
      </c>
      <c r="AE193" s="41"/>
      <c r="AF193" s="43"/>
      <c r="AG193" s="68"/>
      <c r="AH193" s="6">
        <f>Table6[[#This Row],[ (RESV. STORGE) BER]]/10</f>
        <v>0</v>
      </c>
      <c r="AI193" s="41"/>
      <c r="AJ193" s="68">
        <f>Table6[[#This Row],[(A/B) AJD]]-TABL12345[[#This Row],[BER_IN]]</f>
        <v>0</v>
      </c>
      <c r="AK193" s="43"/>
      <c r="AL193" s="43"/>
      <c r="AM193" s="32"/>
      <c r="AN193" s="32">
        <f>Table6[[#This Row],[ (RESV. STORGE) SER]]/10</f>
        <v>0</v>
      </c>
      <c r="AO193" s="68"/>
      <c r="AP193" s="103">
        <f>Table6[[#This Row],[(A/S) AJD]]-Table6[[#This Row],[SER_IN]]</f>
        <v>0</v>
      </c>
    </row>
    <row r="194" spans="1:42" ht="18.75" x14ac:dyDescent="0.25">
      <c r="A194" s="10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Table6[[#This Row],[ (T/B) SAR]]+Table6[[#This Row],[ (S/S) SAR]]</f>
        <v>0</v>
      </c>
      <c r="L194" s="45"/>
      <c r="M194" s="46"/>
      <c r="N194" s="46"/>
      <c r="O194" s="40"/>
      <c r="P194" s="12">
        <f>Table6[[#This Row],[ (S/S) SAR]]-Table6[[#This Row],[(S/S) AJD]]</f>
        <v>0</v>
      </c>
      <c r="Q194" s="40"/>
      <c r="R194" s="12">
        <f>Table6[[#This Row],[ (T/B) SAR]]-Table6[[#This Row],[(T/B) AJD]]</f>
        <v>0</v>
      </c>
      <c r="S194" s="12">
        <f>Table6[[#This Row],[S/S_CON.]]+Table6[[#This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Table6[[#This Row],[(RESV. STORGE) AJD]]/10</f>
        <v>0</v>
      </c>
      <c r="AB194" s="3">
        <f t="shared" si="11"/>
        <v>0</v>
      </c>
      <c r="AC194" s="5"/>
      <c r="AD194" s="40">
        <f>(Table6[[#This Row],[( S/S+T/B) AJD]]*1000)-((Table6[[#This Row],[(STORGE DIFF.) AJD]]*1000)+Table6[[#This Row],[AJD_Evaporation]]+(Table6[[#This Row],[(A/B + A/S) AJD]]*1000))</f>
        <v>0</v>
      </c>
      <c r="AE194" s="44"/>
      <c r="AF194" s="45"/>
      <c r="AG194" s="45"/>
      <c r="AH194" s="6">
        <f>Table6[[#This Row],[ (RESV. STORGE) BER]]/10</f>
        <v>0</v>
      </c>
      <c r="AI194" s="44"/>
      <c r="AJ194" s="45">
        <f>Table6[[#This Row],[(A/B) AJD]]-TABL12345[[#This Row],[BER_IN]]</f>
        <v>0</v>
      </c>
      <c r="AK194" s="45"/>
      <c r="AL194" s="45"/>
      <c r="AM194" s="32"/>
      <c r="AN194" s="32">
        <f>Table6[[#This Row],[ (RESV. STORGE) SER]]/10</f>
        <v>0</v>
      </c>
      <c r="AO194" s="68"/>
      <c r="AP194" s="103">
        <f>Table6[[#This Row],[(A/S) AJD]]-Table6[[#This Row],[SER_IN]]</f>
        <v>0</v>
      </c>
    </row>
    <row r="195" spans="1:42" ht="18.75" x14ac:dyDescent="0.25">
      <c r="A195" s="10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Table6[[#This Row],[ (T/B) SAR]]+Table6[[#This Row],[ (S/S) SAR]]</f>
        <v>0</v>
      </c>
      <c r="L195" s="41"/>
      <c r="M195" s="42"/>
      <c r="N195" s="42"/>
      <c r="O195" s="39"/>
      <c r="P195" s="12">
        <f>Table6[[#This Row],[ (S/S) SAR]]-Table6[[#This Row],[(S/S) AJD]]</f>
        <v>0</v>
      </c>
      <c r="Q195" s="39"/>
      <c r="R195" s="12">
        <f>Table6[[#This Row],[ (T/B) SAR]]-Table6[[#This Row],[(T/B) AJD]]</f>
        <v>0</v>
      </c>
      <c r="S195" s="12">
        <f>Table6[[#This Row],[S/S_CON.]]+Table6[[#This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Table6[[#This Row],[(RESV. STORGE) AJD]]/10</f>
        <v>0</v>
      </c>
      <c r="AB195" s="3">
        <f t="shared" si="11"/>
        <v>0</v>
      </c>
      <c r="AC195" s="5"/>
      <c r="AD195" s="39">
        <f>(Table6[[#This Row],[( S/S+T/B) AJD]]*1000)-((Table6[[#This Row],[(STORGE DIFF.) AJD]]*1000)+Table6[[#This Row],[AJD_Evaporation]]+(Table6[[#This Row],[(A/B + A/S) AJD]]*1000))</f>
        <v>0</v>
      </c>
      <c r="AE195" s="41"/>
      <c r="AF195" s="43"/>
      <c r="AG195" s="43"/>
      <c r="AH195" s="6">
        <f>Table6[[#This Row],[ (RESV. STORGE) BER]]/10</f>
        <v>0</v>
      </c>
      <c r="AI195" s="41"/>
      <c r="AJ195" s="43">
        <f>Table6[[#This Row],[(A/B) AJD]]-TABL12345[[#This Row],[BER_IN]]</f>
        <v>0</v>
      </c>
      <c r="AK195" s="43"/>
      <c r="AL195" s="43"/>
      <c r="AM195" s="32"/>
      <c r="AN195" s="32">
        <f>Table6[[#This Row],[ (RESV. STORGE) SER]]/10</f>
        <v>0</v>
      </c>
      <c r="AO195" s="68"/>
      <c r="AP195" s="103">
        <f>Table6[[#This Row],[(A/S) AJD]]-Table6[[#This Row],[SER_IN]]</f>
        <v>0</v>
      </c>
    </row>
    <row r="196" spans="1:42" ht="18.75" x14ac:dyDescent="0.25">
      <c r="A196" s="10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Table6[[#This Row],[ (T/B) SAR]]+Table6[[#This Row],[ (S/S) SAR]]</f>
        <v>0</v>
      </c>
      <c r="L196" s="45"/>
      <c r="M196" s="46"/>
      <c r="N196" s="46"/>
      <c r="O196" s="40"/>
      <c r="P196" s="12">
        <f>Table6[[#This Row],[ (S/S) SAR]]-Table6[[#This Row],[(S/S) AJD]]</f>
        <v>0</v>
      </c>
      <c r="Q196" s="40"/>
      <c r="R196" s="12">
        <f>Table6[[#This Row],[ (T/B) SAR]]-Table6[[#This Row],[(T/B) AJD]]</f>
        <v>0</v>
      </c>
      <c r="S196" s="12">
        <f>Table6[[#This Row],[S/S_CON.]]+Table6[[#This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Table6[[#This Row],[(RESV. STORGE) AJD]]/10</f>
        <v>0</v>
      </c>
      <c r="AB196" s="3">
        <f t="shared" ref="AB196:AB259" si="15">IF(TRIM(Z196)="",,(Z196-Z195)/1000)</f>
        <v>0</v>
      </c>
      <c r="AC196" s="5"/>
      <c r="AD196" s="40">
        <f>(Table6[[#This Row],[( S/S+T/B) AJD]]*1000)-((Table6[[#This Row],[(STORGE DIFF.) AJD]]*1000)+Table6[[#This Row],[AJD_Evaporation]]+(Table6[[#This Row],[(A/B + A/S) AJD]]*1000))</f>
        <v>0</v>
      </c>
      <c r="AE196" s="44"/>
      <c r="AF196" s="45"/>
      <c r="AG196" s="45"/>
      <c r="AH196" s="6">
        <f>Table6[[#This Row],[ (RESV. STORGE) BER]]/10</f>
        <v>0</v>
      </c>
      <c r="AI196" s="44"/>
      <c r="AJ196" s="45">
        <f>Table6[[#This Row],[(A/B) AJD]]-TABL12345[[#This Row],[BER_IN]]</f>
        <v>0</v>
      </c>
      <c r="AK196" s="45"/>
      <c r="AL196" s="45"/>
      <c r="AM196" s="32"/>
      <c r="AN196" s="32">
        <f>Table6[[#This Row],[ (RESV. STORGE) SER]]/10</f>
        <v>0</v>
      </c>
      <c r="AO196" s="68"/>
      <c r="AP196" s="103">
        <f>Table6[[#This Row],[(A/S) AJD]]-Table6[[#This Row],[SER_IN]]</f>
        <v>0</v>
      </c>
    </row>
    <row r="197" spans="1:42" ht="18.75" x14ac:dyDescent="0.25">
      <c r="A197" s="10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Table6[[#This Row],[ (T/B) SAR]]+Table6[[#This Row],[ (S/S) SAR]]</f>
        <v>0</v>
      </c>
      <c r="L197" s="41"/>
      <c r="M197" s="42"/>
      <c r="N197" s="42"/>
      <c r="O197" s="39"/>
      <c r="P197" s="12">
        <f>Table6[[#This Row],[ (S/S) SAR]]-Table6[[#This Row],[(S/S) AJD]]</f>
        <v>0</v>
      </c>
      <c r="Q197" s="39"/>
      <c r="R197" s="12">
        <f>Table6[[#This Row],[ (T/B) SAR]]-Table6[[#This Row],[(T/B) AJD]]</f>
        <v>0</v>
      </c>
      <c r="S197" s="12">
        <f>Table6[[#This Row],[S/S_CON.]]+Table6[[#This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Table6[[#This Row],[(RESV. STORGE) AJD]]/10</f>
        <v>0</v>
      </c>
      <c r="AB197" s="3">
        <f t="shared" si="15"/>
        <v>0</v>
      </c>
      <c r="AC197" s="5"/>
      <c r="AD197" s="39">
        <f>(Table6[[#This Row],[( S/S+T/B) AJD]]*1000)-((Table6[[#This Row],[(STORGE DIFF.) AJD]]*1000)+Table6[[#This Row],[AJD_Evaporation]]+(Table6[[#This Row],[(A/B + A/S) AJD]]*1000))</f>
        <v>0</v>
      </c>
      <c r="AE197" s="41"/>
      <c r="AF197" s="43"/>
      <c r="AG197" s="43"/>
      <c r="AH197" s="6">
        <f>Table6[[#This Row],[ (RESV. STORGE) BER]]/10</f>
        <v>0</v>
      </c>
      <c r="AI197" s="41"/>
      <c r="AJ197" s="43">
        <f>Table6[[#This Row],[(A/B) AJD]]-TABL12345[[#This Row],[BER_IN]]</f>
        <v>0</v>
      </c>
      <c r="AK197" s="43"/>
      <c r="AL197" s="43"/>
      <c r="AM197" s="32"/>
      <c r="AN197" s="32">
        <f>Table6[[#This Row],[ (RESV. STORGE) SER]]/10</f>
        <v>0</v>
      </c>
      <c r="AO197" s="68"/>
      <c r="AP197" s="103">
        <f>Table6[[#This Row],[(A/S) AJD]]-Table6[[#This Row],[SER_IN]]</f>
        <v>0</v>
      </c>
    </row>
    <row r="198" spans="1:42" ht="18.75" x14ac:dyDescent="0.25">
      <c r="A198" s="10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Table6[[#This Row],[ (T/B) SAR]]+Table6[[#This Row],[ (S/S) SAR]]</f>
        <v>0</v>
      </c>
      <c r="L198" s="45"/>
      <c r="M198" s="46"/>
      <c r="N198" s="46"/>
      <c r="O198" s="40"/>
      <c r="P198" s="12">
        <f>Table6[[#This Row],[ (S/S) SAR]]-Table6[[#This Row],[(S/S) AJD]]</f>
        <v>0</v>
      </c>
      <c r="Q198" s="40"/>
      <c r="R198" s="12">
        <f>Table6[[#This Row],[ (T/B) SAR]]-Table6[[#This Row],[(T/B) AJD]]</f>
        <v>0</v>
      </c>
      <c r="S198" s="12">
        <f>Table6[[#This Row],[S/S_CON.]]+Table6[[#This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Table6[[#This Row],[(RESV. STORGE) AJD]]/10</f>
        <v>0</v>
      </c>
      <c r="AB198" s="3">
        <f t="shared" si="15"/>
        <v>0</v>
      </c>
      <c r="AC198" s="5"/>
      <c r="AD198" s="40">
        <f>(Table6[[#This Row],[( S/S+T/B) AJD]]*1000)-((Table6[[#This Row],[(STORGE DIFF.) AJD]]*1000)+Table6[[#This Row],[AJD_Evaporation]]+(Table6[[#This Row],[(A/B + A/S) AJD]]*1000))</f>
        <v>0</v>
      </c>
      <c r="AE198" s="44"/>
      <c r="AF198" s="45"/>
      <c r="AG198" s="45"/>
      <c r="AH198" s="6">
        <f>Table6[[#This Row],[ (RESV. STORGE) BER]]/10</f>
        <v>0</v>
      </c>
      <c r="AI198" s="44"/>
      <c r="AJ198" s="45">
        <f>Table6[[#This Row],[(A/B) AJD]]-TABL12345[[#This Row],[BER_IN]]</f>
        <v>0</v>
      </c>
      <c r="AK198" s="45"/>
      <c r="AL198" s="45"/>
      <c r="AM198" s="32"/>
      <c r="AN198" s="32">
        <f>Table6[[#This Row],[ (RESV. STORGE) SER]]/10</f>
        <v>0</v>
      </c>
      <c r="AO198" s="68"/>
      <c r="AP198" s="103">
        <f>Table6[[#This Row],[(A/S) AJD]]-Table6[[#This Row],[SER_IN]]</f>
        <v>0</v>
      </c>
    </row>
    <row r="199" spans="1:42" ht="18.75" x14ac:dyDescent="0.25">
      <c r="A199" s="10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Table6[[#This Row],[ (T/B) SAR]]+Table6[[#This Row],[ (S/S) SAR]]</f>
        <v>0</v>
      </c>
      <c r="L199" s="41"/>
      <c r="M199" s="42"/>
      <c r="N199" s="42"/>
      <c r="O199" s="39"/>
      <c r="P199" s="12">
        <f>Table6[[#This Row],[ (S/S) SAR]]-Table6[[#This Row],[(S/S) AJD]]</f>
        <v>0</v>
      </c>
      <c r="Q199" s="39"/>
      <c r="R199" s="12">
        <f>Table6[[#This Row],[ (T/B) SAR]]-Table6[[#This Row],[(T/B) AJD]]</f>
        <v>0</v>
      </c>
      <c r="S199" s="12">
        <f>Table6[[#This Row],[S/S_CON.]]+Table6[[#This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Table6[[#This Row],[(RESV. STORGE) AJD]]/10</f>
        <v>0</v>
      </c>
      <c r="AB199" s="3">
        <f t="shared" si="15"/>
        <v>0</v>
      </c>
      <c r="AC199" s="5"/>
      <c r="AD199" s="39">
        <f>(Table6[[#This Row],[( S/S+T/B) AJD]]*1000)-((Table6[[#This Row],[(STORGE DIFF.) AJD]]*1000)+Table6[[#This Row],[AJD_Evaporation]]+(Table6[[#This Row],[(A/B + A/S) AJD]]*1000))</f>
        <v>0</v>
      </c>
      <c r="AE199" s="41"/>
      <c r="AF199" s="43"/>
      <c r="AG199" s="43"/>
      <c r="AH199" s="6">
        <f>Table6[[#This Row],[ (RESV. STORGE) BER]]/10</f>
        <v>0</v>
      </c>
      <c r="AI199" s="41"/>
      <c r="AJ199" s="43">
        <f>Table6[[#This Row],[(A/B) AJD]]-TABL12345[[#This Row],[BER_IN]]</f>
        <v>0</v>
      </c>
      <c r="AK199" s="43"/>
      <c r="AL199" s="43"/>
      <c r="AM199" s="32"/>
      <c r="AN199" s="32">
        <f>Table6[[#This Row],[ (RESV. STORGE) SER]]/10</f>
        <v>0</v>
      </c>
      <c r="AO199" s="68"/>
      <c r="AP199" s="103">
        <f>Table6[[#This Row],[(A/S) AJD]]-Table6[[#This Row],[SER_IN]]</f>
        <v>0</v>
      </c>
    </row>
    <row r="200" spans="1:42" ht="18.75" x14ac:dyDescent="0.25">
      <c r="A200" s="10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Table6[[#This Row],[ (T/B) SAR]]+Table6[[#This Row],[ (S/S) SAR]]</f>
        <v>0</v>
      </c>
      <c r="L200" s="45"/>
      <c r="M200" s="46"/>
      <c r="N200" s="46"/>
      <c r="O200" s="40"/>
      <c r="P200" s="12">
        <f>Table6[[#This Row],[ (S/S) SAR]]-Table6[[#This Row],[(S/S) AJD]]</f>
        <v>0</v>
      </c>
      <c r="Q200" s="40"/>
      <c r="R200" s="12">
        <f>Table6[[#This Row],[ (T/B) SAR]]-Table6[[#This Row],[(T/B) AJD]]</f>
        <v>0</v>
      </c>
      <c r="S200" s="12">
        <f>Table6[[#This Row],[S/S_CON.]]+Table6[[#This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Table6[[#This Row],[(RESV. STORGE) AJD]]/10</f>
        <v>0</v>
      </c>
      <c r="AB200" s="3">
        <f t="shared" si="15"/>
        <v>0</v>
      </c>
      <c r="AC200" s="5"/>
      <c r="AD200" s="40">
        <f>(Table6[[#This Row],[( S/S+T/B) AJD]]*1000)-((Table6[[#This Row],[(STORGE DIFF.) AJD]]*1000)+Table6[[#This Row],[AJD_Evaporation]]+(Table6[[#This Row],[(A/B + A/S) AJD]]*1000))</f>
        <v>0</v>
      </c>
      <c r="AE200" s="44"/>
      <c r="AF200" s="45"/>
      <c r="AG200" s="45"/>
      <c r="AH200" s="6">
        <f>Table6[[#This Row],[ (RESV. STORGE) BER]]/10</f>
        <v>0</v>
      </c>
      <c r="AI200" s="44"/>
      <c r="AJ200" s="45">
        <f>Table6[[#This Row],[(A/B) AJD]]-TABL12345[[#This Row],[BER_IN]]</f>
        <v>0</v>
      </c>
      <c r="AK200" s="45"/>
      <c r="AL200" s="45"/>
      <c r="AM200" s="32"/>
      <c r="AN200" s="32">
        <f>Table6[[#This Row],[ (RESV. STORGE) SER]]/10</f>
        <v>0</v>
      </c>
      <c r="AO200" s="68"/>
      <c r="AP200" s="103">
        <f>Table6[[#This Row],[(A/S) AJD]]-Table6[[#This Row],[SER_IN]]</f>
        <v>0</v>
      </c>
    </row>
    <row r="201" spans="1:42" ht="18.75" x14ac:dyDescent="0.25">
      <c r="A201" s="10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Table6[[#This Row],[ (T/B) SAR]]+Table6[[#This Row],[ (S/S) SAR]]</f>
        <v>0</v>
      </c>
      <c r="L201" s="41"/>
      <c r="M201" s="42"/>
      <c r="N201" s="42"/>
      <c r="O201" s="39"/>
      <c r="P201" s="12">
        <f>Table6[[#This Row],[ (S/S) SAR]]-Table6[[#This Row],[(S/S) AJD]]</f>
        <v>0</v>
      </c>
      <c r="Q201" s="39"/>
      <c r="R201" s="12">
        <f>Table6[[#This Row],[ (T/B) SAR]]-Table6[[#This Row],[(T/B) AJD]]</f>
        <v>0</v>
      </c>
      <c r="S201" s="12">
        <f>Table6[[#This Row],[S/S_CON.]]+Table6[[#This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Table6[[#This Row],[(RESV. STORGE) AJD]]/10</f>
        <v>0</v>
      </c>
      <c r="AB201" s="3">
        <f t="shared" si="15"/>
        <v>0</v>
      </c>
      <c r="AC201" s="5"/>
      <c r="AD201" s="39">
        <f>(Table6[[#This Row],[( S/S+T/B) AJD]]*1000)-((Table6[[#This Row],[(STORGE DIFF.) AJD]]*1000)+Table6[[#This Row],[AJD_Evaporation]]+(Table6[[#This Row],[(A/B + A/S) AJD]]*1000))</f>
        <v>0</v>
      </c>
      <c r="AE201" s="41"/>
      <c r="AF201" s="43"/>
      <c r="AG201" s="43"/>
      <c r="AH201" s="6">
        <f>Table6[[#This Row],[ (RESV. STORGE) BER]]/10</f>
        <v>0</v>
      </c>
      <c r="AI201" s="41"/>
      <c r="AJ201" s="43">
        <f>Table6[[#This Row],[(A/B) AJD]]-TABL12345[[#This Row],[BER_IN]]</f>
        <v>0</v>
      </c>
      <c r="AK201" s="43"/>
      <c r="AL201" s="43"/>
      <c r="AM201" s="32"/>
      <c r="AN201" s="32">
        <f>Table6[[#This Row],[ (RESV. STORGE) SER]]/10</f>
        <v>0</v>
      </c>
      <c r="AO201" s="68"/>
      <c r="AP201" s="103">
        <f>Table6[[#This Row],[(A/S) AJD]]-Table6[[#This Row],[SER_IN]]</f>
        <v>0</v>
      </c>
    </row>
    <row r="202" spans="1:42" ht="18.75" x14ac:dyDescent="0.25">
      <c r="A202" s="10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Table6[[#This Row],[ (T/B) SAR]]+Table6[[#This Row],[ (S/S) SAR]]</f>
        <v>0</v>
      </c>
      <c r="L202" s="45"/>
      <c r="M202" s="46"/>
      <c r="N202" s="46"/>
      <c r="O202" s="40"/>
      <c r="P202" s="12">
        <f>Table6[[#This Row],[ (S/S) SAR]]-Table6[[#This Row],[(S/S) AJD]]</f>
        <v>0</v>
      </c>
      <c r="Q202" s="40"/>
      <c r="R202" s="12">
        <f>Table6[[#This Row],[ (T/B) SAR]]-Table6[[#This Row],[(T/B) AJD]]</f>
        <v>0</v>
      </c>
      <c r="S202" s="12">
        <f>Table6[[#This Row],[S/S_CON.]]+Table6[[#This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Table6[[#This Row],[(RESV. STORGE) AJD]]/10</f>
        <v>0</v>
      </c>
      <c r="AB202" s="3">
        <f t="shared" si="15"/>
        <v>0</v>
      </c>
      <c r="AC202" s="5"/>
      <c r="AD202" s="40">
        <f>(Table6[[#This Row],[( S/S+T/B) AJD]]*1000)-((Table6[[#This Row],[(STORGE DIFF.) AJD]]*1000)+Table6[[#This Row],[AJD_Evaporation]]+(Table6[[#This Row],[(A/B + A/S) AJD]]*1000))</f>
        <v>0</v>
      </c>
      <c r="AE202" s="44"/>
      <c r="AF202" s="45"/>
      <c r="AG202" s="45"/>
      <c r="AH202" s="6">
        <f>Table6[[#This Row],[ (RESV. STORGE) BER]]/10</f>
        <v>0</v>
      </c>
      <c r="AI202" s="44"/>
      <c r="AJ202" s="45">
        <f>Table6[[#This Row],[(A/B) AJD]]-TABL12345[[#This Row],[BER_IN]]</f>
        <v>0</v>
      </c>
      <c r="AK202" s="45"/>
      <c r="AL202" s="45"/>
      <c r="AM202" s="32"/>
      <c r="AN202" s="32">
        <f>Table6[[#This Row],[ (RESV. STORGE) SER]]/10</f>
        <v>0</v>
      </c>
      <c r="AO202" s="68"/>
      <c r="AP202" s="103">
        <f>Table6[[#This Row],[(A/S) AJD]]-Table6[[#This Row],[SER_IN]]</f>
        <v>0</v>
      </c>
    </row>
    <row r="203" spans="1:42" ht="18.75" x14ac:dyDescent="0.25">
      <c r="A203" s="10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Table6[[#This Row],[ (T/B) SAR]]+Table6[[#This Row],[ (S/S) SAR]]</f>
        <v>0</v>
      </c>
      <c r="L203" s="41"/>
      <c r="M203" s="42"/>
      <c r="N203" s="42"/>
      <c r="O203" s="39"/>
      <c r="P203" s="12">
        <f>Table6[[#This Row],[ (S/S) SAR]]-Table6[[#This Row],[(S/S) AJD]]</f>
        <v>0</v>
      </c>
      <c r="Q203" s="39"/>
      <c r="R203" s="12">
        <f>Table6[[#This Row],[ (T/B) SAR]]-Table6[[#This Row],[(T/B) AJD]]</f>
        <v>0</v>
      </c>
      <c r="S203" s="12">
        <f>Table6[[#This Row],[S/S_CON.]]+Table6[[#This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Table6[[#This Row],[(RESV. STORGE) AJD]]/10</f>
        <v>0</v>
      </c>
      <c r="AB203" s="3">
        <f t="shared" si="15"/>
        <v>0</v>
      </c>
      <c r="AC203" s="5"/>
      <c r="AD203" s="39">
        <f>(Table6[[#This Row],[( S/S+T/B) AJD]]*1000)-((Table6[[#This Row],[(STORGE DIFF.) AJD]]*1000)+Table6[[#This Row],[AJD_Evaporation]]+(Table6[[#This Row],[(A/B + A/S) AJD]]*1000))</f>
        <v>0</v>
      </c>
      <c r="AE203" s="41"/>
      <c r="AF203" s="43"/>
      <c r="AG203" s="43"/>
      <c r="AH203" s="6">
        <f>Table6[[#This Row],[ (RESV. STORGE) BER]]/10</f>
        <v>0</v>
      </c>
      <c r="AI203" s="41"/>
      <c r="AJ203" s="43">
        <f>Table6[[#This Row],[(A/B) AJD]]-TABL12345[[#This Row],[BER_IN]]</f>
        <v>0</v>
      </c>
      <c r="AK203" s="43"/>
      <c r="AL203" s="43"/>
      <c r="AM203" s="32"/>
      <c r="AN203" s="32">
        <f>Table6[[#This Row],[ (RESV. STORGE) SER]]/10</f>
        <v>0</v>
      </c>
      <c r="AO203" s="68"/>
      <c r="AP203" s="103">
        <f>Table6[[#This Row],[(A/S) AJD]]-Table6[[#This Row],[SER_IN]]</f>
        <v>0</v>
      </c>
    </row>
    <row r="204" spans="1:42" ht="18.75" x14ac:dyDescent="0.25">
      <c r="A204" s="10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Table6[[#This Row],[ (T/B) SAR]]+Table6[[#This Row],[ (S/S) SAR]]</f>
        <v>0</v>
      </c>
      <c r="L204" s="45"/>
      <c r="M204" s="46"/>
      <c r="N204" s="46"/>
      <c r="O204" s="40"/>
      <c r="P204" s="12">
        <f>Table6[[#This Row],[ (S/S) SAR]]-Table6[[#This Row],[(S/S) AJD]]</f>
        <v>0</v>
      </c>
      <c r="Q204" s="40"/>
      <c r="R204" s="12">
        <f>Table6[[#This Row],[ (T/B) SAR]]-Table6[[#This Row],[(T/B) AJD]]</f>
        <v>0</v>
      </c>
      <c r="S204" s="12">
        <f>Table6[[#This Row],[S/S_CON.]]+Table6[[#This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Table6[[#This Row],[(RESV. STORGE) AJD]]/10</f>
        <v>0</v>
      </c>
      <c r="AB204" s="3">
        <f t="shared" si="15"/>
        <v>0</v>
      </c>
      <c r="AC204" s="5"/>
      <c r="AD204" s="40">
        <f>(Table6[[#This Row],[( S/S+T/B) AJD]]*1000)-((Table6[[#This Row],[(STORGE DIFF.) AJD]]*1000)+Table6[[#This Row],[AJD_Evaporation]]+(Table6[[#This Row],[(A/B + A/S) AJD]]*1000))</f>
        <v>0</v>
      </c>
      <c r="AE204" s="44"/>
      <c r="AF204" s="45"/>
      <c r="AG204" s="45"/>
      <c r="AH204" s="6">
        <f>Table6[[#This Row],[ (RESV. STORGE) BER]]/10</f>
        <v>0</v>
      </c>
      <c r="AI204" s="44"/>
      <c r="AJ204" s="45">
        <f>Table6[[#This Row],[(A/B) AJD]]-TABL12345[[#This Row],[BER_IN]]</f>
        <v>0</v>
      </c>
      <c r="AK204" s="45"/>
      <c r="AL204" s="45"/>
      <c r="AM204" s="32"/>
      <c r="AN204" s="32">
        <f>Table6[[#This Row],[ (RESV. STORGE) SER]]/10</f>
        <v>0</v>
      </c>
      <c r="AO204" s="68"/>
      <c r="AP204" s="103">
        <f>Table6[[#This Row],[(A/S) AJD]]-Table6[[#This Row],[SER_IN]]</f>
        <v>0</v>
      </c>
    </row>
    <row r="205" spans="1:42" ht="18.75" x14ac:dyDescent="0.25">
      <c r="A205" s="10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Table6[[#This Row],[ (T/B) SAR]]+Table6[[#This Row],[ (S/S) SAR]]</f>
        <v>0</v>
      </c>
      <c r="L205" s="41"/>
      <c r="M205" s="42"/>
      <c r="N205" s="42"/>
      <c r="O205" s="39"/>
      <c r="P205" s="12">
        <f>Table6[[#This Row],[ (S/S) SAR]]-Table6[[#This Row],[(S/S) AJD]]</f>
        <v>0</v>
      </c>
      <c r="Q205" s="39"/>
      <c r="R205" s="12">
        <f>Table6[[#This Row],[ (T/B) SAR]]-Table6[[#This Row],[(T/B) AJD]]</f>
        <v>0</v>
      </c>
      <c r="S205" s="12">
        <f>Table6[[#This Row],[S/S_CON.]]+Table6[[#This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Table6[[#This Row],[(RESV. STORGE) AJD]]/10</f>
        <v>0</v>
      </c>
      <c r="AB205" s="3">
        <f t="shared" si="15"/>
        <v>0</v>
      </c>
      <c r="AC205" s="5"/>
      <c r="AD205" s="39">
        <f>(Table6[[#This Row],[( S/S+T/B) AJD]]*1000)-((Table6[[#This Row],[(STORGE DIFF.) AJD]]*1000)+Table6[[#This Row],[AJD_Evaporation]]+(Table6[[#This Row],[(A/B + A/S) AJD]]*1000))</f>
        <v>0</v>
      </c>
      <c r="AE205" s="41"/>
      <c r="AF205" s="43"/>
      <c r="AG205" s="43"/>
      <c r="AH205" s="6">
        <f>Table6[[#This Row],[ (RESV. STORGE) BER]]/10</f>
        <v>0</v>
      </c>
      <c r="AI205" s="41"/>
      <c r="AJ205" s="43">
        <f>Table6[[#This Row],[(A/B) AJD]]-TABL12345[[#This Row],[BER_IN]]</f>
        <v>0</v>
      </c>
      <c r="AK205" s="43"/>
      <c r="AL205" s="43"/>
      <c r="AM205" s="32"/>
      <c r="AN205" s="32">
        <f>Table6[[#This Row],[ (RESV. STORGE) SER]]/10</f>
        <v>0</v>
      </c>
      <c r="AO205" s="68"/>
      <c r="AP205" s="103">
        <f>Table6[[#This Row],[(A/S) AJD]]-Table6[[#This Row],[SER_IN]]</f>
        <v>0</v>
      </c>
    </row>
    <row r="206" spans="1:42" ht="18.75" x14ac:dyDescent="0.25">
      <c r="A206" s="10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Table6[[#This Row],[ (T/B) SAR]]+Table6[[#This Row],[ (S/S) SAR]]</f>
        <v>0</v>
      </c>
      <c r="L206" s="45"/>
      <c r="M206" s="46"/>
      <c r="N206" s="46"/>
      <c r="O206" s="40"/>
      <c r="P206" s="12">
        <f>Table6[[#This Row],[ (S/S) SAR]]-Table6[[#This Row],[(S/S) AJD]]</f>
        <v>0</v>
      </c>
      <c r="Q206" s="45"/>
      <c r="R206" s="12">
        <f>Table6[[#This Row],[ (T/B) SAR]]-Table6[[#This Row],[(T/B) AJD]]</f>
        <v>0</v>
      </c>
      <c r="S206" s="12">
        <f>Table6[[#This Row],[S/S_CON.]]+Table6[[#This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Table6[[#This Row],[(RESV. STORGE) AJD]]/10</f>
        <v>0</v>
      </c>
      <c r="AB206" s="3">
        <f t="shared" si="15"/>
        <v>0</v>
      </c>
      <c r="AC206" s="5"/>
      <c r="AD206" s="40">
        <f>(Table6[[#This Row],[( S/S+T/B) AJD]]*1000)-((Table6[[#This Row],[(STORGE DIFF.) AJD]]*1000)+Table6[[#This Row],[AJD_Evaporation]]+(Table6[[#This Row],[(A/B + A/S) AJD]]*1000))</f>
        <v>0</v>
      </c>
      <c r="AE206" s="44"/>
      <c r="AF206" s="45"/>
      <c r="AG206" s="45"/>
      <c r="AH206" s="6">
        <f>Table6[[#This Row],[ (RESV. STORGE) BER]]/10</f>
        <v>0</v>
      </c>
      <c r="AI206" s="44"/>
      <c r="AJ206" s="45">
        <f>Table6[[#This Row],[(A/B) AJD]]-TABL12345[[#This Row],[BER_IN]]</f>
        <v>0</v>
      </c>
      <c r="AK206" s="45"/>
      <c r="AL206" s="45"/>
      <c r="AM206" s="32"/>
      <c r="AN206" s="32">
        <f>Table6[[#This Row],[ (RESV. STORGE) SER]]/10</f>
        <v>0</v>
      </c>
      <c r="AO206" s="68"/>
      <c r="AP206" s="103">
        <f>Table6[[#This Row],[(A/S) AJD]]-Table6[[#This Row],[SER_IN]]</f>
        <v>0</v>
      </c>
    </row>
    <row r="207" spans="1:42" ht="18.75" x14ac:dyDescent="0.25">
      <c r="A207" s="10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Table6[[#This Row],[ (T/B) SAR]]+Table6[[#This Row],[ (S/S) SAR]]</f>
        <v>0</v>
      </c>
      <c r="L207" s="41"/>
      <c r="M207" s="42"/>
      <c r="N207" s="42"/>
      <c r="O207" s="39"/>
      <c r="P207" s="12">
        <f>Table6[[#This Row],[ (S/S) SAR]]-Table6[[#This Row],[(S/S) AJD]]</f>
        <v>0</v>
      </c>
      <c r="Q207" s="43"/>
      <c r="R207" s="12">
        <f>Table6[[#This Row],[ (T/B) SAR]]-Table6[[#This Row],[(T/B) AJD]]</f>
        <v>0</v>
      </c>
      <c r="S207" s="12">
        <f>Table6[[#This Row],[S/S_CON.]]+Table6[[#This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Table6[[#This Row],[(RESV. STORGE) AJD]]/10</f>
        <v>0</v>
      </c>
      <c r="AB207" s="3">
        <f t="shared" si="15"/>
        <v>0</v>
      </c>
      <c r="AC207" s="5"/>
      <c r="AD207" s="39">
        <f>(Table6[[#This Row],[( S/S+T/B) AJD]]*1000)-((Table6[[#This Row],[(STORGE DIFF.) AJD]]*1000)+Table6[[#This Row],[AJD_Evaporation]]+(Table6[[#This Row],[(A/B + A/S) AJD]]*1000))</f>
        <v>0</v>
      </c>
      <c r="AE207" s="41"/>
      <c r="AF207" s="43"/>
      <c r="AG207" s="43"/>
      <c r="AH207" s="6">
        <f>Table6[[#This Row],[ (RESV. STORGE) BER]]/10</f>
        <v>0</v>
      </c>
      <c r="AI207" s="41"/>
      <c r="AJ207" s="43">
        <f>Table6[[#This Row],[(A/B) AJD]]-TABL12345[[#This Row],[BER_IN]]</f>
        <v>0</v>
      </c>
      <c r="AK207" s="43"/>
      <c r="AL207" s="43"/>
      <c r="AM207" s="32"/>
      <c r="AN207" s="32">
        <f>Table6[[#This Row],[ (RESV. STORGE) SER]]/10</f>
        <v>0</v>
      </c>
      <c r="AO207" s="68"/>
      <c r="AP207" s="103">
        <f>Table6[[#This Row],[(A/S) AJD]]-Table6[[#This Row],[SER_IN]]</f>
        <v>0</v>
      </c>
    </row>
    <row r="208" spans="1:42" ht="18.75" x14ac:dyDescent="0.25">
      <c r="A208" s="10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Table6[[#This Row],[ (T/B) SAR]]+Table6[[#This Row],[ (S/S) SAR]]</f>
        <v>0</v>
      </c>
      <c r="L208" s="45"/>
      <c r="M208" s="46"/>
      <c r="N208" s="46"/>
      <c r="O208" s="40"/>
      <c r="P208" s="12">
        <f>Table6[[#This Row],[ (S/S) SAR]]-Table6[[#This Row],[(S/S) AJD]]</f>
        <v>0</v>
      </c>
      <c r="Q208" s="45"/>
      <c r="R208" s="12">
        <f>Table6[[#This Row],[ (T/B) SAR]]-Table6[[#This Row],[(T/B) AJD]]</f>
        <v>0</v>
      </c>
      <c r="S208" s="12">
        <f>Table6[[#This Row],[S/S_CON.]]+Table6[[#This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Table6[[#This Row],[(RESV. STORGE) AJD]]/10</f>
        <v>0</v>
      </c>
      <c r="AB208" s="3">
        <f t="shared" si="15"/>
        <v>0</v>
      </c>
      <c r="AC208" s="5"/>
      <c r="AD208" s="40">
        <f>(Table6[[#This Row],[( S/S+T/B) AJD]]*1000)-((Table6[[#This Row],[(STORGE DIFF.) AJD]]*1000)+Table6[[#This Row],[AJD_Evaporation]]+(Table6[[#This Row],[(A/B + A/S) AJD]]*1000))</f>
        <v>0</v>
      </c>
      <c r="AE208" s="44"/>
      <c r="AF208" s="45"/>
      <c r="AG208" s="45"/>
      <c r="AH208" s="6">
        <f>Table6[[#This Row],[ (RESV. STORGE) BER]]/10</f>
        <v>0</v>
      </c>
      <c r="AI208" s="44"/>
      <c r="AJ208" s="45">
        <f>Table6[[#This Row],[(A/B) AJD]]-TABL12345[[#This Row],[BER_IN]]</f>
        <v>0</v>
      </c>
      <c r="AK208" s="45"/>
      <c r="AL208" s="45"/>
      <c r="AM208" s="32"/>
      <c r="AN208" s="32">
        <f>Table6[[#This Row],[ (RESV. STORGE) SER]]/10</f>
        <v>0</v>
      </c>
      <c r="AO208" s="68"/>
      <c r="AP208" s="103">
        <f>Table6[[#This Row],[(A/S) AJD]]-Table6[[#This Row],[SER_IN]]</f>
        <v>0</v>
      </c>
    </row>
    <row r="209" spans="1:42" ht="18.75" x14ac:dyDescent="0.25">
      <c r="A209" s="10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Table6[[#This Row],[ (T/B) SAR]]+Table6[[#This Row],[ (S/S) SAR]]</f>
        <v>0</v>
      </c>
      <c r="L209" s="41"/>
      <c r="M209" s="42"/>
      <c r="N209" s="42"/>
      <c r="O209" s="39"/>
      <c r="P209" s="12">
        <f>Table6[[#This Row],[ (S/S) SAR]]-Table6[[#This Row],[(S/S) AJD]]</f>
        <v>0</v>
      </c>
      <c r="Q209" s="39"/>
      <c r="R209" s="12">
        <f>Table6[[#This Row],[ (T/B) SAR]]-Table6[[#This Row],[(T/B) AJD]]</f>
        <v>0</v>
      </c>
      <c r="S209" s="12">
        <f>Table6[[#This Row],[S/S_CON.]]+Table6[[#This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Table6[[#This Row],[(RESV. STORGE) AJD]]/10</f>
        <v>0</v>
      </c>
      <c r="AB209" s="3">
        <f t="shared" si="15"/>
        <v>0</v>
      </c>
      <c r="AC209" s="5"/>
      <c r="AD209" s="39">
        <f>(Table6[[#This Row],[( S/S+T/B) AJD]]*1000)-((Table6[[#This Row],[(STORGE DIFF.) AJD]]*1000)+Table6[[#This Row],[AJD_Evaporation]]+(Table6[[#This Row],[(A/B + A/S) AJD]]*1000))</f>
        <v>0</v>
      </c>
      <c r="AE209" s="41"/>
      <c r="AF209" s="43"/>
      <c r="AG209" s="43"/>
      <c r="AH209" s="6">
        <f>Table6[[#This Row],[ (RESV. STORGE) BER]]/10</f>
        <v>0</v>
      </c>
      <c r="AI209" s="41"/>
      <c r="AJ209" s="43">
        <f>Table6[[#This Row],[(A/B) AJD]]-TABL12345[[#This Row],[BER_IN]]</f>
        <v>0</v>
      </c>
      <c r="AK209" s="43"/>
      <c r="AL209" s="43"/>
      <c r="AM209" s="32"/>
      <c r="AN209" s="32">
        <f>Table6[[#This Row],[ (RESV. STORGE) SER]]/10</f>
        <v>0</v>
      </c>
      <c r="AO209" s="68"/>
      <c r="AP209" s="103">
        <f>Table6[[#This Row],[(A/S) AJD]]-Table6[[#This Row],[SER_IN]]</f>
        <v>0</v>
      </c>
    </row>
    <row r="210" spans="1:42" ht="18.75" x14ac:dyDescent="0.25">
      <c r="A210" s="10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Table6[[#This Row],[ (T/B) SAR]]+Table6[[#This Row],[ (S/S) SAR]]</f>
        <v>0</v>
      </c>
      <c r="L210" s="45"/>
      <c r="M210" s="46"/>
      <c r="N210" s="46"/>
      <c r="O210" s="40"/>
      <c r="P210" s="12">
        <f>Table6[[#This Row],[ (S/S) SAR]]-Table6[[#This Row],[(S/S) AJD]]</f>
        <v>0</v>
      </c>
      <c r="Q210" s="40"/>
      <c r="R210" s="12">
        <f>Table6[[#This Row],[ (T/B) SAR]]-Table6[[#This Row],[(T/B) AJD]]</f>
        <v>0</v>
      </c>
      <c r="S210" s="12">
        <f>Table6[[#This Row],[S/S_CON.]]+Table6[[#This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Table6[[#This Row],[(RESV. STORGE) AJD]]/10</f>
        <v>0</v>
      </c>
      <c r="AB210" s="3">
        <f t="shared" si="15"/>
        <v>0</v>
      </c>
      <c r="AC210" s="5"/>
      <c r="AD210" s="40">
        <f>(Table6[[#This Row],[( S/S+T/B) AJD]]*1000)-((Table6[[#This Row],[(STORGE DIFF.) AJD]]*1000)+Table6[[#This Row],[AJD_Evaporation]]+(Table6[[#This Row],[(A/B + A/S) AJD]]*1000))</f>
        <v>0</v>
      </c>
      <c r="AE210" s="44"/>
      <c r="AF210" s="45"/>
      <c r="AG210" s="45"/>
      <c r="AH210" s="6">
        <f>Table6[[#This Row],[ (RESV. STORGE) BER]]/10</f>
        <v>0</v>
      </c>
      <c r="AI210" s="44"/>
      <c r="AJ210" s="45">
        <f>Table6[[#This Row],[(A/B) AJD]]-TABL12345[[#This Row],[BER_IN]]</f>
        <v>0</v>
      </c>
      <c r="AK210" s="45"/>
      <c r="AL210" s="45"/>
      <c r="AM210" s="32"/>
      <c r="AN210" s="32">
        <f>Table6[[#This Row],[ (RESV. STORGE) SER]]/10</f>
        <v>0</v>
      </c>
      <c r="AO210" s="68"/>
      <c r="AP210" s="103">
        <f>Table6[[#This Row],[(A/S) AJD]]-Table6[[#This Row],[SER_IN]]</f>
        <v>0</v>
      </c>
    </row>
    <row r="211" spans="1:42" ht="18.75" x14ac:dyDescent="0.25">
      <c r="A211" s="10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Table6[[#This Row],[ (T/B) SAR]]+Table6[[#This Row],[ (S/S) SAR]]</f>
        <v>0</v>
      </c>
      <c r="L211" s="41"/>
      <c r="M211" s="42"/>
      <c r="N211" s="42"/>
      <c r="O211" s="39"/>
      <c r="P211" s="12">
        <f>Table6[[#This Row],[ (S/S) SAR]]-Table6[[#This Row],[(S/S) AJD]]</f>
        <v>0</v>
      </c>
      <c r="Q211" s="39"/>
      <c r="R211" s="12">
        <f>Table6[[#This Row],[ (T/B) SAR]]-Table6[[#This Row],[(T/B) AJD]]</f>
        <v>0</v>
      </c>
      <c r="S211" s="12">
        <f>Table6[[#This Row],[S/S_CON.]]+Table6[[#This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Table6[[#This Row],[(RESV. STORGE) AJD]]/10</f>
        <v>0</v>
      </c>
      <c r="AB211" s="3">
        <f t="shared" si="15"/>
        <v>0</v>
      </c>
      <c r="AC211" s="5"/>
      <c r="AD211" s="39">
        <f>(Table6[[#This Row],[( S/S+T/B) AJD]]*1000)-((Table6[[#This Row],[(STORGE DIFF.) AJD]]*1000)+Table6[[#This Row],[AJD_Evaporation]]+(Table6[[#This Row],[(A/B + A/S) AJD]]*1000))</f>
        <v>0</v>
      </c>
      <c r="AE211" s="41"/>
      <c r="AF211" s="43"/>
      <c r="AG211" s="43"/>
      <c r="AH211" s="6">
        <f>Table6[[#This Row],[ (RESV. STORGE) BER]]/10</f>
        <v>0</v>
      </c>
      <c r="AI211" s="41"/>
      <c r="AJ211" s="43">
        <f>Table6[[#This Row],[(A/B) AJD]]-TABL12345[[#This Row],[BER_IN]]</f>
        <v>0</v>
      </c>
      <c r="AK211" s="43"/>
      <c r="AL211" s="43"/>
      <c r="AM211" s="32"/>
      <c r="AN211" s="32">
        <f>Table6[[#This Row],[ (RESV. STORGE) SER]]/10</f>
        <v>0</v>
      </c>
      <c r="AO211" s="68"/>
      <c r="AP211" s="103">
        <f>Table6[[#This Row],[(A/S) AJD]]-Table6[[#This Row],[SER_IN]]</f>
        <v>0</v>
      </c>
    </row>
    <row r="212" spans="1:42" ht="18.75" x14ac:dyDescent="0.25">
      <c r="A212" s="10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Table6[[#This Row],[ (T/B) SAR]]+Table6[[#This Row],[ (S/S) SAR]]</f>
        <v>0</v>
      </c>
      <c r="L212" s="45"/>
      <c r="M212" s="46"/>
      <c r="N212" s="46"/>
      <c r="O212" s="40"/>
      <c r="P212" s="12">
        <f>Table6[[#This Row],[ (S/S) SAR]]-Table6[[#This Row],[(S/S) AJD]]</f>
        <v>0</v>
      </c>
      <c r="Q212" s="40"/>
      <c r="R212" s="12">
        <f>Table6[[#This Row],[ (T/B) SAR]]-Table6[[#This Row],[(T/B) AJD]]</f>
        <v>0</v>
      </c>
      <c r="S212" s="12">
        <f>Table6[[#This Row],[S/S_CON.]]+Table6[[#This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Table6[[#This Row],[(RESV. STORGE) AJD]]/10</f>
        <v>0</v>
      </c>
      <c r="AB212" s="3">
        <f t="shared" si="15"/>
        <v>0</v>
      </c>
      <c r="AC212" s="5"/>
      <c r="AD212" s="70">
        <f>(Table6[[#This Row],[( S/S+T/B) AJD]]*1000)-((Table6[[#This Row],[(STORGE DIFF.) AJD]]*1000)+Table6[[#This Row],[AJD_Evaporation]]+(Table6[[#This Row],[(A/B + A/S) AJD]]*1000))</f>
        <v>0</v>
      </c>
      <c r="AE212" s="44"/>
      <c r="AF212" s="45"/>
      <c r="AG212" s="45"/>
      <c r="AH212" s="6">
        <f>Table6[[#This Row],[ (RESV. STORGE) BER]]/10</f>
        <v>0</v>
      </c>
      <c r="AI212" s="44"/>
      <c r="AJ212" s="90">
        <f>Table6[[#This Row],[(A/B) AJD]]-TABL12345[[#This Row],[BER_IN]]</f>
        <v>0</v>
      </c>
      <c r="AK212" s="45"/>
      <c r="AL212" s="45"/>
      <c r="AM212" s="32"/>
      <c r="AN212" s="32">
        <f>Table6[[#This Row],[ (RESV. STORGE) SER]]/10</f>
        <v>0</v>
      </c>
      <c r="AO212" s="68"/>
      <c r="AP212" s="103">
        <f>Table6[[#This Row],[(A/S) AJD]]-Table6[[#This Row],[SER_IN]]</f>
        <v>0</v>
      </c>
    </row>
    <row r="213" spans="1:42" ht="18.75" x14ac:dyDescent="0.25">
      <c r="A213" s="10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Table6[[#This Row],[ (T/B) SAR]]+Table6[[#This Row],[ (S/S) SAR]]</f>
        <v>0</v>
      </c>
      <c r="L213" s="41"/>
      <c r="M213" s="42"/>
      <c r="N213" s="42"/>
      <c r="O213" s="39"/>
      <c r="P213" s="12">
        <f>Table6[[#This Row],[ (S/S) SAR]]-Table6[[#This Row],[(S/S) AJD]]</f>
        <v>0</v>
      </c>
      <c r="Q213" s="39"/>
      <c r="R213" s="12">
        <f>Table6[[#This Row],[ (T/B) SAR]]-Table6[[#This Row],[(T/B) AJD]]</f>
        <v>0</v>
      </c>
      <c r="S213" s="12">
        <f>Table6[[#This Row],[S/S_CON.]]+Table6[[#This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Table6[[#This Row],[(RESV. STORGE) AJD]]/10</f>
        <v>0</v>
      </c>
      <c r="AB213" s="3">
        <f t="shared" si="15"/>
        <v>0</v>
      </c>
      <c r="AC213" s="5"/>
      <c r="AD213" s="39">
        <f>(Table6[[#This Row],[( S/S+T/B) AJD]]*1000)-((Table6[[#This Row],[(STORGE DIFF.) AJD]]*1000)+Table6[[#This Row],[AJD_Evaporation]]+(Table6[[#This Row],[(A/B + A/S) AJD]]*1000))</f>
        <v>0</v>
      </c>
      <c r="AE213" s="41"/>
      <c r="AF213" s="43"/>
      <c r="AG213" s="43"/>
      <c r="AH213" s="6">
        <f>Table6[[#This Row],[ (RESV. STORGE) BER]]/10</f>
        <v>0</v>
      </c>
      <c r="AI213" s="41"/>
      <c r="AJ213" s="43">
        <f>Table6[[#This Row],[(A/B) AJD]]-TABL12345[[#This Row],[BER_IN]]</f>
        <v>0</v>
      </c>
      <c r="AK213" s="43"/>
      <c r="AL213" s="43"/>
      <c r="AM213" s="32"/>
      <c r="AN213" s="32">
        <f>Table6[[#This Row],[ (RESV. STORGE) SER]]/10</f>
        <v>0</v>
      </c>
      <c r="AO213" s="68"/>
      <c r="AP213" s="103">
        <f>Table6[[#This Row],[(A/S) AJD]]-Table6[[#This Row],[SER_IN]]</f>
        <v>0</v>
      </c>
    </row>
    <row r="214" spans="1:42" ht="18.75" x14ac:dyDescent="0.25">
      <c r="A214" s="10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Table6[[#This Row],[ (T/B) SAR]]+Table6[[#This Row],[ (S/S) SAR]]</f>
        <v>0</v>
      </c>
      <c r="L214" s="41"/>
      <c r="M214" s="42"/>
      <c r="N214" s="42"/>
      <c r="O214" s="39"/>
      <c r="P214" s="3">
        <f>Table6[[#This Row],[ (S/S) SAR]]-Table6[[#This Row],[(S/S) AJD]]</f>
        <v>0</v>
      </c>
      <c r="Q214" s="39"/>
      <c r="R214" s="3">
        <f>Table6[[#This Row],[ (T/B) SAR]]-Table6[[#This Row],[(T/B) AJD]]</f>
        <v>0</v>
      </c>
      <c r="S214" s="3">
        <f>Table6[[#This Row],[S/S_CON.]]+Table6[[#This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Table6[[#This Row],[(RESV. STORGE) AJD]]/10</f>
        <v>0</v>
      </c>
      <c r="AB214" s="3">
        <f t="shared" si="15"/>
        <v>0</v>
      </c>
      <c r="AC214" s="5"/>
      <c r="AD214" s="39">
        <f>(Table6[[#This Row],[( S/S+T/B) AJD]]*1000)-((Table6[[#This Row],[(STORGE DIFF.) AJD]]*1000)+Table6[[#This Row],[AJD_Evaporation]]+(Table6[[#This Row],[(A/B + A/S) AJD]]*1000))</f>
        <v>0</v>
      </c>
      <c r="AE214" s="41"/>
      <c r="AF214" s="43"/>
      <c r="AG214" s="43"/>
      <c r="AH214" s="6">
        <f>Table6[[#This Row],[ (RESV. STORGE) BER]]/10</f>
        <v>0</v>
      </c>
      <c r="AI214" s="41"/>
      <c r="AJ214" s="43">
        <f>Table6[[#This Row],[(A/B) AJD]]-TABL12345[[#This Row],[BER_IN]]</f>
        <v>0</v>
      </c>
      <c r="AK214" s="43"/>
      <c r="AL214" s="43"/>
      <c r="AM214" s="32"/>
      <c r="AN214" s="32">
        <f>Table6[[#This Row],[ (RESV. STORGE) SER]]/10</f>
        <v>0</v>
      </c>
      <c r="AO214" s="68"/>
      <c r="AP214" s="103">
        <f>Table6[[#This Row],[(A/S) AJD]]-Table6[[#This Row],[SER_IN]]</f>
        <v>0</v>
      </c>
    </row>
    <row r="215" spans="1:42" ht="18.75" x14ac:dyDescent="0.25">
      <c r="A215" s="10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Table6[[#This Row],[ (T/B) SAR]]+Table6[[#This Row],[ (S/S) SAR]]</f>
        <v>0</v>
      </c>
      <c r="L215" s="45"/>
      <c r="M215" s="46"/>
      <c r="N215" s="46"/>
      <c r="O215" s="40"/>
      <c r="P215" s="3">
        <f>Table6[[#This Row],[ (S/S) SAR]]-Table6[[#This Row],[(S/S) AJD]]</f>
        <v>0</v>
      </c>
      <c r="Q215" s="40"/>
      <c r="R215" s="3">
        <f>Table6[[#This Row],[ (T/B) SAR]]-Table6[[#This Row],[(T/B) AJD]]</f>
        <v>0</v>
      </c>
      <c r="S215" s="3">
        <f>Table6[[#This Row],[S/S_CON.]]+Table6[[#This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Table6[[#This Row],[(RESV. STORGE) AJD]]/10</f>
        <v>0</v>
      </c>
      <c r="AB215" s="3">
        <f t="shared" si="15"/>
        <v>0</v>
      </c>
      <c r="AC215" s="5"/>
      <c r="AD215" s="40">
        <f>(Table6[[#This Row],[( S/S+T/B) AJD]]*1000)-((Table6[[#This Row],[(STORGE DIFF.) AJD]]*1000)+Table6[[#This Row],[AJD_Evaporation]]+(Table6[[#This Row],[(A/B + A/S) AJD]]*1000))</f>
        <v>0</v>
      </c>
      <c r="AE215" s="44"/>
      <c r="AF215" s="45"/>
      <c r="AG215" s="45"/>
      <c r="AH215" s="6">
        <f>Table6[[#This Row],[ (RESV. STORGE) BER]]/10</f>
        <v>0</v>
      </c>
      <c r="AI215" s="44"/>
      <c r="AJ215" s="45">
        <f>Table6[[#This Row],[(A/B) AJD]]-TABL12345[[#This Row],[BER_IN]]</f>
        <v>0</v>
      </c>
      <c r="AK215" s="45"/>
      <c r="AL215" s="45"/>
      <c r="AM215" s="32"/>
      <c r="AN215" s="32">
        <f>Table6[[#This Row],[ (RESV. STORGE) SER]]/10</f>
        <v>0</v>
      </c>
      <c r="AO215" s="68"/>
      <c r="AP215" s="103">
        <f>Table6[[#This Row],[(A/S) AJD]]-Table6[[#This Row],[SER_IN]]</f>
        <v>0</v>
      </c>
    </row>
    <row r="216" spans="1:42" ht="18.75" x14ac:dyDescent="0.25">
      <c r="A216" s="10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Table6[[#This Row],[ (T/B) SAR]]+Table6[[#This Row],[ (S/S) SAR]]</f>
        <v>0</v>
      </c>
      <c r="L216" s="41"/>
      <c r="M216" s="42"/>
      <c r="N216" s="42"/>
      <c r="O216" s="39"/>
      <c r="P216" s="3">
        <f>Table6[[#This Row],[ (S/S) SAR]]-Table6[[#This Row],[(S/S) AJD]]</f>
        <v>0</v>
      </c>
      <c r="Q216" s="39"/>
      <c r="R216" s="3">
        <f>Table6[[#This Row],[ (T/B) SAR]]-Table6[[#This Row],[(T/B) AJD]]</f>
        <v>0</v>
      </c>
      <c r="S216" s="3">
        <f>Table6[[#This Row],[S/S_CON.]]+Table6[[#This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Table6[[#This Row],[(RESV. STORGE) AJD]]/10</f>
        <v>0</v>
      </c>
      <c r="AB216" s="3">
        <f t="shared" si="15"/>
        <v>0</v>
      </c>
      <c r="AC216" s="5"/>
      <c r="AD216" s="39">
        <f>(Table6[[#This Row],[( S/S+T/B) AJD]]*1000)-((Table6[[#This Row],[(STORGE DIFF.) AJD]]*1000)+Table6[[#This Row],[AJD_Evaporation]]+(Table6[[#This Row],[(A/B + A/S) AJD]]*1000))</f>
        <v>0</v>
      </c>
      <c r="AE216" s="41"/>
      <c r="AF216" s="43"/>
      <c r="AG216" s="43"/>
      <c r="AH216" s="6">
        <f>Table6[[#This Row],[ (RESV. STORGE) BER]]/10</f>
        <v>0</v>
      </c>
      <c r="AI216" s="41"/>
      <c r="AJ216" s="43">
        <f>Table6[[#This Row],[(A/B) AJD]]-TABL12345[[#This Row],[BER_IN]]</f>
        <v>0</v>
      </c>
      <c r="AK216" s="43"/>
      <c r="AL216" s="43"/>
      <c r="AM216" s="32"/>
      <c r="AN216" s="32">
        <f>Table6[[#This Row],[ (RESV. STORGE) SER]]/10</f>
        <v>0</v>
      </c>
      <c r="AO216" s="68"/>
      <c r="AP216" s="103">
        <f>Table6[[#This Row],[(A/S) AJD]]-Table6[[#This Row],[SER_IN]]</f>
        <v>0</v>
      </c>
    </row>
    <row r="217" spans="1:42" ht="18.75" x14ac:dyDescent="0.25">
      <c r="A217" s="10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Table6[[#This Row],[ (T/B) SAR]]+Table6[[#This Row],[ (S/S) SAR]]</f>
        <v>0</v>
      </c>
      <c r="L217" s="45"/>
      <c r="M217" s="46"/>
      <c r="N217" s="46"/>
      <c r="O217" s="40"/>
      <c r="P217" s="3">
        <f>Table6[[#This Row],[ (S/S) SAR]]-Table6[[#This Row],[(S/S) AJD]]</f>
        <v>0</v>
      </c>
      <c r="Q217" s="40"/>
      <c r="R217" s="3">
        <f>Table6[[#This Row],[ (T/B) SAR]]-Table6[[#This Row],[(T/B) AJD]]</f>
        <v>0</v>
      </c>
      <c r="S217" s="3">
        <f>Table6[[#This Row],[S/S_CON.]]+Table6[[#This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Table6[[#This Row],[(RESV. STORGE) AJD]]/10</f>
        <v>0</v>
      </c>
      <c r="AB217" s="3">
        <f t="shared" si="15"/>
        <v>0</v>
      </c>
      <c r="AC217" s="5"/>
      <c r="AD217" s="40">
        <f>(Table6[[#This Row],[( S/S+T/B) AJD]]*1000)-((Table6[[#This Row],[(STORGE DIFF.) AJD]]*1000)+Table6[[#This Row],[AJD_Evaporation]]+(Table6[[#This Row],[(A/B + A/S) AJD]]*1000))</f>
        <v>0</v>
      </c>
      <c r="AE217" s="44"/>
      <c r="AF217" s="45"/>
      <c r="AG217" s="45"/>
      <c r="AH217" s="6">
        <f>Table6[[#This Row],[ (RESV. STORGE) BER]]/10</f>
        <v>0</v>
      </c>
      <c r="AI217" s="44"/>
      <c r="AJ217" s="45">
        <f>Table6[[#This Row],[(A/B) AJD]]-TABL12345[[#This Row],[BER_IN]]</f>
        <v>0</v>
      </c>
      <c r="AK217" s="45"/>
      <c r="AL217" s="45"/>
      <c r="AM217" s="32"/>
      <c r="AN217" s="32">
        <f>Table6[[#This Row],[ (RESV. STORGE) SER]]/10</f>
        <v>0</v>
      </c>
      <c r="AO217" s="68"/>
      <c r="AP217" s="103">
        <f>Table6[[#This Row],[(A/S) AJD]]-Table6[[#This Row],[SER_IN]]</f>
        <v>0</v>
      </c>
    </row>
    <row r="218" spans="1:42" ht="18.75" x14ac:dyDescent="0.25">
      <c r="A218" s="10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Table6[[#This Row],[ (T/B) SAR]]+Table6[[#This Row],[ (S/S) SAR]]</f>
        <v>0</v>
      </c>
      <c r="L218" s="41"/>
      <c r="M218" s="42"/>
      <c r="N218" s="42"/>
      <c r="O218" s="39"/>
      <c r="P218" s="3">
        <f>Table6[[#This Row],[ (S/S) SAR]]-Table6[[#This Row],[(S/S) AJD]]</f>
        <v>0</v>
      </c>
      <c r="Q218" s="39"/>
      <c r="R218" s="3">
        <f>Table6[[#This Row],[ (T/B) SAR]]-Table6[[#This Row],[(T/B) AJD]]</f>
        <v>0</v>
      </c>
      <c r="S218" s="3">
        <f>Table6[[#This Row],[S/S_CON.]]+Table6[[#This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Table6[[#This Row],[(RESV. STORGE) AJD]]/10</f>
        <v>0</v>
      </c>
      <c r="AB218" s="3">
        <f t="shared" si="15"/>
        <v>0</v>
      </c>
      <c r="AC218" s="5"/>
      <c r="AD218" s="39">
        <f>(Table6[[#This Row],[( S/S+T/B) AJD]]*1000)-((Table6[[#This Row],[(STORGE DIFF.) AJD]]*1000)+Table6[[#This Row],[AJD_Evaporation]]+(Table6[[#This Row],[(A/B + A/S) AJD]]*1000))</f>
        <v>0</v>
      </c>
      <c r="AE218" s="41"/>
      <c r="AF218" s="43"/>
      <c r="AG218" s="43"/>
      <c r="AH218" s="6">
        <f>Table6[[#This Row],[ (RESV. STORGE) BER]]/10</f>
        <v>0</v>
      </c>
      <c r="AI218" s="41"/>
      <c r="AJ218" s="43">
        <f>Table6[[#This Row],[(A/B) AJD]]-TABL12345[[#This Row],[BER_IN]]</f>
        <v>0</v>
      </c>
      <c r="AK218" s="43"/>
      <c r="AL218" s="43"/>
      <c r="AM218" s="32"/>
      <c r="AN218" s="32">
        <f>Table6[[#This Row],[ (RESV. STORGE) SER]]/10</f>
        <v>0</v>
      </c>
      <c r="AO218" s="68"/>
      <c r="AP218" s="103">
        <f>Table6[[#This Row],[(A/S) AJD]]-Table6[[#This Row],[SER_IN]]</f>
        <v>0</v>
      </c>
    </row>
    <row r="219" spans="1:42" ht="18.75" x14ac:dyDescent="0.25">
      <c r="A219" s="10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Table6[[#This Row],[ (T/B) SAR]]+Table6[[#This Row],[ (S/S) SAR]]</f>
        <v>0</v>
      </c>
      <c r="L219" s="45"/>
      <c r="M219" s="46"/>
      <c r="N219" s="46"/>
      <c r="O219" s="40"/>
      <c r="P219" s="3">
        <f>Table6[[#This Row],[ (S/S) SAR]]-Table6[[#This Row],[(S/S) AJD]]</f>
        <v>0</v>
      </c>
      <c r="Q219" s="40"/>
      <c r="R219" s="3">
        <f>Table6[[#This Row],[ (T/B) SAR]]-Table6[[#This Row],[(T/B) AJD]]</f>
        <v>0</v>
      </c>
      <c r="S219" s="3">
        <f>Table6[[#This Row],[S/S_CON.]]+Table6[[#This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Table6[[#This Row],[(RESV. STORGE) AJD]]/10</f>
        <v>0</v>
      </c>
      <c r="AB219" s="3">
        <f t="shared" si="15"/>
        <v>0</v>
      </c>
      <c r="AC219" s="5"/>
      <c r="AD219" s="40">
        <f>(Table6[[#This Row],[( S/S+T/B) AJD]]*1000)-((Table6[[#This Row],[(STORGE DIFF.) AJD]]*1000)+Table6[[#This Row],[AJD_Evaporation]]+(Table6[[#This Row],[(A/B + A/S) AJD]]*1000))</f>
        <v>0</v>
      </c>
      <c r="AE219" s="44"/>
      <c r="AF219" s="45"/>
      <c r="AG219" s="45"/>
      <c r="AH219" s="6">
        <f>Table6[[#This Row],[ (RESV. STORGE) BER]]/10</f>
        <v>0</v>
      </c>
      <c r="AI219" s="44"/>
      <c r="AJ219" s="45">
        <f>Table6[[#This Row],[(A/B) AJD]]-TABL12345[[#This Row],[BER_IN]]</f>
        <v>0</v>
      </c>
      <c r="AK219" s="45"/>
      <c r="AL219" s="45"/>
      <c r="AM219" s="32"/>
      <c r="AN219" s="32">
        <f>Table6[[#This Row],[ (RESV. STORGE) SER]]/10</f>
        <v>0</v>
      </c>
      <c r="AO219" s="68"/>
      <c r="AP219" s="103">
        <f>Table6[[#This Row],[(A/S) AJD]]-Table6[[#This Row],[SER_IN]]</f>
        <v>0</v>
      </c>
    </row>
    <row r="220" spans="1:42" ht="18.75" x14ac:dyDescent="0.25">
      <c r="A220" s="10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Table6[[#This Row],[ (T/B) SAR]]+Table6[[#This Row],[ (S/S) SAR]]</f>
        <v>0</v>
      </c>
      <c r="L220" s="41"/>
      <c r="M220" s="42"/>
      <c r="N220" s="42"/>
      <c r="O220" s="39"/>
      <c r="P220" s="3">
        <f>Table6[[#This Row],[ (S/S) SAR]]-Table6[[#This Row],[(S/S) AJD]]</f>
        <v>0</v>
      </c>
      <c r="Q220" s="39"/>
      <c r="R220" s="3">
        <f>Table6[[#This Row],[ (T/B) SAR]]-Table6[[#This Row],[(T/B) AJD]]</f>
        <v>0</v>
      </c>
      <c r="S220" s="3">
        <f>Table6[[#This Row],[S/S_CON.]]+Table6[[#This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Table6[[#This Row],[(RESV. STORGE) AJD]]/10</f>
        <v>0</v>
      </c>
      <c r="AB220" s="3">
        <f t="shared" si="15"/>
        <v>0</v>
      </c>
      <c r="AC220" s="5"/>
      <c r="AD220" s="39">
        <f>(Table6[[#This Row],[( S/S+T/B) AJD]]*1000)-((Table6[[#This Row],[(STORGE DIFF.) AJD]]*1000)+Table6[[#This Row],[AJD_Evaporation]]+(Table6[[#This Row],[(A/B + A/S) AJD]]*1000))</f>
        <v>0</v>
      </c>
      <c r="AE220" s="41"/>
      <c r="AF220" s="43"/>
      <c r="AG220" s="43"/>
      <c r="AH220" s="6">
        <f>Table6[[#This Row],[ (RESV. STORGE) BER]]/10</f>
        <v>0</v>
      </c>
      <c r="AI220" s="41"/>
      <c r="AJ220" s="43">
        <f>Table6[[#This Row],[(A/B) AJD]]-TABL12345[[#This Row],[BER_IN]]</f>
        <v>0</v>
      </c>
      <c r="AK220" s="43"/>
      <c r="AL220" s="43"/>
      <c r="AM220" s="32"/>
      <c r="AN220" s="32">
        <f>Table6[[#This Row],[ (RESV. STORGE) SER]]/10</f>
        <v>0</v>
      </c>
      <c r="AO220" s="68"/>
      <c r="AP220" s="103">
        <f>Table6[[#This Row],[(A/S) AJD]]-Table6[[#This Row],[SER_IN]]</f>
        <v>0</v>
      </c>
    </row>
    <row r="221" spans="1:42" ht="18.75" x14ac:dyDescent="0.25">
      <c r="A221" s="10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Table6[[#This Row],[ (T/B) SAR]]+Table6[[#This Row],[ (S/S) SAR]]</f>
        <v>0</v>
      </c>
      <c r="L221" s="45"/>
      <c r="M221" s="46"/>
      <c r="N221" s="46"/>
      <c r="O221" s="40"/>
      <c r="P221" s="3">
        <f>Table6[[#This Row],[ (S/S) SAR]]-Table6[[#This Row],[(S/S) AJD]]</f>
        <v>0</v>
      </c>
      <c r="Q221" s="40"/>
      <c r="R221" s="3">
        <f>Table6[[#This Row],[ (T/B) SAR]]-Table6[[#This Row],[(T/B) AJD]]</f>
        <v>0</v>
      </c>
      <c r="S221" s="3">
        <f>Table6[[#This Row],[S/S_CON.]]+Table6[[#This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Table6[[#This Row],[(RESV. STORGE) AJD]]/10</f>
        <v>0</v>
      </c>
      <c r="AB221" s="3">
        <f t="shared" si="15"/>
        <v>0</v>
      </c>
      <c r="AC221" s="5"/>
      <c r="AD221" s="40">
        <f>(Table6[[#This Row],[( S/S+T/B) AJD]]*1000)-((Table6[[#This Row],[(STORGE DIFF.) AJD]]*1000)+Table6[[#This Row],[AJD_Evaporation]]+(Table6[[#This Row],[(A/B + A/S) AJD]]*1000))</f>
        <v>0</v>
      </c>
      <c r="AE221" s="44"/>
      <c r="AF221" s="45"/>
      <c r="AG221" s="45"/>
      <c r="AH221" s="6">
        <f>Table6[[#This Row],[ (RESV. STORGE) BER]]/10</f>
        <v>0</v>
      </c>
      <c r="AI221" s="44"/>
      <c r="AJ221" s="45">
        <f>Table6[[#This Row],[(A/B) AJD]]-TABL12345[[#This Row],[BER_IN]]</f>
        <v>0</v>
      </c>
      <c r="AK221" s="45"/>
      <c r="AL221" s="45"/>
      <c r="AM221" s="32"/>
      <c r="AN221" s="32">
        <f>Table6[[#This Row],[ (RESV. STORGE) SER]]/10</f>
        <v>0</v>
      </c>
      <c r="AO221" s="68"/>
      <c r="AP221" s="103">
        <f>Table6[[#This Row],[(A/S) AJD]]-Table6[[#This Row],[SER_IN]]</f>
        <v>0</v>
      </c>
    </row>
    <row r="222" spans="1:42" ht="18.75" x14ac:dyDescent="0.25">
      <c r="A222" s="10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Table6[[#This Row],[ (T/B) SAR]]+Table6[[#This Row],[ (S/S) SAR]]</f>
        <v>0</v>
      </c>
      <c r="L222" s="41"/>
      <c r="M222" s="42"/>
      <c r="N222" s="42"/>
      <c r="O222" s="39"/>
      <c r="P222" s="3">
        <f>Table6[[#This Row],[ (S/S) SAR]]-Table6[[#This Row],[(S/S) AJD]]</f>
        <v>0</v>
      </c>
      <c r="Q222" s="39"/>
      <c r="R222" s="3">
        <f>Table6[[#This Row],[ (T/B) SAR]]-Table6[[#This Row],[(T/B) AJD]]</f>
        <v>0</v>
      </c>
      <c r="S222" s="3">
        <f>Table6[[#This Row],[S/S_CON.]]+Table6[[#This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Table6[[#This Row],[(RESV. STORGE) AJD]]/10</f>
        <v>0</v>
      </c>
      <c r="AB222" s="3">
        <f t="shared" si="15"/>
        <v>0</v>
      </c>
      <c r="AC222" s="5"/>
      <c r="AD222" s="39">
        <f>(Table6[[#This Row],[( S/S+T/B) AJD]]*1000)-((Table6[[#This Row],[(STORGE DIFF.) AJD]]*1000)+Table6[[#This Row],[AJD_Evaporation]]+(Table6[[#This Row],[(A/B + A/S) AJD]]*1000))</f>
        <v>0</v>
      </c>
      <c r="AE222" s="41"/>
      <c r="AF222" s="43"/>
      <c r="AG222" s="43"/>
      <c r="AH222" s="6">
        <f>Table6[[#This Row],[ (RESV. STORGE) BER]]/10</f>
        <v>0</v>
      </c>
      <c r="AI222" s="41"/>
      <c r="AJ222" s="43">
        <f>Table6[[#This Row],[(A/B) AJD]]-TABL12345[[#This Row],[BER_IN]]</f>
        <v>0</v>
      </c>
      <c r="AK222" s="43"/>
      <c r="AL222" s="43"/>
      <c r="AM222" s="32"/>
      <c r="AN222" s="32">
        <f>Table6[[#This Row],[ (RESV. STORGE) SER]]/10</f>
        <v>0</v>
      </c>
      <c r="AO222" s="68"/>
      <c r="AP222" s="103">
        <f>Table6[[#This Row],[(A/S) AJD]]-Table6[[#This Row],[SER_IN]]</f>
        <v>0</v>
      </c>
    </row>
    <row r="223" spans="1:42" ht="18.75" x14ac:dyDescent="0.25">
      <c r="A223" s="10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Table6[[#This Row],[ (T/B) SAR]]+Table6[[#This Row],[ (S/S) SAR]]</f>
        <v>0</v>
      </c>
      <c r="L223" s="45"/>
      <c r="M223" s="46"/>
      <c r="N223" s="46"/>
      <c r="O223" s="40"/>
      <c r="P223" s="3">
        <f>Table6[[#This Row],[ (S/S) SAR]]-Table6[[#This Row],[(S/S) AJD]]</f>
        <v>0</v>
      </c>
      <c r="Q223" s="40"/>
      <c r="R223" s="3">
        <f>Table6[[#This Row],[ (T/B) SAR]]-Table6[[#This Row],[(T/B) AJD]]</f>
        <v>0</v>
      </c>
      <c r="S223" s="3">
        <f>Table6[[#This Row],[S/S_CON.]]+Table6[[#This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Table6[[#This Row],[(RESV. STORGE) AJD]]/10</f>
        <v>0</v>
      </c>
      <c r="AB223" s="3">
        <f t="shared" si="15"/>
        <v>0</v>
      </c>
      <c r="AC223" s="5"/>
      <c r="AD223" s="40">
        <f>(Table6[[#This Row],[( S/S+T/B) AJD]]*1000)-((Table6[[#This Row],[(STORGE DIFF.) AJD]]*1000)+Table6[[#This Row],[AJD_Evaporation]]+(Table6[[#This Row],[(A/B + A/S) AJD]]*1000))</f>
        <v>0</v>
      </c>
      <c r="AE223" s="44"/>
      <c r="AF223" s="45"/>
      <c r="AG223" s="45"/>
      <c r="AH223" s="6">
        <f>Table6[[#This Row],[ (RESV. STORGE) BER]]/10</f>
        <v>0</v>
      </c>
      <c r="AI223" s="44"/>
      <c r="AJ223" s="45">
        <f>Table6[[#This Row],[(A/B) AJD]]-TABL12345[[#This Row],[BER_IN]]</f>
        <v>0</v>
      </c>
      <c r="AK223" s="45"/>
      <c r="AL223" s="45"/>
      <c r="AM223" s="32"/>
      <c r="AN223" s="32">
        <f>Table6[[#This Row],[ (RESV. STORGE) SER]]/10</f>
        <v>0</v>
      </c>
      <c r="AO223" s="68"/>
      <c r="AP223" s="103">
        <f>Table6[[#This Row],[(A/S) AJD]]-Table6[[#This Row],[SER_IN]]</f>
        <v>0</v>
      </c>
    </row>
    <row r="224" spans="1:42" ht="18.75" x14ac:dyDescent="0.25">
      <c r="A224" s="10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Table6[[#This Row],[ (T/B) SAR]]+Table6[[#This Row],[ (S/S) SAR]]</f>
        <v>0</v>
      </c>
      <c r="L224" s="41"/>
      <c r="M224" s="42"/>
      <c r="N224" s="42"/>
      <c r="O224" s="39"/>
      <c r="P224" s="3">
        <f>Table6[[#This Row],[ (S/S) SAR]]-Table6[[#This Row],[(S/S) AJD]]</f>
        <v>0</v>
      </c>
      <c r="Q224" s="39"/>
      <c r="R224" s="3">
        <f>Table6[[#This Row],[ (T/B) SAR]]-Table6[[#This Row],[(T/B) AJD]]</f>
        <v>0</v>
      </c>
      <c r="S224" s="3">
        <f>Table6[[#This Row],[S/S_CON.]]+Table6[[#This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Table6[[#This Row],[(RESV. STORGE) AJD]]/10</f>
        <v>0</v>
      </c>
      <c r="AB224" s="3">
        <f t="shared" si="15"/>
        <v>0</v>
      </c>
      <c r="AC224" s="5"/>
      <c r="AD224" s="39">
        <f>(Table6[[#This Row],[( S/S+T/B) AJD]]*1000)-((Table6[[#This Row],[(STORGE DIFF.) AJD]]*1000)+Table6[[#This Row],[AJD_Evaporation]]+(Table6[[#This Row],[(A/B + A/S) AJD]]*1000))</f>
        <v>0</v>
      </c>
      <c r="AE224" s="41"/>
      <c r="AF224" s="43"/>
      <c r="AG224" s="68"/>
      <c r="AH224" s="6">
        <f>Table6[[#This Row],[ (RESV. STORGE) BER]]/10</f>
        <v>0</v>
      </c>
      <c r="AI224" s="41"/>
      <c r="AJ224" s="68">
        <f>Table6[[#This Row],[(A/B) AJD]]-TABL12345[[#This Row],[BER_IN]]</f>
        <v>0</v>
      </c>
      <c r="AK224" s="43"/>
      <c r="AL224" s="43"/>
      <c r="AM224" s="32"/>
      <c r="AN224" s="32">
        <f>Table6[[#This Row],[ (RESV. STORGE) SER]]/10</f>
        <v>0</v>
      </c>
      <c r="AO224" s="68"/>
      <c r="AP224" s="103">
        <f>Table6[[#This Row],[(A/S) AJD]]-Table6[[#This Row],[SER_IN]]</f>
        <v>0</v>
      </c>
    </row>
    <row r="225" spans="1:42" ht="18.75" x14ac:dyDescent="0.25">
      <c r="A225" s="10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Table6[[#This Row],[ (T/B) SAR]]+Table6[[#This Row],[ (S/S) SAR]]</f>
        <v>0</v>
      </c>
      <c r="L225" s="45"/>
      <c r="M225" s="46"/>
      <c r="N225" s="46"/>
      <c r="O225" s="40"/>
      <c r="P225" s="3">
        <f>Table6[[#This Row],[ (S/S) SAR]]-Table6[[#This Row],[(S/S) AJD]]</f>
        <v>0</v>
      </c>
      <c r="Q225" s="40"/>
      <c r="R225" s="3">
        <f>Table6[[#This Row],[ (T/B) SAR]]-Table6[[#This Row],[(T/B) AJD]]</f>
        <v>0</v>
      </c>
      <c r="S225" s="3">
        <f>Table6[[#This Row],[S/S_CON.]]+Table6[[#This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Table6[[#This Row],[(RESV. STORGE) AJD]]/10</f>
        <v>0</v>
      </c>
      <c r="AB225" s="3">
        <f t="shared" si="15"/>
        <v>0</v>
      </c>
      <c r="AC225" s="5"/>
      <c r="AD225" s="40">
        <f>(Table6[[#This Row],[( S/S+T/B) AJD]]*1000)-((Table6[[#This Row],[(STORGE DIFF.) AJD]]*1000)+Table6[[#This Row],[AJD_Evaporation]]+(Table6[[#This Row],[(A/B + A/S) AJD]]*1000))</f>
        <v>0</v>
      </c>
      <c r="AE225" s="44"/>
      <c r="AF225" s="45"/>
      <c r="AG225" s="45"/>
      <c r="AH225" s="6">
        <f>Table6[[#This Row],[ (RESV. STORGE) BER]]/10</f>
        <v>0</v>
      </c>
      <c r="AI225" s="44"/>
      <c r="AJ225" s="45">
        <f>Table6[[#This Row],[(A/B) AJD]]-TABL12345[[#This Row],[BER_IN]]</f>
        <v>0</v>
      </c>
      <c r="AK225" s="45"/>
      <c r="AL225" s="45"/>
      <c r="AM225" s="32"/>
      <c r="AN225" s="32">
        <f>Table6[[#This Row],[ (RESV. STORGE) SER]]/10</f>
        <v>0</v>
      </c>
      <c r="AO225" s="68"/>
      <c r="AP225" s="103">
        <f>Table6[[#This Row],[(A/S) AJD]]-Table6[[#This Row],[SER_IN]]</f>
        <v>0</v>
      </c>
    </row>
    <row r="226" spans="1:42" ht="18.75" x14ac:dyDescent="0.25">
      <c r="A226" s="10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Table6[[#This Row],[ (T/B) SAR]]+Table6[[#This Row],[ (S/S) SAR]]</f>
        <v>0</v>
      </c>
      <c r="L226" s="41"/>
      <c r="M226" s="42"/>
      <c r="N226" s="42"/>
      <c r="O226" s="39"/>
      <c r="P226" s="3">
        <f>Table6[[#This Row],[ (S/S) SAR]]-Table6[[#This Row],[(S/S) AJD]]</f>
        <v>0</v>
      </c>
      <c r="Q226" s="39"/>
      <c r="R226" s="3">
        <f>Table6[[#This Row],[ (T/B) SAR]]-Table6[[#This Row],[(T/B) AJD]]</f>
        <v>0</v>
      </c>
      <c r="S226" s="3">
        <f>Table6[[#This Row],[S/S_CON.]]+Table6[[#This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Table6[[#This Row],[(RESV. STORGE) AJD]]/10</f>
        <v>0</v>
      </c>
      <c r="AB226" s="3">
        <f t="shared" si="15"/>
        <v>0</v>
      </c>
      <c r="AC226" s="5"/>
      <c r="AD226" s="39">
        <f>(Table6[[#This Row],[( S/S+T/B) AJD]]*1000)-((Table6[[#This Row],[(STORGE DIFF.) AJD]]*1000)+Table6[[#This Row],[AJD_Evaporation]]+(Table6[[#This Row],[(A/B + A/S) AJD]]*1000))</f>
        <v>0</v>
      </c>
      <c r="AE226" s="41"/>
      <c r="AF226" s="43"/>
      <c r="AG226" s="43"/>
      <c r="AH226" s="6">
        <f>Table6[[#This Row],[ (RESV. STORGE) BER]]/10</f>
        <v>0</v>
      </c>
      <c r="AI226" s="41"/>
      <c r="AJ226" s="43">
        <f>Table6[[#This Row],[(A/B) AJD]]-TABL12345[[#This Row],[BER_IN]]</f>
        <v>0</v>
      </c>
      <c r="AK226" s="43"/>
      <c r="AL226" s="43"/>
      <c r="AM226" s="32"/>
      <c r="AN226" s="32">
        <f>Table6[[#This Row],[ (RESV. STORGE) SER]]/10</f>
        <v>0</v>
      </c>
      <c r="AO226" s="68"/>
      <c r="AP226" s="103">
        <f>Table6[[#This Row],[(A/S) AJD]]-Table6[[#This Row],[SER_IN]]</f>
        <v>0</v>
      </c>
    </row>
    <row r="227" spans="1:42" ht="18.75" x14ac:dyDescent="0.25">
      <c r="A227" s="10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Table6[[#This Row],[ (T/B) SAR]]+Table6[[#This Row],[ (S/S) SAR]]</f>
        <v>0</v>
      </c>
      <c r="L227" s="45"/>
      <c r="M227" s="46"/>
      <c r="N227" s="46"/>
      <c r="O227" s="40"/>
      <c r="P227" s="3">
        <f>Table6[[#This Row],[ (S/S) SAR]]-Table6[[#This Row],[(S/S) AJD]]</f>
        <v>0</v>
      </c>
      <c r="Q227" s="40"/>
      <c r="R227" s="3">
        <f>Table6[[#This Row],[ (T/B) SAR]]-Table6[[#This Row],[(T/B) AJD]]</f>
        <v>0</v>
      </c>
      <c r="S227" s="3">
        <f>Table6[[#This Row],[S/S_CON.]]+Table6[[#This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Table6[[#This Row],[(RESV. STORGE) AJD]]/10</f>
        <v>0</v>
      </c>
      <c r="AB227" s="3">
        <f t="shared" si="15"/>
        <v>0</v>
      </c>
      <c r="AC227" s="5"/>
      <c r="AD227" s="40">
        <f>(Table6[[#This Row],[( S/S+T/B) AJD]]*1000)-((Table6[[#This Row],[(STORGE DIFF.) AJD]]*1000)+Table6[[#This Row],[AJD_Evaporation]]+(Table6[[#This Row],[(A/B + A/S) AJD]]*1000))</f>
        <v>0</v>
      </c>
      <c r="AE227" s="44"/>
      <c r="AF227" s="45"/>
      <c r="AG227" s="45"/>
      <c r="AH227" s="6">
        <f>Table6[[#This Row],[ (RESV. STORGE) BER]]/10</f>
        <v>0</v>
      </c>
      <c r="AI227" s="44"/>
      <c r="AJ227" s="45">
        <f>Table6[[#This Row],[(A/B) AJD]]-TABL12345[[#This Row],[BER_IN]]</f>
        <v>0</v>
      </c>
      <c r="AK227" s="45"/>
      <c r="AL227" s="45"/>
      <c r="AM227" s="32"/>
      <c r="AN227" s="32">
        <f>Table6[[#This Row],[ (RESV. STORGE) SER]]/10</f>
        <v>0</v>
      </c>
      <c r="AO227" s="68"/>
      <c r="AP227" s="103">
        <f>Table6[[#This Row],[(A/S) AJD]]-Table6[[#This Row],[SER_IN]]</f>
        <v>0</v>
      </c>
    </row>
    <row r="228" spans="1:42" ht="18.75" x14ac:dyDescent="0.25">
      <c r="A228" s="10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Table6[[#This Row],[ (T/B) SAR]]+Table6[[#This Row],[ (S/S) SAR]]</f>
        <v>0</v>
      </c>
      <c r="L228" s="41"/>
      <c r="M228" s="42"/>
      <c r="N228" s="42"/>
      <c r="O228" s="39"/>
      <c r="P228" s="3">
        <f>Table6[[#This Row],[ (S/S) SAR]]-Table6[[#This Row],[(S/S) AJD]]</f>
        <v>0</v>
      </c>
      <c r="Q228" s="39"/>
      <c r="R228" s="3">
        <f>Table6[[#This Row],[ (T/B) SAR]]-Table6[[#This Row],[(T/B) AJD]]</f>
        <v>0</v>
      </c>
      <c r="S228" s="3">
        <f>Table6[[#This Row],[S/S_CON.]]+Table6[[#This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Table6[[#This Row],[(RESV. STORGE) AJD]]/10</f>
        <v>0</v>
      </c>
      <c r="AB228" s="3">
        <f t="shared" si="15"/>
        <v>0</v>
      </c>
      <c r="AC228" s="5"/>
      <c r="AD228" s="39">
        <f>(Table6[[#This Row],[( S/S+T/B) AJD]]*1000)-((Table6[[#This Row],[(STORGE DIFF.) AJD]]*1000)+Table6[[#This Row],[AJD_Evaporation]]+(Table6[[#This Row],[(A/B + A/S) AJD]]*1000))</f>
        <v>0</v>
      </c>
      <c r="AE228" s="41"/>
      <c r="AF228" s="43"/>
      <c r="AG228" s="43"/>
      <c r="AH228" s="6">
        <f>Table6[[#This Row],[ (RESV. STORGE) BER]]/10</f>
        <v>0</v>
      </c>
      <c r="AI228" s="41"/>
      <c r="AJ228" s="43">
        <f>Table6[[#This Row],[(A/B) AJD]]-TABL12345[[#This Row],[BER_IN]]</f>
        <v>0</v>
      </c>
      <c r="AK228" s="43"/>
      <c r="AL228" s="43"/>
      <c r="AM228" s="32"/>
      <c r="AN228" s="32">
        <f>Table6[[#This Row],[ (RESV. STORGE) SER]]/10</f>
        <v>0</v>
      </c>
      <c r="AO228" s="68"/>
      <c r="AP228" s="103">
        <f>Table6[[#This Row],[(A/S) AJD]]-Table6[[#This Row],[SER_IN]]</f>
        <v>0</v>
      </c>
    </row>
    <row r="229" spans="1:42" ht="18.75" x14ac:dyDescent="0.25">
      <c r="A229" s="10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Table6[[#This Row],[ (T/B) SAR]]+Table6[[#This Row],[ (S/S) SAR]]</f>
        <v>0</v>
      </c>
      <c r="L229" s="45"/>
      <c r="M229" s="46"/>
      <c r="N229" s="46"/>
      <c r="O229" s="40"/>
      <c r="P229" s="3">
        <f>Table6[[#This Row],[ (S/S) SAR]]-Table6[[#This Row],[(S/S) AJD]]</f>
        <v>0</v>
      </c>
      <c r="Q229" s="40"/>
      <c r="R229" s="3">
        <f>Table6[[#This Row],[ (T/B) SAR]]-Table6[[#This Row],[(T/B) AJD]]</f>
        <v>0</v>
      </c>
      <c r="S229" s="3">
        <f>Table6[[#This Row],[S/S_CON.]]+Table6[[#This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Table6[[#This Row],[(RESV. STORGE) AJD]]/10</f>
        <v>0</v>
      </c>
      <c r="AB229" s="3">
        <f t="shared" si="15"/>
        <v>0</v>
      </c>
      <c r="AC229" s="5"/>
      <c r="AD229" s="40">
        <f>(Table6[[#This Row],[( S/S+T/B) AJD]]*1000)-((Table6[[#This Row],[(STORGE DIFF.) AJD]]*1000)+Table6[[#This Row],[AJD_Evaporation]]+(Table6[[#This Row],[(A/B + A/S) AJD]]*1000))</f>
        <v>0</v>
      </c>
      <c r="AE229" s="44"/>
      <c r="AF229" s="45"/>
      <c r="AG229" s="45"/>
      <c r="AH229" s="6">
        <f>Table6[[#This Row],[ (RESV. STORGE) BER]]/10</f>
        <v>0</v>
      </c>
      <c r="AI229" s="44"/>
      <c r="AJ229" s="45">
        <f>Table6[[#This Row],[(A/B) AJD]]-TABL12345[[#This Row],[BER_IN]]</f>
        <v>0</v>
      </c>
      <c r="AK229" s="45"/>
      <c r="AL229" s="45"/>
      <c r="AM229" s="32"/>
      <c r="AN229" s="32">
        <f>Table6[[#This Row],[ (RESV. STORGE) SER]]/10</f>
        <v>0</v>
      </c>
      <c r="AO229" s="68"/>
      <c r="AP229" s="103">
        <f>Table6[[#This Row],[(A/S) AJD]]-Table6[[#This Row],[SER_IN]]</f>
        <v>0</v>
      </c>
    </row>
    <row r="230" spans="1:42" ht="18.75" x14ac:dyDescent="0.25">
      <c r="A230" s="10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Table6[[#This Row],[ (T/B) SAR]]+Table6[[#This Row],[ (S/S) SAR]]</f>
        <v>0</v>
      </c>
      <c r="L230" s="41"/>
      <c r="M230" s="42"/>
      <c r="N230" s="42"/>
      <c r="O230" s="39"/>
      <c r="P230" s="3">
        <f>Table6[[#This Row],[ (S/S) SAR]]-Table6[[#This Row],[(S/S) AJD]]</f>
        <v>0</v>
      </c>
      <c r="Q230" s="39"/>
      <c r="R230" s="3">
        <f>Table6[[#This Row],[ (T/B) SAR]]-Table6[[#This Row],[(T/B) AJD]]</f>
        <v>0</v>
      </c>
      <c r="S230" s="3">
        <f>Table6[[#This Row],[S/S_CON.]]+Table6[[#This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Table6[[#This Row],[(RESV. STORGE) AJD]]/10</f>
        <v>0</v>
      </c>
      <c r="AB230" s="3">
        <f t="shared" si="15"/>
        <v>0</v>
      </c>
      <c r="AC230" s="5"/>
      <c r="AD230" s="39">
        <f>(Table6[[#This Row],[( S/S+T/B) AJD]]*1000)-((Table6[[#This Row],[(STORGE DIFF.) AJD]]*1000)+Table6[[#This Row],[AJD_Evaporation]]+(Table6[[#This Row],[(A/B + A/S) AJD]]*1000))</f>
        <v>0</v>
      </c>
      <c r="AE230" s="41"/>
      <c r="AF230" s="43"/>
      <c r="AG230" s="43"/>
      <c r="AH230" s="6">
        <f>Table6[[#This Row],[ (RESV. STORGE) BER]]/10</f>
        <v>0</v>
      </c>
      <c r="AI230" s="41"/>
      <c r="AJ230" s="43">
        <f>Table6[[#This Row],[(A/B) AJD]]-TABL12345[[#This Row],[BER_IN]]</f>
        <v>0</v>
      </c>
      <c r="AK230" s="43"/>
      <c r="AL230" s="43"/>
      <c r="AM230" s="32"/>
      <c r="AN230" s="32">
        <f>Table6[[#This Row],[ (RESV. STORGE) SER]]/10</f>
        <v>0</v>
      </c>
      <c r="AO230" s="68"/>
      <c r="AP230" s="103">
        <f>Table6[[#This Row],[(A/S) AJD]]-Table6[[#This Row],[SER_IN]]</f>
        <v>0</v>
      </c>
    </row>
    <row r="231" spans="1:42" ht="18.75" x14ac:dyDescent="0.25">
      <c r="A231" s="10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Table6[[#This Row],[ (T/B) SAR]]+Table6[[#This Row],[ (S/S) SAR]]</f>
        <v>0</v>
      </c>
      <c r="L231" s="45"/>
      <c r="M231" s="46"/>
      <c r="N231" s="46"/>
      <c r="O231" s="40"/>
      <c r="P231" s="3">
        <f>Table6[[#This Row],[ (S/S) SAR]]-Table6[[#This Row],[(S/S) AJD]]</f>
        <v>0</v>
      </c>
      <c r="Q231" s="40"/>
      <c r="R231" s="3">
        <f>Table6[[#This Row],[ (T/B) SAR]]-Table6[[#This Row],[(T/B) AJD]]</f>
        <v>0</v>
      </c>
      <c r="S231" s="3">
        <f>Table6[[#This Row],[S/S_CON.]]+Table6[[#This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Table6[[#This Row],[(RESV. STORGE) AJD]]/10</f>
        <v>0</v>
      </c>
      <c r="AB231" s="3">
        <f t="shared" si="15"/>
        <v>0</v>
      </c>
      <c r="AC231" s="5"/>
      <c r="AD231" s="40">
        <f>(Table6[[#This Row],[( S/S+T/B) AJD]]*1000)-((Table6[[#This Row],[(STORGE DIFF.) AJD]]*1000)+Table6[[#This Row],[AJD_Evaporation]]+(Table6[[#This Row],[(A/B + A/S) AJD]]*1000))</f>
        <v>0</v>
      </c>
      <c r="AE231" s="44"/>
      <c r="AF231" s="45"/>
      <c r="AG231" s="45"/>
      <c r="AH231" s="6">
        <f>Table6[[#This Row],[ (RESV. STORGE) BER]]/10</f>
        <v>0</v>
      </c>
      <c r="AI231" s="44"/>
      <c r="AJ231" s="45">
        <f>Table6[[#This Row],[(A/B) AJD]]-TABL12345[[#This Row],[BER_IN]]</f>
        <v>0</v>
      </c>
      <c r="AK231" s="45"/>
      <c r="AL231" s="45"/>
      <c r="AM231" s="32"/>
      <c r="AN231" s="32">
        <f>Table6[[#This Row],[ (RESV. STORGE) SER]]/10</f>
        <v>0</v>
      </c>
      <c r="AO231" s="68"/>
      <c r="AP231" s="103">
        <f>Table6[[#This Row],[(A/S) AJD]]-Table6[[#This Row],[SER_IN]]</f>
        <v>0</v>
      </c>
    </row>
    <row r="232" spans="1:42" ht="18.75" x14ac:dyDescent="0.25">
      <c r="A232" s="102">
        <v>47714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Table6[[#This Row],[ (T/B) SAR]]+Table6[[#This Row],[ (S/S) SAR]]</f>
        <v>0</v>
      </c>
      <c r="L232" s="41"/>
      <c r="M232" s="42"/>
      <c r="N232" s="42"/>
      <c r="O232" s="39"/>
      <c r="P232" s="3">
        <f>Table6[[#This Row],[ (S/S) SAR]]-Table6[[#This Row],[(S/S) AJD]]</f>
        <v>0</v>
      </c>
      <c r="Q232" s="39"/>
      <c r="R232" s="3">
        <f>Table6[[#This Row],[ (T/B) SAR]]-Table6[[#This Row],[(T/B) AJD]]</f>
        <v>0</v>
      </c>
      <c r="S232" s="3">
        <f>Table6[[#This Row],[S/S_CON.]]+Table6[[#This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Table6[[#This Row],[(RESV. STORGE) AJD]]/10</f>
        <v>0</v>
      </c>
      <c r="AB232" s="3">
        <f t="shared" si="15"/>
        <v>0</v>
      </c>
      <c r="AC232" s="5"/>
      <c r="AD232" s="39">
        <f>(Table6[[#This Row],[( S/S+T/B) AJD]]*1000)-((Table6[[#This Row],[(STORGE DIFF.) AJD]]*1000)+Table6[[#This Row],[AJD_Evaporation]]+(Table6[[#This Row],[(A/B + A/S) AJD]]*1000))</f>
        <v>0</v>
      </c>
      <c r="AE232" s="41"/>
      <c r="AF232" s="43"/>
      <c r="AG232" s="43"/>
      <c r="AH232" s="6">
        <f>Table6[[#This Row],[ (RESV. STORGE) BER]]/10</f>
        <v>0</v>
      </c>
      <c r="AI232" s="41"/>
      <c r="AJ232" s="43">
        <f>Table6[[#This Row],[(A/B) AJD]]-TABL12345[[#This Row],[BER_IN]]</f>
        <v>0</v>
      </c>
      <c r="AK232" s="43"/>
      <c r="AL232" s="43"/>
      <c r="AM232" s="32"/>
      <c r="AN232" s="32">
        <f>Table6[[#This Row],[ (RESV. STORGE) SER]]/10</f>
        <v>0</v>
      </c>
      <c r="AO232" s="68"/>
      <c r="AP232" s="103">
        <f>Table6[[#This Row],[(A/S) AJD]]-Table6[[#This Row],[SER_IN]]</f>
        <v>0</v>
      </c>
    </row>
    <row r="233" spans="1:42" ht="18.75" x14ac:dyDescent="0.25">
      <c r="A233" s="10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Table6[[#This Row],[ (T/B) SAR]]+Table6[[#This Row],[ (S/S) SAR]]</f>
        <v>0</v>
      </c>
      <c r="L233" s="45"/>
      <c r="M233" s="46"/>
      <c r="N233" s="46"/>
      <c r="O233" s="40"/>
      <c r="P233" s="3">
        <f>Table6[[#This Row],[ (S/S) SAR]]-Table6[[#This Row],[(S/S) AJD]]</f>
        <v>0</v>
      </c>
      <c r="Q233" s="40"/>
      <c r="R233" s="3">
        <f>Table6[[#This Row],[ (T/B) SAR]]-Table6[[#This Row],[(T/B) AJD]]</f>
        <v>0</v>
      </c>
      <c r="S233" s="3">
        <f>Table6[[#This Row],[S/S_CON.]]+Table6[[#This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Table6[[#This Row],[(RESV. STORGE) AJD]]/10</f>
        <v>0</v>
      </c>
      <c r="AB233" s="3">
        <f t="shared" si="15"/>
        <v>0</v>
      </c>
      <c r="AC233" s="5"/>
      <c r="AD233" s="40">
        <f>(Table6[[#This Row],[( S/S+T/B) AJD]]*1000)-((Table6[[#This Row],[(STORGE DIFF.) AJD]]*1000)+Table6[[#This Row],[AJD_Evaporation]]+(Table6[[#This Row],[(A/B + A/S) AJD]]*1000))</f>
        <v>0</v>
      </c>
      <c r="AE233" s="44"/>
      <c r="AF233" s="45"/>
      <c r="AG233" s="45"/>
      <c r="AH233" s="6">
        <f>Table6[[#This Row],[ (RESV. STORGE) BER]]/10</f>
        <v>0</v>
      </c>
      <c r="AI233" s="44"/>
      <c r="AJ233" s="45">
        <f>Table6[[#This Row],[(A/B) AJD]]-TABL12345[[#This Row],[BER_IN]]</f>
        <v>0</v>
      </c>
      <c r="AK233" s="45"/>
      <c r="AL233" s="45"/>
      <c r="AM233" s="32"/>
      <c r="AN233" s="32">
        <f>Table6[[#This Row],[ (RESV. STORGE) SER]]/10</f>
        <v>0</v>
      </c>
      <c r="AO233" s="68"/>
      <c r="AP233" s="103">
        <f>Table6[[#This Row],[(A/S) AJD]]-Table6[[#This Row],[SER_IN]]</f>
        <v>0</v>
      </c>
    </row>
    <row r="234" spans="1:42" ht="18.75" x14ac:dyDescent="0.25">
      <c r="A234" s="10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Table6[[#This Row],[ (T/B) SAR]]+Table6[[#This Row],[ (S/S) SAR]]</f>
        <v>0</v>
      </c>
      <c r="L234" s="41"/>
      <c r="M234" s="42"/>
      <c r="N234" s="42"/>
      <c r="O234" s="39"/>
      <c r="P234" s="3">
        <f>Table6[[#This Row],[ (S/S) SAR]]-Table6[[#This Row],[(S/S) AJD]]</f>
        <v>0</v>
      </c>
      <c r="Q234" s="39"/>
      <c r="R234" s="3">
        <f>Table6[[#This Row],[ (T/B) SAR]]-Table6[[#This Row],[(T/B) AJD]]</f>
        <v>0</v>
      </c>
      <c r="S234" s="3">
        <f>Table6[[#This Row],[S/S_CON.]]+Table6[[#This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Table6[[#This Row],[(RESV. STORGE) AJD]]/10</f>
        <v>0</v>
      </c>
      <c r="AB234" s="3">
        <f t="shared" si="15"/>
        <v>0</v>
      </c>
      <c r="AC234" s="5"/>
      <c r="AD234" s="39">
        <f>(Table6[[#This Row],[( S/S+T/B) AJD]]*1000)-((Table6[[#This Row],[(STORGE DIFF.) AJD]]*1000)+Table6[[#This Row],[AJD_Evaporation]]+(Table6[[#This Row],[(A/B + A/S) AJD]]*1000))</f>
        <v>0</v>
      </c>
      <c r="AE234" s="41"/>
      <c r="AF234" s="43"/>
      <c r="AG234" s="43"/>
      <c r="AH234" s="6">
        <f>Table6[[#This Row],[ (RESV. STORGE) BER]]/10</f>
        <v>0</v>
      </c>
      <c r="AI234" s="41"/>
      <c r="AJ234" s="43">
        <f>Table6[[#This Row],[(A/B) AJD]]-TABL12345[[#This Row],[BER_IN]]</f>
        <v>0</v>
      </c>
      <c r="AK234" s="43"/>
      <c r="AL234" s="43"/>
      <c r="AM234" s="32"/>
      <c r="AN234" s="32">
        <f>Table6[[#This Row],[ (RESV. STORGE) SER]]/10</f>
        <v>0</v>
      </c>
      <c r="AO234" s="68"/>
      <c r="AP234" s="103">
        <f>Table6[[#This Row],[(A/S) AJD]]-Table6[[#This Row],[SER_IN]]</f>
        <v>0</v>
      </c>
    </row>
    <row r="235" spans="1:42" ht="18.75" x14ac:dyDescent="0.25">
      <c r="A235" s="10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Table6[[#This Row],[ (T/B) SAR]]+Table6[[#This Row],[ (S/S) SAR]]</f>
        <v>0</v>
      </c>
      <c r="L235" s="45"/>
      <c r="M235" s="46"/>
      <c r="N235" s="46"/>
      <c r="O235" s="40"/>
      <c r="P235" s="3">
        <f>Table6[[#This Row],[ (S/S) SAR]]-Table6[[#This Row],[(S/S) AJD]]</f>
        <v>0</v>
      </c>
      <c r="Q235" s="40"/>
      <c r="R235" s="3">
        <f>Table6[[#This Row],[ (T/B) SAR]]-Table6[[#This Row],[(T/B) AJD]]</f>
        <v>0</v>
      </c>
      <c r="S235" s="3">
        <f>Table6[[#This Row],[S/S_CON.]]+Table6[[#This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Table6[[#This Row],[(RESV. STORGE) AJD]]/10</f>
        <v>0</v>
      </c>
      <c r="AB235" s="3">
        <f t="shared" si="15"/>
        <v>0</v>
      </c>
      <c r="AC235" s="5"/>
      <c r="AD235" s="40">
        <f>(Table6[[#This Row],[( S/S+T/B) AJD]]*1000)-((Table6[[#This Row],[(STORGE DIFF.) AJD]]*1000)+Table6[[#This Row],[AJD_Evaporation]]+(Table6[[#This Row],[(A/B + A/S) AJD]]*1000))</f>
        <v>0</v>
      </c>
      <c r="AE235" s="44"/>
      <c r="AF235" s="45"/>
      <c r="AG235" s="45"/>
      <c r="AH235" s="6">
        <f>Table6[[#This Row],[ (RESV. STORGE) BER]]/10</f>
        <v>0</v>
      </c>
      <c r="AI235" s="44"/>
      <c r="AJ235" s="45">
        <f>Table6[[#This Row],[(A/B) AJD]]-TABL12345[[#This Row],[BER_IN]]</f>
        <v>0</v>
      </c>
      <c r="AK235" s="45"/>
      <c r="AL235" s="45"/>
      <c r="AM235" s="32"/>
      <c r="AN235" s="32">
        <f>Table6[[#This Row],[ (RESV. STORGE) SER]]/10</f>
        <v>0</v>
      </c>
      <c r="AO235" s="68"/>
      <c r="AP235" s="103">
        <f>Table6[[#This Row],[(A/S) AJD]]-Table6[[#This Row],[SER_IN]]</f>
        <v>0</v>
      </c>
    </row>
    <row r="236" spans="1:42" ht="18.75" x14ac:dyDescent="0.25">
      <c r="A236" s="10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Table6[[#This Row],[ (T/B) SAR]]+Table6[[#This Row],[ (S/S) SAR]]</f>
        <v>0</v>
      </c>
      <c r="L236" s="41"/>
      <c r="M236" s="42"/>
      <c r="N236" s="42"/>
      <c r="O236" s="39"/>
      <c r="P236" s="3">
        <f>Table6[[#This Row],[ (S/S) SAR]]-Table6[[#This Row],[(S/S) AJD]]</f>
        <v>0</v>
      </c>
      <c r="Q236" s="39"/>
      <c r="R236" s="3">
        <f>Table6[[#This Row],[ (T/B) SAR]]-Table6[[#This Row],[(T/B) AJD]]</f>
        <v>0</v>
      </c>
      <c r="S236" s="3">
        <f>Table6[[#This Row],[S/S_CON.]]+Table6[[#This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Table6[[#This Row],[(RESV. STORGE) AJD]]/10</f>
        <v>0</v>
      </c>
      <c r="AB236" s="3">
        <f t="shared" si="15"/>
        <v>0</v>
      </c>
      <c r="AC236" s="5"/>
      <c r="AD236" s="39">
        <f>(Table6[[#This Row],[( S/S+T/B) AJD]]*1000)-((Table6[[#This Row],[(STORGE DIFF.) AJD]]*1000)+Table6[[#This Row],[AJD_Evaporation]]+(Table6[[#This Row],[(A/B + A/S) AJD]]*1000))</f>
        <v>0</v>
      </c>
      <c r="AE236" s="41"/>
      <c r="AF236" s="43"/>
      <c r="AG236" s="43"/>
      <c r="AH236" s="6">
        <f>Table6[[#This Row],[ (RESV. STORGE) BER]]/10</f>
        <v>0</v>
      </c>
      <c r="AI236" s="41"/>
      <c r="AJ236" s="43">
        <f>Table6[[#This Row],[(A/B) AJD]]-TABL12345[[#This Row],[BER_IN]]</f>
        <v>0</v>
      </c>
      <c r="AK236" s="43"/>
      <c r="AL236" s="43"/>
      <c r="AM236" s="32"/>
      <c r="AN236" s="32">
        <f>Table6[[#This Row],[ (RESV. STORGE) SER]]/10</f>
        <v>0</v>
      </c>
      <c r="AO236" s="68"/>
      <c r="AP236" s="103">
        <f>Table6[[#This Row],[(A/S) AJD]]-Table6[[#This Row],[SER_IN]]</f>
        <v>0</v>
      </c>
    </row>
    <row r="237" spans="1:42" ht="18.75" x14ac:dyDescent="0.25">
      <c r="A237" s="10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Table6[[#This Row],[ (T/B) SAR]]+Table6[[#This Row],[ (S/S) SAR]]</f>
        <v>0</v>
      </c>
      <c r="L237" s="45"/>
      <c r="M237" s="46"/>
      <c r="N237" s="46"/>
      <c r="O237" s="40"/>
      <c r="P237" s="3">
        <f>Table6[[#This Row],[ (S/S) SAR]]-Table6[[#This Row],[(S/S) AJD]]</f>
        <v>0</v>
      </c>
      <c r="Q237" s="40"/>
      <c r="R237" s="3">
        <f>Table6[[#This Row],[ (T/B) SAR]]-Table6[[#This Row],[(T/B) AJD]]</f>
        <v>0</v>
      </c>
      <c r="S237" s="3">
        <f>Table6[[#This Row],[S/S_CON.]]+Table6[[#This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Table6[[#This Row],[(RESV. STORGE) AJD]]/10</f>
        <v>0</v>
      </c>
      <c r="AB237" s="3">
        <f t="shared" si="15"/>
        <v>0</v>
      </c>
      <c r="AC237" s="5"/>
      <c r="AD237" s="40">
        <f>(Table6[[#This Row],[( S/S+T/B) AJD]]*1000)-((Table6[[#This Row],[(STORGE DIFF.) AJD]]*1000)+Table6[[#This Row],[AJD_Evaporation]]+(Table6[[#This Row],[(A/B + A/S) AJD]]*1000))</f>
        <v>0</v>
      </c>
      <c r="AE237" s="44"/>
      <c r="AF237" s="45"/>
      <c r="AG237" s="45"/>
      <c r="AH237" s="6">
        <f>Table6[[#This Row],[ (RESV. STORGE) BER]]/10</f>
        <v>0</v>
      </c>
      <c r="AI237" s="44"/>
      <c r="AJ237" s="45">
        <f>Table6[[#This Row],[(A/B) AJD]]-TABL12345[[#This Row],[BER_IN]]</f>
        <v>0</v>
      </c>
      <c r="AK237" s="45"/>
      <c r="AL237" s="45"/>
      <c r="AM237" s="32"/>
      <c r="AN237" s="32">
        <f>Table6[[#This Row],[ (RESV. STORGE) SER]]/10</f>
        <v>0</v>
      </c>
      <c r="AO237" s="68"/>
      <c r="AP237" s="103">
        <f>Table6[[#This Row],[(A/S) AJD]]-Table6[[#This Row],[SER_IN]]</f>
        <v>0</v>
      </c>
    </row>
    <row r="238" spans="1:42" ht="18.75" x14ac:dyDescent="0.25">
      <c r="A238" s="10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Table6[[#This Row],[ (T/B) SAR]]+Table6[[#This Row],[ (S/S) SAR]]</f>
        <v>0</v>
      </c>
      <c r="L238" s="41"/>
      <c r="M238" s="42"/>
      <c r="N238" s="42"/>
      <c r="O238" s="39"/>
      <c r="P238" s="3">
        <f>Table6[[#This Row],[ (S/S) SAR]]-Table6[[#This Row],[(S/S) AJD]]</f>
        <v>0</v>
      </c>
      <c r="Q238" s="39"/>
      <c r="R238" s="3">
        <f>Table6[[#This Row],[ (T/B) SAR]]-Table6[[#This Row],[(T/B) AJD]]</f>
        <v>0</v>
      </c>
      <c r="S238" s="3">
        <f>Table6[[#This Row],[S/S_CON.]]+Table6[[#This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Table6[[#This Row],[(RESV. STORGE) AJD]]/10</f>
        <v>0</v>
      </c>
      <c r="AB238" s="3">
        <f t="shared" si="15"/>
        <v>0</v>
      </c>
      <c r="AC238" s="5"/>
      <c r="AD238" s="39">
        <f>(Table6[[#This Row],[( S/S+T/B) AJD]]*1000)-((Table6[[#This Row],[(STORGE DIFF.) AJD]]*1000)+Table6[[#This Row],[AJD_Evaporation]]+(Table6[[#This Row],[(A/B + A/S) AJD]]*1000))</f>
        <v>0</v>
      </c>
      <c r="AE238" s="41"/>
      <c r="AF238" s="43"/>
      <c r="AG238" s="43"/>
      <c r="AH238" s="6">
        <f>Table6[[#This Row],[ (RESV. STORGE) BER]]/10</f>
        <v>0</v>
      </c>
      <c r="AI238" s="41"/>
      <c r="AJ238" s="43">
        <f>Table6[[#This Row],[(A/B) AJD]]-TABL12345[[#This Row],[BER_IN]]</f>
        <v>0</v>
      </c>
      <c r="AK238" s="43"/>
      <c r="AL238" s="43"/>
      <c r="AM238" s="32"/>
      <c r="AN238" s="32">
        <f>Table6[[#This Row],[ (RESV. STORGE) SER]]/10</f>
        <v>0</v>
      </c>
      <c r="AO238" s="68"/>
      <c r="AP238" s="103">
        <f>Table6[[#This Row],[(A/S) AJD]]-Table6[[#This Row],[SER_IN]]</f>
        <v>0</v>
      </c>
    </row>
    <row r="239" spans="1:42" ht="18.75" x14ac:dyDescent="0.25">
      <c r="A239" s="10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Table6[[#This Row],[ (T/B) SAR]]+Table6[[#This Row],[ (S/S) SAR]]</f>
        <v>0</v>
      </c>
      <c r="L239" s="45"/>
      <c r="M239" s="46"/>
      <c r="N239" s="46"/>
      <c r="O239" s="40"/>
      <c r="P239" s="3">
        <f>Table6[[#This Row],[ (S/S) SAR]]-Table6[[#This Row],[(S/S) AJD]]</f>
        <v>0</v>
      </c>
      <c r="Q239" s="40"/>
      <c r="R239" s="3">
        <f>Table6[[#This Row],[ (T/B) SAR]]-Table6[[#This Row],[(T/B) AJD]]</f>
        <v>0</v>
      </c>
      <c r="S239" s="3">
        <f>Table6[[#This Row],[S/S_CON.]]+Table6[[#This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Table6[[#This Row],[(RESV. STORGE) AJD]]/10</f>
        <v>0</v>
      </c>
      <c r="AB239" s="3">
        <f t="shared" si="15"/>
        <v>0</v>
      </c>
      <c r="AC239" s="5"/>
      <c r="AD239" s="40">
        <f>(Table6[[#This Row],[( S/S+T/B) AJD]]*1000)-((Table6[[#This Row],[(STORGE DIFF.) AJD]]*1000)+Table6[[#This Row],[AJD_Evaporation]]+(Table6[[#This Row],[(A/B + A/S) AJD]]*1000))</f>
        <v>0</v>
      </c>
      <c r="AE239" s="44"/>
      <c r="AF239" s="45"/>
      <c r="AG239" s="45"/>
      <c r="AH239" s="6">
        <f>Table6[[#This Row],[ (RESV. STORGE) BER]]/10</f>
        <v>0</v>
      </c>
      <c r="AI239" s="44"/>
      <c r="AJ239" s="45">
        <f>Table6[[#This Row],[(A/B) AJD]]-TABL12345[[#This Row],[BER_IN]]</f>
        <v>0</v>
      </c>
      <c r="AK239" s="45"/>
      <c r="AL239" s="45"/>
      <c r="AM239" s="32"/>
      <c r="AN239" s="32">
        <f>Table6[[#This Row],[ (RESV. STORGE) SER]]/10</f>
        <v>0</v>
      </c>
      <c r="AO239" s="68"/>
      <c r="AP239" s="103">
        <f>Table6[[#This Row],[(A/S) AJD]]-Table6[[#This Row],[SER_IN]]</f>
        <v>0</v>
      </c>
    </row>
    <row r="240" spans="1:42" ht="18.75" x14ac:dyDescent="0.25">
      <c r="A240" s="10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Table6[[#This Row],[ (T/B) SAR]]+Table6[[#This Row],[ (S/S) SAR]]</f>
        <v>0</v>
      </c>
      <c r="L240" s="41"/>
      <c r="M240" s="42"/>
      <c r="N240" s="42"/>
      <c r="O240" s="39"/>
      <c r="P240" s="3">
        <f>Table6[[#This Row],[ (S/S) SAR]]-Table6[[#This Row],[(S/S) AJD]]</f>
        <v>0</v>
      </c>
      <c r="Q240" s="39"/>
      <c r="R240" s="3">
        <f>Table6[[#This Row],[ (T/B) SAR]]-Table6[[#This Row],[(T/B) AJD]]</f>
        <v>0</v>
      </c>
      <c r="S240" s="3">
        <f>Table6[[#This Row],[S/S_CON.]]+Table6[[#This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Table6[[#This Row],[(RESV. STORGE) AJD]]/10</f>
        <v>0</v>
      </c>
      <c r="AB240" s="3">
        <f t="shared" si="15"/>
        <v>0</v>
      </c>
      <c r="AC240" s="5"/>
      <c r="AD240" s="39">
        <f>(Table6[[#This Row],[( S/S+T/B) AJD]]*1000)-((Table6[[#This Row],[(STORGE DIFF.) AJD]]*1000)+Table6[[#This Row],[AJD_Evaporation]]+(Table6[[#This Row],[(A/B + A/S) AJD]]*1000))</f>
        <v>0</v>
      </c>
      <c r="AE240" s="41"/>
      <c r="AF240" s="43"/>
      <c r="AG240" s="43"/>
      <c r="AH240" s="6">
        <f>Table6[[#This Row],[ (RESV. STORGE) BER]]/10</f>
        <v>0</v>
      </c>
      <c r="AI240" s="41"/>
      <c r="AJ240" s="43">
        <f>Table6[[#This Row],[(A/B) AJD]]-TABL12345[[#This Row],[BER_IN]]</f>
        <v>0</v>
      </c>
      <c r="AK240" s="43"/>
      <c r="AL240" s="43"/>
      <c r="AM240" s="32"/>
      <c r="AN240" s="32">
        <f>Table6[[#This Row],[ (RESV. STORGE) SER]]/10</f>
        <v>0</v>
      </c>
      <c r="AO240" s="68"/>
      <c r="AP240" s="103">
        <f>Table6[[#This Row],[(A/S) AJD]]-Table6[[#This Row],[SER_IN]]</f>
        <v>0</v>
      </c>
    </row>
    <row r="241" spans="1:42" ht="18.75" x14ac:dyDescent="0.25">
      <c r="A241" s="10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Table6[[#This Row],[ (T/B) SAR]]+Table6[[#This Row],[ (S/S) SAR]]</f>
        <v>0</v>
      </c>
      <c r="L241" s="45"/>
      <c r="M241" s="46"/>
      <c r="N241" s="46"/>
      <c r="O241" s="40"/>
      <c r="P241" s="3">
        <f>Table6[[#This Row],[ (S/S) SAR]]-Table6[[#This Row],[(S/S) AJD]]</f>
        <v>0</v>
      </c>
      <c r="Q241" s="40"/>
      <c r="R241" s="3">
        <f>Table6[[#This Row],[ (T/B) SAR]]-Table6[[#This Row],[(T/B) AJD]]</f>
        <v>0</v>
      </c>
      <c r="S241" s="3">
        <f>Table6[[#This Row],[S/S_CON.]]+Table6[[#This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Table6[[#This Row],[(RESV. STORGE) AJD]]/10</f>
        <v>0</v>
      </c>
      <c r="AB241" s="3">
        <f t="shared" si="15"/>
        <v>0</v>
      </c>
      <c r="AC241" s="5"/>
      <c r="AD241" s="40">
        <f>(Table6[[#This Row],[( S/S+T/B) AJD]]*1000)-((Table6[[#This Row],[(STORGE DIFF.) AJD]]*1000)+Table6[[#This Row],[AJD_Evaporation]]+(Table6[[#This Row],[(A/B + A/S) AJD]]*1000))</f>
        <v>0</v>
      </c>
      <c r="AE241" s="44"/>
      <c r="AF241" s="45"/>
      <c r="AG241" s="45"/>
      <c r="AH241" s="6">
        <f>Table6[[#This Row],[ (RESV. STORGE) BER]]/10</f>
        <v>0</v>
      </c>
      <c r="AI241" s="44"/>
      <c r="AJ241" s="45">
        <f>Table6[[#This Row],[(A/B) AJD]]-TABL12345[[#This Row],[BER_IN]]</f>
        <v>0</v>
      </c>
      <c r="AK241" s="45"/>
      <c r="AL241" s="45"/>
      <c r="AM241" s="32"/>
      <c r="AN241" s="32">
        <f>Table6[[#This Row],[ (RESV. STORGE) SER]]/10</f>
        <v>0</v>
      </c>
      <c r="AO241" s="68"/>
      <c r="AP241" s="103">
        <f>Table6[[#This Row],[(A/S) AJD]]-Table6[[#This Row],[SER_IN]]</f>
        <v>0</v>
      </c>
    </row>
    <row r="242" spans="1:42" ht="18.75" x14ac:dyDescent="0.25">
      <c r="A242" s="10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Table6[[#This Row],[ (T/B) SAR]]+Table6[[#This Row],[ (S/S) SAR]]</f>
        <v>0</v>
      </c>
      <c r="L242" s="41"/>
      <c r="M242" s="42"/>
      <c r="N242" s="42"/>
      <c r="O242" s="39"/>
      <c r="P242" s="3">
        <f>Table6[[#This Row],[ (S/S) SAR]]-Table6[[#This Row],[(S/S) AJD]]</f>
        <v>0</v>
      </c>
      <c r="Q242" s="39"/>
      <c r="R242" s="3">
        <f>Table6[[#This Row],[ (T/B) SAR]]-Table6[[#This Row],[(T/B) AJD]]</f>
        <v>0</v>
      </c>
      <c r="S242" s="3">
        <f>Table6[[#This Row],[S/S_CON.]]+Table6[[#This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Table6[[#This Row],[(RESV. STORGE) AJD]]/10</f>
        <v>0</v>
      </c>
      <c r="AB242" s="3">
        <f t="shared" si="15"/>
        <v>0</v>
      </c>
      <c r="AC242" s="5"/>
      <c r="AD242" s="39">
        <f>(Table6[[#This Row],[( S/S+T/B) AJD]]*1000)-((Table6[[#This Row],[(STORGE DIFF.) AJD]]*1000)+Table6[[#This Row],[AJD_Evaporation]]+(Table6[[#This Row],[(A/B + A/S) AJD]]*1000))</f>
        <v>0</v>
      </c>
      <c r="AE242" s="41"/>
      <c r="AF242" s="43"/>
      <c r="AG242" s="43"/>
      <c r="AH242" s="6">
        <f>Table6[[#This Row],[ (RESV. STORGE) BER]]/10</f>
        <v>0</v>
      </c>
      <c r="AI242" s="41"/>
      <c r="AJ242" s="43">
        <f>Table6[[#This Row],[(A/B) AJD]]-TABL12345[[#This Row],[BER_IN]]</f>
        <v>0</v>
      </c>
      <c r="AK242" s="43"/>
      <c r="AL242" s="43"/>
      <c r="AM242" s="32"/>
      <c r="AN242" s="32">
        <f>Table6[[#This Row],[ (RESV. STORGE) SER]]/10</f>
        <v>0</v>
      </c>
      <c r="AO242" s="68"/>
      <c r="AP242" s="103">
        <f>Table6[[#This Row],[(A/S) AJD]]-Table6[[#This Row],[SER_IN]]</f>
        <v>0</v>
      </c>
    </row>
    <row r="243" spans="1:42" ht="18.75" x14ac:dyDescent="0.25">
      <c r="A243" s="10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Table6[[#This Row],[ (T/B) SAR]]+Table6[[#This Row],[ (S/S) SAR]]</f>
        <v>0</v>
      </c>
      <c r="L243" s="45"/>
      <c r="M243" s="46"/>
      <c r="N243" s="46"/>
      <c r="O243" s="40"/>
      <c r="P243" s="3">
        <f>Table6[[#This Row],[ (S/S) SAR]]-Table6[[#This Row],[(S/S) AJD]]</f>
        <v>0</v>
      </c>
      <c r="Q243" s="40"/>
      <c r="R243" s="3">
        <f>Table6[[#This Row],[ (T/B) SAR]]-Table6[[#This Row],[(T/B) AJD]]</f>
        <v>0</v>
      </c>
      <c r="S243" s="3">
        <f>Table6[[#This Row],[S/S_CON.]]+Table6[[#This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Table6[[#This Row],[(RESV. STORGE) AJD]]/10</f>
        <v>0</v>
      </c>
      <c r="AB243" s="3">
        <f t="shared" si="15"/>
        <v>0</v>
      </c>
      <c r="AC243" s="5"/>
      <c r="AD243" s="70">
        <f>(Table6[[#This Row],[( S/S+T/B) AJD]]*1000)-((Table6[[#This Row],[(STORGE DIFF.) AJD]]*1000)+Table6[[#This Row],[AJD_Evaporation]]+(Table6[[#This Row],[(A/B + A/S) AJD]]*1000))</f>
        <v>0</v>
      </c>
      <c r="AE243" s="44"/>
      <c r="AF243" s="45"/>
      <c r="AG243" s="45"/>
      <c r="AH243" s="6">
        <f>Table6[[#This Row],[ (RESV. STORGE) BER]]/10</f>
        <v>0</v>
      </c>
      <c r="AI243" s="44"/>
      <c r="AJ243" s="90">
        <f>Table6[[#This Row],[(A/B) AJD]]-TABL12345[[#This Row],[BER_IN]]</f>
        <v>0</v>
      </c>
      <c r="AK243" s="45"/>
      <c r="AL243" s="45"/>
      <c r="AM243" s="32"/>
      <c r="AN243" s="32">
        <f>Table6[[#This Row],[ (RESV. STORGE) SER]]/10</f>
        <v>0</v>
      </c>
      <c r="AO243" s="68"/>
      <c r="AP243" s="103">
        <f>Table6[[#This Row],[(A/S) AJD]]-Table6[[#This Row],[SER_IN]]</f>
        <v>0</v>
      </c>
    </row>
    <row r="244" spans="1:42" ht="18.75" x14ac:dyDescent="0.25">
      <c r="A244" s="10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Table6[[#This Row],[ (T/B) SAR]]+Table6[[#This Row],[ (S/S) SAR]]</f>
        <v>0</v>
      </c>
      <c r="L244" s="41"/>
      <c r="M244" s="42"/>
      <c r="N244" s="42"/>
      <c r="O244" s="39"/>
      <c r="P244" s="3">
        <f>Table6[[#This Row],[ (S/S) SAR]]-Table6[[#This Row],[(S/S) AJD]]</f>
        <v>0</v>
      </c>
      <c r="Q244" s="39"/>
      <c r="R244" s="3">
        <f>Table6[[#This Row],[ (T/B) SAR]]-Table6[[#This Row],[(T/B) AJD]]</f>
        <v>0</v>
      </c>
      <c r="S244" s="3">
        <f>Table6[[#This Row],[S/S_CON.]]+Table6[[#This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Table6[[#This Row],[(RESV. STORGE) AJD]]/10</f>
        <v>0</v>
      </c>
      <c r="AB244" s="3">
        <f t="shared" si="15"/>
        <v>0</v>
      </c>
      <c r="AC244" s="5"/>
      <c r="AD244" s="39">
        <f>(Table6[[#This Row],[( S/S+T/B) AJD]]*1000)-((Table6[[#This Row],[(STORGE DIFF.) AJD]]*1000)+Table6[[#This Row],[AJD_Evaporation]]+(Table6[[#This Row],[(A/B + A/S) AJD]]*1000))</f>
        <v>0</v>
      </c>
      <c r="AE244" s="41"/>
      <c r="AF244" s="43"/>
      <c r="AG244" s="43"/>
      <c r="AH244" s="6">
        <f>Table6[[#This Row],[ (RESV. STORGE) BER]]/10</f>
        <v>0</v>
      </c>
      <c r="AI244" s="41"/>
      <c r="AJ244" s="43">
        <f>Table6[[#This Row],[(A/B) AJD]]-TABL12345[[#This Row],[BER_IN]]</f>
        <v>0</v>
      </c>
      <c r="AK244" s="43"/>
      <c r="AL244" s="43"/>
      <c r="AM244" s="32"/>
      <c r="AN244" s="32">
        <f>Table6[[#This Row],[ (RESV. STORGE) SER]]/10</f>
        <v>0</v>
      </c>
      <c r="AO244" s="68"/>
      <c r="AP244" s="103">
        <f>Table6[[#This Row],[(A/S) AJD]]-Table6[[#This Row],[SER_IN]]</f>
        <v>0</v>
      </c>
    </row>
    <row r="245" spans="1:42" ht="18.75" x14ac:dyDescent="0.25">
      <c r="A245" s="10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Table6[[#This Row],[ (T/B) SAR]]+Table6[[#This Row],[ (S/S) SAR]]</f>
        <v>0</v>
      </c>
      <c r="L245" s="41"/>
      <c r="M245" s="42"/>
      <c r="N245" s="42"/>
      <c r="O245" s="39"/>
      <c r="P245" s="14">
        <f>Table6[[#This Row],[ (S/S) SAR]]-Table6[[#This Row],[(S/S) AJD]]</f>
        <v>0</v>
      </c>
      <c r="Q245" s="39"/>
      <c r="R245" s="14">
        <f>Table6[[#This Row],[ (T/B) SAR]]-Table6[[#This Row],[(T/B) AJD]]</f>
        <v>0</v>
      </c>
      <c r="S245" s="14">
        <f>Table6[[#This Row],[S/S_CON.]]+Table6[[#This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Table6[[#This Row],[(RESV. STORGE) AJD]]/10</f>
        <v>0</v>
      </c>
      <c r="AB245" s="3">
        <f t="shared" si="15"/>
        <v>0</v>
      </c>
      <c r="AC245" s="5"/>
      <c r="AD245" s="39">
        <f>(Table6[[#This Row],[( S/S+T/B) AJD]]*1000)-((Table6[[#This Row],[(STORGE DIFF.) AJD]]*1000)+Table6[[#This Row],[AJD_Evaporation]]+(Table6[[#This Row],[(A/B + A/S) AJD]]*1000))</f>
        <v>0</v>
      </c>
      <c r="AE245" s="41"/>
      <c r="AF245" s="43"/>
      <c r="AG245" s="43"/>
      <c r="AH245" s="6">
        <f>Table6[[#This Row],[ (RESV. STORGE) BER]]/10</f>
        <v>0</v>
      </c>
      <c r="AI245" s="41"/>
      <c r="AJ245" s="43">
        <f>Table6[[#This Row],[(A/B) AJD]]-TABL12345[[#This Row],[BER_IN]]</f>
        <v>0</v>
      </c>
      <c r="AK245" s="43"/>
      <c r="AL245" s="43"/>
      <c r="AM245" s="32"/>
      <c r="AN245" s="32">
        <f>Table6[[#This Row],[ (RESV. STORGE) SER]]/10</f>
        <v>0</v>
      </c>
      <c r="AO245" s="68"/>
      <c r="AP245" s="103">
        <f>Table6[[#This Row],[(A/S) AJD]]-Table6[[#This Row],[SER_IN]]</f>
        <v>0</v>
      </c>
    </row>
    <row r="246" spans="1:42" ht="18.75" x14ac:dyDescent="0.25">
      <c r="A246" s="10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Table6[[#This Row],[ (T/B) SAR]]+Table6[[#This Row],[ (S/S) SAR]]</f>
        <v>0</v>
      </c>
      <c r="L246" s="45"/>
      <c r="M246" s="46"/>
      <c r="N246" s="46"/>
      <c r="O246" s="40"/>
      <c r="P246" s="14">
        <f>Table6[[#This Row],[ (S/S) SAR]]-Table6[[#This Row],[(S/S) AJD]]</f>
        <v>0</v>
      </c>
      <c r="Q246" s="40"/>
      <c r="R246" s="14">
        <f>Table6[[#This Row],[ (T/B) SAR]]-Table6[[#This Row],[(T/B) AJD]]</f>
        <v>0</v>
      </c>
      <c r="S246" s="14">
        <f>Table6[[#This Row],[S/S_CON.]]+Table6[[#This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Table6[[#This Row],[(RESV. STORGE) AJD]]/10</f>
        <v>0</v>
      </c>
      <c r="AB246" s="3">
        <f t="shared" si="15"/>
        <v>0</v>
      </c>
      <c r="AC246" s="5"/>
      <c r="AD246" s="40">
        <f>(Table6[[#This Row],[( S/S+T/B) AJD]]*1000)-((Table6[[#This Row],[(STORGE DIFF.) AJD]]*1000)+Table6[[#This Row],[AJD_Evaporation]]+(Table6[[#This Row],[(A/B + A/S) AJD]]*1000))</f>
        <v>0</v>
      </c>
      <c r="AE246" s="44"/>
      <c r="AF246" s="45"/>
      <c r="AG246" s="45"/>
      <c r="AH246" s="6">
        <f>Table6[[#This Row],[ (RESV. STORGE) BER]]/10</f>
        <v>0</v>
      </c>
      <c r="AI246" s="44"/>
      <c r="AJ246" s="45">
        <f>Table6[[#This Row],[(A/B) AJD]]-TABL12345[[#This Row],[BER_IN]]</f>
        <v>0</v>
      </c>
      <c r="AK246" s="45"/>
      <c r="AL246" s="45"/>
      <c r="AM246" s="32"/>
      <c r="AN246" s="32">
        <f>Table6[[#This Row],[ (RESV. STORGE) SER]]/10</f>
        <v>0</v>
      </c>
      <c r="AO246" s="68"/>
      <c r="AP246" s="103">
        <f>Table6[[#This Row],[(A/S) AJD]]-Table6[[#This Row],[SER_IN]]</f>
        <v>0</v>
      </c>
    </row>
    <row r="247" spans="1:42" ht="18.75" x14ac:dyDescent="0.25">
      <c r="A247" s="10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Table6[[#This Row],[ (T/B) SAR]]+Table6[[#This Row],[ (S/S) SAR]]</f>
        <v>0</v>
      </c>
      <c r="L247" s="41"/>
      <c r="M247" s="42"/>
      <c r="N247" s="42"/>
      <c r="O247" s="39"/>
      <c r="P247" s="14">
        <f>Table6[[#This Row],[ (S/S) SAR]]-Table6[[#This Row],[(S/S) AJD]]</f>
        <v>0</v>
      </c>
      <c r="Q247" s="39"/>
      <c r="R247" s="14">
        <f>Table6[[#This Row],[ (T/B) SAR]]-Table6[[#This Row],[(T/B) AJD]]</f>
        <v>0</v>
      </c>
      <c r="S247" s="14">
        <f>Table6[[#This Row],[S/S_CON.]]+Table6[[#This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Table6[[#This Row],[(RESV. STORGE) AJD]]/10</f>
        <v>0</v>
      </c>
      <c r="AB247" s="3">
        <f t="shared" si="15"/>
        <v>0</v>
      </c>
      <c r="AC247" s="5"/>
      <c r="AD247" s="39">
        <f>(Table6[[#This Row],[( S/S+T/B) AJD]]*1000)-((Table6[[#This Row],[(STORGE DIFF.) AJD]]*1000)+Table6[[#This Row],[AJD_Evaporation]]+(Table6[[#This Row],[(A/B + A/S) AJD]]*1000))</f>
        <v>0</v>
      </c>
      <c r="AE247" s="41"/>
      <c r="AF247" s="43"/>
      <c r="AG247" s="43"/>
      <c r="AH247" s="6">
        <f>Table6[[#This Row],[ (RESV. STORGE) BER]]/10</f>
        <v>0</v>
      </c>
      <c r="AI247" s="41"/>
      <c r="AJ247" s="43">
        <f>Table6[[#This Row],[(A/B) AJD]]-TABL12345[[#This Row],[BER_IN]]</f>
        <v>0</v>
      </c>
      <c r="AK247" s="43"/>
      <c r="AL247" s="43"/>
      <c r="AM247" s="32"/>
      <c r="AN247" s="32">
        <f>Table6[[#This Row],[ (RESV. STORGE) SER]]/10</f>
        <v>0</v>
      </c>
      <c r="AO247" s="68"/>
      <c r="AP247" s="103">
        <f>Table6[[#This Row],[(A/S) AJD]]-Table6[[#This Row],[SER_IN]]</f>
        <v>0</v>
      </c>
    </row>
    <row r="248" spans="1:42" ht="18.75" x14ac:dyDescent="0.25">
      <c r="A248" s="10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Table6[[#This Row],[ (T/B) SAR]]+Table6[[#This Row],[ (S/S) SAR]]</f>
        <v>0</v>
      </c>
      <c r="L248" s="45"/>
      <c r="M248" s="46"/>
      <c r="N248" s="46"/>
      <c r="O248" s="40"/>
      <c r="P248" s="14">
        <f>Table6[[#This Row],[ (S/S) SAR]]-Table6[[#This Row],[(S/S) AJD]]</f>
        <v>0</v>
      </c>
      <c r="Q248" s="40"/>
      <c r="R248" s="14">
        <f>Table6[[#This Row],[ (T/B) SAR]]-Table6[[#This Row],[(T/B) AJD]]</f>
        <v>0</v>
      </c>
      <c r="S248" s="14">
        <f>Table6[[#This Row],[S/S_CON.]]+Table6[[#This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Table6[[#This Row],[(RESV. STORGE) AJD]]/10</f>
        <v>0</v>
      </c>
      <c r="AB248" s="3">
        <f t="shared" si="15"/>
        <v>0</v>
      </c>
      <c r="AC248" s="5"/>
      <c r="AD248" s="40">
        <f>(Table6[[#This Row],[( S/S+T/B) AJD]]*1000)-((Table6[[#This Row],[(STORGE DIFF.) AJD]]*1000)+Table6[[#This Row],[AJD_Evaporation]]+(Table6[[#This Row],[(A/B + A/S) AJD]]*1000))</f>
        <v>0</v>
      </c>
      <c r="AE248" s="44"/>
      <c r="AF248" s="45"/>
      <c r="AG248" s="45"/>
      <c r="AH248" s="6">
        <f>Table6[[#This Row],[ (RESV. STORGE) BER]]/10</f>
        <v>0</v>
      </c>
      <c r="AI248" s="44"/>
      <c r="AJ248" s="45">
        <f>Table6[[#This Row],[(A/B) AJD]]-TABL12345[[#This Row],[BER_IN]]</f>
        <v>0</v>
      </c>
      <c r="AK248" s="45"/>
      <c r="AL248" s="45"/>
      <c r="AM248" s="32"/>
      <c r="AN248" s="32">
        <f>Table6[[#This Row],[ (RESV. STORGE) SER]]/10</f>
        <v>0</v>
      </c>
      <c r="AO248" s="68"/>
      <c r="AP248" s="103">
        <f>Table6[[#This Row],[(A/S) AJD]]-Table6[[#This Row],[SER_IN]]</f>
        <v>0</v>
      </c>
    </row>
    <row r="249" spans="1:42" ht="18.75" x14ac:dyDescent="0.25">
      <c r="A249" s="10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Table6[[#This Row],[ (T/B) SAR]]+Table6[[#This Row],[ (S/S) SAR]]</f>
        <v>0</v>
      </c>
      <c r="L249" s="41"/>
      <c r="M249" s="42"/>
      <c r="N249" s="42"/>
      <c r="O249" s="39"/>
      <c r="P249" s="14">
        <f>Table6[[#This Row],[ (S/S) SAR]]-Table6[[#This Row],[(S/S) AJD]]</f>
        <v>0</v>
      </c>
      <c r="Q249" s="39"/>
      <c r="R249" s="14">
        <f>Table6[[#This Row],[ (T/B) SAR]]-Table6[[#This Row],[(T/B) AJD]]</f>
        <v>0</v>
      </c>
      <c r="S249" s="14">
        <f>Table6[[#This Row],[S/S_CON.]]+Table6[[#This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Table6[[#This Row],[(RESV. STORGE) AJD]]/10</f>
        <v>0</v>
      </c>
      <c r="AB249" s="3">
        <f t="shared" si="15"/>
        <v>0</v>
      </c>
      <c r="AC249" s="5"/>
      <c r="AD249" s="39">
        <f>(Table6[[#This Row],[( S/S+T/B) AJD]]*1000)-((Table6[[#This Row],[(STORGE DIFF.) AJD]]*1000)+Table6[[#This Row],[AJD_Evaporation]]+(Table6[[#This Row],[(A/B + A/S) AJD]]*1000))</f>
        <v>0</v>
      </c>
      <c r="AE249" s="41"/>
      <c r="AF249" s="43"/>
      <c r="AG249" s="43"/>
      <c r="AH249" s="6">
        <f>Table6[[#This Row],[ (RESV. STORGE) BER]]/10</f>
        <v>0</v>
      </c>
      <c r="AI249" s="41"/>
      <c r="AJ249" s="43">
        <f>Table6[[#This Row],[(A/B) AJD]]-TABL12345[[#This Row],[BER_IN]]</f>
        <v>0</v>
      </c>
      <c r="AK249" s="43"/>
      <c r="AL249" s="43"/>
      <c r="AM249" s="32"/>
      <c r="AN249" s="32">
        <f>Table6[[#This Row],[ (RESV. STORGE) SER]]/10</f>
        <v>0</v>
      </c>
      <c r="AO249" s="68"/>
      <c r="AP249" s="103">
        <f>Table6[[#This Row],[(A/S) AJD]]-Table6[[#This Row],[SER_IN]]</f>
        <v>0</v>
      </c>
    </row>
    <row r="250" spans="1:42" ht="18.75" x14ac:dyDescent="0.25">
      <c r="A250" s="10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Table6[[#This Row],[ (T/B) SAR]]+Table6[[#This Row],[ (S/S) SAR]]</f>
        <v>0</v>
      </c>
      <c r="L250" s="45"/>
      <c r="M250" s="46"/>
      <c r="N250" s="46"/>
      <c r="O250" s="40"/>
      <c r="P250" s="9">
        <f>Table6[[#This Row],[ (S/S) SAR]]-Table6[[#This Row],[(S/S) AJD]]</f>
        <v>0</v>
      </c>
      <c r="Q250" s="40"/>
      <c r="R250" s="9">
        <f>Table6[[#This Row],[ (T/B) SAR]]-Table6[[#This Row],[(T/B) AJD]]</f>
        <v>0</v>
      </c>
      <c r="S250" s="9">
        <f>Table6[[#This Row],[S/S_CON.]]+Table6[[#This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Table6[[#This Row],[(RESV. STORGE) AJD]]/10</f>
        <v>0</v>
      </c>
      <c r="AB250" s="3">
        <f t="shared" si="15"/>
        <v>0</v>
      </c>
      <c r="AC250" s="5"/>
      <c r="AD250" s="40">
        <f>(Table6[[#This Row],[( S/S+T/B) AJD]]*1000)-((Table6[[#This Row],[(STORGE DIFF.) AJD]]*1000)+Table6[[#This Row],[AJD_Evaporation]]+(Table6[[#This Row],[(A/B + A/S) AJD]]*1000))</f>
        <v>0</v>
      </c>
      <c r="AE250" s="44"/>
      <c r="AF250" s="45"/>
      <c r="AG250" s="45"/>
      <c r="AH250" s="6">
        <f>Table6[[#This Row],[ (RESV. STORGE) BER]]/10</f>
        <v>0</v>
      </c>
      <c r="AI250" s="44"/>
      <c r="AJ250" s="45">
        <f>Table6[[#This Row],[(A/B) AJD]]-TABL12345[[#This Row],[BER_IN]]</f>
        <v>0</v>
      </c>
      <c r="AK250" s="45"/>
      <c r="AL250" s="45"/>
      <c r="AM250" s="32"/>
      <c r="AN250" s="32">
        <f>Table6[[#This Row],[ (RESV. STORGE) SER]]/10</f>
        <v>0</v>
      </c>
      <c r="AO250" s="68"/>
      <c r="AP250" s="103">
        <f>Table6[[#This Row],[(A/S) AJD]]-Table6[[#This Row],[SER_IN]]</f>
        <v>0</v>
      </c>
    </row>
    <row r="251" spans="1:42" ht="18.75" x14ac:dyDescent="0.25">
      <c r="A251" s="10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Table6[[#This Row],[ (T/B) SAR]]+Table6[[#This Row],[ (S/S) SAR]]</f>
        <v>0</v>
      </c>
      <c r="L251" s="41"/>
      <c r="M251" s="42"/>
      <c r="N251" s="42"/>
      <c r="O251" s="39"/>
      <c r="P251" s="9">
        <f>Table6[[#This Row],[ (S/S) SAR]]-Table6[[#This Row],[(S/S) AJD]]</f>
        <v>0</v>
      </c>
      <c r="Q251" s="39"/>
      <c r="R251" s="9">
        <f>Table6[[#This Row],[ (T/B) SAR]]-Table6[[#This Row],[(T/B) AJD]]</f>
        <v>0</v>
      </c>
      <c r="S251" s="9">
        <f>Table6[[#This Row],[S/S_CON.]]+Table6[[#This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Table6[[#This Row],[(RESV. STORGE) AJD]]/10</f>
        <v>0</v>
      </c>
      <c r="AB251" s="3">
        <f t="shared" si="15"/>
        <v>0</v>
      </c>
      <c r="AC251" s="5"/>
      <c r="AD251" s="39">
        <f>(Table6[[#This Row],[( S/S+T/B) AJD]]*1000)-((Table6[[#This Row],[(STORGE DIFF.) AJD]]*1000)+Table6[[#This Row],[AJD_Evaporation]]+(Table6[[#This Row],[(A/B + A/S) AJD]]*1000))</f>
        <v>0</v>
      </c>
      <c r="AE251" s="41"/>
      <c r="AF251" s="43"/>
      <c r="AG251" s="43"/>
      <c r="AH251" s="6">
        <f>Table6[[#This Row],[ (RESV. STORGE) BER]]/10</f>
        <v>0</v>
      </c>
      <c r="AI251" s="41"/>
      <c r="AJ251" s="43">
        <f>Table6[[#This Row],[(A/B) AJD]]-TABL12345[[#This Row],[BER_IN]]</f>
        <v>0</v>
      </c>
      <c r="AK251" s="43"/>
      <c r="AL251" s="43"/>
      <c r="AM251" s="32"/>
      <c r="AN251" s="32">
        <f>Table6[[#This Row],[ (RESV. STORGE) SER]]/10</f>
        <v>0</v>
      </c>
      <c r="AO251" s="68"/>
      <c r="AP251" s="103">
        <f>Table6[[#This Row],[(A/S) AJD]]-Table6[[#This Row],[SER_IN]]</f>
        <v>0</v>
      </c>
    </row>
    <row r="252" spans="1:42" ht="18.75" x14ac:dyDescent="0.25">
      <c r="A252" s="10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Table6[[#This Row],[ (T/B) SAR]]+Table6[[#This Row],[ (S/S) SAR]]</f>
        <v>0</v>
      </c>
      <c r="L252" s="45"/>
      <c r="M252" s="46"/>
      <c r="N252" s="46"/>
      <c r="O252" s="40"/>
      <c r="P252" s="9">
        <f>Table6[[#This Row],[ (S/S) SAR]]-Table6[[#This Row],[(S/S) AJD]]</f>
        <v>0</v>
      </c>
      <c r="Q252" s="40"/>
      <c r="R252" s="9">
        <f>Table6[[#This Row],[ (T/B) SAR]]-Table6[[#This Row],[(T/B) AJD]]</f>
        <v>0</v>
      </c>
      <c r="S252" s="9">
        <f>Table6[[#This Row],[S/S_CON.]]+Table6[[#This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Table6[[#This Row],[(RESV. STORGE) AJD]]/10</f>
        <v>0</v>
      </c>
      <c r="AB252" s="3">
        <f t="shared" si="15"/>
        <v>0</v>
      </c>
      <c r="AC252" s="5"/>
      <c r="AD252" s="40">
        <f>(Table6[[#This Row],[( S/S+T/B) AJD]]*1000)-((Table6[[#This Row],[(STORGE DIFF.) AJD]]*1000)+Table6[[#This Row],[AJD_Evaporation]]+(Table6[[#This Row],[(A/B + A/S) AJD]]*1000))</f>
        <v>0</v>
      </c>
      <c r="AE252" s="44"/>
      <c r="AF252" s="45"/>
      <c r="AG252" s="45"/>
      <c r="AH252" s="6">
        <f>Table6[[#This Row],[ (RESV. STORGE) BER]]/10</f>
        <v>0</v>
      </c>
      <c r="AI252" s="44"/>
      <c r="AJ252" s="45">
        <f>Table6[[#This Row],[(A/B) AJD]]-TABL12345[[#This Row],[BER_IN]]</f>
        <v>0</v>
      </c>
      <c r="AK252" s="45"/>
      <c r="AL252" s="45"/>
      <c r="AM252" s="32"/>
      <c r="AN252" s="32">
        <f>Table6[[#This Row],[ (RESV. STORGE) SER]]/10</f>
        <v>0</v>
      </c>
      <c r="AO252" s="68"/>
      <c r="AP252" s="103">
        <f>Table6[[#This Row],[(A/S) AJD]]-Table6[[#This Row],[SER_IN]]</f>
        <v>0</v>
      </c>
    </row>
    <row r="253" spans="1:42" ht="18.75" x14ac:dyDescent="0.25">
      <c r="A253" s="10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Table6[[#This Row],[ (T/B) SAR]]+Table6[[#This Row],[ (S/S) SAR]]</f>
        <v>0</v>
      </c>
      <c r="L253" s="41"/>
      <c r="M253" s="42"/>
      <c r="N253" s="42"/>
      <c r="O253" s="39"/>
      <c r="P253" s="9">
        <f>Table6[[#This Row],[ (S/S) SAR]]-Table6[[#This Row],[(S/S) AJD]]</f>
        <v>0</v>
      </c>
      <c r="Q253" s="39"/>
      <c r="R253" s="9">
        <f>Table6[[#This Row],[ (T/B) SAR]]-Table6[[#This Row],[(T/B) AJD]]</f>
        <v>0</v>
      </c>
      <c r="S253" s="9">
        <f>Table6[[#This Row],[S/S_CON.]]+Table6[[#This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Table6[[#This Row],[(RESV. STORGE) AJD]]/10</f>
        <v>0</v>
      </c>
      <c r="AB253" s="3">
        <f t="shared" si="15"/>
        <v>0</v>
      </c>
      <c r="AC253" s="5"/>
      <c r="AD253" s="39">
        <f>(Table6[[#This Row],[( S/S+T/B) AJD]]*1000)-((Table6[[#This Row],[(STORGE DIFF.) AJD]]*1000)+Table6[[#This Row],[AJD_Evaporation]]+(Table6[[#This Row],[(A/B + A/S) AJD]]*1000))</f>
        <v>0</v>
      </c>
      <c r="AE253" s="41"/>
      <c r="AF253" s="43"/>
      <c r="AG253" s="43"/>
      <c r="AH253" s="6">
        <f>Table6[[#This Row],[ (RESV. STORGE) BER]]/10</f>
        <v>0</v>
      </c>
      <c r="AI253" s="41"/>
      <c r="AJ253" s="43">
        <f>Table6[[#This Row],[(A/B) AJD]]-TABL12345[[#This Row],[BER_IN]]</f>
        <v>0</v>
      </c>
      <c r="AK253" s="43"/>
      <c r="AL253" s="43"/>
      <c r="AM253" s="32"/>
      <c r="AN253" s="32">
        <f>Table6[[#This Row],[ (RESV. STORGE) SER]]/10</f>
        <v>0</v>
      </c>
      <c r="AO253" s="68"/>
      <c r="AP253" s="103">
        <f>Table6[[#This Row],[(A/S) AJD]]-Table6[[#This Row],[SER_IN]]</f>
        <v>0</v>
      </c>
    </row>
    <row r="254" spans="1:42" ht="18.75" x14ac:dyDescent="0.25">
      <c r="A254" s="10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Table6[[#This Row],[ (T/B) SAR]]+Table6[[#This Row],[ (S/S) SAR]]</f>
        <v>0</v>
      </c>
      <c r="L254" s="45"/>
      <c r="M254" s="46"/>
      <c r="N254" s="46"/>
      <c r="O254" s="40"/>
      <c r="P254" s="9">
        <f>Table6[[#This Row],[ (S/S) SAR]]-Table6[[#This Row],[(S/S) AJD]]</f>
        <v>0</v>
      </c>
      <c r="Q254" s="40"/>
      <c r="R254" s="9">
        <f>Table6[[#This Row],[ (T/B) SAR]]-Table6[[#This Row],[(T/B) AJD]]</f>
        <v>0</v>
      </c>
      <c r="S254" s="9">
        <f>Table6[[#This Row],[S/S_CON.]]+Table6[[#This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Table6[[#This Row],[(RESV. STORGE) AJD]]/10</f>
        <v>0</v>
      </c>
      <c r="AB254" s="3">
        <f t="shared" si="15"/>
        <v>0</v>
      </c>
      <c r="AC254" s="5"/>
      <c r="AD254" s="40">
        <f>(Table6[[#This Row],[( S/S+T/B) AJD]]*1000)-((Table6[[#This Row],[(STORGE DIFF.) AJD]]*1000)+Table6[[#This Row],[AJD_Evaporation]]+(Table6[[#This Row],[(A/B + A/S) AJD]]*1000))</f>
        <v>0</v>
      </c>
      <c r="AE254" s="44"/>
      <c r="AF254" s="45"/>
      <c r="AG254" s="45"/>
      <c r="AH254" s="6">
        <f>Table6[[#This Row],[ (RESV. STORGE) BER]]/10</f>
        <v>0</v>
      </c>
      <c r="AI254" s="44"/>
      <c r="AJ254" s="45">
        <f>Table6[[#This Row],[(A/B) AJD]]-TABL12345[[#This Row],[BER_IN]]</f>
        <v>0</v>
      </c>
      <c r="AK254" s="45"/>
      <c r="AL254" s="45"/>
      <c r="AM254" s="32"/>
      <c r="AN254" s="32">
        <f>Table6[[#This Row],[ (RESV. STORGE) SER]]/10</f>
        <v>0</v>
      </c>
      <c r="AO254" s="68"/>
      <c r="AP254" s="103">
        <f>Table6[[#This Row],[(A/S) AJD]]-Table6[[#This Row],[SER_IN]]</f>
        <v>0</v>
      </c>
    </row>
    <row r="255" spans="1:42" ht="18.75" x14ac:dyDescent="0.25">
      <c r="A255" s="10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Table6[[#This Row],[ (T/B) SAR]]+Table6[[#This Row],[ (S/S) SAR]]</f>
        <v>0</v>
      </c>
      <c r="L255" s="41"/>
      <c r="M255" s="42"/>
      <c r="N255" s="42"/>
      <c r="O255" s="39"/>
      <c r="P255" s="9">
        <f>Table6[[#This Row],[ (S/S) SAR]]-Table6[[#This Row],[(S/S) AJD]]</f>
        <v>0</v>
      </c>
      <c r="Q255" s="39"/>
      <c r="R255" s="9">
        <f>Table6[[#This Row],[ (T/B) SAR]]-Table6[[#This Row],[(T/B) AJD]]</f>
        <v>0</v>
      </c>
      <c r="S255" s="9">
        <f>Table6[[#This Row],[S/S_CON.]]+Table6[[#This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Table6[[#This Row],[(RESV. STORGE) AJD]]/10</f>
        <v>0</v>
      </c>
      <c r="AB255" s="3">
        <f t="shared" si="15"/>
        <v>0</v>
      </c>
      <c r="AC255" s="5"/>
      <c r="AD255" s="39">
        <f>(Table6[[#This Row],[( S/S+T/B) AJD]]*1000)-((Table6[[#This Row],[(STORGE DIFF.) AJD]]*1000)+Table6[[#This Row],[AJD_Evaporation]]+(Table6[[#This Row],[(A/B + A/S) AJD]]*1000))</f>
        <v>0</v>
      </c>
      <c r="AE255" s="41"/>
      <c r="AF255" s="43"/>
      <c r="AG255" s="43"/>
      <c r="AH255" s="6">
        <f>Table6[[#This Row],[ (RESV. STORGE) BER]]/10</f>
        <v>0</v>
      </c>
      <c r="AI255" s="41"/>
      <c r="AJ255" s="43">
        <f>Table6[[#This Row],[(A/B) AJD]]-TABL12345[[#This Row],[BER_IN]]</f>
        <v>0</v>
      </c>
      <c r="AK255" s="43"/>
      <c r="AL255" s="43"/>
      <c r="AM255" s="32"/>
      <c r="AN255" s="32">
        <f>Table6[[#This Row],[ (RESV. STORGE) SER]]/10</f>
        <v>0</v>
      </c>
      <c r="AO255" s="68"/>
      <c r="AP255" s="103">
        <f>Table6[[#This Row],[(A/S) AJD]]-Table6[[#This Row],[SER_IN]]</f>
        <v>0</v>
      </c>
    </row>
    <row r="256" spans="1:42" ht="18.75" x14ac:dyDescent="0.25">
      <c r="A256" s="10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Table6[[#This Row],[ (T/B) SAR]]+Table6[[#This Row],[ (S/S) SAR]]</f>
        <v>0</v>
      </c>
      <c r="L256" s="45"/>
      <c r="M256" s="46"/>
      <c r="N256" s="46"/>
      <c r="O256" s="40"/>
      <c r="P256" s="9">
        <f>Table6[[#This Row],[ (S/S) SAR]]-Table6[[#This Row],[(S/S) AJD]]</f>
        <v>0</v>
      </c>
      <c r="Q256" s="40"/>
      <c r="R256" s="9">
        <f>Table6[[#This Row],[ (T/B) SAR]]-Table6[[#This Row],[(T/B) AJD]]</f>
        <v>0</v>
      </c>
      <c r="S256" s="9">
        <f>Table6[[#This Row],[S/S_CON.]]+Table6[[#This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Table6[[#This Row],[(RESV. STORGE) AJD]]/10</f>
        <v>0</v>
      </c>
      <c r="AB256" s="3">
        <f t="shared" si="15"/>
        <v>0</v>
      </c>
      <c r="AC256" s="5"/>
      <c r="AD256" s="40">
        <f>(Table6[[#This Row],[( S/S+T/B) AJD]]*1000)-((Table6[[#This Row],[(STORGE DIFF.) AJD]]*1000)+Table6[[#This Row],[AJD_Evaporation]]+(Table6[[#This Row],[(A/B + A/S) AJD]]*1000))</f>
        <v>0</v>
      </c>
      <c r="AE256" s="44"/>
      <c r="AF256" s="45"/>
      <c r="AG256" s="45"/>
      <c r="AH256" s="6">
        <f>Table6[[#This Row],[ (RESV. STORGE) BER]]/10</f>
        <v>0</v>
      </c>
      <c r="AI256" s="44"/>
      <c r="AJ256" s="45">
        <f>Table6[[#This Row],[(A/B) AJD]]-TABL12345[[#This Row],[BER_IN]]</f>
        <v>0</v>
      </c>
      <c r="AK256" s="45"/>
      <c r="AL256" s="45"/>
      <c r="AM256" s="32"/>
      <c r="AN256" s="32">
        <f>Table6[[#This Row],[ (RESV. STORGE) SER]]/10</f>
        <v>0</v>
      </c>
      <c r="AO256" s="68"/>
      <c r="AP256" s="103">
        <f>Table6[[#This Row],[(A/S) AJD]]-Table6[[#This Row],[SER_IN]]</f>
        <v>0</v>
      </c>
    </row>
    <row r="257" spans="1:42" ht="18.75" x14ac:dyDescent="0.25">
      <c r="A257" s="10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Table6[[#This Row],[ (T/B) SAR]]+Table6[[#This Row],[ (S/S) SAR]]</f>
        <v>0</v>
      </c>
      <c r="L257" s="41"/>
      <c r="M257" s="42"/>
      <c r="N257" s="42"/>
      <c r="O257" s="39"/>
      <c r="P257" s="9">
        <f>Table6[[#This Row],[ (S/S) SAR]]-Table6[[#This Row],[(S/S) AJD]]</f>
        <v>0</v>
      </c>
      <c r="Q257" s="39"/>
      <c r="R257" s="9">
        <f>Table6[[#This Row],[ (T/B) SAR]]-Table6[[#This Row],[(T/B) AJD]]</f>
        <v>0</v>
      </c>
      <c r="S257" s="9">
        <f>Table6[[#This Row],[S/S_CON.]]+Table6[[#This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Table6[[#This Row],[(RESV. STORGE) AJD]]/10</f>
        <v>0</v>
      </c>
      <c r="AB257" s="3">
        <f t="shared" si="15"/>
        <v>0</v>
      </c>
      <c r="AC257" s="5"/>
      <c r="AD257" s="39">
        <f>(Table6[[#This Row],[( S/S+T/B) AJD]]*1000)-((Table6[[#This Row],[(STORGE DIFF.) AJD]]*1000)+Table6[[#This Row],[AJD_Evaporation]]+(Table6[[#This Row],[(A/B + A/S) AJD]]*1000))</f>
        <v>0</v>
      </c>
      <c r="AE257" s="41"/>
      <c r="AF257" s="43"/>
      <c r="AG257" s="43"/>
      <c r="AH257" s="6">
        <f>Table6[[#This Row],[ (RESV. STORGE) BER]]/10</f>
        <v>0</v>
      </c>
      <c r="AI257" s="41"/>
      <c r="AJ257" s="43">
        <f>Table6[[#This Row],[(A/B) AJD]]-TABL12345[[#This Row],[BER_IN]]</f>
        <v>0</v>
      </c>
      <c r="AK257" s="43"/>
      <c r="AL257" s="43"/>
      <c r="AM257" s="32"/>
      <c r="AN257" s="32">
        <f>Table6[[#This Row],[ (RESV. STORGE) SER]]/10</f>
        <v>0</v>
      </c>
      <c r="AO257" s="68"/>
      <c r="AP257" s="103">
        <f>Table6[[#This Row],[(A/S) AJD]]-Table6[[#This Row],[SER_IN]]</f>
        <v>0</v>
      </c>
    </row>
    <row r="258" spans="1:42" ht="18.75" x14ac:dyDescent="0.25">
      <c r="A258" s="10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Table6[[#This Row],[ (T/B) SAR]]+Table6[[#This Row],[ (S/S) SAR]]</f>
        <v>0</v>
      </c>
      <c r="L258" s="45"/>
      <c r="M258" s="46"/>
      <c r="N258" s="46"/>
      <c r="O258" s="40"/>
      <c r="P258" s="9">
        <f>Table6[[#This Row],[ (S/S) SAR]]-Table6[[#This Row],[(S/S) AJD]]</f>
        <v>0</v>
      </c>
      <c r="Q258" s="40"/>
      <c r="R258" s="9">
        <f>Table6[[#This Row],[ (T/B) SAR]]-Table6[[#This Row],[(T/B) AJD]]</f>
        <v>0</v>
      </c>
      <c r="S258" s="9">
        <f>Table6[[#This Row],[S/S_CON.]]+Table6[[#This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Table6[[#This Row],[(RESV. STORGE) AJD]]/10</f>
        <v>0</v>
      </c>
      <c r="AB258" s="3">
        <f t="shared" si="15"/>
        <v>0</v>
      </c>
      <c r="AC258" s="5"/>
      <c r="AD258" s="40">
        <f>(Table6[[#This Row],[( S/S+T/B) AJD]]*1000)-((Table6[[#This Row],[(STORGE DIFF.) AJD]]*1000)+Table6[[#This Row],[AJD_Evaporation]]+(Table6[[#This Row],[(A/B + A/S) AJD]]*1000))</f>
        <v>0</v>
      </c>
      <c r="AE258" s="44"/>
      <c r="AF258" s="45"/>
      <c r="AG258" s="45"/>
      <c r="AH258" s="6">
        <f>Table6[[#This Row],[ (RESV. STORGE) BER]]/10</f>
        <v>0</v>
      </c>
      <c r="AI258" s="44"/>
      <c r="AJ258" s="45">
        <f>Table6[[#This Row],[(A/B) AJD]]-TABL12345[[#This Row],[BER_IN]]</f>
        <v>0</v>
      </c>
      <c r="AK258" s="45"/>
      <c r="AL258" s="45"/>
      <c r="AM258" s="32"/>
      <c r="AN258" s="32">
        <f>Table6[[#This Row],[ (RESV. STORGE) SER]]/10</f>
        <v>0</v>
      </c>
      <c r="AO258" s="68"/>
      <c r="AP258" s="103">
        <f>Table6[[#This Row],[(A/S) AJD]]-Table6[[#This Row],[SER_IN]]</f>
        <v>0</v>
      </c>
    </row>
    <row r="259" spans="1:42" ht="18.75" x14ac:dyDescent="0.25">
      <c r="A259" s="10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Table6[[#This Row],[ (T/B) SAR]]+Table6[[#This Row],[ (S/S) SAR]]</f>
        <v>0</v>
      </c>
      <c r="L259" s="41"/>
      <c r="M259" s="42"/>
      <c r="N259" s="42"/>
      <c r="O259" s="39"/>
      <c r="P259" s="9">
        <f>Table6[[#This Row],[ (S/S) SAR]]-Table6[[#This Row],[(S/S) AJD]]</f>
        <v>0</v>
      </c>
      <c r="Q259" s="39"/>
      <c r="R259" s="9">
        <f>Table6[[#This Row],[ (T/B) SAR]]-Table6[[#This Row],[(T/B) AJD]]</f>
        <v>0</v>
      </c>
      <c r="S259" s="9">
        <f>Table6[[#This Row],[S/S_CON.]]+Table6[[#This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Table6[[#This Row],[(RESV. STORGE) AJD]]/10</f>
        <v>0</v>
      </c>
      <c r="AB259" s="3">
        <f t="shared" si="15"/>
        <v>0</v>
      </c>
      <c r="AC259" s="5"/>
      <c r="AD259" s="39">
        <f>(Table6[[#This Row],[( S/S+T/B) AJD]]*1000)-((Table6[[#This Row],[(STORGE DIFF.) AJD]]*1000)+Table6[[#This Row],[AJD_Evaporation]]+(Table6[[#This Row],[(A/B + A/S) AJD]]*1000))</f>
        <v>0</v>
      </c>
      <c r="AE259" s="41"/>
      <c r="AF259" s="43"/>
      <c r="AG259" s="43"/>
      <c r="AH259" s="6">
        <f>Table6[[#This Row],[ (RESV. STORGE) BER]]/10</f>
        <v>0</v>
      </c>
      <c r="AI259" s="41"/>
      <c r="AJ259" s="43">
        <f>Table6[[#This Row],[(A/B) AJD]]-TABL12345[[#This Row],[BER_IN]]</f>
        <v>0</v>
      </c>
      <c r="AK259" s="43"/>
      <c r="AL259" s="43"/>
      <c r="AM259" s="32"/>
      <c r="AN259" s="32">
        <f>Table6[[#This Row],[ (RESV. STORGE) SER]]/10</f>
        <v>0</v>
      </c>
      <c r="AO259" s="68"/>
      <c r="AP259" s="103">
        <f>Table6[[#This Row],[(A/S) AJD]]-Table6[[#This Row],[SER_IN]]</f>
        <v>0</v>
      </c>
    </row>
    <row r="260" spans="1:42" ht="18.75" x14ac:dyDescent="0.25">
      <c r="A260" s="10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Table6[[#This Row],[ (T/B) SAR]]+Table6[[#This Row],[ (S/S) SAR]]</f>
        <v>0</v>
      </c>
      <c r="L260" s="45"/>
      <c r="M260" s="46"/>
      <c r="N260" s="46"/>
      <c r="O260" s="40"/>
      <c r="P260" s="9">
        <f>Table6[[#This Row],[ (S/S) SAR]]-Table6[[#This Row],[(S/S) AJD]]</f>
        <v>0</v>
      </c>
      <c r="Q260" s="40"/>
      <c r="R260" s="9">
        <f>Table6[[#This Row],[ (T/B) SAR]]-Table6[[#This Row],[(T/B) AJD]]</f>
        <v>0</v>
      </c>
      <c r="S260" s="9">
        <f>Table6[[#This Row],[S/S_CON.]]+Table6[[#This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Table6[[#This Row],[(RESV. STORGE) AJD]]/10</f>
        <v>0</v>
      </c>
      <c r="AB260" s="3">
        <f t="shared" ref="AB260:AB323" si="19">IF(TRIM(Z260)="",,(Z260-Z259)/1000)</f>
        <v>0</v>
      </c>
      <c r="AC260" s="5"/>
      <c r="AD260" s="40">
        <f>(Table6[[#This Row],[( S/S+T/B) AJD]]*1000)-((Table6[[#This Row],[(STORGE DIFF.) AJD]]*1000)+Table6[[#This Row],[AJD_Evaporation]]+(Table6[[#This Row],[(A/B + A/S) AJD]]*1000))</f>
        <v>0</v>
      </c>
      <c r="AE260" s="44"/>
      <c r="AF260" s="45"/>
      <c r="AG260" s="45"/>
      <c r="AH260" s="6">
        <f>Table6[[#This Row],[ (RESV. STORGE) BER]]/10</f>
        <v>0</v>
      </c>
      <c r="AI260" s="44"/>
      <c r="AJ260" s="45">
        <f>Table6[[#This Row],[(A/B) AJD]]-TABL12345[[#This Row],[BER_IN]]</f>
        <v>0</v>
      </c>
      <c r="AK260" s="45"/>
      <c r="AL260" s="45"/>
      <c r="AM260" s="32"/>
      <c r="AN260" s="32">
        <f>Table6[[#This Row],[ (RESV. STORGE) SER]]/10</f>
        <v>0</v>
      </c>
      <c r="AO260" s="68"/>
      <c r="AP260" s="103">
        <f>Table6[[#This Row],[(A/S) AJD]]-Table6[[#This Row],[SER_IN]]</f>
        <v>0</v>
      </c>
    </row>
    <row r="261" spans="1:42" ht="18.75" x14ac:dyDescent="0.25">
      <c r="A261" s="10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Table6[[#This Row],[ (T/B) SAR]]+Table6[[#This Row],[ (S/S) SAR]]</f>
        <v>0</v>
      </c>
      <c r="L261" s="41"/>
      <c r="M261" s="42"/>
      <c r="N261" s="42"/>
      <c r="O261" s="39"/>
      <c r="P261" s="9">
        <f>Table6[[#This Row],[ (S/S) SAR]]-Table6[[#This Row],[(S/S) AJD]]</f>
        <v>0</v>
      </c>
      <c r="Q261" s="39"/>
      <c r="R261" s="9">
        <f>Table6[[#This Row],[ (T/B) SAR]]-Table6[[#This Row],[(T/B) AJD]]</f>
        <v>0</v>
      </c>
      <c r="S261" s="9">
        <f>Table6[[#This Row],[S/S_CON.]]+Table6[[#This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Table6[[#This Row],[(RESV. STORGE) AJD]]/10</f>
        <v>0</v>
      </c>
      <c r="AB261" s="3">
        <f t="shared" si="19"/>
        <v>0</v>
      </c>
      <c r="AC261" s="5"/>
      <c r="AD261" s="39">
        <f>(Table6[[#This Row],[( S/S+T/B) AJD]]*1000)-((Table6[[#This Row],[(STORGE DIFF.) AJD]]*1000)+Table6[[#This Row],[AJD_Evaporation]]+(Table6[[#This Row],[(A/B + A/S) AJD]]*1000))</f>
        <v>0</v>
      </c>
      <c r="AE261" s="41"/>
      <c r="AF261" s="43"/>
      <c r="AG261" s="43"/>
      <c r="AH261" s="6">
        <f>Table6[[#This Row],[ (RESV. STORGE) BER]]/10</f>
        <v>0</v>
      </c>
      <c r="AI261" s="41"/>
      <c r="AJ261" s="43">
        <f>Table6[[#This Row],[(A/B) AJD]]-TABL12345[[#This Row],[BER_IN]]</f>
        <v>0</v>
      </c>
      <c r="AK261" s="43"/>
      <c r="AL261" s="43"/>
      <c r="AM261" s="32"/>
      <c r="AN261" s="32">
        <f>Table6[[#This Row],[ (RESV. STORGE) SER]]/10</f>
        <v>0</v>
      </c>
      <c r="AO261" s="68"/>
      <c r="AP261" s="103">
        <f>Table6[[#This Row],[(A/S) AJD]]-Table6[[#This Row],[SER_IN]]</f>
        <v>0</v>
      </c>
    </row>
    <row r="262" spans="1:42" ht="18.75" x14ac:dyDescent="0.25">
      <c r="A262" s="10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Table6[[#This Row],[ (T/B) SAR]]+Table6[[#This Row],[ (S/S) SAR]]</f>
        <v>0</v>
      </c>
      <c r="L262" s="45"/>
      <c r="M262" s="46"/>
      <c r="N262" s="46"/>
      <c r="O262" s="40"/>
      <c r="P262" s="9">
        <f>Table6[[#This Row],[ (S/S) SAR]]-Table6[[#This Row],[(S/S) AJD]]</f>
        <v>0</v>
      </c>
      <c r="Q262" s="40"/>
      <c r="R262" s="9">
        <f>Table6[[#This Row],[ (T/B) SAR]]-Table6[[#This Row],[(T/B) AJD]]</f>
        <v>0</v>
      </c>
      <c r="S262" s="9">
        <f>Table6[[#This Row],[S/S_CON.]]+Table6[[#This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Table6[[#This Row],[(RESV. STORGE) AJD]]/10</f>
        <v>0</v>
      </c>
      <c r="AB262" s="3">
        <f t="shared" si="19"/>
        <v>0</v>
      </c>
      <c r="AC262" s="5"/>
      <c r="AD262" s="40">
        <f>(Table6[[#This Row],[( S/S+T/B) AJD]]*1000)-((Table6[[#This Row],[(STORGE DIFF.) AJD]]*1000)+Table6[[#This Row],[AJD_Evaporation]]+(Table6[[#This Row],[(A/B + A/S) AJD]]*1000))</f>
        <v>0</v>
      </c>
      <c r="AE262" s="44"/>
      <c r="AF262" s="45"/>
      <c r="AG262" s="45"/>
      <c r="AH262" s="6">
        <f>Table6[[#This Row],[ (RESV. STORGE) BER]]/10</f>
        <v>0</v>
      </c>
      <c r="AI262" s="44"/>
      <c r="AJ262" s="45">
        <f>Table6[[#This Row],[(A/B) AJD]]-TABL12345[[#This Row],[BER_IN]]</f>
        <v>0</v>
      </c>
      <c r="AK262" s="45"/>
      <c r="AL262" s="45"/>
      <c r="AM262" s="32"/>
      <c r="AN262" s="32">
        <f>Table6[[#This Row],[ (RESV. STORGE) SER]]/10</f>
        <v>0</v>
      </c>
      <c r="AO262" s="68"/>
      <c r="AP262" s="103">
        <f>Table6[[#This Row],[(A/S) AJD]]-Table6[[#This Row],[SER_IN]]</f>
        <v>0</v>
      </c>
    </row>
    <row r="263" spans="1:42" ht="18.75" x14ac:dyDescent="0.25">
      <c r="A263" s="10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Table6[[#This Row],[ (T/B) SAR]]+Table6[[#This Row],[ (S/S) SAR]]</f>
        <v>0</v>
      </c>
      <c r="L263" s="41"/>
      <c r="M263" s="42"/>
      <c r="N263" s="42"/>
      <c r="O263" s="39"/>
      <c r="P263" s="9">
        <f>Table6[[#This Row],[ (S/S) SAR]]-Table6[[#This Row],[(S/S) AJD]]</f>
        <v>0</v>
      </c>
      <c r="Q263" s="39"/>
      <c r="R263" s="9">
        <f>Table6[[#This Row],[ (T/B) SAR]]-Table6[[#This Row],[(T/B) AJD]]</f>
        <v>0</v>
      </c>
      <c r="S263" s="9">
        <f>Table6[[#This Row],[S/S_CON.]]+Table6[[#This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Table6[[#This Row],[(RESV. STORGE) AJD]]/10</f>
        <v>0</v>
      </c>
      <c r="AB263" s="3">
        <f t="shared" si="19"/>
        <v>0</v>
      </c>
      <c r="AC263" s="5"/>
      <c r="AD263" s="39">
        <f>(Table6[[#This Row],[( S/S+T/B) AJD]]*1000)-((Table6[[#This Row],[(STORGE DIFF.) AJD]]*1000)+Table6[[#This Row],[AJD_Evaporation]]+(Table6[[#This Row],[(A/B + A/S) AJD]]*1000))</f>
        <v>0</v>
      </c>
      <c r="AE263" s="41"/>
      <c r="AF263" s="43"/>
      <c r="AG263" s="43"/>
      <c r="AH263" s="6">
        <f>Table6[[#This Row],[ (RESV. STORGE) BER]]/10</f>
        <v>0</v>
      </c>
      <c r="AI263" s="41"/>
      <c r="AJ263" s="43">
        <f>Table6[[#This Row],[(A/B) AJD]]-TABL12345[[#This Row],[BER_IN]]</f>
        <v>0</v>
      </c>
      <c r="AK263" s="43"/>
      <c r="AL263" s="43"/>
      <c r="AM263" s="32"/>
      <c r="AN263" s="32">
        <f>Table6[[#This Row],[ (RESV. STORGE) SER]]/10</f>
        <v>0</v>
      </c>
      <c r="AO263" s="68"/>
      <c r="AP263" s="103">
        <f>Table6[[#This Row],[(A/S) AJD]]-Table6[[#This Row],[SER_IN]]</f>
        <v>0</v>
      </c>
    </row>
    <row r="264" spans="1:42" ht="18.75" x14ac:dyDescent="0.25">
      <c r="A264" s="10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Table6[[#This Row],[ (T/B) SAR]]+Table6[[#This Row],[ (S/S) SAR]]</f>
        <v>0</v>
      </c>
      <c r="L264" s="45"/>
      <c r="M264" s="46"/>
      <c r="N264" s="46"/>
      <c r="O264" s="40"/>
      <c r="P264" s="9">
        <f>Table6[[#This Row],[ (S/S) SAR]]-Table6[[#This Row],[(S/S) AJD]]</f>
        <v>0</v>
      </c>
      <c r="Q264" s="40"/>
      <c r="R264" s="9">
        <f>Table6[[#This Row],[ (T/B) SAR]]-Table6[[#This Row],[(T/B) AJD]]</f>
        <v>0</v>
      </c>
      <c r="S264" s="9">
        <f>Table6[[#This Row],[S/S_CON.]]+Table6[[#This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Table6[[#This Row],[(RESV. STORGE) AJD]]/10</f>
        <v>0</v>
      </c>
      <c r="AB264" s="3">
        <f t="shared" si="19"/>
        <v>0</v>
      </c>
      <c r="AC264" s="5"/>
      <c r="AD264" s="40">
        <f>(Table6[[#This Row],[( S/S+T/B) AJD]]*1000)-((Table6[[#This Row],[(STORGE DIFF.) AJD]]*1000)+Table6[[#This Row],[AJD_Evaporation]]+(Table6[[#This Row],[(A/B + A/S) AJD]]*1000))</f>
        <v>0</v>
      </c>
      <c r="AE264" s="44"/>
      <c r="AF264" s="45"/>
      <c r="AG264" s="45"/>
      <c r="AH264" s="6">
        <f>Table6[[#This Row],[ (RESV. STORGE) BER]]/10</f>
        <v>0</v>
      </c>
      <c r="AI264" s="44"/>
      <c r="AJ264" s="45">
        <f>Table6[[#This Row],[(A/B) AJD]]-TABL12345[[#This Row],[BER_IN]]</f>
        <v>0</v>
      </c>
      <c r="AK264" s="45"/>
      <c r="AL264" s="45"/>
      <c r="AM264" s="32"/>
      <c r="AN264" s="32">
        <f>Table6[[#This Row],[ (RESV. STORGE) SER]]/10</f>
        <v>0</v>
      </c>
      <c r="AO264" s="68"/>
      <c r="AP264" s="103">
        <f>Table6[[#This Row],[(A/S) AJD]]-Table6[[#This Row],[SER_IN]]</f>
        <v>0</v>
      </c>
    </row>
    <row r="265" spans="1:42" ht="18.75" x14ac:dyDescent="0.25">
      <c r="A265" s="10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Table6[[#This Row],[ (T/B) SAR]]+Table6[[#This Row],[ (S/S) SAR]]</f>
        <v>0</v>
      </c>
      <c r="L265" s="41"/>
      <c r="M265" s="42"/>
      <c r="N265" s="42"/>
      <c r="O265" s="39"/>
      <c r="P265" s="9">
        <f>Table6[[#This Row],[ (S/S) SAR]]-Table6[[#This Row],[(S/S) AJD]]</f>
        <v>0</v>
      </c>
      <c r="Q265" s="39"/>
      <c r="R265" s="9">
        <f>Table6[[#This Row],[ (T/B) SAR]]-Table6[[#This Row],[(T/B) AJD]]</f>
        <v>0</v>
      </c>
      <c r="S265" s="9">
        <f>Table6[[#This Row],[S/S_CON.]]+Table6[[#This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Table6[[#This Row],[(RESV. STORGE) AJD]]/10</f>
        <v>0</v>
      </c>
      <c r="AB265" s="3">
        <f t="shared" si="19"/>
        <v>0</v>
      </c>
      <c r="AC265" s="5"/>
      <c r="AD265" s="39">
        <f>(Table6[[#This Row],[( S/S+T/B) AJD]]*1000)-((Table6[[#This Row],[(STORGE DIFF.) AJD]]*1000)+Table6[[#This Row],[AJD_Evaporation]]+(Table6[[#This Row],[(A/B + A/S) AJD]]*1000))</f>
        <v>0</v>
      </c>
      <c r="AE265" s="41"/>
      <c r="AF265" s="43"/>
      <c r="AG265" s="43"/>
      <c r="AH265" s="6">
        <f>Table6[[#This Row],[ (RESV. STORGE) BER]]/10</f>
        <v>0</v>
      </c>
      <c r="AI265" s="41"/>
      <c r="AJ265" s="43">
        <f>Table6[[#This Row],[(A/B) AJD]]-TABL12345[[#This Row],[BER_IN]]</f>
        <v>0</v>
      </c>
      <c r="AK265" s="43"/>
      <c r="AL265" s="43"/>
      <c r="AM265" s="32"/>
      <c r="AN265" s="32">
        <f>Table6[[#This Row],[ (RESV. STORGE) SER]]/10</f>
        <v>0</v>
      </c>
      <c r="AO265" s="68"/>
      <c r="AP265" s="103">
        <f>Table6[[#This Row],[(A/S) AJD]]-Table6[[#This Row],[SER_IN]]</f>
        <v>0</v>
      </c>
    </row>
    <row r="266" spans="1:42" ht="18.75" x14ac:dyDescent="0.25">
      <c r="A266" s="10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Table6[[#This Row],[ (T/B) SAR]]+Table6[[#This Row],[ (S/S) SAR]]</f>
        <v>0</v>
      </c>
      <c r="L266" s="45"/>
      <c r="M266" s="46"/>
      <c r="N266" s="46"/>
      <c r="O266" s="40"/>
      <c r="P266" s="9">
        <f>Table6[[#This Row],[ (S/S) SAR]]-Table6[[#This Row],[(S/S) AJD]]</f>
        <v>0</v>
      </c>
      <c r="Q266" s="40"/>
      <c r="R266" s="9">
        <f>Table6[[#This Row],[ (T/B) SAR]]-Table6[[#This Row],[(T/B) AJD]]</f>
        <v>0</v>
      </c>
      <c r="S266" s="9">
        <f>Table6[[#This Row],[S/S_CON.]]+Table6[[#This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Table6[[#This Row],[(RESV. STORGE) AJD]]/10</f>
        <v>0</v>
      </c>
      <c r="AB266" s="3">
        <f t="shared" si="19"/>
        <v>0</v>
      </c>
      <c r="AC266" s="5"/>
      <c r="AD266" s="40">
        <f>(Table6[[#This Row],[( S/S+T/B) AJD]]*1000)-((Table6[[#This Row],[(STORGE DIFF.) AJD]]*1000)+Table6[[#This Row],[AJD_Evaporation]]+(Table6[[#This Row],[(A/B + A/S) AJD]]*1000))</f>
        <v>0</v>
      </c>
      <c r="AE266" s="44"/>
      <c r="AF266" s="45"/>
      <c r="AG266" s="45"/>
      <c r="AH266" s="6">
        <f>Table6[[#This Row],[ (RESV. STORGE) BER]]/10</f>
        <v>0</v>
      </c>
      <c r="AI266" s="44"/>
      <c r="AJ266" s="45">
        <f>Table6[[#This Row],[(A/B) AJD]]-TABL12345[[#This Row],[BER_IN]]</f>
        <v>0</v>
      </c>
      <c r="AK266" s="45"/>
      <c r="AL266" s="45"/>
      <c r="AM266" s="32"/>
      <c r="AN266" s="32">
        <f>Table6[[#This Row],[ (RESV. STORGE) SER]]/10</f>
        <v>0</v>
      </c>
      <c r="AO266" s="68"/>
      <c r="AP266" s="103">
        <f>Table6[[#This Row],[(A/S) AJD]]-Table6[[#This Row],[SER_IN]]</f>
        <v>0</v>
      </c>
    </row>
    <row r="267" spans="1:42" ht="18.75" x14ac:dyDescent="0.25">
      <c r="A267" s="10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Table6[[#This Row],[ (T/B) SAR]]+Table6[[#This Row],[ (S/S) SAR]]</f>
        <v>0</v>
      </c>
      <c r="L267" s="41"/>
      <c r="M267" s="42"/>
      <c r="N267" s="42"/>
      <c r="O267" s="39"/>
      <c r="P267" s="9">
        <f>Table6[[#This Row],[ (S/S) SAR]]-Table6[[#This Row],[(S/S) AJD]]</f>
        <v>0</v>
      </c>
      <c r="Q267" s="39"/>
      <c r="R267" s="9">
        <f>Table6[[#This Row],[ (T/B) SAR]]-Table6[[#This Row],[(T/B) AJD]]</f>
        <v>0</v>
      </c>
      <c r="S267" s="9">
        <f>Table6[[#This Row],[S/S_CON.]]+Table6[[#This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Table6[[#This Row],[(RESV. STORGE) AJD]]/10</f>
        <v>0</v>
      </c>
      <c r="AB267" s="3">
        <f t="shared" si="19"/>
        <v>0</v>
      </c>
      <c r="AC267" s="5"/>
      <c r="AD267" s="39">
        <f>(Table6[[#This Row],[( S/S+T/B) AJD]]*1000)-((Table6[[#This Row],[(STORGE DIFF.) AJD]]*1000)+Table6[[#This Row],[AJD_Evaporation]]+(Table6[[#This Row],[(A/B + A/S) AJD]]*1000))</f>
        <v>0</v>
      </c>
      <c r="AE267" s="41"/>
      <c r="AF267" s="43"/>
      <c r="AG267" s="43"/>
      <c r="AH267" s="6">
        <f>Table6[[#This Row],[ (RESV. STORGE) BER]]/10</f>
        <v>0</v>
      </c>
      <c r="AI267" s="41"/>
      <c r="AJ267" s="43">
        <f>Table6[[#This Row],[(A/B) AJD]]-TABL12345[[#This Row],[BER_IN]]</f>
        <v>0</v>
      </c>
      <c r="AK267" s="43"/>
      <c r="AL267" s="43"/>
      <c r="AM267" s="32"/>
      <c r="AN267" s="32">
        <f>Table6[[#This Row],[ (RESV. STORGE) SER]]/10</f>
        <v>0</v>
      </c>
      <c r="AO267" s="68"/>
      <c r="AP267" s="103">
        <f>Table6[[#This Row],[(A/S) AJD]]-Table6[[#This Row],[SER_IN]]</f>
        <v>0</v>
      </c>
    </row>
    <row r="268" spans="1:42" ht="18.75" x14ac:dyDescent="0.25">
      <c r="A268" s="10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Table6[[#This Row],[ (T/B) SAR]]+Table6[[#This Row],[ (S/S) SAR]]</f>
        <v>0</v>
      </c>
      <c r="L268" s="45"/>
      <c r="M268" s="46"/>
      <c r="N268" s="46"/>
      <c r="O268" s="40"/>
      <c r="P268" s="9">
        <f>Table6[[#This Row],[ (S/S) SAR]]-Table6[[#This Row],[(S/S) AJD]]</f>
        <v>0</v>
      </c>
      <c r="Q268" s="40"/>
      <c r="R268" s="9">
        <f>Table6[[#This Row],[ (T/B) SAR]]-Table6[[#This Row],[(T/B) AJD]]</f>
        <v>0</v>
      </c>
      <c r="S268" s="9">
        <f>Table6[[#This Row],[S/S_CON.]]+Table6[[#This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Table6[[#This Row],[(RESV. STORGE) AJD]]/10</f>
        <v>0</v>
      </c>
      <c r="AB268" s="3">
        <f t="shared" si="19"/>
        <v>0</v>
      </c>
      <c r="AC268" s="5"/>
      <c r="AD268" s="40">
        <f>(Table6[[#This Row],[( S/S+T/B) AJD]]*1000)-((Table6[[#This Row],[(STORGE DIFF.) AJD]]*1000)+Table6[[#This Row],[AJD_Evaporation]]+(Table6[[#This Row],[(A/B + A/S) AJD]]*1000))</f>
        <v>0</v>
      </c>
      <c r="AE268" s="44"/>
      <c r="AF268" s="45"/>
      <c r="AG268" s="45"/>
      <c r="AH268" s="6">
        <f>Table6[[#This Row],[ (RESV. STORGE) BER]]/10</f>
        <v>0</v>
      </c>
      <c r="AI268" s="44"/>
      <c r="AJ268" s="45">
        <f>Table6[[#This Row],[(A/B) AJD]]-TABL12345[[#This Row],[BER_IN]]</f>
        <v>0</v>
      </c>
      <c r="AK268" s="45"/>
      <c r="AL268" s="45"/>
      <c r="AM268" s="32"/>
      <c r="AN268" s="32">
        <f>Table6[[#This Row],[ (RESV. STORGE) SER]]/10</f>
        <v>0</v>
      </c>
      <c r="AO268" s="68"/>
      <c r="AP268" s="103">
        <f>Table6[[#This Row],[(A/S) AJD]]-Table6[[#This Row],[SER_IN]]</f>
        <v>0</v>
      </c>
    </row>
    <row r="269" spans="1:42" ht="18.75" x14ac:dyDescent="0.25">
      <c r="A269" s="10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Table6[[#This Row],[ (T/B) SAR]]+Table6[[#This Row],[ (S/S) SAR]]</f>
        <v>0</v>
      </c>
      <c r="L269" s="41"/>
      <c r="M269" s="42"/>
      <c r="N269" s="42"/>
      <c r="O269" s="39"/>
      <c r="P269" s="9">
        <f>Table6[[#This Row],[ (S/S) SAR]]-Table6[[#This Row],[(S/S) AJD]]</f>
        <v>0</v>
      </c>
      <c r="Q269" s="39"/>
      <c r="R269" s="9">
        <f>Table6[[#This Row],[ (T/B) SAR]]-Table6[[#This Row],[(T/B) AJD]]</f>
        <v>0</v>
      </c>
      <c r="S269" s="9">
        <f>Table6[[#This Row],[S/S_CON.]]+Table6[[#This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Table6[[#This Row],[(RESV. STORGE) AJD]]/10</f>
        <v>0</v>
      </c>
      <c r="AB269" s="3">
        <f t="shared" si="19"/>
        <v>0</v>
      </c>
      <c r="AC269" s="5"/>
      <c r="AD269" s="39">
        <f>(Table6[[#This Row],[( S/S+T/B) AJD]]*1000)-((Table6[[#This Row],[(STORGE DIFF.) AJD]]*1000)+Table6[[#This Row],[AJD_Evaporation]]+(Table6[[#This Row],[(A/B + A/S) AJD]]*1000))</f>
        <v>0</v>
      </c>
      <c r="AE269" s="41"/>
      <c r="AF269" s="43"/>
      <c r="AG269" s="43"/>
      <c r="AH269" s="6">
        <f>Table6[[#This Row],[ (RESV. STORGE) BER]]/10</f>
        <v>0</v>
      </c>
      <c r="AI269" s="41"/>
      <c r="AJ269" s="43">
        <f>Table6[[#This Row],[(A/B) AJD]]-TABL12345[[#This Row],[BER_IN]]</f>
        <v>0</v>
      </c>
      <c r="AK269" s="43"/>
      <c r="AL269" s="43"/>
      <c r="AM269" s="32"/>
      <c r="AN269" s="32">
        <f>Table6[[#This Row],[ (RESV. STORGE) SER]]/10</f>
        <v>0</v>
      </c>
      <c r="AO269" s="68"/>
      <c r="AP269" s="103">
        <f>Table6[[#This Row],[(A/S) AJD]]-Table6[[#This Row],[SER_IN]]</f>
        <v>0</v>
      </c>
    </row>
    <row r="270" spans="1:42" ht="18.75" x14ac:dyDescent="0.25">
      <c r="A270" s="10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Table6[[#This Row],[ (T/B) SAR]]+Table6[[#This Row],[ (S/S) SAR]]</f>
        <v>0</v>
      </c>
      <c r="L270" s="45"/>
      <c r="M270" s="46"/>
      <c r="N270" s="46"/>
      <c r="O270" s="40"/>
      <c r="P270" s="9">
        <f>Table6[[#This Row],[ (S/S) SAR]]-Table6[[#This Row],[(S/S) AJD]]</f>
        <v>0</v>
      </c>
      <c r="Q270" s="40"/>
      <c r="R270" s="9">
        <f>Table6[[#This Row],[ (T/B) SAR]]-Table6[[#This Row],[(T/B) AJD]]</f>
        <v>0</v>
      </c>
      <c r="S270" s="9">
        <f>Table6[[#This Row],[S/S_CON.]]+Table6[[#This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Table6[[#This Row],[(RESV. STORGE) AJD]]/10</f>
        <v>0</v>
      </c>
      <c r="AB270" s="3">
        <f t="shared" si="19"/>
        <v>0</v>
      </c>
      <c r="AC270" s="5"/>
      <c r="AD270" s="40">
        <f>(Table6[[#This Row],[( S/S+T/B) AJD]]*1000)-((Table6[[#This Row],[(STORGE DIFF.) AJD]]*1000)+Table6[[#This Row],[AJD_Evaporation]]+(Table6[[#This Row],[(A/B + A/S) AJD]]*1000))</f>
        <v>0</v>
      </c>
      <c r="AE270" s="44"/>
      <c r="AF270" s="45"/>
      <c r="AG270" s="45"/>
      <c r="AH270" s="6">
        <f>Table6[[#This Row],[ (RESV. STORGE) BER]]/10</f>
        <v>0</v>
      </c>
      <c r="AI270" s="44"/>
      <c r="AJ270" s="45">
        <f>Table6[[#This Row],[(A/B) AJD]]-TABL12345[[#This Row],[BER_IN]]</f>
        <v>0</v>
      </c>
      <c r="AK270" s="45"/>
      <c r="AL270" s="45"/>
      <c r="AM270" s="32"/>
      <c r="AN270" s="32">
        <f>Table6[[#This Row],[ (RESV. STORGE) SER]]/10</f>
        <v>0</v>
      </c>
      <c r="AO270" s="68"/>
      <c r="AP270" s="103">
        <f>Table6[[#This Row],[(A/S) AJD]]-Table6[[#This Row],[SER_IN]]</f>
        <v>0</v>
      </c>
    </row>
    <row r="271" spans="1:42" ht="18.75" x14ac:dyDescent="0.25">
      <c r="A271" s="10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Table6[[#This Row],[ (T/B) SAR]]+Table6[[#This Row],[ (S/S) SAR]]</f>
        <v>0</v>
      </c>
      <c r="L271" s="41"/>
      <c r="M271" s="42"/>
      <c r="N271" s="42"/>
      <c r="O271" s="39"/>
      <c r="P271" s="9">
        <f>Table6[[#This Row],[ (S/S) SAR]]-Table6[[#This Row],[(S/S) AJD]]</f>
        <v>0</v>
      </c>
      <c r="Q271" s="9"/>
      <c r="R271" s="9">
        <f>Table6[[#This Row],[ (T/B) SAR]]-Table6[[#This Row],[(T/B) AJD]]</f>
        <v>0</v>
      </c>
      <c r="S271" s="9">
        <f>Table6[[#This Row],[S/S_CON.]]+Table6[[#This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Table6[[#This Row],[(RESV. STORGE) AJD]]/10</f>
        <v>0</v>
      </c>
      <c r="AB271" s="3">
        <f t="shared" si="19"/>
        <v>0</v>
      </c>
      <c r="AC271" s="5"/>
      <c r="AD271" s="39">
        <f>(Table6[[#This Row],[( S/S+T/B) AJD]]*1000)-((Table6[[#This Row],[(STORGE DIFF.) AJD]]*1000)+Table6[[#This Row],[AJD_Evaporation]]+(Table6[[#This Row],[(A/B + A/S) AJD]]*1000))</f>
        <v>0</v>
      </c>
      <c r="AE271" s="41"/>
      <c r="AF271" s="43"/>
      <c r="AG271" s="43"/>
      <c r="AH271" s="6">
        <f>Table6[[#This Row],[ (RESV. STORGE) BER]]/10</f>
        <v>0</v>
      </c>
      <c r="AI271" s="41"/>
      <c r="AJ271" s="43">
        <f>Table6[[#This Row],[(A/B) AJD]]-TABL12345[[#This Row],[BER_IN]]</f>
        <v>0</v>
      </c>
      <c r="AK271" s="43"/>
      <c r="AL271" s="43"/>
      <c r="AM271" s="32"/>
      <c r="AN271" s="32">
        <f>Table6[[#This Row],[ (RESV. STORGE) SER]]/10</f>
        <v>0</v>
      </c>
      <c r="AO271" s="68"/>
      <c r="AP271" s="103">
        <f>Table6[[#This Row],[(A/S) AJD]]-Table6[[#This Row],[SER_IN]]</f>
        <v>0</v>
      </c>
    </row>
    <row r="272" spans="1:42" ht="18.75" x14ac:dyDescent="0.25">
      <c r="A272" s="10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Table6[[#This Row],[ (T/B) SAR]]+Table6[[#This Row],[ (S/S) SAR]]</f>
        <v>0</v>
      </c>
      <c r="L272" s="45"/>
      <c r="M272" s="46"/>
      <c r="N272" s="46"/>
      <c r="O272" s="9"/>
      <c r="P272" s="9">
        <f>Table6[[#This Row],[ (S/S) SAR]]-Table6[[#This Row],[(S/S) AJD]]</f>
        <v>0</v>
      </c>
      <c r="Q272" s="9"/>
      <c r="R272" s="9">
        <f>Table6[[#This Row],[ (T/B) SAR]]-Table6[[#This Row],[(T/B) AJD]]</f>
        <v>0</v>
      </c>
      <c r="S272" s="9">
        <f>Table6[[#This Row],[S/S_CON.]]+Table6[[#This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Table6[[#This Row],[(RESV. STORGE) AJD]]/10</f>
        <v>0</v>
      </c>
      <c r="AB272" s="3">
        <f t="shared" si="19"/>
        <v>0</v>
      </c>
      <c r="AC272" s="5"/>
      <c r="AD272" s="40">
        <f>(Table6[[#This Row],[( S/S+T/B) AJD]]*1000)-((Table6[[#This Row],[(STORGE DIFF.) AJD]]*1000)+Table6[[#This Row],[AJD_Evaporation]]+(Table6[[#This Row],[(A/B + A/S) AJD]]*1000))</f>
        <v>0</v>
      </c>
      <c r="AE272" s="44"/>
      <c r="AF272" s="45"/>
      <c r="AG272" s="45"/>
      <c r="AH272" s="6">
        <f>Table6[[#This Row],[ (RESV. STORGE) BER]]/10</f>
        <v>0</v>
      </c>
      <c r="AI272" s="6"/>
      <c r="AJ272" s="33">
        <f>Table6[[#This Row],[(A/B) AJD]]-TABL12345[[#This Row],[BER_IN]]</f>
        <v>0</v>
      </c>
      <c r="AK272" s="6"/>
      <c r="AL272" s="6"/>
      <c r="AM272" s="32"/>
      <c r="AN272" s="32">
        <f>Table6[[#This Row],[ (RESV. STORGE) SER]]/10</f>
        <v>0</v>
      </c>
      <c r="AO272" s="68"/>
      <c r="AP272" s="103">
        <f>Table6[[#This Row],[(A/S) AJD]]-Table6[[#This Row],[SER_IN]]</f>
        <v>0</v>
      </c>
    </row>
    <row r="273" spans="1:42" ht="18.75" x14ac:dyDescent="0.25">
      <c r="A273" s="10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Table6[[#This Row],[ (T/B) SAR]]+Table6[[#This Row],[ (S/S) SAR]]</f>
        <v>0</v>
      </c>
      <c r="L273" s="28"/>
      <c r="M273" s="29"/>
      <c r="N273" s="30"/>
      <c r="O273" s="9"/>
      <c r="P273" s="9">
        <f>Table6[[#This Row],[ (S/S) SAR]]-Table6[[#This Row],[(S/S) AJD]]</f>
        <v>0</v>
      </c>
      <c r="Q273" s="9"/>
      <c r="R273" s="9">
        <f>Table6[[#This Row],[ (T/B) SAR]]-Table6[[#This Row],[(T/B) AJD]]</f>
        <v>0</v>
      </c>
      <c r="S273" s="9">
        <f>Table6[[#This Row],[S/S_CON.]]+Table6[[#This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Table6[[#This Row],[(RESV. STORGE) AJD]]/10</f>
        <v>0</v>
      </c>
      <c r="AB273" s="3">
        <f t="shared" si="19"/>
        <v>0</v>
      </c>
      <c r="AC273" s="5"/>
      <c r="AD273" s="39">
        <f>(Table6[[#This Row],[( S/S+T/B) AJD]]*1000)-((Table6[[#This Row],[(STORGE DIFF.) AJD]]*1000)+Table6[[#This Row],[AJD_Evaporation]]+(Table6[[#This Row],[(A/B + A/S) AJD]]*1000))</f>
        <v>0</v>
      </c>
      <c r="AE273" s="41"/>
      <c r="AF273" s="43"/>
      <c r="AG273" s="43"/>
      <c r="AH273" s="6">
        <f>Table6[[#This Row],[ (RESV. STORGE) BER]]/10</f>
        <v>0</v>
      </c>
      <c r="AI273" s="6"/>
      <c r="AJ273" s="33">
        <f>Table6[[#This Row],[(A/B) AJD]]-TABL12345[[#This Row],[BER_IN]]</f>
        <v>0</v>
      </c>
      <c r="AK273" s="6"/>
      <c r="AL273" s="6"/>
      <c r="AM273" s="32"/>
      <c r="AN273" s="32">
        <f>Table6[[#This Row],[ (RESV. STORGE) SER]]/10</f>
        <v>0</v>
      </c>
      <c r="AO273" s="68"/>
      <c r="AP273" s="103">
        <f>Table6[[#This Row],[(A/S) AJD]]-Table6[[#This Row],[SER_IN]]</f>
        <v>0</v>
      </c>
    </row>
    <row r="274" spans="1:42" ht="18.75" x14ac:dyDescent="0.25">
      <c r="A274" s="10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Table6[[#This Row],[ (T/B) SAR]]+Table6[[#This Row],[ (S/S) SAR]]</f>
        <v>0</v>
      </c>
      <c r="L274" s="28"/>
      <c r="M274" s="29"/>
      <c r="N274" s="30"/>
      <c r="O274" s="9"/>
      <c r="P274" s="9">
        <f>Table6[[#This Row],[ (S/S) SAR]]-Table6[[#This Row],[(S/S) AJD]]</f>
        <v>0</v>
      </c>
      <c r="Q274" s="9"/>
      <c r="R274" s="9">
        <f>Table6[[#This Row],[ (T/B) SAR]]-Table6[[#This Row],[(T/B) AJD]]</f>
        <v>0</v>
      </c>
      <c r="S274" s="9">
        <f>Table6[[#This Row],[S/S_CON.]]+Table6[[#This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Table6[[#This Row],[(RESV. STORGE) AJD]]/10</f>
        <v>0</v>
      </c>
      <c r="AB274" s="3">
        <f t="shared" si="19"/>
        <v>0</v>
      </c>
      <c r="AC274" s="5"/>
      <c r="AD274" s="6">
        <f>(Table6[[#This Row],[( S/S+T/B) AJD]]*1000)-((Table6[[#This Row],[(STORGE DIFF.) AJD]]*1000)+Table6[[#This Row],[AJD_Evaporation]]+(Table6[[#This Row],[(A/B + A/S) AJD]]*1000))</f>
        <v>0</v>
      </c>
      <c r="AE274" s="33"/>
      <c r="AF274" s="6"/>
      <c r="AG274" s="6"/>
      <c r="AH274" s="6">
        <f>Table6[[#This Row],[ (RESV. STORGE) BER]]/10</f>
        <v>0</v>
      </c>
      <c r="AI274" s="6"/>
      <c r="AJ274" s="33">
        <f>Table6[[#This Row],[(A/B) AJD]]-TABL12345[[#This Row],[BER_IN]]</f>
        <v>0</v>
      </c>
      <c r="AK274" s="6"/>
      <c r="AL274" s="6"/>
      <c r="AM274" s="32"/>
      <c r="AN274" s="32">
        <f>Table6[[#This Row],[ (RESV. STORGE) SER]]/10</f>
        <v>0</v>
      </c>
      <c r="AO274" s="68"/>
      <c r="AP274" s="103">
        <f>Table6[[#This Row],[(A/S) AJD]]-Table6[[#This Row],[SER_IN]]</f>
        <v>0</v>
      </c>
    </row>
    <row r="275" spans="1:42" ht="18.75" x14ac:dyDescent="0.25">
      <c r="A275" s="10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Table6[[#This Row],[ (T/B) SAR]]+Table6[[#This Row],[ (S/S) SAR]]</f>
        <v>0</v>
      </c>
      <c r="L275" s="28"/>
      <c r="M275" s="29"/>
      <c r="N275" s="30"/>
      <c r="O275" s="14"/>
      <c r="P275" s="9">
        <f>Table6[[#This Row],[ (S/S) SAR]]-Table6[[#This Row],[(S/S) AJD]]</f>
        <v>0</v>
      </c>
      <c r="Q275" s="14"/>
      <c r="R275" s="9">
        <f>Table6[[#This Row],[ (T/B) SAR]]-Table6[[#This Row],[(T/B) AJD]]</f>
        <v>0</v>
      </c>
      <c r="S275" s="9">
        <f>Table6[[#This Row],[S/S_CON.]]+Table6[[#This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Table6[[#This Row],[(RESV. STORGE) AJD]]/10</f>
        <v>0</v>
      </c>
      <c r="AB275" s="3">
        <f t="shared" si="19"/>
        <v>0</v>
      </c>
      <c r="AC275" s="5"/>
      <c r="AD275" s="6">
        <f>(Table6[[#This Row],[( S/S+T/B) AJD]]*1000)-((Table6[[#This Row],[(STORGE DIFF.) AJD]]*1000)+Table6[[#This Row],[AJD_Evaporation]]+(Table6[[#This Row],[(A/B + A/S) AJD]]*1000))</f>
        <v>0</v>
      </c>
      <c r="AE275" s="33"/>
      <c r="AF275" s="6"/>
      <c r="AG275" s="6"/>
      <c r="AH275" s="6">
        <f>Table6[[#This Row],[ (RESV. STORGE) BER]]/10</f>
        <v>0</v>
      </c>
      <c r="AI275" s="6"/>
      <c r="AJ275" s="33">
        <f>Table6[[#This Row],[(A/B) AJD]]-TABL12345[[#This Row],[BER_IN]]</f>
        <v>0</v>
      </c>
      <c r="AK275" s="6"/>
      <c r="AL275" s="6"/>
      <c r="AM275" s="32"/>
      <c r="AN275" s="32">
        <f>Table6[[#This Row],[ (RESV. STORGE) SER]]/10</f>
        <v>0</v>
      </c>
      <c r="AO275" s="68"/>
      <c r="AP275" s="103">
        <f>Table6[[#This Row],[(A/S) AJD]]-Table6[[#This Row],[SER_IN]]</f>
        <v>0</v>
      </c>
    </row>
    <row r="276" spans="1:42" ht="18.75" x14ac:dyDescent="0.25">
      <c r="A276" s="10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Table6[[#This Row],[ (T/B) SAR]]+Table6[[#This Row],[ (S/S) SAR]]</f>
        <v>0</v>
      </c>
      <c r="L276" s="28"/>
      <c r="M276" s="29"/>
      <c r="N276" s="30"/>
      <c r="O276" s="14"/>
      <c r="P276" s="9">
        <f>Table6[[#This Row],[ (S/S) SAR]]-Table6[[#This Row],[(S/S) AJD]]</f>
        <v>0</v>
      </c>
      <c r="Q276" s="14"/>
      <c r="R276" s="9">
        <f>Table6[[#This Row],[ (T/B) SAR]]-Table6[[#This Row],[(T/B) AJD]]</f>
        <v>0</v>
      </c>
      <c r="S276" s="9">
        <f>Table6[[#This Row],[S/S_CON.]]+Table6[[#This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Table6[[#This Row],[(RESV. STORGE) AJD]]/10</f>
        <v>0</v>
      </c>
      <c r="AB276" s="3">
        <f t="shared" si="19"/>
        <v>0</v>
      </c>
      <c r="AC276" s="5"/>
      <c r="AD276" s="6">
        <f>(Table6[[#This Row],[( S/S+T/B) AJD]]*1000)-((Table6[[#This Row],[(STORGE DIFF.) AJD]]*1000)+Table6[[#This Row],[AJD_Evaporation]]+(Table6[[#This Row],[(A/B + A/S) AJD]]*1000))</f>
        <v>0</v>
      </c>
      <c r="AE276" s="33"/>
      <c r="AF276" s="6"/>
      <c r="AG276" s="6"/>
      <c r="AH276" s="6">
        <f>Table6[[#This Row],[ (RESV. STORGE) BER]]/10</f>
        <v>0</v>
      </c>
      <c r="AI276" s="6"/>
      <c r="AJ276" s="33">
        <f>Table6[[#This Row],[(A/B) AJD]]-TABL12345[[#This Row],[BER_IN]]</f>
        <v>0</v>
      </c>
      <c r="AK276" s="6"/>
      <c r="AL276" s="6"/>
      <c r="AM276" s="32"/>
      <c r="AN276" s="32">
        <f>Table6[[#This Row],[ (RESV. STORGE) SER]]/10</f>
        <v>0</v>
      </c>
      <c r="AO276" s="68"/>
      <c r="AP276" s="103">
        <f>Table6[[#This Row],[(A/S) AJD]]-Table6[[#This Row],[SER_IN]]</f>
        <v>0</v>
      </c>
    </row>
    <row r="277" spans="1:42" ht="18.75" x14ac:dyDescent="0.25">
      <c r="A277" s="10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Table6[[#This Row],[ (T/B) SAR]]+Table6[[#This Row],[ (S/S) SAR]]</f>
        <v>0</v>
      </c>
      <c r="L277" s="28"/>
      <c r="M277" s="29"/>
      <c r="N277" s="30"/>
      <c r="O277" s="14"/>
      <c r="P277" s="9">
        <f>Table6[[#This Row],[ (S/S) SAR]]-Table6[[#This Row],[(S/S) AJD]]</f>
        <v>0</v>
      </c>
      <c r="Q277" s="14"/>
      <c r="R277" s="9">
        <f>Table6[[#This Row],[ (T/B) SAR]]-Table6[[#This Row],[(T/B) AJD]]</f>
        <v>0</v>
      </c>
      <c r="S277" s="9">
        <f>Table6[[#This Row],[S/S_CON.]]+Table6[[#This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Table6[[#This Row],[(RESV. STORGE) AJD]]/10</f>
        <v>0</v>
      </c>
      <c r="AB277" s="3">
        <f t="shared" si="19"/>
        <v>0</v>
      </c>
      <c r="AC277" s="5"/>
      <c r="AD277" s="6">
        <f>(Table6[[#This Row],[( S/S+T/B) AJD]]*1000)-((Table6[[#This Row],[(STORGE DIFF.) AJD]]*1000)+Table6[[#This Row],[AJD_Evaporation]]+(Table6[[#This Row],[(A/B + A/S) AJD]]*1000))</f>
        <v>0</v>
      </c>
      <c r="AE277" s="33"/>
      <c r="AF277" s="6"/>
      <c r="AG277" s="6"/>
      <c r="AH277" s="6">
        <f>Table6[[#This Row],[ (RESV. STORGE) BER]]/10</f>
        <v>0</v>
      </c>
      <c r="AI277" s="6"/>
      <c r="AJ277" s="33">
        <f>Table6[[#This Row],[(A/B) AJD]]-TABL12345[[#This Row],[BER_IN]]</f>
        <v>0</v>
      </c>
      <c r="AK277" s="6"/>
      <c r="AL277" s="6"/>
      <c r="AM277" s="32"/>
      <c r="AN277" s="32">
        <f>Table6[[#This Row],[ (RESV. STORGE) SER]]/10</f>
        <v>0</v>
      </c>
      <c r="AO277" s="68"/>
      <c r="AP277" s="103">
        <f>Table6[[#This Row],[(A/S) AJD]]-Table6[[#This Row],[SER_IN]]</f>
        <v>0</v>
      </c>
    </row>
    <row r="278" spans="1:42" ht="18.75" x14ac:dyDescent="0.25">
      <c r="A278" s="10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Table6[[#This Row],[ (T/B) SAR]]+Table6[[#This Row],[ (S/S) SAR]]</f>
        <v>0</v>
      </c>
      <c r="L278" s="28"/>
      <c r="M278" s="29"/>
      <c r="N278" s="30"/>
      <c r="O278" s="14"/>
      <c r="P278" s="9">
        <f>Table6[[#This Row],[ (S/S) SAR]]-Table6[[#This Row],[(S/S) AJD]]</f>
        <v>0</v>
      </c>
      <c r="Q278" s="14"/>
      <c r="R278" s="9">
        <f>Table6[[#This Row],[ (T/B) SAR]]-Table6[[#This Row],[(T/B) AJD]]</f>
        <v>0</v>
      </c>
      <c r="S278" s="9">
        <f>Table6[[#This Row],[S/S_CON.]]+Table6[[#This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Table6[[#This Row],[(RESV. STORGE) AJD]]/10</f>
        <v>0</v>
      </c>
      <c r="AB278" s="3">
        <f t="shared" si="19"/>
        <v>0</v>
      </c>
      <c r="AC278" s="5"/>
      <c r="AD278" s="6">
        <f>(Table6[[#This Row],[( S/S+T/B) AJD]]*1000)-((Table6[[#This Row],[(STORGE DIFF.) AJD]]*1000)+Table6[[#This Row],[AJD_Evaporation]]+(Table6[[#This Row],[(A/B + A/S) AJD]]*1000))</f>
        <v>0</v>
      </c>
      <c r="AE278" s="33"/>
      <c r="AF278" s="6"/>
      <c r="AG278" s="6"/>
      <c r="AH278" s="6">
        <f>Table6[[#This Row],[ (RESV. STORGE) BER]]/10</f>
        <v>0</v>
      </c>
      <c r="AI278" s="6"/>
      <c r="AJ278" s="33">
        <f>Table6[[#This Row],[(A/B) AJD]]-TABL12345[[#This Row],[BER_IN]]</f>
        <v>0</v>
      </c>
      <c r="AK278" s="6"/>
      <c r="AL278" s="6"/>
      <c r="AM278" s="32"/>
      <c r="AN278" s="32">
        <f>Table6[[#This Row],[ (RESV. STORGE) SER]]/10</f>
        <v>0</v>
      </c>
      <c r="AO278" s="68"/>
      <c r="AP278" s="103">
        <f>Table6[[#This Row],[(A/S) AJD]]-Table6[[#This Row],[SER_IN]]</f>
        <v>0</v>
      </c>
    </row>
    <row r="279" spans="1:42" ht="18.75" x14ac:dyDescent="0.25">
      <c r="A279" s="10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Table6[[#This Row],[ (T/B) SAR]]+Table6[[#This Row],[ (S/S) SAR]]</f>
        <v>0</v>
      </c>
      <c r="L279" s="28"/>
      <c r="M279" s="29"/>
      <c r="N279" s="30"/>
      <c r="O279" s="14"/>
      <c r="P279" s="9">
        <f>Table6[[#This Row],[ (S/S) SAR]]-Table6[[#This Row],[(S/S) AJD]]</f>
        <v>0</v>
      </c>
      <c r="Q279" s="14"/>
      <c r="R279" s="9">
        <f>Table6[[#This Row],[ (T/B) SAR]]-Table6[[#This Row],[(T/B) AJD]]</f>
        <v>0</v>
      </c>
      <c r="S279" s="9">
        <f>Table6[[#This Row],[S/S_CON.]]+Table6[[#This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Table6[[#This Row],[(RESV. STORGE) AJD]]/10</f>
        <v>0</v>
      </c>
      <c r="AB279" s="3">
        <f t="shared" si="19"/>
        <v>0</v>
      </c>
      <c r="AC279" s="5"/>
      <c r="AD279" s="6">
        <f>(Table6[[#This Row],[( S/S+T/B) AJD]]*1000)-((Table6[[#This Row],[(STORGE DIFF.) AJD]]*1000)+Table6[[#This Row],[AJD_Evaporation]]+(Table6[[#This Row],[(A/B + A/S) AJD]]*1000))</f>
        <v>0</v>
      </c>
      <c r="AE279" s="33"/>
      <c r="AF279" s="6"/>
      <c r="AG279" s="6"/>
      <c r="AH279" s="6">
        <f>Table6[[#This Row],[ (RESV. STORGE) BER]]/10</f>
        <v>0</v>
      </c>
      <c r="AI279" s="6"/>
      <c r="AJ279" s="33">
        <f>Table6[[#This Row],[(A/B) AJD]]-TABL12345[[#This Row],[BER_IN]]</f>
        <v>0</v>
      </c>
      <c r="AK279" s="6"/>
      <c r="AL279" s="6"/>
      <c r="AM279" s="32"/>
      <c r="AN279" s="32">
        <f>Table6[[#This Row],[ (RESV. STORGE) SER]]/10</f>
        <v>0</v>
      </c>
      <c r="AO279" s="68"/>
      <c r="AP279" s="103">
        <f>Table6[[#This Row],[(A/S) AJD]]-Table6[[#This Row],[SER_IN]]</f>
        <v>0</v>
      </c>
    </row>
    <row r="280" spans="1:42" ht="18.75" x14ac:dyDescent="0.25">
      <c r="A280" s="10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Table6[[#This Row],[ (T/B) SAR]]+Table6[[#This Row],[ (S/S) SAR]]</f>
        <v>0</v>
      </c>
      <c r="L280" s="28"/>
      <c r="M280" s="29"/>
      <c r="N280" s="30"/>
      <c r="O280" s="14"/>
      <c r="P280" s="9">
        <f>Table6[[#This Row],[ (S/S) SAR]]-Table6[[#This Row],[(S/S) AJD]]</f>
        <v>0</v>
      </c>
      <c r="Q280" s="14"/>
      <c r="R280" s="9">
        <f>Table6[[#This Row],[ (T/B) SAR]]-Table6[[#This Row],[(T/B) AJD]]</f>
        <v>0</v>
      </c>
      <c r="S280" s="9">
        <f>Table6[[#This Row],[S/S_CON.]]+Table6[[#This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Table6[[#This Row],[(RESV. STORGE) AJD]]/10</f>
        <v>0</v>
      </c>
      <c r="AB280" s="3">
        <f t="shared" si="19"/>
        <v>0</v>
      </c>
      <c r="AC280" s="5"/>
      <c r="AD280" s="6">
        <f>(Table6[[#This Row],[( S/S+T/B) AJD]]*1000)-((Table6[[#This Row],[(STORGE DIFF.) AJD]]*1000)+Table6[[#This Row],[AJD_Evaporation]]+(Table6[[#This Row],[(A/B + A/S) AJD]]*1000))</f>
        <v>0</v>
      </c>
      <c r="AE280" s="33"/>
      <c r="AF280" s="6"/>
      <c r="AG280" s="6"/>
      <c r="AH280" s="6">
        <f>Table6[[#This Row],[ (RESV. STORGE) BER]]/10</f>
        <v>0</v>
      </c>
      <c r="AI280" s="6"/>
      <c r="AJ280" s="33">
        <f>Table6[[#This Row],[(A/B) AJD]]-TABL12345[[#This Row],[BER_IN]]</f>
        <v>0</v>
      </c>
      <c r="AK280" s="6"/>
      <c r="AL280" s="6"/>
      <c r="AM280" s="32"/>
      <c r="AN280" s="32">
        <f>Table6[[#This Row],[ (RESV. STORGE) SER]]/10</f>
        <v>0</v>
      </c>
      <c r="AO280" s="68"/>
      <c r="AP280" s="103">
        <f>Table6[[#This Row],[(A/S) AJD]]-Table6[[#This Row],[SER_IN]]</f>
        <v>0</v>
      </c>
    </row>
    <row r="281" spans="1:42" ht="18.75" x14ac:dyDescent="0.25">
      <c r="A281" s="10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Table6[[#This Row],[ (T/B) SAR]]+Table6[[#This Row],[ (S/S) SAR]]</f>
        <v>0</v>
      </c>
      <c r="L281" s="28"/>
      <c r="M281" s="29"/>
      <c r="N281" s="30"/>
      <c r="O281" s="14"/>
      <c r="P281" s="9">
        <f>Table6[[#This Row],[ (S/S) SAR]]-Table6[[#This Row],[(S/S) AJD]]</f>
        <v>0</v>
      </c>
      <c r="Q281" s="14"/>
      <c r="R281" s="9">
        <f>Table6[[#This Row],[ (T/B) SAR]]-Table6[[#This Row],[(T/B) AJD]]</f>
        <v>0</v>
      </c>
      <c r="S281" s="9">
        <f>Table6[[#This Row],[S/S_CON.]]+Table6[[#This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Table6[[#This Row],[(RESV. STORGE) AJD]]/10</f>
        <v>0</v>
      </c>
      <c r="AB281" s="3">
        <f t="shared" si="19"/>
        <v>0</v>
      </c>
      <c r="AC281" s="5"/>
      <c r="AD281" s="6">
        <f>(Table6[[#This Row],[( S/S+T/B) AJD]]*1000)-((Table6[[#This Row],[(STORGE DIFF.) AJD]]*1000)+Table6[[#This Row],[AJD_Evaporation]]+(Table6[[#This Row],[(A/B + A/S) AJD]]*1000))</f>
        <v>0</v>
      </c>
      <c r="AE281" s="33"/>
      <c r="AF281" s="6"/>
      <c r="AG281" s="6"/>
      <c r="AH281" s="6">
        <f>Table6[[#This Row],[ (RESV. STORGE) BER]]/10</f>
        <v>0</v>
      </c>
      <c r="AI281" s="6"/>
      <c r="AJ281" s="33">
        <f>Table6[[#This Row],[(A/B) AJD]]-TABL12345[[#This Row],[BER_IN]]</f>
        <v>0</v>
      </c>
      <c r="AK281" s="6"/>
      <c r="AL281" s="6"/>
      <c r="AM281" s="32"/>
      <c r="AN281" s="32">
        <f>Table6[[#This Row],[ (RESV. STORGE) SER]]/10</f>
        <v>0</v>
      </c>
      <c r="AO281" s="68"/>
      <c r="AP281" s="103">
        <f>Table6[[#This Row],[(A/S) AJD]]-Table6[[#This Row],[SER_IN]]</f>
        <v>0</v>
      </c>
    </row>
    <row r="282" spans="1:42" ht="18.75" x14ac:dyDescent="0.25">
      <c r="A282" s="10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Table6[[#This Row],[ (T/B) SAR]]+Table6[[#This Row],[ (S/S) SAR]]</f>
        <v>0</v>
      </c>
      <c r="L282" s="28"/>
      <c r="M282" s="29"/>
      <c r="N282" s="30"/>
      <c r="O282" s="14"/>
      <c r="P282" s="9">
        <f>Table6[[#This Row],[ (S/S) SAR]]-Table6[[#This Row],[(S/S) AJD]]</f>
        <v>0</v>
      </c>
      <c r="Q282" s="14"/>
      <c r="R282" s="9">
        <f>Table6[[#This Row],[ (T/B) SAR]]-Table6[[#This Row],[(T/B) AJD]]</f>
        <v>0</v>
      </c>
      <c r="S282" s="9">
        <f>Table6[[#This Row],[S/S_CON.]]+Table6[[#This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Table6[[#This Row],[(RESV. STORGE) AJD]]/10</f>
        <v>0</v>
      </c>
      <c r="AB282" s="3">
        <f t="shared" si="19"/>
        <v>0</v>
      </c>
      <c r="AC282" s="5"/>
      <c r="AD282" s="6">
        <f>(Table6[[#This Row],[( S/S+T/B) AJD]]*1000)-((Table6[[#This Row],[(STORGE DIFF.) AJD]]*1000)+Table6[[#This Row],[AJD_Evaporation]]+(Table6[[#This Row],[(A/B + A/S) AJD]]*1000))</f>
        <v>0</v>
      </c>
      <c r="AE282" s="33"/>
      <c r="AF282" s="6"/>
      <c r="AG282" s="6"/>
      <c r="AH282" s="6">
        <f>Table6[[#This Row],[ (RESV. STORGE) BER]]/10</f>
        <v>0</v>
      </c>
      <c r="AI282" s="6"/>
      <c r="AJ282" s="33">
        <f>Table6[[#This Row],[(A/B) AJD]]-TABL12345[[#This Row],[BER_IN]]</f>
        <v>0</v>
      </c>
      <c r="AK282" s="6"/>
      <c r="AL282" s="6"/>
      <c r="AM282" s="32"/>
      <c r="AN282" s="32">
        <f>Table6[[#This Row],[ (RESV. STORGE) SER]]/10</f>
        <v>0</v>
      </c>
      <c r="AO282" s="68"/>
      <c r="AP282" s="103">
        <f>Table6[[#This Row],[(A/S) AJD]]-Table6[[#This Row],[SER_IN]]</f>
        <v>0</v>
      </c>
    </row>
    <row r="283" spans="1:42" ht="18.75" x14ac:dyDescent="0.25">
      <c r="A283" s="10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Table6[[#This Row],[ (T/B) SAR]]+Table6[[#This Row],[ (S/S) SAR]]</f>
        <v>0</v>
      </c>
      <c r="L283" s="28"/>
      <c r="M283" s="29"/>
      <c r="N283" s="30"/>
      <c r="O283" s="14"/>
      <c r="P283" s="9">
        <f>Table6[[#This Row],[ (S/S) SAR]]-Table6[[#This Row],[(S/S) AJD]]</f>
        <v>0</v>
      </c>
      <c r="Q283" s="14"/>
      <c r="R283" s="9">
        <f>Table6[[#This Row],[ (T/B) SAR]]-Table6[[#This Row],[(T/B) AJD]]</f>
        <v>0</v>
      </c>
      <c r="S283" s="9">
        <f>Table6[[#This Row],[S/S_CON.]]+Table6[[#This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Table6[[#This Row],[(RESV. STORGE) AJD]]/10</f>
        <v>0</v>
      </c>
      <c r="AB283" s="3">
        <f t="shared" si="19"/>
        <v>0</v>
      </c>
      <c r="AC283" s="5"/>
      <c r="AD283" s="6">
        <f>(Table6[[#This Row],[( S/S+T/B) AJD]]*1000)-((Table6[[#This Row],[(STORGE DIFF.) AJD]]*1000)+Table6[[#This Row],[AJD_Evaporation]]+(Table6[[#This Row],[(A/B + A/S) AJD]]*1000))</f>
        <v>0</v>
      </c>
      <c r="AE283" s="33"/>
      <c r="AF283" s="6"/>
      <c r="AG283" s="6"/>
      <c r="AH283" s="6">
        <f>Table6[[#This Row],[ (RESV. STORGE) BER]]/10</f>
        <v>0</v>
      </c>
      <c r="AI283" s="6"/>
      <c r="AJ283" s="33">
        <f>Table6[[#This Row],[(A/B) AJD]]-TABL12345[[#This Row],[BER_IN]]</f>
        <v>0</v>
      </c>
      <c r="AK283" s="6"/>
      <c r="AL283" s="6"/>
      <c r="AM283" s="32"/>
      <c r="AN283" s="32">
        <f>Table6[[#This Row],[ (RESV. STORGE) SER]]/10</f>
        <v>0</v>
      </c>
      <c r="AO283" s="68"/>
      <c r="AP283" s="103">
        <f>Table6[[#This Row],[(A/S) AJD]]-Table6[[#This Row],[SER_IN]]</f>
        <v>0</v>
      </c>
    </row>
    <row r="284" spans="1:42" ht="18.75" x14ac:dyDescent="0.25">
      <c r="A284" s="10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Table6[[#This Row],[ (T/B) SAR]]+Table6[[#This Row],[ (S/S) SAR]]</f>
        <v>0</v>
      </c>
      <c r="L284" s="28"/>
      <c r="M284" s="29"/>
      <c r="N284" s="30"/>
      <c r="O284" s="14"/>
      <c r="P284" s="9">
        <f>Table6[[#This Row],[ (S/S) SAR]]-Table6[[#This Row],[(S/S) AJD]]</f>
        <v>0</v>
      </c>
      <c r="Q284" s="14"/>
      <c r="R284" s="9">
        <f>Table6[[#This Row],[ (T/B) SAR]]-Table6[[#This Row],[(T/B) AJD]]</f>
        <v>0</v>
      </c>
      <c r="S284" s="9">
        <f>Table6[[#This Row],[S/S_CON.]]+Table6[[#This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Table6[[#This Row],[(RESV. STORGE) AJD]]/10</f>
        <v>0</v>
      </c>
      <c r="AB284" s="3">
        <f t="shared" si="19"/>
        <v>0</v>
      </c>
      <c r="AC284" s="5"/>
      <c r="AD284" s="6">
        <f>(Table6[[#This Row],[( S/S+T/B) AJD]]*1000)-((Table6[[#This Row],[(STORGE DIFF.) AJD]]*1000)+Table6[[#This Row],[AJD_Evaporation]]+(Table6[[#This Row],[(A/B + A/S) AJD]]*1000))</f>
        <v>0</v>
      </c>
      <c r="AE284" s="33"/>
      <c r="AF284" s="6"/>
      <c r="AG284" s="6"/>
      <c r="AH284" s="6">
        <f>Table6[[#This Row],[ (RESV. STORGE) BER]]/10</f>
        <v>0</v>
      </c>
      <c r="AI284" s="6"/>
      <c r="AJ284" s="33">
        <f>Table6[[#This Row],[(A/B) AJD]]-TABL12345[[#This Row],[BER_IN]]</f>
        <v>0</v>
      </c>
      <c r="AK284" s="6"/>
      <c r="AL284" s="6"/>
      <c r="AM284" s="32"/>
      <c r="AN284" s="32">
        <f>Table6[[#This Row],[ (RESV. STORGE) SER]]/10</f>
        <v>0</v>
      </c>
      <c r="AO284" s="68"/>
      <c r="AP284" s="103">
        <f>Table6[[#This Row],[(A/S) AJD]]-Table6[[#This Row],[SER_IN]]</f>
        <v>0</v>
      </c>
    </row>
    <row r="285" spans="1:42" ht="18.75" x14ac:dyDescent="0.25">
      <c r="A285" s="10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Table6[[#This Row],[ (T/B) SAR]]+Table6[[#This Row],[ (S/S) SAR]]</f>
        <v>0</v>
      </c>
      <c r="L285" s="28"/>
      <c r="M285" s="29"/>
      <c r="N285" s="30"/>
      <c r="O285" s="14"/>
      <c r="P285" s="9">
        <f>Table6[[#This Row],[ (S/S) SAR]]-Table6[[#This Row],[(S/S) AJD]]</f>
        <v>0</v>
      </c>
      <c r="Q285" s="14"/>
      <c r="R285" s="9">
        <f>Table6[[#This Row],[ (T/B) SAR]]-Table6[[#This Row],[(T/B) AJD]]</f>
        <v>0</v>
      </c>
      <c r="S285" s="9">
        <f>Table6[[#This Row],[S/S_CON.]]+Table6[[#This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Table6[[#This Row],[(RESV. STORGE) AJD]]/10</f>
        <v>0</v>
      </c>
      <c r="AB285" s="3">
        <f t="shared" si="19"/>
        <v>0</v>
      </c>
      <c r="AC285" s="5"/>
      <c r="AD285" s="6">
        <f>(Table6[[#This Row],[( S/S+T/B) AJD]]*1000)-((Table6[[#This Row],[(STORGE DIFF.) AJD]]*1000)+Table6[[#This Row],[AJD_Evaporation]]+(Table6[[#This Row],[(A/B + A/S) AJD]]*1000))</f>
        <v>0</v>
      </c>
      <c r="AE285" s="33"/>
      <c r="AF285" s="6"/>
      <c r="AG285" s="6"/>
      <c r="AH285" s="6">
        <f>Table6[[#This Row],[ (RESV. STORGE) BER]]/10</f>
        <v>0</v>
      </c>
      <c r="AI285" s="6"/>
      <c r="AJ285" s="33">
        <f>Table6[[#This Row],[(A/B) AJD]]-TABL12345[[#This Row],[BER_IN]]</f>
        <v>0</v>
      </c>
      <c r="AK285" s="6"/>
      <c r="AL285" s="6"/>
      <c r="AM285" s="32"/>
      <c r="AN285" s="32">
        <f>Table6[[#This Row],[ (RESV. STORGE) SER]]/10</f>
        <v>0</v>
      </c>
      <c r="AO285" s="68"/>
      <c r="AP285" s="103">
        <f>Table6[[#This Row],[(A/S) AJD]]-Table6[[#This Row],[SER_IN]]</f>
        <v>0</v>
      </c>
    </row>
    <row r="286" spans="1:42" ht="18.75" x14ac:dyDescent="0.25">
      <c r="A286" s="10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Table6[[#This Row],[ (T/B) SAR]]+Table6[[#This Row],[ (S/S) SAR]]</f>
        <v>0</v>
      </c>
      <c r="L286" s="28"/>
      <c r="M286" s="29"/>
      <c r="N286" s="30"/>
      <c r="O286" s="14"/>
      <c r="P286" s="9">
        <f>Table6[[#This Row],[ (S/S) SAR]]-Table6[[#This Row],[(S/S) AJD]]</f>
        <v>0</v>
      </c>
      <c r="Q286" s="14"/>
      <c r="R286" s="9">
        <f>Table6[[#This Row],[ (T/B) SAR]]-Table6[[#This Row],[(T/B) AJD]]</f>
        <v>0</v>
      </c>
      <c r="S286" s="9">
        <f>Table6[[#This Row],[S/S_CON.]]+Table6[[#This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Table6[[#This Row],[(RESV. STORGE) AJD]]/10</f>
        <v>0</v>
      </c>
      <c r="AB286" s="3">
        <f t="shared" si="19"/>
        <v>0</v>
      </c>
      <c r="AC286" s="5"/>
      <c r="AD286" s="6">
        <f>(Table6[[#This Row],[( S/S+T/B) AJD]]*1000)-((Table6[[#This Row],[(STORGE DIFF.) AJD]]*1000)+Table6[[#This Row],[AJD_Evaporation]]+(Table6[[#This Row],[(A/B + A/S) AJD]]*1000))</f>
        <v>0</v>
      </c>
      <c r="AE286" s="33"/>
      <c r="AF286" s="6"/>
      <c r="AG286" s="6"/>
      <c r="AH286" s="6">
        <f>Table6[[#This Row],[ (RESV. STORGE) BER]]/10</f>
        <v>0</v>
      </c>
      <c r="AI286" s="6"/>
      <c r="AJ286" s="33">
        <f>Table6[[#This Row],[(A/B) AJD]]-TABL12345[[#This Row],[BER_IN]]</f>
        <v>0</v>
      </c>
      <c r="AK286" s="6"/>
      <c r="AL286" s="6"/>
      <c r="AM286" s="32"/>
      <c r="AN286" s="32">
        <f>Table6[[#This Row],[ (RESV. STORGE) SER]]/10</f>
        <v>0</v>
      </c>
      <c r="AO286" s="68"/>
      <c r="AP286" s="103">
        <f>Table6[[#This Row],[(A/S) AJD]]-Table6[[#This Row],[SER_IN]]</f>
        <v>0</v>
      </c>
    </row>
    <row r="287" spans="1:42" ht="18.75" x14ac:dyDescent="0.25">
      <c r="A287" s="10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Table6[[#This Row],[ (T/B) SAR]]+Table6[[#This Row],[ (S/S) SAR]]</f>
        <v>0</v>
      </c>
      <c r="L287" s="28"/>
      <c r="M287" s="29"/>
      <c r="N287" s="30"/>
      <c r="O287" s="14"/>
      <c r="P287" s="9">
        <f>Table6[[#This Row],[ (S/S) SAR]]-Table6[[#This Row],[(S/S) AJD]]</f>
        <v>0</v>
      </c>
      <c r="Q287" s="14"/>
      <c r="R287" s="9">
        <f>Table6[[#This Row],[ (T/B) SAR]]-Table6[[#This Row],[(T/B) AJD]]</f>
        <v>0</v>
      </c>
      <c r="S287" s="9">
        <f>Table6[[#This Row],[S/S_CON.]]+Table6[[#This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Table6[[#This Row],[(RESV. STORGE) AJD]]/10</f>
        <v>0</v>
      </c>
      <c r="AB287" s="3">
        <f t="shared" si="19"/>
        <v>0</v>
      </c>
      <c r="AC287" s="5"/>
      <c r="AD287" s="6">
        <f>(Table6[[#This Row],[( S/S+T/B) AJD]]*1000)-((Table6[[#This Row],[(STORGE DIFF.) AJD]]*1000)+Table6[[#This Row],[AJD_Evaporation]]+(Table6[[#This Row],[(A/B + A/S) AJD]]*1000))</f>
        <v>0</v>
      </c>
      <c r="AE287" s="33"/>
      <c r="AF287" s="6"/>
      <c r="AG287" s="6"/>
      <c r="AH287" s="6">
        <f>Table6[[#This Row],[ (RESV. STORGE) BER]]/10</f>
        <v>0</v>
      </c>
      <c r="AI287" s="6"/>
      <c r="AJ287" s="33">
        <f>Table6[[#This Row],[(A/B) AJD]]-TABL12345[[#This Row],[BER_IN]]</f>
        <v>0</v>
      </c>
      <c r="AK287" s="6"/>
      <c r="AL287" s="6"/>
      <c r="AM287" s="32"/>
      <c r="AN287" s="32">
        <f>Table6[[#This Row],[ (RESV. STORGE) SER]]/10</f>
        <v>0</v>
      </c>
      <c r="AO287" s="68"/>
      <c r="AP287" s="103">
        <f>Table6[[#This Row],[(A/S) AJD]]-Table6[[#This Row],[SER_IN]]</f>
        <v>0</v>
      </c>
    </row>
    <row r="288" spans="1:42" ht="18.75" x14ac:dyDescent="0.25">
      <c r="A288" s="10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Table6[[#This Row],[ (T/B) SAR]]+Table6[[#This Row],[ (S/S) SAR]]</f>
        <v>0</v>
      </c>
      <c r="L288" s="28"/>
      <c r="M288" s="29"/>
      <c r="N288" s="30"/>
      <c r="O288" s="14"/>
      <c r="P288" s="9">
        <f>Table6[[#This Row],[ (S/S) SAR]]-Table6[[#This Row],[(S/S) AJD]]</f>
        <v>0</v>
      </c>
      <c r="Q288" s="14"/>
      <c r="R288" s="9">
        <f>Table6[[#This Row],[ (T/B) SAR]]-Table6[[#This Row],[(T/B) AJD]]</f>
        <v>0</v>
      </c>
      <c r="S288" s="9">
        <f>Table6[[#This Row],[S/S_CON.]]+Table6[[#This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Table6[[#This Row],[(RESV. STORGE) AJD]]/10</f>
        <v>0</v>
      </c>
      <c r="AB288" s="3">
        <f t="shared" si="19"/>
        <v>0</v>
      </c>
      <c r="AC288" s="5"/>
      <c r="AD288" s="6">
        <f>(Table6[[#This Row],[( S/S+T/B) AJD]]*1000)-((Table6[[#This Row],[(STORGE DIFF.) AJD]]*1000)+Table6[[#This Row],[AJD_Evaporation]]+(Table6[[#This Row],[(A/B + A/S) AJD]]*1000))</f>
        <v>0</v>
      </c>
      <c r="AE288" s="33"/>
      <c r="AF288" s="6"/>
      <c r="AG288" s="6"/>
      <c r="AH288" s="6">
        <f>Table6[[#This Row],[ (RESV. STORGE) BER]]/10</f>
        <v>0</v>
      </c>
      <c r="AI288" s="6"/>
      <c r="AJ288" s="33">
        <f>Table6[[#This Row],[(A/B) AJD]]-TABL12345[[#This Row],[BER_IN]]</f>
        <v>0</v>
      </c>
      <c r="AK288" s="6"/>
      <c r="AL288" s="6"/>
      <c r="AM288" s="32"/>
      <c r="AN288" s="32">
        <f>Table6[[#This Row],[ (RESV. STORGE) SER]]/10</f>
        <v>0</v>
      </c>
      <c r="AO288" s="68"/>
      <c r="AP288" s="103">
        <f>Table6[[#This Row],[(A/S) AJD]]-Table6[[#This Row],[SER_IN]]</f>
        <v>0</v>
      </c>
    </row>
    <row r="289" spans="1:42" ht="18.75" x14ac:dyDescent="0.25">
      <c r="A289" s="10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Table6[[#This Row],[ (T/B) SAR]]+Table6[[#This Row],[ (S/S) SAR]]</f>
        <v>0</v>
      </c>
      <c r="L289" s="28"/>
      <c r="M289" s="29"/>
      <c r="N289" s="30"/>
      <c r="O289" s="14"/>
      <c r="P289" s="9">
        <f>Table6[[#This Row],[ (S/S) SAR]]-Table6[[#This Row],[(S/S) AJD]]</f>
        <v>0</v>
      </c>
      <c r="Q289" s="14"/>
      <c r="R289" s="9">
        <f>Table6[[#This Row],[ (T/B) SAR]]-Table6[[#This Row],[(T/B) AJD]]</f>
        <v>0</v>
      </c>
      <c r="S289" s="9">
        <f>Table6[[#This Row],[S/S_CON.]]+Table6[[#This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Table6[[#This Row],[(RESV. STORGE) AJD]]/10</f>
        <v>0</v>
      </c>
      <c r="AB289" s="3">
        <f t="shared" si="19"/>
        <v>0</v>
      </c>
      <c r="AC289" s="5"/>
      <c r="AD289" s="6">
        <f>(Table6[[#This Row],[( S/S+T/B) AJD]]*1000)-((Table6[[#This Row],[(STORGE DIFF.) AJD]]*1000)+Table6[[#This Row],[AJD_Evaporation]]+(Table6[[#This Row],[(A/B + A/S) AJD]]*1000))</f>
        <v>0</v>
      </c>
      <c r="AE289" s="33"/>
      <c r="AF289" s="6"/>
      <c r="AG289" s="6"/>
      <c r="AH289" s="6">
        <f>Table6[[#This Row],[ (RESV. STORGE) BER]]/10</f>
        <v>0</v>
      </c>
      <c r="AI289" s="6"/>
      <c r="AJ289" s="33">
        <f>Table6[[#This Row],[(A/B) AJD]]-TABL12345[[#This Row],[BER_IN]]</f>
        <v>0</v>
      </c>
      <c r="AK289" s="6"/>
      <c r="AL289" s="6"/>
      <c r="AM289" s="32"/>
      <c r="AN289" s="32">
        <f>Table6[[#This Row],[ (RESV. STORGE) SER]]/10</f>
        <v>0</v>
      </c>
      <c r="AO289" s="68"/>
      <c r="AP289" s="103">
        <f>Table6[[#This Row],[(A/S) AJD]]-Table6[[#This Row],[SER_IN]]</f>
        <v>0</v>
      </c>
    </row>
    <row r="290" spans="1:42" ht="18.75" x14ac:dyDescent="0.25">
      <c r="A290" s="10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Table6[[#This Row],[ (T/B) SAR]]+Table6[[#This Row],[ (S/S) SAR]]</f>
        <v>0</v>
      </c>
      <c r="L290" s="28"/>
      <c r="M290" s="29"/>
      <c r="N290" s="30"/>
      <c r="O290" s="14"/>
      <c r="P290" s="9">
        <f>Table6[[#This Row],[ (S/S) SAR]]-Table6[[#This Row],[(S/S) AJD]]</f>
        <v>0</v>
      </c>
      <c r="Q290" s="14"/>
      <c r="R290" s="9">
        <f>Table6[[#This Row],[ (T/B) SAR]]-Table6[[#This Row],[(T/B) AJD]]</f>
        <v>0</v>
      </c>
      <c r="S290" s="9">
        <f>Table6[[#This Row],[S/S_CON.]]+Table6[[#This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Table6[[#This Row],[(RESV. STORGE) AJD]]/10</f>
        <v>0</v>
      </c>
      <c r="AB290" s="3">
        <f t="shared" si="19"/>
        <v>0</v>
      </c>
      <c r="AC290" s="5"/>
      <c r="AD290" s="6">
        <f>(Table6[[#This Row],[( S/S+T/B) AJD]]*1000)-((Table6[[#This Row],[(STORGE DIFF.) AJD]]*1000)+Table6[[#This Row],[AJD_Evaporation]]+(Table6[[#This Row],[(A/B + A/S) AJD]]*1000))</f>
        <v>0</v>
      </c>
      <c r="AE290" s="33"/>
      <c r="AF290" s="6"/>
      <c r="AG290" s="6"/>
      <c r="AH290" s="6">
        <f>Table6[[#This Row],[ (RESV. STORGE) BER]]/10</f>
        <v>0</v>
      </c>
      <c r="AI290" s="6"/>
      <c r="AJ290" s="33">
        <f>Table6[[#This Row],[(A/B) AJD]]-TABL12345[[#This Row],[BER_IN]]</f>
        <v>0</v>
      </c>
      <c r="AK290" s="6"/>
      <c r="AL290" s="6"/>
      <c r="AM290" s="32"/>
      <c r="AN290" s="32">
        <f>Table6[[#This Row],[ (RESV. STORGE) SER]]/10</f>
        <v>0</v>
      </c>
      <c r="AO290" s="68"/>
      <c r="AP290" s="103">
        <f>Table6[[#This Row],[(A/S) AJD]]-Table6[[#This Row],[SER_IN]]</f>
        <v>0</v>
      </c>
    </row>
    <row r="291" spans="1:42" ht="18.75" x14ac:dyDescent="0.25">
      <c r="A291" s="10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Table6[[#This Row],[ (T/B) SAR]]+Table6[[#This Row],[ (S/S) SAR]]</f>
        <v>0</v>
      </c>
      <c r="L291" s="28"/>
      <c r="M291" s="29"/>
      <c r="N291" s="30"/>
      <c r="O291" s="14"/>
      <c r="P291" s="9">
        <f>Table6[[#This Row],[ (S/S) SAR]]-Table6[[#This Row],[(S/S) AJD]]</f>
        <v>0</v>
      </c>
      <c r="Q291" s="14"/>
      <c r="R291" s="9">
        <f>Table6[[#This Row],[ (T/B) SAR]]-Table6[[#This Row],[(T/B) AJD]]</f>
        <v>0</v>
      </c>
      <c r="S291" s="9">
        <f>Table6[[#This Row],[S/S_CON.]]+Table6[[#This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Table6[[#This Row],[(RESV. STORGE) AJD]]/10</f>
        <v>0</v>
      </c>
      <c r="AB291" s="3">
        <f t="shared" si="19"/>
        <v>0</v>
      </c>
      <c r="AC291" s="5"/>
      <c r="AD291" s="6">
        <f>(Table6[[#This Row],[( S/S+T/B) AJD]]*1000)-((Table6[[#This Row],[(STORGE DIFF.) AJD]]*1000)+Table6[[#This Row],[AJD_Evaporation]]+(Table6[[#This Row],[(A/B + A/S) AJD]]*1000))</f>
        <v>0</v>
      </c>
      <c r="AE291" s="33"/>
      <c r="AF291" s="6"/>
      <c r="AG291" s="6"/>
      <c r="AH291" s="6">
        <f>Table6[[#This Row],[ (RESV. STORGE) BER]]/10</f>
        <v>0</v>
      </c>
      <c r="AI291" s="6"/>
      <c r="AJ291" s="33">
        <f>Table6[[#This Row],[(A/B) AJD]]-TABL12345[[#This Row],[BER_IN]]</f>
        <v>0</v>
      </c>
      <c r="AK291" s="6"/>
      <c r="AL291" s="6"/>
      <c r="AM291" s="32"/>
      <c r="AN291" s="32">
        <f>Table6[[#This Row],[ (RESV. STORGE) SER]]/10</f>
        <v>0</v>
      </c>
      <c r="AO291" s="68"/>
      <c r="AP291" s="103">
        <f>Table6[[#This Row],[(A/S) AJD]]-Table6[[#This Row],[SER_IN]]</f>
        <v>0</v>
      </c>
    </row>
    <row r="292" spans="1:42" ht="18.75" x14ac:dyDescent="0.25">
      <c r="A292" s="10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Table6[[#This Row],[ (T/B) SAR]]+Table6[[#This Row],[ (S/S) SAR]]</f>
        <v>0</v>
      </c>
      <c r="L292" s="28"/>
      <c r="M292" s="29"/>
      <c r="N292" s="30"/>
      <c r="O292" s="9"/>
      <c r="P292" s="9">
        <f>Table6[[#This Row],[ (S/S) SAR]]-Table6[[#This Row],[(S/S) AJD]]</f>
        <v>0</v>
      </c>
      <c r="Q292" s="9"/>
      <c r="R292" s="9">
        <f>Table6[[#This Row],[ (T/B) SAR]]-Table6[[#This Row],[(T/B) AJD]]</f>
        <v>0</v>
      </c>
      <c r="S292" s="9">
        <f>Table6[[#This Row],[S/S_CON.]]+Table6[[#This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Table6[[#This Row],[(RESV. STORGE) AJD]]/10</f>
        <v>0</v>
      </c>
      <c r="AB292" s="3">
        <f t="shared" si="19"/>
        <v>0</v>
      </c>
      <c r="AC292" s="5"/>
      <c r="AD292" s="6">
        <f>(Table6[[#This Row],[( S/S+T/B) AJD]]*1000)-((Table6[[#This Row],[(STORGE DIFF.) AJD]]*1000)+Table6[[#This Row],[AJD_Evaporation]]+(Table6[[#This Row],[(A/B + A/S) AJD]]*1000))</f>
        <v>0</v>
      </c>
      <c r="AE292" s="33"/>
      <c r="AF292" s="6"/>
      <c r="AG292" s="6"/>
      <c r="AH292" s="6">
        <f>Table6[[#This Row],[ (RESV. STORGE) BER]]/10</f>
        <v>0</v>
      </c>
      <c r="AI292" s="6"/>
      <c r="AJ292" s="33">
        <f>Table6[[#This Row],[(A/B) AJD]]-TABL12345[[#This Row],[BER_IN]]</f>
        <v>0</v>
      </c>
      <c r="AK292" s="6"/>
      <c r="AL292" s="6"/>
      <c r="AM292" s="32"/>
      <c r="AN292" s="32">
        <f>Table6[[#This Row],[ (RESV. STORGE) SER]]/10</f>
        <v>0</v>
      </c>
      <c r="AO292" s="68"/>
      <c r="AP292" s="103">
        <f>Table6[[#This Row],[(A/S) AJD]]-Table6[[#This Row],[SER_IN]]</f>
        <v>0</v>
      </c>
    </row>
    <row r="293" spans="1:42" ht="18.75" x14ac:dyDescent="0.25">
      <c r="A293" s="10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Table6[[#This Row],[ (T/B) SAR]]+Table6[[#This Row],[ (S/S) SAR]]</f>
        <v>0</v>
      </c>
      <c r="L293" s="28"/>
      <c r="M293" s="29"/>
      <c r="N293" s="30"/>
      <c r="O293" s="9"/>
      <c r="P293" s="9">
        <f>Table6[[#This Row],[ (S/S) SAR]]-Table6[[#This Row],[(S/S) AJD]]</f>
        <v>0</v>
      </c>
      <c r="Q293" s="9"/>
      <c r="R293" s="9">
        <f>Table6[[#This Row],[ (T/B) SAR]]-Table6[[#This Row],[(T/B) AJD]]</f>
        <v>0</v>
      </c>
      <c r="S293" s="9">
        <f>Table6[[#This Row],[S/S_CON.]]+Table6[[#This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Table6[[#This Row],[(RESV. STORGE) AJD]]/10</f>
        <v>0</v>
      </c>
      <c r="AB293" s="3">
        <f t="shared" si="19"/>
        <v>0</v>
      </c>
      <c r="AC293" s="5"/>
      <c r="AD293" s="6">
        <f>(Table6[[#This Row],[( S/S+T/B) AJD]]*1000)-((Table6[[#This Row],[(STORGE DIFF.) AJD]]*1000)+Table6[[#This Row],[AJD_Evaporation]]+(Table6[[#This Row],[(A/B + A/S) AJD]]*1000))</f>
        <v>0</v>
      </c>
      <c r="AE293" s="33"/>
      <c r="AF293" s="6"/>
      <c r="AG293" s="6"/>
      <c r="AH293" s="6">
        <f>Table6[[#This Row],[ (RESV. STORGE) BER]]/10</f>
        <v>0</v>
      </c>
      <c r="AI293" s="6"/>
      <c r="AJ293" s="33">
        <f>Table6[[#This Row],[(A/B) AJD]]-TABL12345[[#This Row],[BER_IN]]</f>
        <v>0</v>
      </c>
      <c r="AK293" s="6"/>
      <c r="AL293" s="6"/>
      <c r="AM293" s="32"/>
      <c r="AN293" s="32">
        <f>Table6[[#This Row],[ (RESV. STORGE) SER]]/10</f>
        <v>0</v>
      </c>
      <c r="AO293" s="68"/>
      <c r="AP293" s="103">
        <f>Table6[[#This Row],[(A/S) AJD]]-Table6[[#This Row],[SER_IN]]</f>
        <v>0</v>
      </c>
    </row>
    <row r="294" spans="1:42" ht="18.75" x14ac:dyDescent="0.25">
      <c r="A294" s="10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Table6[[#This Row],[ (T/B) SAR]]+Table6[[#This Row],[ (S/S) SAR]]</f>
        <v>0</v>
      </c>
      <c r="L294" s="28"/>
      <c r="M294" s="29"/>
      <c r="N294" s="30"/>
      <c r="O294" s="9"/>
      <c r="P294" s="9">
        <f>Table6[[#This Row],[ (S/S) SAR]]-Table6[[#This Row],[(S/S) AJD]]</f>
        <v>0</v>
      </c>
      <c r="Q294" s="9"/>
      <c r="R294" s="9">
        <f>Table6[[#This Row],[ (T/B) SAR]]-Table6[[#This Row],[(T/B) AJD]]</f>
        <v>0</v>
      </c>
      <c r="S294" s="9">
        <f>Table6[[#This Row],[S/S_CON.]]+Table6[[#This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Table6[[#This Row],[(RESV. STORGE) AJD]]/10</f>
        <v>0</v>
      </c>
      <c r="AB294" s="3">
        <f t="shared" si="19"/>
        <v>0</v>
      </c>
      <c r="AC294" s="5"/>
      <c r="AD294" s="6">
        <f>(Table6[[#This Row],[( S/S+T/B) AJD]]*1000)-((Table6[[#This Row],[(STORGE DIFF.) AJD]]*1000)+Table6[[#This Row],[AJD_Evaporation]]+(Table6[[#This Row],[(A/B + A/S) AJD]]*1000))</f>
        <v>0</v>
      </c>
      <c r="AE294" s="33"/>
      <c r="AF294" s="6"/>
      <c r="AG294" s="6"/>
      <c r="AH294" s="6">
        <f>Table6[[#This Row],[ (RESV. STORGE) BER]]/10</f>
        <v>0</v>
      </c>
      <c r="AI294" s="6"/>
      <c r="AJ294" s="33">
        <f>Table6[[#This Row],[(A/B) AJD]]-TABL12345[[#This Row],[BER_IN]]</f>
        <v>0</v>
      </c>
      <c r="AK294" s="6"/>
      <c r="AL294" s="6"/>
      <c r="AM294" s="32"/>
      <c r="AN294" s="32">
        <f>Table6[[#This Row],[ (RESV. STORGE) SER]]/10</f>
        <v>0</v>
      </c>
      <c r="AO294" s="68"/>
      <c r="AP294" s="103">
        <f>Table6[[#This Row],[(A/S) AJD]]-Table6[[#This Row],[SER_IN]]</f>
        <v>0</v>
      </c>
    </row>
    <row r="295" spans="1:42" ht="18.75" x14ac:dyDescent="0.25">
      <c r="A295" s="10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Table6[[#This Row],[ (T/B) SAR]]+Table6[[#This Row],[ (S/S) SAR]]</f>
        <v>0</v>
      </c>
      <c r="L295" s="28"/>
      <c r="M295" s="29"/>
      <c r="N295" s="30"/>
      <c r="O295" s="9"/>
      <c r="P295" s="9">
        <f>Table6[[#This Row],[ (S/S) SAR]]-Table6[[#This Row],[(S/S) AJD]]</f>
        <v>0</v>
      </c>
      <c r="Q295" s="9"/>
      <c r="R295" s="9">
        <f>Table6[[#This Row],[ (T/B) SAR]]-Table6[[#This Row],[(T/B) AJD]]</f>
        <v>0</v>
      </c>
      <c r="S295" s="9">
        <f>Table6[[#This Row],[S/S_CON.]]+Table6[[#This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Table6[[#This Row],[(RESV. STORGE) AJD]]/10</f>
        <v>0</v>
      </c>
      <c r="AB295" s="3">
        <f t="shared" si="19"/>
        <v>0</v>
      </c>
      <c r="AC295" s="5"/>
      <c r="AD295" s="6">
        <f>(Table6[[#This Row],[( S/S+T/B) AJD]]*1000)-((Table6[[#This Row],[(STORGE DIFF.) AJD]]*1000)+Table6[[#This Row],[AJD_Evaporation]]+(Table6[[#This Row],[(A/B + A/S) AJD]]*1000))</f>
        <v>0</v>
      </c>
      <c r="AE295" s="33"/>
      <c r="AF295" s="6"/>
      <c r="AG295" s="6"/>
      <c r="AH295" s="6">
        <f>Table6[[#This Row],[ (RESV. STORGE) BER]]/10</f>
        <v>0</v>
      </c>
      <c r="AI295" s="6"/>
      <c r="AJ295" s="33">
        <f>Table6[[#This Row],[(A/B) AJD]]-TABL12345[[#This Row],[BER_IN]]</f>
        <v>0</v>
      </c>
      <c r="AK295" s="6"/>
      <c r="AL295" s="6"/>
      <c r="AM295" s="32"/>
      <c r="AN295" s="32">
        <f>Table6[[#This Row],[ (RESV. STORGE) SER]]/10</f>
        <v>0</v>
      </c>
      <c r="AO295" s="68"/>
      <c r="AP295" s="103">
        <f>Table6[[#This Row],[(A/S) AJD]]-Table6[[#This Row],[SER_IN]]</f>
        <v>0</v>
      </c>
    </row>
    <row r="296" spans="1:42" ht="18.75" x14ac:dyDescent="0.25">
      <c r="A296" s="10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Table6[[#This Row],[ (T/B) SAR]]+Table6[[#This Row],[ (S/S) SAR]]</f>
        <v>0</v>
      </c>
      <c r="L296" s="28"/>
      <c r="M296" s="29"/>
      <c r="N296" s="30"/>
      <c r="O296" s="9"/>
      <c r="P296" s="9">
        <f>Table6[[#This Row],[ (S/S) SAR]]-Table6[[#This Row],[(S/S) AJD]]</f>
        <v>0</v>
      </c>
      <c r="Q296" s="9"/>
      <c r="R296" s="9">
        <f>Table6[[#This Row],[ (T/B) SAR]]-Table6[[#This Row],[(T/B) AJD]]</f>
        <v>0</v>
      </c>
      <c r="S296" s="9">
        <f>Table6[[#This Row],[S/S_CON.]]+Table6[[#This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Table6[[#This Row],[(RESV. STORGE) AJD]]/10</f>
        <v>0</v>
      </c>
      <c r="AB296" s="3">
        <f t="shared" si="19"/>
        <v>0</v>
      </c>
      <c r="AC296" s="5"/>
      <c r="AD296" s="6">
        <f>(Table6[[#This Row],[( S/S+T/B) AJD]]*1000)-((Table6[[#This Row],[(STORGE DIFF.) AJD]]*1000)+Table6[[#This Row],[AJD_Evaporation]]+(Table6[[#This Row],[(A/B + A/S) AJD]]*1000))</f>
        <v>0</v>
      </c>
      <c r="AE296" s="33"/>
      <c r="AF296" s="6"/>
      <c r="AG296" s="6"/>
      <c r="AH296" s="6">
        <f>Table6[[#This Row],[ (RESV. STORGE) BER]]/10</f>
        <v>0</v>
      </c>
      <c r="AI296" s="6"/>
      <c r="AJ296" s="33">
        <f>Table6[[#This Row],[(A/B) AJD]]-TABL12345[[#This Row],[BER_IN]]</f>
        <v>0</v>
      </c>
      <c r="AK296" s="6"/>
      <c r="AL296" s="6"/>
      <c r="AM296" s="32"/>
      <c r="AN296" s="32">
        <f>Table6[[#This Row],[ (RESV. STORGE) SER]]/10</f>
        <v>0</v>
      </c>
      <c r="AO296" s="68"/>
      <c r="AP296" s="103">
        <f>Table6[[#This Row],[(A/S) AJD]]-Table6[[#This Row],[SER_IN]]</f>
        <v>0</v>
      </c>
    </row>
    <row r="297" spans="1:42" ht="18.75" x14ac:dyDescent="0.25">
      <c r="A297" s="10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Table6[[#This Row],[ (T/B) SAR]]+Table6[[#This Row],[ (S/S) SAR]]</f>
        <v>0</v>
      </c>
      <c r="L297" s="28"/>
      <c r="M297" s="29"/>
      <c r="N297" s="30"/>
      <c r="O297" s="9"/>
      <c r="P297" s="9">
        <f>Table6[[#This Row],[ (S/S) SAR]]-Table6[[#This Row],[(S/S) AJD]]</f>
        <v>0</v>
      </c>
      <c r="Q297" s="9"/>
      <c r="R297" s="9">
        <f>Table6[[#This Row],[ (T/B) SAR]]-Table6[[#This Row],[(T/B) AJD]]</f>
        <v>0</v>
      </c>
      <c r="S297" s="9">
        <f>Table6[[#This Row],[S/S_CON.]]+Table6[[#This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Table6[[#This Row],[(RESV. STORGE) AJD]]/10</f>
        <v>0</v>
      </c>
      <c r="AB297" s="3">
        <f t="shared" si="19"/>
        <v>0</v>
      </c>
      <c r="AC297" s="5"/>
      <c r="AD297" s="6">
        <f>(Table6[[#This Row],[( S/S+T/B) AJD]]*1000)-((Table6[[#This Row],[(STORGE DIFF.) AJD]]*1000)+Table6[[#This Row],[AJD_Evaporation]]+(Table6[[#This Row],[(A/B + A/S) AJD]]*1000))</f>
        <v>0</v>
      </c>
      <c r="AE297" s="33"/>
      <c r="AF297" s="6"/>
      <c r="AG297" s="6"/>
      <c r="AH297" s="6">
        <f>Table6[[#This Row],[ (RESV. STORGE) BER]]/10</f>
        <v>0</v>
      </c>
      <c r="AI297" s="6"/>
      <c r="AJ297" s="33">
        <f>Table6[[#This Row],[(A/B) AJD]]-TABL12345[[#This Row],[BER_IN]]</f>
        <v>0</v>
      </c>
      <c r="AK297" s="6"/>
      <c r="AL297" s="6"/>
      <c r="AM297" s="32"/>
      <c r="AN297" s="32">
        <f>Table6[[#This Row],[ (RESV. STORGE) SER]]/10</f>
        <v>0</v>
      </c>
      <c r="AO297" s="68"/>
      <c r="AP297" s="103">
        <f>Table6[[#This Row],[(A/S) AJD]]-Table6[[#This Row],[SER_IN]]</f>
        <v>0</v>
      </c>
    </row>
    <row r="298" spans="1:42" ht="18.75" x14ac:dyDescent="0.25">
      <c r="A298" s="10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Table6[[#This Row],[ (T/B) SAR]]+Table6[[#This Row],[ (S/S) SAR]]</f>
        <v>0</v>
      </c>
      <c r="L298" s="28"/>
      <c r="M298" s="29"/>
      <c r="N298" s="30"/>
      <c r="O298" s="9"/>
      <c r="P298" s="9">
        <f>Table6[[#This Row],[ (S/S) SAR]]-Table6[[#This Row],[(S/S) AJD]]</f>
        <v>0</v>
      </c>
      <c r="Q298" s="9"/>
      <c r="R298" s="9">
        <f>Table6[[#This Row],[ (T/B) SAR]]-Table6[[#This Row],[(T/B) AJD]]</f>
        <v>0</v>
      </c>
      <c r="S298" s="9">
        <f>Table6[[#This Row],[S/S_CON.]]+Table6[[#This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Table6[[#This Row],[(RESV. STORGE) AJD]]/10</f>
        <v>0</v>
      </c>
      <c r="AB298" s="3">
        <f t="shared" si="19"/>
        <v>0</v>
      </c>
      <c r="AC298" s="5"/>
      <c r="AD298" s="6">
        <f>(Table6[[#This Row],[( S/S+T/B) AJD]]*1000)-((Table6[[#This Row],[(STORGE DIFF.) AJD]]*1000)+Table6[[#This Row],[AJD_Evaporation]]+(Table6[[#This Row],[(A/B + A/S) AJD]]*1000))</f>
        <v>0</v>
      </c>
      <c r="AE298" s="33"/>
      <c r="AF298" s="6"/>
      <c r="AG298" s="6"/>
      <c r="AH298" s="6">
        <f>Table6[[#This Row],[ (RESV. STORGE) BER]]/10</f>
        <v>0</v>
      </c>
      <c r="AI298" s="6"/>
      <c r="AJ298" s="33">
        <f>Table6[[#This Row],[(A/B) AJD]]-TABL12345[[#This Row],[BER_IN]]</f>
        <v>0</v>
      </c>
      <c r="AK298" s="6"/>
      <c r="AL298" s="6"/>
      <c r="AM298" s="32"/>
      <c r="AN298" s="32">
        <f>Table6[[#This Row],[ (RESV. STORGE) SER]]/10</f>
        <v>0</v>
      </c>
      <c r="AO298" s="68"/>
      <c r="AP298" s="103">
        <f>Table6[[#This Row],[(A/S) AJD]]-Table6[[#This Row],[SER_IN]]</f>
        <v>0</v>
      </c>
    </row>
    <row r="299" spans="1:42" ht="18.75" x14ac:dyDescent="0.25">
      <c r="A299" s="10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Table6[[#This Row],[ (T/B) SAR]]+Table6[[#This Row],[ (S/S) SAR]]</f>
        <v>0</v>
      </c>
      <c r="L299" s="28"/>
      <c r="M299" s="29"/>
      <c r="N299" s="30"/>
      <c r="O299" s="9"/>
      <c r="P299" s="9">
        <f>Table6[[#This Row],[ (S/S) SAR]]-Table6[[#This Row],[(S/S) AJD]]</f>
        <v>0</v>
      </c>
      <c r="Q299" s="9"/>
      <c r="R299" s="9">
        <f>Table6[[#This Row],[ (T/B) SAR]]-Table6[[#This Row],[(T/B) AJD]]</f>
        <v>0</v>
      </c>
      <c r="S299" s="9">
        <f>Table6[[#This Row],[S/S_CON.]]+Table6[[#This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Table6[[#This Row],[(RESV. STORGE) AJD]]/10</f>
        <v>0</v>
      </c>
      <c r="AB299" s="3">
        <f t="shared" si="19"/>
        <v>0</v>
      </c>
      <c r="AC299" s="5"/>
      <c r="AD299" s="6">
        <f>(Table6[[#This Row],[( S/S+T/B) AJD]]*1000)-((Table6[[#This Row],[(STORGE DIFF.) AJD]]*1000)+Table6[[#This Row],[AJD_Evaporation]]+(Table6[[#This Row],[(A/B + A/S) AJD]]*1000))</f>
        <v>0</v>
      </c>
      <c r="AE299" s="33"/>
      <c r="AF299" s="6"/>
      <c r="AG299" s="6"/>
      <c r="AH299" s="6">
        <f>Table6[[#This Row],[ (RESV. STORGE) BER]]/10</f>
        <v>0</v>
      </c>
      <c r="AI299" s="6"/>
      <c r="AJ299" s="33">
        <f>Table6[[#This Row],[(A/B) AJD]]-TABL12345[[#This Row],[BER_IN]]</f>
        <v>0</v>
      </c>
      <c r="AK299" s="6"/>
      <c r="AL299" s="6"/>
      <c r="AM299" s="32"/>
      <c r="AN299" s="32">
        <f>Table6[[#This Row],[ (RESV. STORGE) SER]]/10</f>
        <v>0</v>
      </c>
      <c r="AO299" s="68"/>
      <c r="AP299" s="103">
        <f>Table6[[#This Row],[(A/S) AJD]]-Table6[[#This Row],[SER_IN]]</f>
        <v>0</v>
      </c>
    </row>
    <row r="300" spans="1:42" ht="18.75" x14ac:dyDescent="0.25">
      <c r="A300" s="10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Table6[[#This Row],[ (T/B) SAR]]+Table6[[#This Row],[ (S/S) SAR]]</f>
        <v>0</v>
      </c>
      <c r="L300" s="28"/>
      <c r="M300" s="29"/>
      <c r="N300" s="30"/>
      <c r="O300" s="9"/>
      <c r="P300" s="9">
        <f>Table6[[#This Row],[ (S/S) SAR]]-Table6[[#This Row],[(S/S) AJD]]</f>
        <v>0</v>
      </c>
      <c r="Q300" s="9"/>
      <c r="R300" s="9">
        <f>Table6[[#This Row],[ (T/B) SAR]]-Table6[[#This Row],[(T/B) AJD]]</f>
        <v>0</v>
      </c>
      <c r="S300" s="9">
        <f>Table6[[#This Row],[S/S_CON.]]+Table6[[#This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Table6[[#This Row],[(RESV. STORGE) AJD]]/10</f>
        <v>0</v>
      </c>
      <c r="AB300" s="3">
        <f t="shared" si="19"/>
        <v>0</v>
      </c>
      <c r="AC300" s="5"/>
      <c r="AD300" s="6">
        <f>(Table6[[#This Row],[( S/S+T/B) AJD]]*1000)-((Table6[[#This Row],[(STORGE DIFF.) AJD]]*1000)+Table6[[#This Row],[AJD_Evaporation]]+(Table6[[#This Row],[(A/B + A/S) AJD]]*1000))</f>
        <v>0</v>
      </c>
      <c r="AE300" s="33"/>
      <c r="AF300" s="6"/>
      <c r="AG300" s="6"/>
      <c r="AH300" s="6">
        <f>Table6[[#This Row],[ (RESV. STORGE) BER]]/10</f>
        <v>0</v>
      </c>
      <c r="AI300" s="6"/>
      <c r="AJ300" s="33">
        <f>Table6[[#This Row],[(A/B) AJD]]-TABL12345[[#This Row],[BER_IN]]</f>
        <v>0</v>
      </c>
      <c r="AK300" s="6"/>
      <c r="AL300" s="6"/>
      <c r="AM300" s="32"/>
      <c r="AN300" s="32">
        <f>Table6[[#This Row],[ (RESV. STORGE) SER]]/10</f>
        <v>0</v>
      </c>
      <c r="AO300" s="68"/>
      <c r="AP300" s="103">
        <f>Table6[[#This Row],[(A/S) AJD]]-Table6[[#This Row],[SER_IN]]</f>
        <v>0</v>
      </c>
    </row>
    <row r="301" spans="1:42" ht="18.75" x14ac:dyDescent="0.25">
      <c r="A301" s="10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Table6[[#This Row],[ (T/B) SAR]]+Table6[[#This Row],[ (S/S) SAR]]</f>
        <v>0</v>
      </c>
      <c r="L301" s="28"/>
      <c r="M301" s="29"/>
      <c r="N301" s="30"/>
      <c r="O301" s="9"/>
      <c r="P301" s="9">
        <f>Table6[[#This Row],[ (S/S) SAR]]-Table6[[#This Row],[(S/S) AJD]]</f>
        <v>0</v>
      </c>
      <c r="Q301" s="9"/>
      <c r="R301" s="9">
        <f>Table6[[#This Row],[ (T/B) SAR]]-Table6[[#This Row],[(T/B) AJD]]</f>
        <v>0</v>
      </c>
      <c r="S301" s="9">
        <f>Table6[[#This Row],[S/S_CON.]]+Table6[[#This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Table6[[#This Row],[(RESV. STORGE) AJD]]/10</f>
        <v>0</v>
      </c>
      <c r="AB301" s="3">
        <f t="shared" si="19"/>
        <v>0</v>
      </c>
      <c r="AC301" s="5"/>
      <c r="AD301" s="6">
        <f>(Table6[[#This Row],[( S/S+T/B) AJD]]*1000)-((Table6[[#This Row],[(STORGE DIFF.) AJD]]*1000)+Table6[[#This Row],[AJD_Evaporation]]+(Table6[[#This Row],[(A/B + A/S) AJD]]*1000))</f>
        <v>0</v>
      </c>
      <c r="AE301" s="33"/>
      <c r="AF301" s="6"/>
      <c r="AG301" s="6"/>
      <c r="AH301" s="6">
        <f>Table6[[#This Row],[ (RESV. STORGE) BER]]/10</f>
        <v>0</v>
      </c>
      <c r="AI301" s="6"/>
      <c r="AJ301" s="33">
        <f>Table6[[#This Row],[(A/B) AJD]]-TABL12345[[#This Row],[BER_IN]]</f>
        <v>0</v>
      </c>
      <c r="AK301" s="6"/>
      <c r="AL301" s="6"/>
      <c r="AM301" s="32"/>
      <c r="AN301" s="32">
        <f>Table6[[#This Row],[ (RESV. STORGE) SER]]/10</f>
        <v>0</v>
      </c>
      <c r="AO301" s="68"/>
      <c r="AP301" s="103">
        <f>Table6[[#This Row],[(A/S) AJD]]-Table6[[#This Row],[SER_IN]]</f>
        <v>0</v>
      </c>
    </row>
    <row r="302" spans="1:42" ht="18.75" x14ac:dyDescent="0.25">
      <c r="A302" s="10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Table6[[#This Row],[ (T/B) SAR]]+Table6[[#This Row],[ (S/S) SAR]]</f>
        <v>0</v>
      </c>
      <c r="L302" s="28"/>
      <c r="M302" s="29"/>
      <c r="N302" s="30"/>
      <c r="O302" s="9"/>
      <c r="P302" s="9">
        <f>Table6[[#This Row],[ (S/S) SAR]]-Table6[[#This Row],[(S/S) AJD]]</f>
        <v>0</v>
      </c>
      <c r="Q302" s="9"/>
      <c r="R302" s="9">
        <f>Table6[[#This Row],[ (T/B) SAR]]-Table6[[#This Row],[(T/B) AJD]]</f>
        <v>0</v>
      </c>
      <c r="S302" s="9">
        <f>Table6[[#This Row],[S/S_CON.]]+Table6[[#This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Table6[[#This Row],[(RESV. STORGE) AJD]]/10</f>
        <v>0</v>
      </c>
      <c r="AB302" s="3">
        <f t="shared" si="19"/>
        <v>0</v>
      </c>
      <c r="AC302" s="5"/>
      <c r="AD302" s="6">
        <f>(Table6[[#This Row],[( S/S+T/B) AJD]]*1000)-((Table6[[#This Row],[(STORGE DIFF.) AJD]]*1000)+Table6[[#This Row],[AJD_Evaporation]]+(Table6[[#This Row],[(A/B + A/S) AJD]]*1000))</f>
        <v>0</v>
      </c>
      <c r="AE302" s="33"/>
      <c r="AF302" s="6"/>
      <c r="AG302" s="6"/>
      <c r="AH302" s="6">
        <f>Table6[[#This Row],[ (RESV. STORGE) BER]]/10</f>
        <v>0</v>
      </c>
      <c r="AI302" s="6"/>
      <c r="AJ302" s="33">
        <f>Table6[[#This Row],[(A/B) AJD]]-TABL12345[[#This Row],[BER_IN]]</f>
        <v>0</v>
      </c>
      <c r="AK302" s="6"/>
      <c r="AL302" s="6"/>
      <c r="AM302" s="32"/>
      <c r="AN302" s="32">
        <f>Table6[[#This Row],[ (RESV. STORGE) SER]]/10</f>
        <v>0</v>
      </c>
      <c r="AO302" s="68"/>
      <c r="AP302" s="103">
        <f>Table6[[#This Row],[(A/S) AJD]]-Table6[[#This Row],[SER_IN]]</f>
        <v>0</v>
      </c>
    </row>
    <row r="303" spans="1:42" ht="18.75" x14ac:dyDescent="0.25">
      <c r="A303" s="10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Table6[[#This Row],[ (T/B) SAR]]+Table6[[#This Row],[ (S/S) SAR]]</f>
        <v>0</v>
      </c>
      <c r="L303" s="28"/>
      <c r="M303" s="29"/>
      <c r="N303" s="30"/>
      <c r="O303" s="9"/>
      <c r="P303" s="9">
        <f>Table6[[#This Row],[ (S/S) SAR]]-Table6[[#This Row],[(S/S) AJD]]</f>
        <v>0</v>
      </c>
      <c r="Q303" s="9"/>
      <c r="R303" s="9">
        <f>Table6[[#This Row],[ (T/B) SAR]]-Table6[[#This Row],[(T/B) AJD]]</f>
        <v>0</v>
      </c>
      <c r="S303" s="9">
        <f>Table6[[#This Row],[S/S_CON.]]+Table6[[#This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Table6[[#This Row],[(RESV. STORGE) AJD]]/10</f>
        <v>0</v>
      </c>
      <c r="AB303" s="3">
        <f t="shared" si="19"/>
        <v>0</v>
      </c>
      <c r="AC303" s="5"/>
      <c r="AD303" s="6">
        <f>(Table6[[#This Row],[( S/S+T/B) AJD]]*1000)-((Table6[[#This Row],[(STORGE DIFF.) AJD]]*1000)+Table6[[#This Row],[AJD_Evaporation]]+(Table6[[#This Row],[(A/B + A/S) AJD]]*1000))</f>
        <v>0</v>
      </c>
      <c r="AE303" s="33"/>
      <c r="AF303" s="6"/>
      <c r="AG303" s="6"/>
      <c r="AH303" s="6">
        <f>Table6[[#This Row],[ (RESV. STORGE) BER]]/10</f>
        <v>0</v>
      </c>
      <c r="AI303" s="6"/>
      <c r="AJ303" s="33">
        <f>Table6[[#This Row],[(A/B) AJD]]-TABL12345[[#This Row],[BER_IN]]</f>
        <v>0</v>
      </c>
      <c r="AK303" s="6"/>
      <c r="AL303" s="6"/>
      <c r="AM303" s="32"/>
      <c r="AN303" s="32">
        <f>Table6[[#This Row],[ (RESV. STORGE) SER]]/10</f>
        <v>0</v>
      </c>
      <c r="AO303" s="68"/>
      <c r="AP303" s="103">
        <f>Table6[[#This Row],[(A/S) AJD]]-Table6[[#This Row],[SER_IN]]</f>
        <v>0</v>
      </c>
    </row>
    <row r="304" spans="1:42" ht="18.75" x14ac:dyDescent="0.25">
      <c r="A304" s="10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Table6[[#This Row],[ (T/B) SAR]]+Table6[[#This Row],[ (S/S) SAR]]</f>
        <v>0</v>
      </c>
      <c r="L304" s="28"/>
      <c r="M304" s="29"/>
      <c r="N304" s="30"/>
      <c r="O304" s="9"/>
      <c r="P304" s="9">
        <f>Table6[[#This Row],[ (S/S) SAR]]-Table6[[#This Row],[(S/S) AJD]]</f>
        <v>0</v>
      </c>
      <c r="Q304" s="9"/>
      <c r="R304" s="9">
        <f>Table6[[#This Row],[ (T/B) SAR]]-Table6[[#This Row],[(T/B) AJD]]</f>
        <v>0</v>
      </c>
      <c r="S304" s="9">
        <f>Table6[[#This Row],[S/S_CON.]]+Table6[[#This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Table6[[#This Row],[(RESV. STORGE) AJD]]/10</f>
        <v>0</v>
      </c>
      <c r="AB304" s="3">
        <f t="shared" si="19"/>
        <v>0</v>
      </c>
      <c r="AC304" s="5"/>
      <c r="AD304" s="6">
        <f>(Table6[[#This Row],[( S/S+T/B) AJD]]*1000)-((Table6[[#This Row],[(STORGE DIFF.) AJD]]*1000)+Table6[[#This Row],[AJD_Evaporation]]+(Table6[[#This Row],[(A/B + A/S) AJD]]*1000))</f>
        <v>0</v>
      </c>
      <c r="AE304" s="33"/>
      <c r="AF304" s="6"/>
      <c r="AG304" s="6"/>
      <c r="AH304" s="6">
        <f>Table6[[#This Row],[ (RESV. STORGE) BER]]/10</f>
        <v>0</v>
      </c>
      <c r="AI304" s="6"/>
      <c r="AJ304" s="33">
        <f>Table6[[#This Row],[(A/B) AJD]]-TABL12345[[#This Row],[BER_IN]]</f>
        <v>0</v>
      </c>
      <c r="AK304" s="6"/>
      <c r="AL304" s="6"/>
      <c r="AM304" s="32"/>
      <c r="AN304" s="32">
        <f>Table6[[#This Row],[ (RESV. STORGE) SER]]/10</f>
        <v>0</v>
      </c>
      <c r="AO304" s="68"/>
      <c r="AP304" s="103">
        <f>Table6[[#This Row],[(A/S) AJD]]-Table6[[#This Row],[SER_IN]]</f>
        <v>0</v>
      </c>
    </row>
    <row r="305" spans="1:42" ht="18.75" x14ac:dyDescent="0.25">
      <c r="A305" s="10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Table6[[#This Row],[ (T/B) SAR]]+Table6[[#This Row],[ (S/S) SAR]]</f>
        <v>0</v>
      </c>
      <c r="L305" s="28"/>
      <c r="M305" s="29"/>
      <c r="N305" s="30"/>
      <c r="O305" s="9"/>
      <c r="P305" s="9">
        <f>Table6[[#This Row],[ (S/S) SAR]]-Table6[[#This Row],[(S/S) AJD]]</f>
        <v>0</v>
      </c>
      <c r="Q305" s="9"/>
      <c r="R305" s="9">
        <f>Table6[[#This Row],[ (T/B) SAR]]-Table6[[#This Row],[(T/B) AJD]]</f>
        <v>0</v>
      </c>
      <c r="S305" s="9">
        <f>Table6[[#This Row],[S/S_CON.]]+Table6[[#This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Table6[[#This Row],[(RESV. STORGE) AJD]]/10</f>
        <v>0</v>
      </c>
      <c r="AB305" s="3">
        <f t="shared" si="19"/>
        <v>0</v>
      </c>
      <c r="AC305" s="5"/>
      <c r="AD305" s="6">
        <f>(Table6[[#This Row],[( S/S+T/B) AJD]]*1000)-((Table6[[#This Row],[(STORGE DIFF.) AJD]]*1000)+Table6[[#This Row],[AJD_Evaporation]]+(Table6[[#This Row],[(A/B + A/S) AJD]]*1000))</f>
        <v>0</v>
      </c>
      <c r="AE305" s="33"/>
      <c r="AF305" s="6"/>
      <c r="AG305" s="6"/>
      <c r="AH305" s="6">
        <f>Table6[[#This Row],[ (RESV. STORGE) BER]]/10</f>
        <v>0</v>
      </c>
      <c r="AI305" s="6"/>
      <c r="AJ305" s="33">
        <f>Table6[[#This Row],[(A/B) AJD]]-TABL12345[[#This Row],[BER_IN]]</f>
        <v>0</v>
      </c>
      <c r="AK305" s="6"/>
      <c r="AL305" s="6"/>
      <c r="AM305" s="32"/>
      <c r="AN305" s="32">
        <f>Table6[[#This Row],[ (RESV. STORGE) SER]]/10</f>
        <v>0</v>
      </c>
      <c r="AO305" s="68"/>
      <c r="AP305" s="103">
        <f>Table6[[#This Row],[(A/S) AJD]]-Table6[[#This Row],[SER_IN]]</f>
        <v>0</v>
      </c>
    </row>
    <row r="306" spans="1:42" ht="18.75" x14ac:dyDescent="0.25">
      <c r="A306" s="10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Table6[[#This Row],[ (T/B) SAR]]+Table6[[#This Row],[ (S/S) SAR]]</f>
        <v>0</v>
      </c>
      <c r="L306" s="28"/>
      <c r="M306" s="29"/>
      <c r="N306" s="30"/>
      <c r="O306" s="39"/>
      <c r="P306" s="9">
        <f>Table6[[#This Row],[ (S/S) SAR]]-Table6[[#This Row],[(S/S) AJD]]</f>
        <v>0</v>
      </c>
      <c r="Q306" s="9"/>
      <c r="R306" s="9">
        <f>Table6[[#This Row],[ (T/B) SAR]]-Table6[[#This Row],[(T/B) AJD]]</f>
        <v>0</v>
      </c>
      <c r="S306" s="9">
        <f>Table6[[#This Row],[S/S_CON.]]+Table6[[#This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Table6[[#This Row],[(RESV. STORGE) AJD]]/10</f>
        <v>0</v>
      </c>
      <c r="AB306" s="3">
        <f t="shared" si="19"/>
        <v>0</v>
      </c>
      <c r="AC306" s="5"/>
      <c r="AD306" s="6">
        <f>(Table6[[#This Row],[( S/S+T/B) AJD]]*1000)-((Table6[[#This Row],[(STORGE DIFF.) AJD]]*1000)+Table6[[#This Row],[AJD_Evaporation]]+(Table6[[#This Row],[(A/B + A/S) AJD]]*1000))</f>
        <v>0</v>
      </c>
      <c r="AE306" s="33"/>
      <c r="AF306" s="6"/>
      <c r="AG306" s="6"/>
      <c r="AH306" s="6">
        <f>Table6[[#This Row],[ (RESV. STORGE) BER]]/10</f>
        <v>0</v>
      </c>
      <c r="AI306" s="6"/>
      <c r="AJ306" s="33">
        <f>Table6[[#This Row],[(A/B) AJD]]-TABL12345[[#This Row],[BER_IN]]</f>
        <v>0</v>
      </c>
      <c r="AK306" s="6"/>
      <c r="AL306" s="6"/>
      <c r="AM306" s="32"/>
      <c r="AN306" s="32">
        <f>Table6[[#This Row],[ (RESV. STORGE) SER]]/10</f>
        <v>0</v>
      </c>
      <c r="AO306" s="68"/>
      <c r="AP306" s="103">
        <f>Table6[[#This Row],[(A/S) AJD]]-Table6[[#This Row],[SER_IN]]</f>
        <v>0</v>
      </c>
    </row>
    <row r="307" spans="1:42" ht="18.75" x14ac:dyDescent="0.25">
      <c r="A307" s="10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Table6[[#This Row],[ (T/B) SAR]]+Table6[[#This Row],[ (S/S) SAR]]</f>
        <v>0</v>
      </c>
      <c r="L307" s="28"/>
      <c r="M307" s="29"/>
      <c r="N307" s="30"/>
      <c r="O307" s="40"/>
      <c r="P307" s="9">
        <f>Table6[[#This Row],[ (S/S) SAR]]-Table6[[#This Row],[(S/S) AJD]]</f>
        <v>0</v>
      </c>
      <c r="Q307" s="9"/>
      <c r="R307" s="9">
        <f>Table6[[#This Row],[ (T/B) SAR]]-Table6[[#This Row],[(T/B) AJD]]</f>
        <v>0</v>
      </c>
      <c r="S307" s="9">
        <f>Table6[[#This Row],[S/S_CON.]]+Table6[[#This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Table6[[#This Row],[(RESV. STORGE) AJD]]/10</f>
        <v>0</v>
      </c>
      <c r="AB307" s="3">
        <f t="shared" si="19"/>
        <v>0</v>
      </c>
      <c r="AC307" s="5"/>
      <c r="AD307" s="6">
        <f>(Table6[[#This Row],[( S/S+T/B) AJD]]*1000)-((Table6[[#This Row],[(STORGE DIFF.) AJD]]*1000)+Table6[[#This Row],[AJD_Evaporation]]+(Table6[[#This Row],[(A/B + A/S) AJD]]*1000))</f>
        <v>0</v>
      </c>
      <c r="AE307" s="33"/>
      <c r="AF307" s="6"/>
      <c r="AG307" s="6"/>
      <c r="AH307" s="6">
        <f>Table6[[#This Row],[ (RESV. STORGE) BER]]/10</f>
        <v>0</v>
      </c>
      <c r="AI307" s="6"/>
      <c r="AJ307" s="33">
        <f>Table6[[#This Row],[(A/B) AJD]]-TABL12345[[#This Row],[BER_IN]]</f>
        <v>0</v>
      </c>
      <c r="AK307" s="6"/>
      <c r="AL307" s="6"/>
      <c r="AM307" s="32"/>
      <c r="AN307" s="32">
        <f>Table6[[#This Row],[ (RESV. STORGE) SER]]/10</f>
        <v>0</v>
      </c>
      <c r="AO307" s="68"/>
      <c r="AP307" s="103">
        <f>Table6[[#This Row],[(A/S) AJD]]-Table6[[#This Row],[SER_IN]]</f>
        <v>0</v>
      </c>
    </row>
    <row r="308" spans="1:42" ht="18.75" x14ac:dyDescent="0.25">
      <c r="A308" s="10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Table6[[#This Row],[ (T/B) SAR]]+Table6[[#This Row],[ (S/S) SAR]]</f>
        <v>0</v>
      </c>
      <c r="L308" s="28"/>
      <c r="M308" s="29"/>
      <c r="N308" s="30"/>
      <c r="O308" s="39"/>
      <c r="P308" s="9">
        <f>Table6[[#This Row],[ (S/S) SAR]]-Table6[[#This Row],[(S/S) AJD]]</f>
        <v>0</v>
      </c>
      <c r="Q308" s="9"/>
      <c r="R308" s="9">
        <f>Table6[[#This Row],[ (T/B) SAR]]-Table6[[#This Row],[(T/B) AJD]]</f>
        <v>0</v>
      </c>
      <c r="S308" s="9">
        <f>Table6[[#This Row],[S/S_CON.]]+Table6[[#This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Table6[[#This Row],[(RESV. STORGE) AJD]]/10</f>
        <v>0</v>
      </c>
      <c r="AB308" s="3">
        <f t="shared" si="19"/>
        <v>0</v>
      </c>
      <c r="AC308" s="5"/>
      <c r="AD308" s="6">
        <f>(Table6[[#This Row],[( S/S+T/B) AJD]]*1000)-((Table6[[#This Row],[(STORGE DIFF.) AJD]]*1000)+Table6[[#This Row],[AJD_Evaporation]]+(Table6[[#This Row],[(A/B + A/S) AJD]]*1000))</f>
        <v>0</v>
      </c>
      <c r="AE308" s="33"/>
      <c r="AF308" s="6"/>
      <c r="AG308" s="6"/>
      <c r="AH308" s="6">
        <f>Table6[[#This Row],[ (RESV. STORGE) BER]]/10</f>
        <v>0</v>
      </c>
      <c r="AI308" s="6"/>
      <c r="AJ308" s="33">
        <f>Table6[[#This Row],[(A/B) AJD]]-TABL12345[[#This Row],[BER_IN]]</f>
        <v>0</v>
      </c>
      <c r="AK308" s="6"/>
      <c r="AL308" s="6"/>
      <c r="AM308" s="32"/>
      <c r="AN308" s="32">
        <f>Table6[[#This Row],[ (RESV. STORGE) SER]]/10</f>
        <v>0</v>
      </c>
      <c r="AO308" s="68"/>
      <c r="AP308" s="103">
        <f>Table6[[#This Row],[(A/S) AJD]]-Table6[[#This Row],[SER_IN]]</f>
        <v>0</v>
      </c>
    </row>
    <row r="309" spans="1:42" ht="18.75" x14ac:dyDescent="0.25">
      <c r="A309" s="10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Table6[[#This Row],[ (T/B) SAR]]+Table6[[#This Row],[ (S/S) SAR]]</f>
        <v>0</v>
      </c>
      <c r="L309" s="28"/>
      <c r="M309" s="29"/>
      <c r="N309" s="30"/>
      <c r="O309" s="40"/>
      <c r="P309" s="9">
        <f>Table6[[#This Row],[ (S/S) SAR]]-Table6[[#This Row],[(S/S) AJD]]</f>
        <v>0</v>
      </c>
      <c r="Q309" s="9"/>
      <c r="R309" s="9">
        <f>Table6[[#This Row],[ (T/B) SAR]]-Table6[[#This Row],[(T/B) AJD]]</f>
        <v>0</v>
      </c>
      <c r="S309" s="9">
        <f>Table6[[#This Row],[S/S_CON.]]+Table6[[#This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Table6[[#This Row],[(RESV. STORGE) AJD]]/10</f>
        <v>0</v>
      </c>
      <c r="AB309" s="3">
        <f t="shared" si="19"/>
        <v>0</v>
      </c>
      <c r="AC309" s="5"/>
      <c r="AD309" s="6">
        <f>(Table6[[#This Row],[( S/S+T/B) AJD]]*1000)-((Table6[[#This Row],[(STORGE DIFF.) AJD]]*1000)+Table6[[#This Row],[AJD_Evaporation]]+(Table6[[#This Row],[(A/B + A/S) AJD]]*1000))</f>
        <v>0</v>
      </c>
      <c r="AE309" s="33"/>
      <c r="AF309" s="6"/>
      <c r="AG309" s="6"/>
      <c r="AH309" s="6">
        <f>Table6[[#This Row],[ (RESV. STORGE) BER]]/10</f>
        <v>0</v>
      </c>
      <c r="AI309" s="6"/>
      <c r="AJ309" s="33">
        <f>Table6[[#This Row],[(A/B) AJD]]-TABL12345[[#This Row],[BER_IN]]</f>
        <v>0</v>
      </c>
      <c r="AK309" s="6"/>
      <c r="AL309" s="6"/>
      <c r="AM309" s="32"/>
      <c r="AN309" s="32">
        <f>Table6[[#This Row],[ (RESV. STORGE) SER]]/10</f>
        <v>0</v>
      </c>
      <c r="AO309" s="68"/>
      <c r="AP309" s="103">
        <f>Table6[[#This Row],[(A/S) AJD]]-Table6[[#This Row],[SER_IN]]</f>
        <v>0</v>
      </c>
    </row>
    <row r="310" spans="1:42" ht="18.75" x14ac:dyDescent="0.25">
      <c r="A310" s="10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Table6[[#This Row],[ (T/B) SAR]]+Table6[[#This Row],[ (S/S) SAR]]</f>
        <v>0</v>
      </c>
      <c r="L310" s="28"/>
      <c r="M310" s="29"/>
      <c r="N310" s="30"/>
      <c r="O310" s="39"/>
      <c r="P310" s="9">
        <f>Table6[[#This Row],[ (S/S) SAR]]-Table6[[#This Row],[(S/S) AJD]]</f>
        <v>0</v>
      </c>
      <c r="Q310" s="9"/>
      <c r="R310" s="9">
        <f>Table6[[#This Row],[ (T/B) SAR]]-Table6[[#This Row],[(T/B) AJD]]</f>
        <v>0</v>
      </c>
      <c r="S310" s="9">
        <f>Table6[[#This Row],[S/S_CON.]]+Table6[[#This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Table6[[#This Row],[(RESV. STORGE) AJD]]/10</f>
        <v>0</v>
      </c>
      <c r="AB310" s="3">
        <f t="shared" si="19"/>
        <v>0</v>
      </c>
      <c r="AC310" s="5"/>
      <c r="AD310" s="6">
        <f>(Table6[[#This Row],[( S/S+T/B) AJD]]*1000)-((Table6[[#This Row],[(STORGE DIFF.) AJD]]*1000)+Table6[[#This Row],[AJD_Evaporation]]+(Table6[[#This Row],[(A/B + A/S) AJD]]*1000))</f>
        <v>0</v>
      </c>
      <c r="AE310" s="33"/>
      <c r="AF310" s="6"/>
      <c r="AG310" s="6"/>
      <c r="AH310" s="6">
        <f>Table6[[#This Row],[ (RESV. STORGE) BER]]/10</f>
        <v>0</v>
      </c>
      <c r="AI310" s="6"/>
      <c r="AJ310" s="33">
        <f>Table6[[#This Row],[(A/B) AJD]]-TABL12345[[#This Row],[BER_IN]]</f>
        <v>0</v>
      </c>
      <c r="AK310" s="6"/>
      <c r="AL310" s="6"/>
      <c r="AM310" s="32"/>
      <c r="AN310" s="32">
        <f>Table6[[#This Row],[ (RESV. STORGE) SER]]/10</f>
        <v>0</v>
      </c>
      <c r="AO310" s="68"/>
      <c r="AP310" s="103">
        <f>Table6[[#This Row],[(A/S) AJD]]-Table6[[#This Row],[SER_IN]]</f>
        <v>0</v>
      </c>
    </row>
    <row r="311" spans="1:42" ht="18.75" x14ac:dyDescent="0.25">
      <c r="A311" s="10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Table6[[#This Row],[ (T/B) SAR]]+Table6[[#This Row],[ (S/S) SAR]]</f>
        <v>0</v>
      </c>
      <c r="L311" s="28"/>
      <c r="M311" s="29"/>
      <c r="N311" s="30"/>
      <c r="O311" s="40"/>
      <c r="P311" s="9">
        <f>Table6[[#This Row],[ (S/S) SAR]]-Table6[[#This Row],[(S/S) AJD]]</f>
        <v>0</v>
      </c>
      <c r="Q311" s="9"/>
      <c r="R311" s="9">
        <f>Table6[[#This Row],[ (T/B) SAR]]-Table6[[#This Row],[(T/B) AJD]]</f>
        <v>0</v>
      </c>
      <c r="S311" s="9">
        <f>Table6[[#This Row],[S/S_CON.]]+Table6[[#This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Table6[[#This Row],[(RESV. STORGE) AJD]]/10</f>
        <v>0</v>
      </c>
      <c r="AB311" s="3">
        <f t="shared" si="19"/>
        <v>0</v>
      </c>
      <c r="AC311" s="5"/>
      <c r="AD311" s="6">
        <f>(Table6[[#This Row],[( S/S+T/B) AJD]]*1000)-((Table6[[#This Row],[(STORGE DIFF.) AJD]]*1000)+Table6[[#This Row],[AJD_Evaporation]]+(Table6[[#This Row],[(A/B + A/S) AJD]]*1000))</f>
        <v>0</v>
      </c>
      <c r="AE311" s="33"/>
      <c r="AF311" s="6"/>
      <c r="AG311" s="6"/>
      <c r="AH311" s="6">
        <f>Table6[[#This Row],[ (RESV. STORGE) BER]]/10</f>
        <v>0</v>
      </c>
      <c r="AI311" s="6"/>
      <c r="AJ311" s="33">
        <f>Table6[[#This Row],[(A/B) AJD]]-TABL12345[[#This Row],[BER_IN]]</f>
        <v>0</v>
      </c>
      <c r="AK311" s="6"/>
      <c r="AL311" s="6"/>
      <c r="AM311" s="32"/>
      <c r="AN311" s="32">
        <f>Table6[[#This Row],[ (RESV. STORGE) SER]]/10</f>
        <v>0</v>
      </c>
      <c r="AO311" s="68"/>
      <c r="AP311" s="103">
        <f>Table6[[#This Row],[(A/S) AJD]]-Table6[[#This Row],[SER_IN]]</f>
        <v>0</v>
      </c>
    </row>
    <row r="312" spans="1:42" ht="18.75" x14ac:dyDescent="0.25">
      <c r="A312" s="10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Table6[[#This Row],[ (T/B) SAR]]+Table6[[#This Row],[ (S/S) SAR]]</f>
        <v>0</v>
      </c>
      <c r="L312" s="28"/>
      <c r="M312" s="29"/>
      <c r="N312" s="30"/>
      <c r="O312" s="39"/>
      <c r="P312" s="9">
        <f>Table6[[#This Row],[ (S/S) SAR]]-Table6[[#This Row],[(S/S) AJD]]</f>
        <v>0</v>
      </c>
      <c r="Q312" s="9"/>
      <c r="R312" s="9">
        <f>Table6[[#This Row],[ (T/B) SAR]]-Table6[[#This Row],[(T/B) AJD]]</f>
        <v>0</v>
      </c>
      <c r="S312" s="9">
        <f>Table6[[#This Row],[S/S_CON.]]+Table6[[#This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Table6[[#This Row],[(RESV. STORGE) AJD]]/10</f>
        <v>0</v>
      </c>
      <c r="AB312" s="3">
        <f t="shared" si="19"/>
        <v>0</v>
      </c>
      <c r="AC312" s="5"/>
      <c r="AD312" s="6">
        <f>(Table6[[#This Row],[( S/S+T/B) AJD]]*1000)-((Table6[[#This Row],[(STORGE DIFF.) AJD]]*1000)+Table6[[#This Row],[AJD_Evaporation]]+(Table6[[#This Row],[(A/B + A/S) AJD]]*1000))</f>
        <v>0</v>
      </c>
      <c r="AE312" s="33"/>
      <c r="AF312" s="6"/>
      <c r="AG312" s="6"/>
      <c r="AH312" s="6">
        <f>Table6[[#This Row],[ (RESV. STORGE) BER]]/10</f>
        <v>0</v>
      </c>
      <c r="AI312" s="6"/>
      <c r="AJ312" s="33">
        <f>Table6[[#This Row],[(A/B) AJD]]-TABL12345[[#This Row],[BER_IN]]</f>
        <v>0</v>
      </c>
      <c r="AK312" s="6"/>
      <c r="AL312" s="6"/>
      <c r="AM312" s="32"/>
      <c r="AN312" s="32">
        <f>Table6[[#This Row],[ (RESV. STORGE) SER]]/10</f>
        <v>0</v>
      </c>
      <c r="AO312" s="68"/>
      <c r="AP312" s="103">
        <f>Table6[[#This Row],[(A/S) AJD]]-Table6[[#This Row],[SER_IN]]</f>
        <v>0</v>
      </c>
    </row>
    <row r="313" spans="1:42" ht="18.75" x14ac:dyDescent="0.25">
      <c r="A313" s="10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Table6[[#This Row],[ (T/B) SAR]]+Table6[[#This Row],[ (S/S) SAR]]</f>
        <v>0</v>
      </c>
      <c r="L313" s="28"/>
      <c r="M313" s="29"/>
      <c r="N313" s="30"/>
      <c r="O313" s="40"/>
      <c r="P313" s="9">
        <f>Table6[[#This Row],[ (S/S) SAR]]-Table6[[#This Row],[(S/S) AJD]]</f>
        <v>0</v>
      </c>
      <c r="Q313" s="9"/>
      <c r="R313" s="9">
        <f>Table6[[#This Row],[ (T/B) SAR]]-Table6[[#This Row],[(T/B) AJD]]</f>
        <v>0</v>
      </c>
      <c r="S313" s="9">
        <f>Table6[[#This Row],[S/S_CON.]]+Table6[[#This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Table6[[#This Row],[(RESV. STORGE) AJD]]/10</f>
        <v>0</v>
      </c>
      <c r="AB313" s="3">
        <f t="shared" si="19"/>
        <v>0</v>
      </c>
      <c r="AC313" s="5"/>
      <c r="AD313" s="6">
        <f>(Table6[[#This Row],[( S/S+T/B) AJD]]*1000)-((Table6[[#This Row],[(STORGE DIFF.) AJD]]*1000)+Table6[[#This Row],[AJD_Evaporation]]+(Table6[[#This Row],[(A/B + A/S) AJD]]*1000))</f>
        <v>0</v>
      </c>
      <c r="AE313" s="33"/>
      <c r="AF313" s="6"/>
      <c r="AG313" s="6"/>
      <c r="AH313" s="6">
        <f>Table6[[#This Row],[ (RESV. STORGE) BER]]/10</f>
        <v>0</v>
      </c>
      <c r="AI313" s="6"/>
      <c r="AJ313" s="33">
        <f>Table6[[#This Row],[(A/B) AJD]]-TABL12345[[#This Row],[BER_IN]]</f>
        <v>0</v>
      </c>
      <c r="AK313" s="6"/>
      <c r="AL313" s="6"/>
      <c r="AM313" s="32"/>
      <c r="AN313" s="32">
        <f>Table6[[#This Row],[ (RESV. STORGE) SER]]/10</f>
        <v>0</v>
      </c>
      <c r="AO313" s="68"/>
      <c r="AP313" s="103">
        <f>Table6[[#This Row],[(A/S) AJD]]-Table6[[#This Row],[SER_IN]]</f>
        <v>0</v>
      </c>
    </row>
    <row r="314" spans="1:42" ht="18.75" x14ac:dyDescent="0.25">
      <c r="A314" s="10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Table6[[#This Row],[ (T/B) SAR]]+Table6[[#This Row],[ (S/S) SAR]]</f>
        <v>0</v>
      </c>
      <c r="L314" s="28"/>
      <c r="M314" s="29"/>
      <c r="N314" s="30"/>
      <c r="O314" s="39"/>
      <c r="P314" s="9">
        <f>Table6[[#This Row],[ (S/S) SAR]]-Table6[[#This Row],[(S/S) AJD]]</f>
        <v>0</v>
      </c>
      <c r="Q314" s="9"/>
      <c r="R314" s="9">
        <f>Table6[[#This Row],[ (T/B) SAR]]-Table6[[#This Row],[(T/B) AJD]]</f>
        <v>0</v>
      </c>
      <c r="S314" s="9">
        <f>Table6[[#This Row],[S/S_CON.]]+Table6[[#This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Table6[[#This Row],[(RESV. STORGE) AJD]]/10</f>
        <v>0</v>
      </c>
      <c r="AB314" s="3">
        <f t="shared" si="19"/>
        <v>0</v>
      </c>
      <c r="AC314" s="5"/>
      <c r="AD314" s="6">
        <f>(Table6[[#This Row],[( S/S+T/B) AJD]]*1000)-((Table6[[#This Row],[(STORGE DIFF.) AJD]]*1000)+Table6[[#This Row],[AJD_Evaporation]]+(Table6[[#This Row],[(A/B + A/S) AJD]]*1000))</f>
        <v>0</v>
      </c>
      <c r="AE314" s="33"/>
      <c r="AF314" s="6"/>
      <c r="AG314" s="6"/>
      <c r="AH314" s="6">
        <f>Table6[[#This Row],[ (RESV. STORGE) BER]]/10</f>
        <v>0</v>
      </c>
      <c r="AI314" s="6"/>
      <c r="AJ314" s="33">
        <f>Table6[[#This Row],[(A/B) AJD]]-TABL12345[[#This Row],[BER_IN]]</f>
        <v>0</v>
      </c>
      <c r="AK314" s="6"/>
      <c r="AL314" s="6"/>
      <c r="AM314" s="32"/>
      <c r="AN314" s="32">
        <f>Table6[[#This Row],[ (RESV. STORGE) SER]]/10</f>
        <v>0</v>
      </c>
      <c r="AO314" s="68"/>
      <c r="AP314" s="103">
        <f>Table6[[#This Row],[(A/S) AJD]]-Table6[[#This Row],[SER_IN]]</f>
        <v>0</v>
      </c>
    </row>
    <row r="315" spans="1:42" ht="18.75" x14ac:dyDescent="0.25">
      <c r="A315" s="10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Table6[[#This Row],[ (T/B) SAR]]+Table6[[#This Row],[ (S/S) SAR]]</f>
        <v>0</v>
      </c>
      <c r="L315" s="28"/>
      <c r="M315" s="29"/>
      <c r="N315" s="30"/>
      <c r="O315" s="40"/>
      <c r="P315" s="9">
        <f>Table6[[#This Row],[ (S/S) SAR]]-Table6[[#This Row],[(S/S) AJD]]</f>
        <v>0</v>
      </c>
      <c r="Q315" s="9"/>
      <c r="R315" s="9">
        <f>Table6[[#This Row],[ (T/B) SAR]]-Table6[[#This Row],[(T/B) AJD]]</f>
        <v>0</v>
      </c>
      <c r="S315" s="9">
        <f>Table6[[#This Row],[S/S_CON.]]+Table6[[#This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Table6[[#This Row],[(RESV. STORGE) AJD]]/10</f>
        <v>0</v>
      </c>
      <c r="AB315" s="3">
        <f t="shared" si="19"/>
        <v>0</v>
      </c>
      <c r="AC315" s="5"/>
      <c r="AD315" s="6">
        <f>(Table6[[#This Row],[( S/S+T/B) AJD]]*1000)-((Table6[[#This Row],[(STORGE DIFF.) AJD]]*1000)+Table6[[#This Row],[AJD_Evaporation]]+(Table6[[#This Row],[(A/B + A/S) AJD]]*1000))</f>
        <v>0</v>
      </c>
      <c r="AE315" s="33"/>
      <c r="AF315" s="6"/>
      <c r="AG315" s="6"/>
      <c r="AH315" s="6">
        <f>Table6[[#This Row],[ (RESV. STORGE) BER]]/10</f>
        <v>0</v>
      </c>
      <c r="AI315" s="6"/>
      <c r="AJ315" s="33">
        <f>Table6[[#This Row],[(A/B) AJD]]-TABL12345[[#This Row],[BER_IN]]</f>
        <v>0</v>
      </c>
      <c r="AK315" s="6"/>
      <c r="AL315" s="6"/>
      <c r="AM315" s="32"/>
      <c r="AN315" s="32">
        <f>Table6[[#This Row],[ (RESV. STORGE) SER]]/10</f>
        <v>0</v>
      </c>
      <c r="AO315" s="68"/>
      <c r="AP315" s="103">
        <f>Table6[[#This Row],[(A/S) AJD]]-Table6[[#This Row],[SER_IN]]</f>
        <v>0</v>
      </c>
    </row>
    <row r="316" spans="1:42" ht="18.75" x14ac:dyDescent="0.25">
      <c r="A316" s="10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Table6[[#This Row],[ (T/B) SAR]]+Table6[[#This Row],[ (S/S) SAR]]</f>
        <v>0</v>
      </c>
      <c r="L316" s="28"/>
      <c r="M316" s="29"/>
      <c r="N316" s="30"/>
      <c r="O316" s="39"/>
      <c r="P316" s="9">
        <f>Table6[[#This Row],[ (S/S) SAR]]-Table6[[#This Row],[(S/S) AJD]]</f>
        <v>0</v>
      </c>
      <c r="Q316" s="9"/>
      <c r="R316" s="9">
        <f>Table6[[#This Row],[ (T/B) SAR]]-Table6[[#This Row],[(T/B) AJD]]</f>
        <v>0</v>
      </c>
      <c r="S316" s="9">
        <f>Table6[[#This Row],[S/S_CON.]]+Table6[[#This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Table6[[#This Row],[(RESV. STORGE) AJD]]/10</f>
        <v>0</v>
      </c>
      <c r="AB316" s="3">
        <f t="shared" si="19"/>
        <v>0</v>
      </c>
      <c r="AC316" s="5"/>
      <c r="AD316" s="6">
        <f>(Table6[[#This Row],[( S/S+T/B) AJD]]*1000)-((Table6[[#This Row],[(STORGE DIFF.) AJD]]*1000)+Table6[[#This Row],[AJD_Evaporation]]+(Table6[[#This Row],[(A/B + A/S) AJD]]*1000))</f>
        <v>0</v>
      </c>
      <c r="AE316" s="33"/>
      <c r="AF316" s="6"/>
      <c r="AG316" s="6"/>
      <c r="AH316" s="6">
        <f>Table6[[#This Row],[ (RESV. STORGE) BER]]/10</f>
        <v>0</v>
      </c>
      <c r="AI316" s="6"/>
      <c r="AJ316" s="33">
        <f>Table6[[#This Row],[(A/B) AJD]]-TABL12345[[#This Row],[BER_IN]]</f>
        <v>0</v>
      </c>
      <c r="AK316" s="6"/>
      <c r="AL316" s="6"/>
      <c r="AM316" s="32"/>
      <c r="AN316" s="32">
        <f>Table6[[#This Row],[ (RESV. STORGE) SER]]/10</f>
        <v>0</v>
      </c>
      <c r="AO316" s="68"/>
      <c r="AP316" s="103">
        <f>Table6[[#This Row],[(A/S) AJD]]-Table6[[#This Row],[SER_IN]]</f>
        <v>0</v>
      </c>
    </row>
    <row r="317" spans="1:42" ht="18.75" x14ac:dyDescent="0.25">
      <c r="A317" s="10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Table6[[#This Row],[ (T/B) SAR]]+Table6[[#This Row],[ (S/S) SAR]]</f>
        <v>0</v>
      </c>
      <c r="L317" s="28"/>
      <c r="M317" s="29"/>
      <c r="N317" s="30"/>
      <c r="O317" s="40"/>
      <c r="P317" s="9">
        <f>Table6[[#This Row],[ (S/S) SAR]]-Table6[[#This Row],[(S/S) AJD]]</f>
        <v>0</v>
      </c>
      <c r="Q317" s="9"/>
      <c r="R317" s="9">
        <f>Table6[[#This Row],[ (T/B) SAR]]-Table6[[#This Row],[(T/B) AJD]]</f>
        <v>0</v>
      </c>
      <c r="S317" s="9">
        <f>Table6[[#This Row],[S/S_CON.]]+Table6[[#This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Table6[[#This Row],[(RESV. STORGE) AJD]]/10</f>
        <v>0</v>
      </c>
      <c r="AB317" s="3">
        <f t="shared" si="19"/>
        <v>0</v>
      </c>
      <c r="AC317" s="5"/>
      <c r="AD317" s="6">
        <f>(Table6[[#This Row],[( S/S+T/B) AJD]]*1000)-((Table6[[#This Row],[(STORGE DIFF.) AJD]]*1000)+Table6[[#This Row],[AJD_Evaporation]]+(Table6[[#This Row],[(A/B + A/S) AJD]]*1000))</f>
        <v>0</v>
      </c>
      <c r="AE317" s="33"/>
      <c r="AF317" s="6"/>
      <c r="AG317" s="6"/>
      <c r="AH317" s="6">
        <f>Table6[[#This Row],[ (RESV. STORGE) BER]]/10</f>
        <v>0</v>
      </c>
      <c r="AI317" s="6"/>
      <c r="AJ317" s="33">
        <f>Table6[[#This Row],[(A/B) AJD]]-TABL12345[[#This Row],[BER_IN]]</f>
        <v>0</v>
      </c>
      <c r="AK317" s="6"/>
      <c r="AL317" s="6"/>
      <c r="AM317" s="32"/>
      <c r="AN317" s="32">
        <f>Table6[[#This Row],[ (RESV. STORGE) SER]]/10</f>
        <v>0</v>
      </c>
      <c r="AO317" s="68"/>
      <c r="AP317" s="103">
        <f>Table6[[#This Row],[(A/S) AJD]]-Table6[[#This Row],[SER_IN]]</f>
        <v>0</v>
      </c>
    </row>
    <row r="318" spans="1:42" ht="18.75" x14ac:dyDescent="0.25">
      <c r="A318" s="10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Table6[[#This Row],[ (T/B) SAR]]+Table6[[#This Row],[ (S/S) SAR]]</f>
        <v>0</v>
      </c>
      <c r="L318" s="28"/>
      <c r="M318" s="29"/>
      <c r="N318" s="30"/>
      <c r="O318" s="39"/>
      <c r="P318" s="9">
        <f>Table6[[#This Row],[ (S/S) SAR]]-Table6[[#This Row],[(S/S) AJD]]</f>
        <v>0</v>
      </c>
      <c r="Q318" s="9"/>
      <c r="R318" s="9">
        <f>Table6[[#This Row],[ (T/B) SAR]]-Table6[[#This Row],[(T/B) AJD]]</f>
        <v>0</v>
      </c>
      <c r="S318" s="9">
        <f>Table6[[#This Row],[S/S_CON.]]+Table6[[#This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Table6[[#This Row],[(RESV. STORGE) AJD]]/10</f>
        <v>0</v>
      </c>
      <c r="AB318" s="3">
        <f t="shared" si="19"/>
        <v>0</v>
      </c>
      <c r="AC318" s="5"/>
      <c r="AD318" s="6">
        <f>(Table6[[#This Row],[( S/S+T/B) AJD]]*1000)-((Table6[[#This Row],[(STORGE DIFF.) AJD]]*1000)+Table6[[#This Row],[AJD_Evaporation]]+(Table6[[#This Row],[(A/B + A/S) AJD]]*1000))</f>
        <v>0</v>
      </c>
      <c r="AE318" s="33"/>
      <c r="AF318" s="6"/>
      <c r="AG318" s="6"/>
      <c r="AH318" s="6">
        <f>Table6[[#This Row],[ (RESV. STORGE) BER]]/10</f>
        <v>0</v>
      </c>
      <c r="AI318" s="6"/>
      <c r="AJ318" s="33">
        <f>Table6[[#This Row],[(A/B) AJD]]-TABL12345[[#This Row],[BER_IN]]</f>
        <v>0</v>
      </c>
      <c r="AK318" s="6"/>
      <c r="AL318" s="6"/>
      <c r="AM318" s="32"/>
      <c r="AN318" s="32">
        <f>Table6[[#This Row],[ (RESV. STORGE) SER]]/10</f>
        <v>0</v>
      </c>
      <c r="AO318" s="68"/>
      <c r="AP318" s="103">
        <f>Table6[[#This Row],[(A/S) AJD]]-Table6[[#This Row],[SER_IN]]</f>
        <v>0</v>
      </c>
    </row>
    <row r="319" spans="1:42" ht="18.75" x14ac:dyDescent="0.25">
      <c r="A319" s="10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Table6[[#This Row],[ (T/B) SAR]]+Table6[[#This Row],[ (S/S) SAR]]</f>
        <v>0</v>
      </c>
      <c r="L319" s="28"/>
      <c r="M319" s="29"/>
      <c r="N319" s="30"/>
      <c r="O319" s="40"/>
      <c r="P319" s="9">
        <f>Table6[[#This Row],[ (S/S) SAR]]-Table6[[#This Row],[(S/S) AJD]]</f>
        <v>0</v>
      </c>
      <c r="Q319" s="9"/>
      <c r="R319" s="9">
        <f>Table6[[#This Row],[ (T/B) SAR]]-Table6[[#This Row],[(T/B) AJD]]</f>
        <v>0</v>
      </c>
      <c r="S319" s="9">
        <f>Table6[[#This Row],[S/S_CON.]]+Table6[[#This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Table6[[#This Row],[(RESV. STORGE) AJD]]/10</f>
        <v>0</v>
      </c>
      <c r="AB319" s="3">
        <f t="shared" si="19"/>
        <v>0</v>
      </c>
      <c r="AC319" s="5"/>
      <c r="AD319" s="6">
        <f>(Table6[[#This Row],[( S/S+T/B) AJD]]*1000)-((Table6[[#This Row],[(STORGE DIFF.) AJD]]*1000)+Table6[[#This Row],[AJD_Evaporation]]+(Table6[[#This Row],[(A/B + A/S) AJD]]*1000))</f>
        <v>0</v>
      </c>
      <c r="AE319" s="33"/>
      <c r="AF319" s="6"/>
      <c r="AG319" s="6"/>
      <c r="AH319" s="6">
        <f>Table6[[#This Row],[ (RESV. STORGE) BER]]/10</f>
        <v>0</v>
      </c>
      <c r="AI319" s="6"/>
      <c r="AJ319" s="33">
        <f>Table6[[#This Row],[(A/B) AJD]]-TABL12345[[#This Row],[BER_IN]]</f>
        <v>0</v>
      </c>
      <c r="AK319" s="6"/>
      <c r="AL319" s="6"/>
      <c r="AM319" s="32"/>
      <c r="AN319" s="32">
        <f>Table6[[#This Row],[ (RESV. STORGE) SER]]/10</f>
        <v>0</v>
      </c>
      <c r="AO319" s="68"/>
      <c r="AP319" s="103">
        <f>Table6[[#This Row],[(A/S) AJD]]-Table6[[#This Row],[SER_IN]]</f>
        <v>0</v>
      </c>
    </row>
    <row r="320" spans="1:42" ht="18.75" x14ac:dyDescent="0.25">
      <c r="A320" s="10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Table6[[#This Row],[ (T/B) SAR]]+Table6[[#This Row],[ (S/S) SAR]]</f>
        <v>0</v>
      </c>
      <c r="L320" s="28"/>
      <c r="M320" s="29"/>
      <c r="N320" s="30"/>
      <c r="O320" s="39"/>
      <c r="P320" s="9">
        <f>Table6[[#This Row],[ (S/S) SAR]]-Table6[[#This Row],[(S/S) AJD]]</f>
        <v>0</v>
      </c>
      <c r="Q320" s="9"/>
      <c r="R320" s="9">
        <f>Table6[[#This Row],[ (T/B) SAR]]-Table6[[#This Row],[(T/B) AJD]]</f>
        <v>0</v>
      </c>
      <c r="S320" s="9">
        <f>Table6[[#This Row],[S/S_CON.]]+Table6[[#This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Table6[[#This Row],[(RESV. STORGE) AJD]]/10</f>
        <v>0</v>
      </c>
      <c r="AB320" s="3">
        <f t="shared" si="19"/>
        <v>0</v>
      </c>
      <c r="AC320" s="5"/>
      <c r="AD320" s="6">
        <f>(Table6[[#This Row],[( S/S+T/B) AJD]]*1000)-((Table6[[#This Row],[(STORGE DIFF.) AJD]]*1000)+Table6[[#This Row],[AJD_Evaporation]]+(Table6[[#This Row],[(A/B + A/S) AJD]]*1000))</f>
        <v>0</v>
      </c>
      <c r="AE320" s="33"/>
      <c r="AF320" s="6"/>
      <c r="AG320" s="6"/>
      <c r="AH320" s="6">
        <f>Table6[[#This Row],[ (RESV. STORGE) BER]]/10</f>
        <v>0</v>
      </c>
      <c r="AI320" s="6"/>
      <c r="AJ320" s="33">
        <f>Table6[[#This Row],[(A/B) AJD]]-TABL12345[[#This Row],[BER_IN]]</f>
        <v>0</v>
      </c>
      <c r="AK320" s="6"/>
      <c r="AL320" s="6"/>
      <c r="AM320" s="32"/>
      <c r="AN320" s="32">
        <f>Table6[[#This Row],[ (RESV. STORGE) SER]]/10</f>
        <v>0</v>
      </c>
      <c r="AO320" s="68"/>
      <c r="AP320" s="103">
        <f>Table6[[#This Row],[(A/S) AJD]]-Table6[[#This Row],[SER_IN]]</f>
        <v>0</v>
      </c>
    </row>
    <row r="321" spans="1:42" ht="18.75" x14ac:dyDescent="0.25">
      <c r="A321" s="10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Table6[[#This Row],[ (T/B) SAR]]+Table6[[#This Row],[ (S/S) SAR]]</f>
        <v>0</v>
      </c>
      <c r="L321" s="28"/>
      <c r="M321" s="29"/>
      <c r="N321" s="30"/>
      <c r="O321" s="40"/>
      <c r="P321" s="9">
        <f>Table6[[#This Row],[ (S/S) SAR]]-Table6[[#This Row],[(S/S) AJD]]</f>
        <v>0</v>
      </c>
      <c r="Q321" s="9"/>
      <c r="R321" s="9">
        <f>Table6[[#This Row],[ (T/B) SAR]]-Table6[[#This Row],[(T/B) AJD]]</f>
        <v>0</v>
      </c>
      <c r="S321" s="9">
        <f>Table6[[#This Row],[S/S_CON.]]+Table6[[#This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Table6[[#This Row],[(RESV. STORGE) AJD]]/10</f>
        <v>0</v>
      </c>
      <c r="AB321" s="3">
        <f t="shared" si="19"/>
        <v>0</v>
      </c>
      <c r="AC321" s="5"/>
      <c r="AD321" s="6">
        <f>(Table6[[#This Row],[( S/S+T/B) AJD]]*1000)-((Table6[[#This Row],[(STORGE DIFF.) AJD]]*1000)+Table6[[#This Row],[AJD_Evaporation]]+(Table6[[#This Row],[(A/B + A/S) AJD]]*1000))</f>
        <v>0</v>
      </c>
      <c r="AE321" s="33"/>
      <c r="AF321" s="6"/>
      <c r="AG321" s="6"/>
      <c r="AH321" s="6">
        <f>Table6[[#This Row],[ (RESV. STORGE) BER]]/10</f>
        <v>0</v>
      </c>
      <c r="AI321" s="6"/>
      <c r="AJ321" s="33">
        <f>Table6[[#This Row],[(A/B) AJD]]-TABL12345[[#This Row],[BER_IN]]</f>
        <v>0</v>
      </c>
      <c r="AK321" s="6"/>
      <c r="AL321" s="6"/>
      <c r="AM321" s="32"/>
      <c r="AN321" s="32">
        <f>Table6[[#This Row],[ (RESV. STORGE) SER]]/10</f>
        <v>0</v>
      </c>
      <c r="AO321" s="68"/>
      <c r="AP321" s="103">
        <f>Table6[[#This Row],[(A/S) AJD]]-Table6[[#This Row],[SER_IN]]</f>
        <v>0</v>
      </c>
    </row>
    <row r="322" spans="1:42" ht="18.75" x14ac:dyDescent="0.25">
      <c r="A322" s="10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Table6[[#This Row],[ (T/B) SAR]]+Table6[[#This Row],[ (S/S) SAR]]</f>
        <v>0</v>
      </c>
      <c r="L322" s="28"/>
      <c r="M322" s="29"/>
      <c r="N322" s="30"/>
      <c r="O322" s="39"/>
      <c r="P322" s="9">
        <f>Table6[[#This Row],[ (S/S) SAR]]-Table6[[#This Row],[(S/S) AJD]]</f>
        <v>0</v>
      </c>
      <c r="Q322" s="9"/>
      <c r="R322" s="9">
        <f>Table6[[#This Row],[ (T/B) SAR]]-Table6[[#This Row],[(T/B) AJD]]</f>
        <v>0</v>
      </c>
      <c r="S322" s="9">
        <f>Table6[[#This Row],[S/S_CON.]]+Table6[[#This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Table6[[#This Row],[(RESV. STORGE) AJD]]/10</f>
        <v>0</v>
      </c>
      <c r="AB322" s="3">
        <f t="shared" si="19"/>
        <v>0</v>
      </c>
      <c r="AC322" s="5"/>
      <c r="AD322" s="6">
        <f>(Table6[[#This Row],[( S/S+T/B) AJD]]*1000)-((Table6[[#This Row],[(STORGE DIFF.) AJD]]*1000)+Table6[[#This Row],[AJD_Evaporation]]+(Table6[[#This Row],[(A/B + A/S) AJD]]*1000))</f>
        <v>0</v>
      </c>
      <c r="AE322" s="33"/>
      <c r="AF322" s="6"/>
      <c r="AG322" s="6"/>
      <c r="AH322" s="6">
        <f>Table6[[#This Row],[ (RESV. STORGE) BER]]/10</f>
        <v>0</v>
      </c>
      <c r="AI322" s="6"/>
      <c r="AJ322" s="33">
        <f>Table6[[#This Row],[(A/B) AJD]]-TABL12345[[#This Row],[BER_IN]]</f>
        <v>0</v>
      </c>
      <c r="AK322" s="6"/>
      <c r="AL322" s="6"/>
      <c r="AM322" s="32"/>
      <c r="AN322" s="32">
        <f>Table6[[#This Row],[ (RESV. STORGE) SER]]/10</f>
        <v>0</v>
      </c>
      <c r="AO322" s="68"/>
      <c r="AP322" s="103">
        <f>Table6[[#This Row],[(A/S) AJD]]-Table6[[#This Row],[SER_IN]]</f>
        <v>0</v>
      </c>
    </row>
    <row r="323" spans="1:42" ht="18.75" x14ac:dyDescent="0.25">
      <c r="A323" s="10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Table6[[#This Row],[ (T/B) SAR]]+Table6[[#This Row],[ (S/S) SAR]]</f>
        <v>0</v>
      </c>
      <c r="L323" s="28"/>
      <c r="M323" s="29"/>
      <c r="N323" s="30"/>
      <c r="O323" s="40"/>
      <c r="P323" s="9">
        <f>Table6[[#This Row],[ (S/S) SAR]]-Table6[[#This Row],[(S/S) AJD]]</f>
        <v>0</v>
      </c>
      <c r="Q323" s="9"/>
      <c r="R323" s="9">
        <f>Table6[[#This Row],[ (T/B) SAR]]-Table6[[#This Row],[(T/B) AJD]]</f>
        <v>0</v>
      </c>
      <c r="S323" s="9">
        <f>Table6[[#This Row],[S/S_CON.]]+Table6[[#This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Table6[[#This Row],[(RESV. STORGE) AJD]]/10</f>
        <v>0</v>
      </c>
      <c r="AB323" s="3">
        <f t="shared" si="19"/>
        <v>0</v>
      </c>
      <c r="AC323" s="5"/>
      <c r="AD323" s="6">
        <f>(Table6[[#This Row],[( S/S+T/B) AJD]]*1000)-((Table6[[#This Row],[(STORGE DIFF.) AJD]]*1000)+Table6[[#This Row],[AJD_Evaporation]]+(Table6[[#This Row],[(A/B + A/S) AJD]]*1000))</f>
        <v>0</v>
      </c>
      <c r="AE323" s="33"/>
      <c r="AF323" s="6"/>
      <c r="AG323" s="6"/>
      <c r="AH323" s="6">
        <f>Table6[[#This Row],[ (RESV. STORGE) BER]]/10</f>
        <v>0</v>
      </c>
      <c r="AI323" s="6"/>
      <c r="AJ323" s="33">
        <f>Table6[[#This Row],[(A/B) AJD]]-TABL12345[[#This Row],[BER_IN]]</f>
        <v>0</v>
      </c>
      <c r="AK323" s="6"/>
      <c r="AL323" s="6"/>
      <c r="AM323" s="32"/>
      <c r="AN323" s="32">
        <f>Table6[[#This Row],[ (RESV. STORGE) SER]]/10</f>
        <v>0</v>
      </c>
      <c r="AO323" s="68"/>
      <c r="AP323" s="103">
        <f>Table6[[#This Row],[(A/S) AJD]]-Table6[[#This Row],[SER_IN]]</f>
        <v>0</v>
      </c>
    </row>
    <row r="324" spans="1:42" ht="18.75" x14ac:dyDescent="0.25">
      <c r="A324" s="10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Table6[[#This Row],[ (T/B) SAR]]+Table6[[#This Row],[ (S/S) SAR]]</f>
        <v>0</v>
      </c>
      <c r="L324" s="28"/>
      <c r="M324" s="29"/>
      <c r="N324" s="30"/>
      <c r="O324" s="39"/>
      <c r="P324" s="9">
        <f>Table6[[#This Row],[ (S/S) SAR]]-Table6[[#This Row],[(S/S) AJD]]</f>
        <v>0</v>
      </c>
      <c r="Q324" s="9"/>
      <c r="R324" s="9">
        <f>Table6[[#This Row],[ (T/B) SAR]]-Table6[[#This Row],[(T/B) AJD]]</f>
        <v>0</v>
      </c>
      <c r="S324" s="9">
        <f>Table6[[#This Row],[S/S_CON.]]+Table6[[#This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Table6[[#This Row],[(RESV. STORGE) AJD]]/10</f>
        <v>0</v>
      </c>
      <c r="AB324" s="3">
        <f t="shared" ref="AB324:AB366" si="23">IF(TRIM(Z324)="",,(Z324-Z323)/1000)</f>
        <v>0</v>
      </c>
      <c r="AC324" s="5"/>
      <c r="AD324" s="6">
        <f>(Table6[[#This Row],[( S/S+T/B) AJD]]*1000)-((Table6[[#This Row],[(STORGE DIFF.) AJD]]*1000)+Table6[[#This Row],[AJD_Evaporation]]+(Table6[[#This Row],[(A/B + A/S) AJD]]*1000))</f>
        <v>0</v>
      </c>
      <c r="AE324" s="33"/>
      <c r="AF324" s="6"/>
      <c r="AG324" s="6"/>
      <c r="AH324" s="6">
        <f>Table6[[#This Row],[ (RESV. STORGE) BER]]/10</f>
        <v>0</v>
      </c>
      <c r="AI324" s="6"/>
      <c r="AJ324" s="33">
        <f>Table6[[#This Row],[(A/B) AJD]]-TABL12345[[#This Row],[BER_IN]]</f>
        <v>0</v>
      </c>
      <c r="AK324" s="6"/>
      <c r="AL324" s="6"/>
      <c r="AM324" s="32"/>
      <c r="AN324" s="32">
        <f>Table6[[#This Row],[ (RESV. STORGE) SER]]/10</f>
        <v>0</v>
      </c>
      <c r="AO324" s="68"/>
      <c r="AP324" s="103">
        <f>Table6[[#This Row],[(A/S) AJD]]-Table6[[#This Row],[SER_IN]]</f>
        <v>0</v>
      </c>
    </row>
    <row r="325" spans="1:42" ht="18.75" x14ac:dyDescent="0.25">
      <c r="A325" s="10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Table6[[#This Row],[ (T/B) SAR]]+Table6[[#This Row],[ (S/S) SAR]]</f>
        <v>0</v>
      </c>
      <c r="L325" s="28"/>
      <c r="M325" s="29"/>
      <c r="N325" s="30"/>
      <c r="O325" s="40"/>
      <c r="P325" s="9">
        <f>Table6[[#This Row],[ (S/S) SAR]]-Table6[[#This Row],[(S/S) AJD]]</f>
        <v>0</v>
      </c>
      <c r="Q325" s="9"/>
      <c r="R325" s="9">
        <f>Table6[[#This Row],[ (T/B) SAR]]-Table6[[#This Row],[(T/B) AJD]]</f>
        <v>0</v>
      </c>
      <c r="S325" s="9">
        <f>Table6[[#This Row],[S/S_CON.]]+Table6[[#This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Table6[[#This Row],[(RESV. STORGE) AJD]]/10</f>
        <v>0</v>
      </c>
      <c r="AB325" s="3">
        <f t="shared" si="23"/>
        <v>0</v>
      </c>
      <c r="AC325" s="5"/>
      <c r="AD325" s="6">
        <f>(Table6[[#This Row],[( S/S+T/B) AJD]]*1000)-((Table6[[#This Row],[(STORGE DIFF.) AJD]]*1000)+Table6[[#This Row],[AJD_Evaporation]]+(Table6[[#This Row],[(A/B + A/S) AJD]]*1000))</f>
        <v>0</v>
      </c>
      <c r="AE325" s="33"/>
      <c r="AF325" s="6"/>
      <c r="AG325" s="6"/>
      <c r="AH325" s="6">
        <f>Table6[[#This Row],[ (RESV. STORGE) BER]]/10</f>
        <v>0</v>
      </c>
      <c r="AI325" s="6"/>
      <c r="AJ325" s="33">
        <f>Table6[[#This Row],[(A/B) AJD]]-TABL12345[[#This Row],[BER_IN]]</f>
        <v>0</v>
      </c>
      <c r="AK325" s="6"/>
      <c r="AL325" s="6"/>
      <c r="AM325" s="32"/>
      <c r="AN325" s="32">
        <f>Table6[[#This Row],[ (RESV. STORGE) SER]]/10</f>
        <v>0</v>
      </c>
      <c r="AO325" s="68"/>
      <c r="AP325" s="103">
        <f>Table6[[#This Row],[(A/S) AJD]]-Table6[[#This Row],[SER_IN]]</f>
        <v>0</v>
      </c>
    </row>
    <row r="326" spans="1:42" ht="18.75" x14ac:dyDescent="0.25">
      <c r="A326" s="10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Table6[[#This Row],[ (T/B) SAR]]+Table6[[#This Row],[ (S/S) SAR]]</f>
        <v>0</v>
      </c>
      <c r="L326" s="28"/>
      <c r="M326" s="29"/>
      <c r="N326" s="30"/>
      <c r="O326" s="39"/>
      <c r="P326" s="9">
        <f>Table6[[#This Row],[ (S/S) SAR]]-Table6[[#This Row],[(S/S) AJD]]</f>
        <v>0</v>
      </c>
      <c r="Q326" s="9"/>
      <c r="R326" s="9">
        <f>Table6[[#This Row],[ (T/B) SAR]]-Table6[[#This Row],[(T/B) AJD]]</f>
        <v>0</v>
      </c>
      <c r="S326" s="9">
        <f>Table6[[#This Row],[S/S_CON.]]+Table6[[#This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Table6[[#This Row],[(RESV. STORGE) AJD]]/10</f>
        <v>0</v>
      </c>
      <c r="AB326" s="3">
        <f t="shared" si="23"/>
        <v>0</v>
      </c>
      <c r="AC326" s="5"/>
      <c r="AD326" s="6">
        <f>(Table6[[#This Row],[( S/S+T/B) AJD]]*1000)-((Table6[[#This Row],[(STORGE DIFF.) AJD]]*1000)+Table6[[#This Row],[AJD_Evaporation]]+(Table6[[#This Row],[(A/B + A/S) AJD]]*1000))</f>
        <v>0</v>
      </c>
      <c r="AE326" s="33"/>
      <c r="AF326" s="6"/>
      <c r="AG326" s="6"/>
      <c r="AH326" s="6">
        <f>Table6[[#This Row],[ (RESV. STORGE) BER]]/10</f>
        <v>0</v>
      </c>
      <c r="AI326" s="6"/>
      <c r="AJ326" s="33">
        <f>Table6[[#This Row],[(A/B) AJD]]-TABL12345[[#This Row],[BER_IN]]</f>
        <v>0</v>
      </c>
      <c r="AK326" s="6"/>
      <c r="AL326" s="6"/>
      <c r="AM326" s="32"/>
      <c r="AN326" s="32">
        <f>Table6[[#This Row],[ (RESV. STORGE) SER]]/10</f>
        <v>0</v>
      </c>
      <c r="AO326" s="68"/>
      <c r="AP326" s="103">
        <f>Table6[[#This Row],[(A/S) AJD]]-Table6[[#This Row],[SER_IN]]</f>
        <v>0</v>
      </c>
    </row>
    <row r="327" spans="1:42" ht="18.75" x14ac:dyDescent="0.25">
      <c r="A327" s="10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Table6[[#This Row],[ (T/B) SAR]]+Table6[[#This Row],[ (S/S) SAR]]</f>
        <v>0</v>
      </c>
      <c r="L327" s="28"/>
      <c r="M327" s="29"/>
      <c r="N327" s="30"/>
      <c r="O327" s="40"/>
      <c r="P327" s="9">
        <f>Table6[[#This Row],[ (S/S) SAR]]-Table6[[#This Row],[(S/S) AJD]]</f>
        <v>0</v>
      </c>
      <c r="Q327" s="9"/>
      <c r="R327" s="9">
        <f>Table6[[#This Row],[ (T/B) SAR]]-Table6[[#This Row],[(T/B) AJD]]</f>
        <v>0</v>
      </c>
      <c r="S327" s="9">
        <f>Table6[[#This Row],[S/S_CON.]]+Table6[[#This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Table6[[#This Row],[(RESV. STORGE) AJD]]/10</f>
        <v>0</v>
      </c>
      <c r="AB327" s="3">
        <f t="shared" si="23"/>
        <v>0</v>
      </c>
      <c r="AC327" s="5"/>
      <c r="AD327" s="6">
        <f>(Table6[[#This Row],[( S/S+T/B) AJD]]*1000)-((Table6[[#This Row],[(STORGE DIFF.) AJD]]*1000)+Table6[[#This Row],[AJD_Evaporation]]+(Table6[[#This Row],[(A/B + A/S) AJD]]*1000))</f>
        <v>0</v>
      </c>
      <c r="AE327" s="33"/>
      <c r="AF327" s="6"/>
      <c r="AG327" s="6"/>
      <c r="AH327" s="6">
        <f>Table6[[#This Row],[ (RESV. STORGE) BER]]/10</f>
        <v>0</v>
      </c>
      <c r="AI327" s="6"/>
      <c r="AJ327" s="33">
        <f>Table6[[#This Row],[(A/B) AJD]]-TABL12345[[#This Row],[BER_IN]]</f>
        <v>0</v>
      </c>
      <c r="AK327" s="6"/>
      <c r="AL327" s="6"/>
      <c r="AM327" s="32"/>
      <c r="AN327" s="32">
        <f>Table6[[#This Row],[ (RESV. STORGE) SER]]/10</f>
        <v>0</v>
      </c>
      <c r="AO327" s="68"/>
      <c r="AP327" s="103">
        <f>Table6[[#This Row],[(A/S) AJD]]-Table6[[#This Row],[SER_IN]]</f>
        <v>0</v>
      </c>
    </row>
    <row r="328" spans="1:42" ht="18.75" x14ac:dyDescent="0.25">
      <c r="A328" s="10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Table6[[#This Row],[ (T/B) SAR]]+Table6[[#This Row],[ (S/S) SAR]]</f>
        <v>0</v>
      </c>
      <c r="L328" s="28"/>
      <c r="M328" s="29"/>
      <c r="N328" s="30"/>
      <c r="O328" s="39"/>
      <c r="P328" s="9">
        <f>Table6[[#This Row],[ (S/S) SAR]]-Table6[[#This Row],[(S/S) AJD]]</f>
        <v>0</v>
      </c>
      <c r="Q328" s="9"/>
      <c r="R328" s="9">
        <f>Table6[[#This Row],[ (T/B) SAR]]-Table6[[#This Row],[(T/B) AJD]]</f>
        <v>0</v>
      </c>
      <c r="S328" s="9">
        <f>Table6[[#This Row],[S/S_CON.]]+Table6[[#This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Table6[[#This Row],[(RESV. STORGE) AJD]]/10</f>
        <v>0</v>
      </c>
      <c r="AB328" s="3">
        <f t="shared" si="23"/>
        <v>0</v>
      </c>
      <c r="AC328" s="5"/>
      <c r="AD328" s="6">
        <f>(Table6[[#This Row],[( S/S+T/B) AJD]]*1000)-((Table6[[#This Row],[(STORGE DIFF.) AJD]]*1000)+Table6[[#This Row],[AJD_Evaporation]]+(Table6[[#This Row],[(A/B + A/S) AJD]]*1000))</f>
        <v>0</v>
      </c>
      <c r="AE328" s="33"/>
      <c r="AF328" s="6"/>
      <c r="AG328" s="6"/>
      <c r="AH328" s="6">
        <f>Table6[[#This Row],[ (RESV. STORGE) BER]]/10</f>
        <v>0</v>
      </c>
      <c r="AI328" s="6"/>
      <c r="AJ328" s="33">
        <f>Table6[[#This Row],[(A/B) AJD]]-TABL12345[[#This Row],[BER_IN]]</f>
        <v>0</v>
      </c>
      <c r="AK328" s="6"/>
      <c r="AL328" s="6"/>
      <c r="AM328" s="32"/>
      <c r="AN328" s="32">
        <f>Table6[[#This Row],[ (RESV. STORGE) SER]]/10</f>
        <v>0</v>
      </c>
      <c r="AO328" s="68"/>
      <c r="AP328" s="103">
        <f>Table6[[#This Row],[(A/S) AJD]]-Table6[[#This Row],[SER_IN]]</f>
        <v>0</v>
      </c>
    </row>
    <row r="329" spans="1:42" ht="18.75" x14ac:dyDescent="0.25">
      <c r="A329" s="10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Table6[[#This Row],[ (T/B) SAR]]+Table6[[#This Row],[ (S/S) SAR]]</f>
        <v>0</v>
      </c>
      <c r="L329" s="28"/>
      <c r="M329" s="29"/>
      <c r="N329" s="30"/>
      <c r="O329" s="40"/>
      <c r="P329" s="9">
        <f>Table6[[#This Row],[ (S/S) SAR]]-Table6[[#This Row],[(S/S) AJD]]</f>
        <v>0</v>
      </c>
      <c r="Q329" s="9"/>
      <c r="R329" s="9">
        <f>Table6[[#This Row],[ (T/B) SAR]]-Table6[[#This Row],[(T/B) AJD]]</f>
        <v>0</v>
      </c>
      <c r="S329" s="9">
        <f>Table6[[#This Row],[S/S_CON.]]+Table6[[#This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Table6[[#This Row],[(RESV. STORGE) AJD]]/10</f>
        <v>0</v>
      </c>
      <c r="AB329" s="3">
        <f t="shared" si="23"/>
        <v>0</v>
      </c>
      <c r="AC329" s="5"/>
      <c r="AD329" s="6">
        <f>(Table6[[#This Row],[( S/S+T/B) AJD]]*1000)-((Table6[[#This Row],[(STORGE DIFF.) AJD]]*1000)+Table6[[#This Row],[AJD_Evaporation]]+(Table6[[#This Row],[(A/B + A/S) AJD]]*1000))</f>
        <v>0</v>
      </c>
      <c r="AE329" s="33"/>
      <c r="AF329" s="6"/>
      <c r="AG329" s="6"/>
      <c r="AH329" s="6">
        <f>Table6[[#This Row],[ (RESV. STORGE) BER]]/10</f>
        <v>0</v>
      </c>
      <c r="AI329" s="6"/>
      <c r="AJ329" s="33">
        <f>Table6[[#This Row],[(A/B) AJD]]-TABL12345[[#This Row],[BER_IN]]</f>
        <v>0</v>
      </c>
      <c r="AK329" s="6"/>
      <c r="AL329" s="6"/>
      <c r="AM329" s="32"/>
      <c r="AN329" s="32">
        <f>Table6[[#This Row],[ (RESV. STORGE) SER]]/10</f>
        <v>0</v>
      </c>
      <c r="AO329" s="68"/>
      <c r="AP329" s="103">
        <f>Table6[[#This Row],[(A/S) AJD]]-Table6[[#This Row],[SER_IN]]</f>
        <v>0</v>
      </c>
    </row>
    <row r="330" spans="1:42" ht="18.75" x14ac:dyDescent="0.25">
      <c r="A330" s="10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Table6[[#This Row],[ (T/B) SAR]]+Table6[[#This Row],[ (S/S) SAR]]</f>
        <v>0</v>
      </c>
      <c r="L330" s="28"/>
      <c r="M330" s="29"/>
      <c r="N330" s="30"/>
      <c r="O330" s="39"/>
      <c r="P330" s="9">
        <f>Table6[[#This Row],[ (S/S) SAR]]-Table6[[#This Row],[(S/S) AJD]]</f>
        <v>0</v>
      </c>
      <c r="Q330" s="9"/>
      <c r="R330" s="9">
        <f>Table6[[#This Row],[ (T/B) SAR]]-Table6[[#This Row],[(T/B) AJD]]</f>
        <v>0</v>
      </c>
      <c r="S330" s="9">
        <f>Table6[[#This Row],[S/S_CON.]]+Table6[[#This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Table6[[#This Row],[(RESV. STORGE) AJD]]/10</f>
        <v>0</v>
      </c>
      <c r="AB330" s="3">
        <f t="shared" si="23"/>
        <v>0</v>
      </c>
      <c r="AC330" s="5"/>
      <c r="AD330" s="6">
        <f>(Table6[[#This Row],[( S/S+T/B) AJD]]*1000)-((Table6[[#This Row],[(STORGE DIFF.) AJD]]*1000)+Table6[[#This Row],[AJD_Evaporation]]+(Table6[[#This Row],[(A/B + A/S) AJD]]*1000))</f>
        <v>0</v>
      </c>
      <c r="AE330" s="33"/>
      <c r="AF330" s="6"/>
      <c r="AG330" s="6"/>
      <c r="AH330" s="6">
        <f>Table6[[#This Row],[ (RESV. STORGE) BER]]/10</f>
        <v>0</v>
      </c>
      <c r="AI330" s="6"/>
      <c r="AJ330" s="33">
        <f>Table6[[#This Row],[(A/B) AJD]]-TABL12345[[#This Row],[BER_IN]]</f>
        <v>0</v>
      </c>
      <c r="AK330" s="6"/>
      <c r="AL330" s="6"/>
      <c r="AM330" s="32"/>
      <c r="AN330" s="32">
        <f>Table6[[#This Row],[ (RESV. STORGE) SER]]/10</f>
        <v>0</v>
      </c>
      <c r="AO330" s="68"/>
      <c r="AP330" s="103">
        <f>Table6[[#This Row],[(A/S) AJD]]-Table6[[#This Row],[SER_IN]]</f>
        <v>0</v>
      </c>
    </row>
    <row r="331" spans="1:42" ht="18.75" x14ac:dyDescent="0.25">
      <c r="A331" s="10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Table6[[#This Row],[ (T/B) SAR]]+Table6[[#This Row],[ (S/S) SAR]]</f>
        <v>0</v>
      </c>
      <c r="L331" s="28"/>
      <c r="M331" s="29"/>
      <c r="N331" s="30"/>
      <c r="O331" s="40"/>
      <c r="P331" s="9">
        <f>Table6[[#This Row],[ (S/S) SAR]]-Table6[[#This Row],[(S/S) AJD]]</f>
        <v>0</v>
      </c>
      <c r="Q331" s="9"/>
      <c r="R331" s="9">
        <f>Table6[[#This Row],[ (T/B) SAR]]-Table6[[#This Row],[(T/B) AJD]]</f>
        <v>0</v>
      </c>
      <c r="S331" s="9">
        <f>Table6[[#This Row],[S/S_CON.]]+Table6[[#This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Table6[[#This Row],[(RESV. STORGE) AJD]]/10</f>
        <v>0</v>
      </c>
      <c r="AB331" s="3">
        <f t="shared" si="23"/>
        <v>0</v>
      </c>
      <c r="AC331" s="5"/>
      <c r="AD331" s="6">
        <f>(Table6[[#This Row],[( S/S+T/B) AJD]]*1000)-((Table6[[#This Row],[(STORGE DIFF.) AJD]]*1000)+Table6[[#This Row],[AJD_Evaporation]]+(Table6[[#This Row],[(A/B + A/S) AJD]]*1000))</f>
        <v>0</v>
      </c>
      <c r="AE331" s="33"/>
      <c r="AF331" s="6"/>
      <c r="AG331" s="6"/>
      <c r="AH331" s="6">
        <f>Table6[[#This Row],[ (RESV. STORGE) BER]]/10</f>
        <v>0</v>
      </c>
      <c r="AI331" s="6"/>
      <c r="AJ331" s="33">
        <f>Table6[[#This Row],[(A/B) AJD]]-TABL12345[[#This Row],[BER_IN]]</f>
        <v>0</v>
      </c>
      <c r="AK331" s="6"/>
      <c r="AL331" s="6"/>
      <c r="AM331" s="32"/>
      <c r="AN331" s="32">
        <f>Table6[[#This Row],[ (RESV. STORGE) SER]]/10</f>
        <v>0</v>
      </c>
      <c r="AO331" s="68"/>
      <c r="AP331" s="103">
        <f>Table6[[#This Row],[(A/S) AJD]]-Table6[[#This Row],[SER_IN]]</f>
        <v>0</v>
      </c>
    </row>
    <row r="332" spans="1:42" ht="18.75" x14ac:dyDescent="0.25">
      <c r="A332" s="10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Table6[[#This Row],[ (T/B) SAR]]+Table6[[#This Row],[ (S/S) SAR]]</f>
        <v>0</v>
      </c>
      <c r="L332" s="28"/>
      <c r="M332" s="29"/>
      <c r="N332" s="30"/>
      <c r="O332" s="39"/>
      <c r="P332" s="9">
        <f>Table6[[#This Row],[ (S/S) SAR]]-Table6[[#This Row],[(S/S) AJD]]</f>
        <v>0</v>
      </c>
      <c r="Q332" s="9"/>
      <c r="R332" s="9">
        <f>Table6[[#This Row],[ (T/B) SAR]]-Table6[[#This Row],[(T/B) AJD]]</f>
        <v>0</v>
      </c>
      <c r="S332" s="9">
        <f>Table6[[#This Row],[S/S_CON.]]+Table6[[#This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Table6[[#This Row],[(RESV. STORGE) AJD]]/10</f>
        <v>0</v>
      </c>
      <c r="AB332" s="3">
        <f t="shared" si="23"/>
        <v>0</v>
      </c>
      <c r="AC332" s="5"/>
      <c r="AD332" s="6">
        <f>(Table6[[#This Row],[( S/S+T/B) AJD]]*1000)-((Table6[[#This Row],[(STORGE DIFF.) AJD]]*1000)+Table6[[#This Row],[AJD_Evaporation]]+(Table6[[#This Row],[(A/B + A/S) AJD]]*1000))</f>
        <v>0</v>
      </c>
      <c r="AE332" s="33"/>
      <c r="AF332" s="6"/>
      <c r="AG332" s="6"/>
      <c r="AH332" s="6">
        <f>Table6[[#This Row],[ (RESV. STORGE) BER]]/10</f>
        <v>0</v>
      </c>
      <c r="AI332" s="6"/>
      <c r="AJ332" s="33">
        <f>Table6[[#This Row],[(A/B) AJD]]-TABL12345[[#This Row],[BER_IN]]</f>
        <v>0</v>
      </c>
      <c r="AK332" s="6"/>
      <c r="AL332" s="6"/>
      <c r="AM332" s="32"/>
      <c r="AN332" s="32">
        <f>Table6[[#This Row],[ (RESV. STORGE) SER]]/10</f>
        <v>0</v>
      </c>
      <c r="AO332" s="68"/>
      <c r="AP332" s="103">
        <f>Table6[[#This Row],[(A/S) AJD]]-Table6[[#This Row],[SER_IN]]</f>
        <v>0</v>
      </c>
    </row>
    <row r="333" spans="1:42" ht="18.75" x14ac:dyDescent="0.25">
      <c r="A333" s="10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Table6[[#This Row],[ (T/B) SAR]]+Table6[[#This Row],[ (S/S) SAR]]</f>
        <v>0</v>
      </c>
      <c r="L333" s="28"/>
      <c r="M333" s="29"/>
      <c r="N333" s="30"/>
      <c r="O333" s="40"/>
      <c r="P333" s="9">
        <f>Table6[[#This Row],[ (S/S) SAR]]-Table6[[#This Row],[(S/S) AJD]]</f>
        <v>0</v>
      </c>
      <c r="Q333" s="9"/>
      <c r="R333" s="9">
        <f>Table6[[#This Row],[ (T/B) SAR]]-Table6[[#This Row],[(T/B) AJD]]</f>
        <v>0</v>
      </c>
      <c r="S333" s="9">
        <f>Table6[[#This Row],[S/S_CON.]]+Table6[[#This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Table6[[#This Row],[(RESV. STORGE) AJD]]/10</f>
        <v>0</v>
      </c>
      <c r="AB333" s="3">
        <f t="shared" si="23"/>
        <v>0</v>
      </c>
      <c r="AC333" s="5"/>
      <c r="AD333" s="6">
        <f>(Table6[[#This Row],[( S/S+T/B) AJD]]*1000)-((Table6[[#This Row],[(STORGE DIFF.) AJD]]*1000)+Table6[[#This Row],[AJD_Evaporation]]+(Table6[[#This Row],[(A/B + A/S) AJD]]*1000))</f>
        <v>0</v>
      </c>
      <c r="AE333" s="33"/>
      <c r="AF333" s="6"/>
      <c r="AG333" s="6"/>
      <c r="AH333" s="6">
        <f>Table6[[#This Row],[ (RESV. STORGE) BER]]/10</f>
        <v>0</v>
      </c>
      <c r="AI333" s="6"/>
      <c r="AJ333" s="33">
        <f>Table6[[#This Row],[(A/B) AJD]]-TABL12345[[#This Row],[BER_IN]]</f>
        <v>0</v>
      </c>
      <c r="AK333" s="6"/>
      <c r="AL333" s="6"/>
      <c r="AM333" s="32"/>
      <c r="AN333" s="32">
        <f>Table6[[#This Row],[ (RESV. STORGE) SER]]/10</f>
        <v>0</v>
      </c>
      <c r="AO333" s="68"/>
      <c r="AP333" s="103">
        <f>Table6[[#This Row],[(A/S) AJD]]-Table6[[#This Row],[SER_IN]]</f>
        <v>0</v>
      </c>
    </row>
    <row r="334" spans="1:42" ht="18.75" x14ac:dyDescent="0.25">
      <c r="A334" s="10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Table6[[#This Row],[ (T/B) SAR]]+Table6[[#This Row],[ (S/S) SAR]]</f>
        <v>0</v>
      </c>
      <c r="L334" s="28"/>
      <c r="M334" s="29"/>
      <c r="N334" s="30"/>
      <c r="O334" s="39"/>
      <c r="P334" s="9">
        <f>Table6[[#This Row],[ (S/S) SAR]]-Table6[[#This Row],[(S/S) AJD]]</f>
        <v>0</v>
      </c>
      <c r="Q334" s="9"/>
      <c r="R334" s="9">
        <f>Table6[[#This Row],[ (T/B) SAR]]-Table6[[#This Row],[(T/B) AJD]]</f>
        <v>0</v>
      </c>
      <c r="S334" s="9">
        <f>Table6[[#This Row],[S/S_CON.]]+Table6[[#This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Table6[[#This Row],[(RESV. STORGE) AJD]]/10</f>
        <v>0</v>
      </c>
      <c r="AB334" s="3">
        <f t="shared" si="23"/>
        <v>0</v>
      </c>
      <c r="AC334" s="5"/>
      <c r="AD334" s="6">
        <f>(Table6[[#This Row],[( S/S+T/B) AJD]]*1000)-((Table6[[#This Row],[(STORGE DIFF.) AJD]]*1000)+Table6[[#This Row],[AJD_Evaporation]]+(Table6[[#This Row],[(A/B + A/S) AJD]]*1000))</f>
        <v>0</v>
      </c>
      <c r="AE334" s="33"/>
      <c r="AF334" s="6"/>
      <c r="AG334" s="6"/>
      <c r="AH334" s="6">
        <f>Table6[[#This Row],[ (RESV. STORGE) BER]]/10</f>
        <v>0</v>
      </c>
      <c r="AI334" s="6"/>
      <c r="AJ334" s="33">
        <f>Table6[[#This Row],[(A/B) AJD]]-TABL12345[[#This Row],[BER_IN]]</f>
        <v>0</v>
      </c>
      <c r="AK334" s="6"/>
      <c r="AL334" s="6"/>
      <c r="AM334" s="32"/>
      <c r="AN334" s="32">
        <f>Table6[[#This Row],[ (RESV. STORGE) SER]]/10</f>
        <v>0</v>
      </c>
      <c r="AO334" s="68"/>
      <c r="AP334" s="103">
        <f>Table6[[#This Row],[(A/S) AJD]]-Table6[[#This Row],[SER_IN]]</f>
        <v>0</v>
      </c>
    </row>
    <row r="335" spans="1:42" ht="18.75" x14ac:dyDescent="0.25">
      <c r="A335" s="10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Table6[[#This Row],[ (T/B) SAR]]+Table6[[#This Row],[ (S/S) SAR]]</f>
        <v>0</v>
      </c>
      <c r="L335" s="28"/>
      <c r="M335" s="29"/>
      <c r="N335" s="30"/>
      <c r="O335" s="40"/>
      <c r="P335" s="9">
        <f>Table6[[#This Row],[ (S/S) SAR]]-Table6[[#This Row],[(S/S) AJD]]</f>
        <v>0</v>
      </c>
      <c r="Q335" s="9"/>
      <c r="R335" s="9">
        <f>Table6[[#This Row],[ (T/B) SAR]]-Table6[[#This Row],[(T/B) AJD]]</f>
        <v>0</v>
      </c>
      <c r="S335" s="9">
        <f>Table6[[#This Row],[S/S_CON.]]+Table6[[#This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Table6[[#This Row],[(RESV. STORGE) AJD]]/10</f>
        <v>0</v>
      </c>
      <c r="AB335" s="3">
        <f t="shared" si="23"/>
        <v>0</v>
      </c>
      <c r="AC335" s="5"/>
      <c r="AD335" s="6">
        <f>(Table6[[#This Row],[( S/S+T/B) AJD]]*1000)-((Table6[[#This Row],[(STORGE DIFF.) AJD]]*1000)+Table6[[#This Row],[AJD_Evaporation]]+(Table6[[#This Row],[(A/B + A/S) AJD]]*1000))</f>
        <v>0</v>
      </c>
      <c r="AE335" s="33"/>
      <c r="AF335" s="6"/>
      <c r="AG335" s="6"/>
      <c r="AH335" s="6">
        <f>Table6[[#This Row],[ (RESV. STORGE) BER]]/10</f>
        <v>0</v>
      </c>
      <c r="AI335" s="6"/>
      <c r="AJ335" s="33">
        <f>Table6[[#This Row],[(A/B) AJD]]-TABL12345[[#This Row],[BER_IN]]</f>
        <v>0</v>
      </c>
      <c r="AK335" s="6"/>
      <c r="AL335" s="6"/>
      <c r="AM335" s="32"/>
      <c r="AN335" s="32">
        <f>Table6[[#This Row],[ (RESV. STORGE) SER]]/10</f>
        <v>0</v>
      </c>
      <c r="AO335" s="68"/>
      <c r="AP335" s="103">
        <f>Table6[[#This Row],[(A/S) AJD]]-Table6[[#This Row],[SER_IN]]</f>
        <v>0</v>
      </c>
    </row>
    <row r="336" spans="1:42" ht="18.75" x14ac:dyDescent="0.25">
      <c r="A336" s="10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Table6[[#This Row],[ (T/B) SAR]]+Table6[[#This Row],[ (S/S) SAR]]</f>
        <v>0</v>
      </c>
      <c r="L336" s="41"/>
      <c r="M336" s="42"/>
      <c r="N336" s="42"/>
      <c r="O336" s="39"/>
      <c r="P336" s="9">
        <f>Table6[[#This Row],[ (S/S) SAR]]-Table6[[#This Row],[(S/S) AJD]]</f>
        <v>0</v>
      </c>
      <c r="Q336" s="39"/>
      <c r="R336" s="9">
        <f>Table6[[#This Row],[ (T/B) SAR]]-Table6[[#This Row],[(T/B) AJD]]</f>
        <v>0</v>
      </c>
      <c r="S336" s="9">
        <f>Table6[[#This Row],[S/S_CON.]]+Table6[[#This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Table6[[#This Row],[(RESV. STORGE) AJD]]/10</f>
        <v>0</v>
      </c>
      <c r="AB336" s="3">
        <f t="shared" si="23"/>
        <v>0</v>
      </c>
      <c r="AC336" s="5"/>
      <c r="AD336" s="39">
        <f>(Table6[[#This Row],[( S/S+T/B) AJD]]*1000)-((Table6[[#This Row],[(STORGE DIFF.) AJD]]*1000)+Table6[[#This Row],[AJD_Evaporation]]+(Table6[[#This Row],[(A/B + A/S) AJD]]*1000))</f>
        <v>0</v>
      </c>
      <c r="AE336" s="41"/>
      <c r="AF336" s="43"/>
      <c r="AG336" s="43"/>
      <c r="AH336" s="6">
        <f>Table6[[#This Row],[ (RESV. STORGE) BER]]/10</f>
        <v>0</v>
      </c>
      <c r="AI336" s="41"/>
      <c r="AJ336" s="43">
        <f>Table6[[#This Row],[(A/B) AJD]]-TABL12345[[#This Row],[BER_IN]]</f>
        <v>0</v>
      </c>
      <c r="AK336" s="43"/>
      <c r="AL336" s="43"/>
      <c r="AM336" s="32"/>
      <c r="AN336" s="32">
        <f>Table6[[#This Row],[ (RESV. STORGE) SER]]/10</f>
        <v>0</v>
      </c>
      <c r="AO336" s="68"/>
      <c r="AP336" s="103">
        <f>Table6[[#This Row],[(A/S) AJD]]-Table6[[#This Row],[SER_IN]]</f>
        <v>0</v>
      </c>
    </row>
    <row r="337" spans="1:42" ht="18.75" x14ac:dyDescent="0.25">
      <c r="A337" s="10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Table6[[#This Row],[ (T/B) SAR]]+Table6[[#This Row],[ (S/S) SAR]]</f>
        <v>0</v>
      </c>
      <c r="L337" s="45"/>
      <c r="M337" s="46"/>
      <c r="N337" s="46"/>
      <c r="O337" s="40"/>
      <c r="P337" s="9">
        <f>Table6[[#This Row],[ (S/S) SAR]]-Table6[[#This Row],[(S/S) AJD]]</f>
        <v>0</v>
      </c>
      <c r="Q337" s="40"/>
      <c r="R337" s="9">
        <f>Table6[[#This Row],[ (T/B) SAR]]-Table6[[#This Row],[(T/B) AJD]]</f>
        <v>0</v>
      </c>
      <c r="S337" s="9">
        <f>Table6[[#This Row],[S/S_CON.]]+Table6[[#This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Table6[[#This Row],[(RESV. STORGE) AJD]]/10</f>
        <v>0</v>
      </c>
      <c r="AB337" s="3">
        <f t="shared" si="23"/>
        <v>0</v>
      </c>
      <c r="AC337" s="5"/>
      <c r="AD337" s="40">
        <f>(Table6[[#This Row],[( S/S+T/B) AJD]]*1000)-((Table6[[#This Row],[(STORGE DIFF.) AJD]]*1000)+Table6[[#This Row],[AJD_Evaporation]]+(Table6[[#This Row],[(A/B + A/S) AJD]]*1000))</f>
        <v>0</v>
      </c>
      <c r="AE337" s="44"/>
      <c r="AF337" s="45"/>
      <c r="AG337" s="45"/>
      <c r="AH337" s="6">
        <f>Table6[[#This Row],[ (RESV. STORGE) BER]]/10</f>
        <v>0</v>
      </c>
      <c r="AI337" s="44"/>
      <c r="AJ337" s="45">
        <f>Table6[[#This Row],[(A/B) AJD]]-TABL12345[[#This Row],[BER_IN]]</f>
        <v>0</v>
      </c>
      <c r="AK337" s="45"/>
      <c r="AL337" s="45"/>
      <c r="AM337" s="32"/>
      <c r="AN337" s="32">
        <f>Table6[[#This Row],[ (RESV. STORGE) SER]]/10</f>
        <v>0</v>
      </c>
      <c r="AO337" s="68"/>
      <c r="AP337" s="103">
        <f>Table6[[#This Row],[(A/S) AJD]]-Table6[[#This Row],[SER_IN]]</f>
        <v>0</v>
      </c>
    </row>
    <row r="338" spans="1:42" ht="18.75" x14ac:dyDescent="0.25">
      <c r="A338" s="10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Table6[[#This Row],[ (T/B) SAR]]+Table6[[#This Row],[ (S/S) SAR]]</f>
        <v>0</v>
      </c>
      <c r="L338" s="41"/>
      <c r="M338" s="42"/>
      <c r="N338" s="42"/>
      <c r="O338" s="39"/>
      <c r="P338" s="9">
        <f>Table6[[#This Row],[ (S/S) SAR]]-Table6[[#This Row],[(S/S) AJD]]</f>
        <v>0</v>
      </c>
      <c r="Q338" s="39"/>
      <c r="R338" s="9">
        <f>Table6[[#This Row],[ (T/B) SAR]]-Table6[[#This Row],[(T/B) AJD]]</f>
        <v>0</v>
      </c>
      <c r="S338" s="9">
        <f>Table6[[#This Row],[S/S_CON.]]+Table6[[#This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Table6[[#This Row],[(RESV. STORGE) AJD]]/10</f>
        <v>0</v>
      </c>
      <c r="AB338" s="3">
        <f t="shared" si="23"/>
        <v>0</v>
      </c>
      <c r="AC338" s="5"/>
      <c r="AD338" s="39">
        <f>(Table6[[#This Row],[( S/S+T/B) AJD]]*1000)-((Table6[[#This Row],[(STORGE DIFF.) AJD]]*1000)+Table6[[#This Row],[AJD_Evaporation]]+(Table6[[#This Row],[(A/B + A/S) AJD]]*1000))</f>
        <v>0</v>
      </c>
      <c r="AE338" s="41"/>
      <c r="AF338" s="43"/>
      <c r="AG338" s="43"/>
      <c r="AH338" s="6">
        <f>Table6[[#This Row],[ (RESV. STORGE) BER]]/10</f>
        <v>0</v>
      </c>
      <c r="AI338" s="41"/>
      <c r="AJ338" s="43">
        <f>Table6[[#This Row],[(A/B) AJD]]-TABL12345[[#This Row],[BER_IN]]</f>
        <v>0</v>
      </c>
      <c r="AK338" s="43"/>
      <c r="AL338" s="43"/>
      <c r="AM338" s="32"/>
      <c r="AN338" s="32">
        <f>Table6[[#This Row],[ (RESV. STORGE) SER]]/10</f>
        <v>0</v>
      </c>
      <c r="AO338" s="68"/>
      <c r="AP338" s="103">
        <f>Table6[[#This Row],[(A/S) AJD]]-Table6[[#This Row],[SER_IN]]</f>
        <v>0</v>
      </c>
    </row>
    <row r="339" spans="1:42" ht="18.75" x14ac:dyDescent="0.25">
      <c r="A339" s="10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Table6[[#This Row],[ (T/B) SAR]]+Table6[[#This Row],[ (S/S) SAR]]</f>
        <v>0</v>
      </c>
      <c r="L339" s="45"/>
      <c r="M339" s="46"/>
      <c r="N339" s="46"/>
      <c r="O339" s="40"/>
      <c r="P339" s="9">
        <f>Table6[[#This Row],[ (S/S) SAR]]-Table6[[#This Row],[(S/S) AJD]]</f>
        <v>0</v>
      </c>
      <c r="Q339" s="40"/>
      <c r="R339" s="9">
        <f>Table6[[#This Row],[ (T/B) SAR]]-Table6[[#This Row],[(T/B) AJD]]</f>
        <v>0</v>
      </c>
      <c r="S339" s="9">
        <f>Table6[[#This Row],[S/S_CON.]]+Table6[[#This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Table6[[#This Row],[(RESV. STORGE) AJD]]/10</f>
        <v>0</v>
      </c>
      <c r="AB339" s="3">
        <f t="shared" si="23"/>
        <v>0</v>
      </c>
      <c r="AC339" s="5"/>
      <c r="AD339" s="40">
        <f>(Table6[[#This Row],[( S/S+T/B) AJD]]*1000)-((Table6[[#This Row],[(STORGE DIFF.) AJD]]*1000)+Table6[[#This Row],[AJD_Evaporation]]+(Table6[[#This Row],[(A/B + A/S) AJD]]*1000))</f>
        <v>0</v>
      </c>
      <c r="AE339" s="44"/>
      <c r="AF339" s="45"/>
      <c r="AG339" s="45"/>
      <c r="AH339" s="6">
        <f>Table6[[#This Row],[ (RESV. STORGE) BER]]/10</f>
        <v>0</v>
      </c>
      <c r="AI339" s="44"/>
      <c r="AJ339" s="45">
        <f>Table6[[#This Row],[(A/B) AJD]]-TABL12345[[#This Row],[BER_IN]]</f>
        <v>0</v>
      </c>
      <c r="AK339" s="45"/>
      <c r="AL339" s="45"/>
      <c r="AM339" s="32"/>
      <c r="AN339" s="32">
        <f>Table6[[#This Row],[ (RESV. STORGE) SER]]/10</f>
        <v>0</v>
      </c>
      <c r="AO339" s="68"/>
      <c r="AP339" s="103">
        <f>Table6[[#This Row],[(A/S) AJD]]-Table6[[#This Row],[SER_IN]]</f>
        <v>0</v>
      </c>
    </row>
    <row r="340" spans="1:42" ht="18.75" x14ac:dyDescent="0.25">
      <c r="A340" s="10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Table6[[#This Row],[ (T/B) SAR]]+Table6[[#This Row],[ (S/S) SAR]]</f>
        <v>0</v>
      </c>
      <c r="L340" s="41"/>
      <c r="M340" s="42"/>
      <c r="N340" s="42"/>
      <c r="O340" s="39"/>
      <c r="P340" s="9">
        <f>Table6[[#This Row],[ (S/S) SAR]]-Table6[[#This Row],[(S/S) AJD]]</f>
        <v>0</v>
      </c>
      <c r="Q340" s="39"/>
      <c r="R340" s="9">
        <f>Table6[[#This Row],[ (T/B) SAR]]-Table6[[#This Row],[(T/B) AJD]]</f>
        <v>0</v>
      </c>
      <c r="S340" s="9">
        <f>Table6[[#This Row],[S/S_CON.]]+Table6[[#This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Table6[[#This Row],[(RESV. STORGE) AJD]]/10</f>
        <v>0</v>
      </c>
      <c r="AB340" s="3">
        <f t="shared" si="23"/>
        <v>0</v>
      </c>
      <c r="AC340" s="5"/>
      <c r="AD340" s="39">
        <f>(Table6[[#This Row],[( S/S+T/B) AJD]]*1000)-((Table6[[#This Row],[(STORGE DIFF.) AJD]]*1000)+Table6[[#This Row],[AJD_Evaporation]]+(Table6[[#This Row],[(A/B + A/S) AJD]]*1000))</f>
        <v>0</v>
      </c>
      <c r="AE340" s="41"/>
      <c r="AF340" s="43"/>
      <c r="AG340" s="43"/>
      <c r="AH340" s="6">
        <f>Table6[[#This Row],[ (RESV. STORGE) BER]]/10</f>
        <v>0</v>
      </c>
      <c r="AI340" s="41"/>
      <c r="AJ340" s="43">
        <f>Table6[[#This Row],[(A/B) AJD]]-TABL12345[[#This Row],[BER_IN]]</f>
        <v>0</v>
      </c>
      <c r="AK340" s="43"/>
      <c r="AL340" s="43"/>
      <c r="AM340" s="32"/>
      <c r="AN340" s="32">
        <f>Table6[[#This Row],[ (RESV. STORGE) SER]]/10</f>
        <v>0</v>
      </c>
      <c r="AO340" s="68"/>
      <c r="AP340" s="103">
        <f>Table6[[#This Row],[(A/S) AJD]]-Table6[[#This Row],[SER_IN]]</f>
        <v>0</v>
      </c>
    </row>
    <row r="341" spans="1:42" ht="18.75" x14ac:dyDescent="0.25">
      <c r="A341" s="10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Table6[[#This Row],[ (T/B) SAR]]+Table6[[#This Row],[ (S/S) SAR]]</f>
        <v>0</v>
      </c>
      <c r="L341" s="45"/>
      <c r="M341" s="46"/>
      <c r="N341" s="46"/>
      <c r="O341" s="40"/>
      <c r="P341" s="9">
        <f>Table6[[#This Row],[ (S/S) SAR]]-Table6[[#This Row],[(S/S) AJD]]</f>
        <v>0</v>
      </c>
      <c r="Q341" s="40"/>
      <c r="R341" s="9">
        <f>Table6[[#This Row],[ (T/B) SAR]]-Table6[[#This Row],[(T/B) AJD]]</f>
        <v>0</v>
      </c>
      <c r="S341" s="9">
        <f>Table6[[#This Row],[S/S_CON.]]+Table6[[#This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Table6[[#This Row],[(RESV. STORGE) AJD]]/10</f>
        <v>0</v>
      </c>
      <c r="AB341" s="3">
        <f t="shared" si="23"/>
        <v>0</v>
      </c>
      <c r="AC341" s="5"/>
      <c r="AD341" s="40">
        <f>(Table6[[#This Row],[( S/S+T/B) AJD]]*1000)-((Table6[[#This Row],[(STORGE DIFF.) AJD]]*1000)+Table6[[#This Row],[AJD_Evaporation]]+(Table6[[#This Row],[(A/B + A/S) AJD]]*1000))</f>
        <v>0</v>
      </c>
      <c r="AE341" s="44"/>
      <c r="AF341" s="45"/>
      <c r="AG341" s="45"/>
      <c r="AH341" s="6">
        <f>Table6[[#This Row],[ (RESV. STORGE) BER]]/10</f>
        <v>0</v>
      </c>
      <c r="AI341" s="44"/>
      <c r="AJ341" s="45">
        <f>Table6[[#This Row],[(A/B) AJD]]-TABL12345[[#This Row],[BER_IN]]</f>
        <v>0</v>
      </c>
      <c r="AK341" s="45"/>
      <c r="AL341" s="45"/>
      <c r="AM341" s="32"/>
      <c r="AN341" s="32">
        <f>Table6[[#This Row],[ (RESV. STORGE) SER]]/10</f>
        <v>0</v>
      </c>
      <c r="AO341" s="68"/>
      <c r="AP341" s="103">
        <f>Table6[[#This Row],[(A/S) AJD]]-Table6[[#This Row],[SER_IN]]</f>
        <v>0</v>
      </c>
    </row>
    <row r="342" spans="1:42" ht="18.75" x14ac:dyDescent="0.25">
      <c r="A342" s="10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Table6[[#This Row],[ (T/B) SAR]]+Table6[[#This Row],[ (S/S) SAR]]</f>
        <v>0</v>
      </c>
      <c r="L342" s="41"/>
      <c r="M342" s="42"/>
      <c r="N342" s="42"/>
      <c r="O342" s="39"/>
      <c r="P342" s="9">
        <f>Table6[[#This Row],[ (S/S) SAR]]-Table6[[#This Row],[(S/S) AJD]]</f>
        <v>0</v>
      </c>
      <c r="Q342" s="39"/>
      <c r="R342" s="9">
        <f>Table6[[#This Row],[ (T/B) SAR]]-Table6[[#This Row],[(T/B) AJD]]</f>
        <v>0</v>
      </c>
      <c r="S342" s="9">
        <f>Table6[[#This Row],[S/S_CON.]]+Table6[[#This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Table6[[#This Row],[(RESV. STORGE) AJD]]/10</f>
        <v>0</v>
      </c>
      <c r="AB342" s="3">
        <f t="shared" si="23"/>
        <v>0</v>
      </c>
      <c r="AC342" s="5"/>
      <c r="AD342" s="39">
        <f>(Table6[[#This Row],[( S/S+T/B) AJD]]*1000)-((Table6[[#This Row],[(STORGE DIFF.) AJD]]*1000)+Table6[[#This Row],[AJD_Evaporation]]+(Table6[[#This Row],[(A/B + A/S) AJD]]*1000))</f>
        <v>0</v>
      </c>
      <c r="AE342" s="41"/>
      <c r="AF342" s="43"/>
      <c r="AG342" s="43"/>
      <c r="AH342" s="6">
        <f>Table6[[#This Row],[ (RESV. STORGE) BER]]/10</f>
        <v>0</v>
      </c>
      <c r="AI342" s="41"/>
      <c r="AJ342" s="43">
        <f>Table6[[#This Row],[(A/B) AJD]]-TABL12345[[#This Row],[BER_IN]]</f>
        <v>0</v>
      </c>
      <c r="AK342" s="43"/>
      <c r="AL342" s="43"/>
      <c r="AM342" s="32"/>
      <c r="AN342" s="32">
        <f>Table6[[#This Row],[ (RESV. STORGE) SER]]/10</f>
        <v>0</v>
      </c>
      <c r="AO342" s="68"/>
      <c r="AP342" s="103">
        <f>Table6[[#This Row],[(A/S) AJD]]-Table6[[#This Row],[SER_IN]]</f>
        <v>0</v>
      </c>
    </row>
    <row r="343" spans="1:42" ht="18.75" x14ac:dyDescent="0.25">
      <c r="A343" s="10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Table6[[#This Row],[ (T/B) SAR]]+Table6[[#This Row],[ (S/S) SAR]]</f>
        <v>0</v>
      </c>
      <c r="L343" s="45"/>
      <c r="M343" s="46"/>
      <c r="N343" s="46"/>
      <c r="O343" s="40"/>
      <c r="P343" s="9">
        <f>Table6[[#This Row],[ (S/S) SAR]]-Table6[[#This Row],[(S/S) AJD]]</f>
        <v>0</v>
      </c>
      <c r="Q343" s="40"/>
      <c r="R343" s="9">
        <f>Table6[[#This Row],[ (T/B) SAR]]-Table6[[#This Row],[(T/B) AJD]]</f>
        <v>0</v>
      </c>
      <c r="S343" s="9">
        <f>Table6[[#This Row],[S/S_CON.]]+Table6[[#This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Table6[[#This Row],[(RESV. STORGE) AJD]]/10</f>
        <v>0</v>
      </c>
      <c r="AB343" s="3">
        <f t="shared" si="23"/>
        <v>0</v>
      </c>
      <c r="AC343" s="5"/>
      <c r="AD343" s="40">
        <f>(Table6[[#This Row],[( S/S+T/B) AJD]]*1000)-((Table6[[#This Row],[(STORGE DIFF.) AJD]]*1000)+Table6[[#This Row],[AJD_Evaporation]]+(Table6[[#This Row],[(A/B + A/S) AJD]]*1000))</f>
        <v>0</v>
      </c>
      <c r="AE343" s="44"/>
      <c r="AF343" s="45"/>
      <c r="AG343" s="45"/>
      <c r="AH343" s="6">
        <f>Table6[[#This Row],[ (RESV. STORGE) BER]]/10</f>
        <v>0</v>
      </c>
      <c r="AI343" s="44"/>
      <c r="AJ343" s="45">
        <f>Table6[[#This Row],[(A/B) AJD]]-TABL12345[[#This Row],[BER_IN]]</f>
        <v>0</v>
      </c>
      <c r="AK343" s="45"/>
      <c r="AL343" s="45"/>
      <c r="AM343" s="32"/>
      <c r="AN343" s="32">
        <f>Table6[[#This Row],[ (RESV. STORGE) SER]]/10</f>
        <v>0</v>
      </c>
      <c r="AO343" s="68"/>
      <c r="AP343" s="103">
        <f>Table6[[#This Row],[(A/S) AJD]]-Table6[[#This Row],[SER_IN]]</f>
        <v>0</v>
      </c>
    </row>
    <row r="344" spans="1:42" ht="18.75" x14ac:dyDescent="0.25">
      <c r="A344" s="10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Table6[[#This Row],[ (T/B) SAR]]+Table6[[#This Row],[ (S/S) SAR]]</f>
        <v>0</v>
      </c>
      <c r="L344" s="41"/>
      <c r="M344" s="42"/>
      <c r="N344" s="42"/>
      <c r="O344" s="39"/>
      <c r="P344" s="9">
        <f>Table6[[#This Row],[ (S/S) SAR]]-Table6[[#This Row],[(S/S) AJD]]</f>
        <v>0</v>
      </c>
      <c r="Q344" s="39"/>
      <c r="R344" s="9">
        <f>Table6[[#This Row],[ (T/B) SAR]]-Table6[[#This Row],[(T/B) AJD]]</f>
        <v>0</v>
      </c>
      <c r="S344" s="9">
        <f>Table6[[#This Row],[S/S_CON.]]+Table6[[#This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Table6[[#This Row],[(RESV. STORGE) AJD]]/10</f>
        <v>0</v>
      </c>
      <c r="AB344" s="3">
        <f t="shared" si="23"/>
        <v>0</v>
      </c>
      <c r="AC344" s="5"/>
      <c r="AD344" s="39">
        <f>(Table6[[#This Row],[( S/S+T/B) AJD]]*1000)-((Table6[[#This Row],[(STORGE DIFF.) AJD]]*1000)+Table6[[#This Row],[AJD_Evaporation]]+(Table6[[#This Row],[(A/B + A/S) AJD]]*1000))</f>
        <v>0</v>
      </c>
      <c r="AE344" s="41"/>
      <c r="AF344" s="43"/>
      <c r="AG344" s="43"/>
      <c r="AH344" s="6">
        <f>Table6[[#This Row],[ (RESV. STORGE) BER]]/10</f>
        <v>0</v>
      </c>
      <c r="AI344" s="41"/>
      <c r="AJ344" s="43">
        <f>Table6[[#This Row],[(A/B) AJD]]-TABL12345[[#This Row],[BER_IN]]</f>
        <v>0</v>
      </c>
      <c r="AK344" s="43"/>
      <c r="AL344" s="43"/>
      <c r="AM344" s="32"/>
      <c r="AN344" s="32">
        <f>Table6[[#This Row],[ (RESV. STORGE) SER]]/10</f>
        <v>0</v>
      </c>
      <c r="AO344" s="68"/>
      <c r="AP344" s="103">
        <f>Table6[[#This Row],[(A/S) AJD]]-Table6[[#This Row],[SER_IN]]</f>
        <v>0</v>
      </c>
    </row>
    <row r="345" spans="1:42" ht="18.75" x14ac:dyDescent="0.25">
      <c r="A345" s="10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Table6[[#This Row],[ (T/B) SAR]]+Table6[[#This Row],[ (S/S) SAR]]</f>
        <v>0</v>
      </c>
      <c r="L345" s="45"/>
      <c r="M345" s="46"/>
      <c r="N345" s="46"/>
      <c r="O345" s="40"/>
      <c r="P345" s="9">
        <f>Table6[[#This Row],[ (S/S) SAR]]-Table6[[#This Row],[(S/S) AJD]]</f>
        <v>0</v>
      </c>
      <c r="Q345" s="40"/>
      <c r="R345" s="9">
        <f>Table6[[#This Row],[ (T/B) SAR]]-Table6[[#This Row],[(T/B) AJD]]</f>
        <v>0</v>
      </c>
      <c r="S345" s="9">
        <f>Table6[[#This Row],[S/S_CON.]]+Table6[[#This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Table6[[#This Row],[(RESV. STORGE) AJD]]/10</f>
        <v>0</v>
      </c>
      <c r="AB345" s="3">
        <f t="shared" si="23"/>
        <v>0</v>
      </c>
      <c r="AC345" s="5"/>
      <c r="AD345" s="40">
        <f>(Table6[[#This Row],[( S/S+T/B) AJD]]*1000)-((Table6[[#This Row],[(STORGE DIFF.) AJD]]*1000)+Table6[[#This Row],[AJD_Evaporation]]+(Table6[[#This Row],[(A/B + A/S) AJD]]*1000))</f>
        <v>0</v>
      </c>
      <c r="AE345" s="44"/>
      <c r="AF345" s="45"/>
      <c r="AG345" s="45"/>
      <c r="AH345" s="6">
        <f>Table6[[#This Row],[ (RESV. STORGE) BER]]/10</f>
        <v>0</v>
      </c>
      <c r="AI345" s="44"/>
      <c r="AJ345" s="45">
        <f>Table6[[#This Row],[(A/B) AJD]]-TABL12345[[#This Row],[BER_IN]]</f>
        <v>0</v>
      </c>
      <c r="AK345" s="45"/>
      <c r="AL345" s="45"/>
      <c r="AM345" s="32"/>
      <c r="AN345" s="32">
        <f>Table6[[#This Row],[ (RESV. STORGE) SER]]/10</f>
        <v>0</v>
      </c>
      <c r="AO345" s="68"/>
      <c r="AP345" s="103">
        <f>Table6[[#This Row],[(A/S) AJD]]-Table6[[#This Row],[SER_IN]]</f>
        <v>0</v>
      </c>
    </row>
    <row r="346" spans="1:42" ht="18.75" x14ac:dyDescent="0.25">
      <c r="A346" s="10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Table6[[#This Row],[ (T/B) SAR]]+Table6[[#This Row],[ (S/S) SAR]]</f>
        <v>0</v>
      </c>
      <c r="L346" s="41"/>
      <c r="M346" s="42"/>
      <c r="N346" s="42"/>
      <c r="O346" s="39"/>
      <c r="P346" s="9">
        <f>Table6[[#This Row],[ (S/S) SAR]]-Table6[[#This Row],[(S/S) AJD]]</f>
        <v>0</v>
      </c>
      <c r="Q346" s="39"/>
      <c r="R346" s="9">
        <f>Table6[[#This Row],[ (T/B) SAR]]-Table6[[#This Row],[(T/B) AJD]]</f>
        <v>0</v>
      </c>
      <c r="S346" s="9">
        <f>Table6[[#This Row],[S/S_CON.]]+Table6[[#This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Table6[[#This Row],[(RESV. STORGE) AJD]]/10</f>
        <v>0</v>
      </c>
      <c r="AB346" s="3">
        <f t="shared" si="23"/>
        <v>0</v>
      </c>
      <c r="AC346" s="5"/>
      <c r="AD346" s="39">
        <f>(Table6[[#This Row],[( S/S+T/B) AJD]]*1000)-((Table6[[#This Row],[(STORGE DIFF.) AJD]]*1000)+Table6[[#This Row],[AJD_Evaporation]]+(Table6[[#This Row],[(A/B + A/S) AJD]]*1000))</f>
        <v>0</v>
      </c>
      <c r="AE346" s="41"/>
      <c r="AF346" s="43"/>
      <c r="AG346" s="48"/>
      <c r="AH346" s="6">
        <f>Table6[[#This Row],[ (RESV. STORGE) BER]]/10</f>
        <v>0</v>
      </c>
      <c r="AI346" s="41"/>
      <c r="AJ346" s="48">
        <f>Table6[[#This Row],[(A/B) AJD]]-TABL12345[[#This Row],[BER_IN]]</f>
        <v>0</v>
      </c>
      <c r="AK346" s="43"/>
      <c r="AL346" s="43"/>
      <c r="AM346" s="32"/>
      <c r="AN346" s="32">
        <f>Table6[[#This Row],[ (RESV. STORGE) SER]]/10</f>
        <v>0</v>
      </c>
      <c r="AO346" s="68"/>
      <c r="AP346" s="103">
        <f>Table6[[#This Row],[(A/S) AJD]]-Table6[[#This Row],[SER_IN]]</f>
        <v>0</v>
      </c>
    </row>
    <row r="347" spans="1:42" ht="18.75" x14ac:dyDescent="0.25">
      <c r="A347" s="10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Table6[[#This Row],[ (T/B) SAR]]+Table6[[#This Row],[ (S/S) SAR]]</f>
        <v>0</v>
      </c>
      <c r="L347" s="45"/>
      <c r="M347" s="46"/>
      <c r="N347" s="46"/>
      <c r="O347" s="40"/>
      <c r="P347" s="9">
        <f>Table6[[#This Row],[ (S/S) SAR]]-Table6[[#This Row],[(S/S) AJD]]</f>
        <v>0</v>
      </c>
      <c r="Q347" s="40"/>
      <c r="R347" s="9">
        <f>Table6[[#This Row],[ (T/B) SAR]]-Table6[[#This Row],[(T/B) AJD]]</f>
        <v>0</v>
      </c>
      <c r="S347" s="9">
        <f>Table6[[#This Row],[S/S_CON.]]+Table6[[#This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Table6[[#This Row],[(RESV. STORGE) AJD]]/10</f>
        <v>0</v>
      </c>
      <c r="AB347" s="3">
        <f t="shared" si="23"/>
        <v>0</v>
      </c>
      <c r="AC347" s="5"/>
      <c r="AD347" s="40">
        <f>(Table6[[#This Row],[( S/S+T/B) AJD]]*1000)-((Table6[[#This Row],[(STORGE DIFF.) AJD]]*1000)+Table6[[#This Row],[AJD_Evaporation]]+(Table6[[#This Row],[(A/B + A/S) AJD]]*1000))</f>
        <v>0</v>
      </c>
      <c r="AE347" s="44"/>
      <c r="AF347" s="45"/>
      <c r="AG347" s="45"/>
      <c r="AH347" s="6">
        <f>Table6[[#This Row],[ (RESV. STORGE) BER]]/10</f>
        <v>0</v>
      </c>
      <c r="AI347" s="44"/>
      <c r="AJ347" s="45">
        <f>Table6[[#This Row],[(A/B) AJD]]-TABL12345[[#This Row],[BER_IN]]</f>
        <v>0</v>
      </c>
      <c r="AK347" s="45"/>
      <c r="AL347" s="45"/>
      <c r="AM347" s="32"/>
      <c r="AN347" s="32">
        <f>Table6[[#This Row],[ (RESV. STORGE) SER]]/10</f>
        <v>0</v>
      </c>
      <c r="AO347" s="68"/>
      <c r="AP347" s="103">
        <f>Table6[[#This Row],[(A/S) AJD]]-Table6[[#This Row],[SER_IN]]</f>
        <v>0</v>
      </c>
    </row>
    <row r="348" spans="1:42" ht="18.75" x14ac:dyDescent="0.25">
      <c r="A348" s="10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Table6[[#This Row],[ (T/B) SAR]]+Table6[[#This Row],[ (S/S) SAR]]</f>
        <v>0</v>
      </c>
      <c r="L348" s="41"/>
      <c r="M348" s="42"/>
      <c r="N348" s="42"/>
      <c r="O348" s="39"/>
      <c r="P348" s="9">
        <f>Table6[[#This Row],[ (S/S) SAR]]-Table6[[#This Row],[(S/S) AJD]]</f>
        <v>0</v>
      </c>
      <c r="Q348" s="39"/>
      <c r="R348" s="9">
        <f>Table6[[#This Row],[ (T/B) SAR]]-Table6[[#This Row],[(T/B) AJD]]</f>
        <v>0</v>
      </c>
      <c r="S348" s="9">
        <f>Table6[[#This Row],[S/S_CON.]]+Table6[[#This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Table6[[#This Row],[(RESV. STORGE) AJD]]/10</f>
        <v>0</v>
      </c>
      <c r="AB348" s="3">
        <f t="shared" si="23"/>
        <v>0</v>
      </c>
      <c r="AC348" s="5"/>
      <c r="AD348" s="39">
        <f>(Table6[[#This Row],[( S/S+T/B) AJD]]*1000)-((Table6[[#This Row],[(STORGE DIFF.) AJD]]*1000)+Table6[[#This Row],[AJD_Evaporation]]+(Table6[[#This Row],[(A/B + A/S) AJD]]*1000))</f>
        <v>0</v>
      </c>
      <c r="AE348" s="41"/>
      <c r="AF348" s="43"/>
      <c r="AG348" s="43"/>
      <c r="AH348" s="6">
        <f>Table6[[#This Row],[ (RESV. STORGE) BER]]/10</f>
        <v>0</v>
      </c>
      <c r="AI348" s="41"/>
      <c r="AJ348" s="43">
        <f>Table6[[#This Row],[(A/B) AJD]]-TABL12345[[#This Row],[BER_IN]]</f>
        <v>0</v>
      </c>
      <c r="AK348" s="43"/>
      <c r="AL348" s="43"/>
      <c r="AM348" s="32"/>
      <c r="AN348" s="32">
        <f>Table6[[#This Row],[ (RESV. STORGE) SER]]/10</f>
        <v>0</v>
      </c>
      <c r="AO348" s="68"/>
      <c r="AP348" s="103">
        <f>Table6[[#This Row],[(A/S) AJD]]-Table6[[#This Row],[SER_IN]]</f>
        <v>0</v>
      </c>
    </row>
    <row r="349" spans="1:42" ht="18.75" x14ac:dyDescent="0.25">
      <c r="A349" s="10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Table6[[#This Row],[ (T/B) SAR]]+Table6[[#This Row],[ (S/S) SAR]]</f>
        <v>0</v>
      </c>
      <c r="L349" s="45"/>
      <c r="M349" s="46"/>
      <c r="N349" s="46"/>
      <c r="O349" s="40"/>
      <c r="P349" s="9">
        <f>Table6[[#This Row],[ (S/S) SAR]]-Table6[[#This Row],[(S/S) AJD]]</f>
        <v>0</v>
      </c>
      <c r="Q349" s="40"/>
      <c r="R349" s="9">
        <f>Table6[[#This Row],[ (T/B) SAR]]-Table6[[#This Row],[(T/B) AJD]]</f>
        <v>0</v>
      </c>
      <c r="S349" s="9">
        <f>Table6[[#This Row],[S/S_CON.]]+Table6[[#This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Table6[[#This Row],[(RESV. STORGE) AJD]]/10</f>
        <v>0</v>
      </c>
      <c r="AB349" s="3">
        <f t="shared" si="23"/>
        <v>0</v>
      </c>
      <c r="AC349" s="5"/>
      <c r="AD349" s="40">
        <f>(Table6[[#This Row],[( S/S+T/B) AJD]]*1000)-((Table6[[#This Row],[(STORGE DIFF.) AJD]]*1000)+Table6[[#This Row],[AJD_Evaporation]]+(Table6[[#This Row],[(A/B + A/S) AJD]]*1000))</f>
        <v>0</v>
      </c>
      <c r="AE349" s="44"/>
      <c r="AF349" s="45"/>
      <c r="AG349" s="45"/>
      <c r="AH349" s="6">
        <f>Table6[[#This Row],[ (RESV. STORGE) BER]]/10</f>
        <v>0</v>
      </c>
      <c r="AI349" s="44"/>
      <c r="AJ349" s="45">
        <f>Table6[[#This Row],[(A/B) AJD]]-TABL12345[[#This Row],[BER_IN]]</f>
        <v>0</v>
      </c>
      <c r="AK349" s="45"/>
      <c r="AL349" s="45"/>
      <c r="AM349" s="32"/>
      <c r="AN349" s="32">
        <f>Table6[[#This Row],[ (RESV. STORGE) SER]]/10</f>
        <v>0</v>
      </c>
      <c r="AO349" s="68"/>
      <c r="AP349" s="103">
        <f>Table6[[#This Row],[(A/S) AJD]]-Table6[[#This Row],[SER_IN]]</f>
        <v>0</v>
      </c>
    </row>
    <row r="350" spans="1:42" ht="18.75" x14ac:dyDescent="0.25">
      <c r="A350" s="10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Table6[[#This Row],[ (T/B) SAR]]+Table6[[#This Row],[ (S/S) SAR]]</f>
        <v>0</v>
      </c>
      <c r="L350" s="41"/>
      <c r="M350" s="42"/>
      <c r="N350" s="42"/>
      <c r="O350" s="39"/>
      <c r="P350" s="9">
        <f>Table6[[#This Row],[ (S/S) SAR]]-Table6[[#This Row],[(S/S) AJD]]</f>
        <v>0</v>
      </c>
      <c r="Q350" s="39"/>
      <c r="R350" s="9">
        <f>Table6[[#This Row],[ (T/B) SAR]]-Table6[[#This Row],[(T/B) AJD]]</f>
        <v>0</v>
      </c>
      <c r="S350" s="9">
        <f>Table6[[#This Row],[S/S_CON.]]+Table6[[#This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Table6[[#This Row],[(RESV. STORGE) AJD]]/10</f>
        <v>0</v>
      </c>
      <c r="AB350" s="3">
        <f t="shared" si="23"/>
        <v>0</v>
      </c>
      <c r="AC350" s="5"/>
      <c r="AD350" s="39">
        <f>(Table6[[#This Row],[( S/S+T/B) AJD]]*1000)-((Table6[[#This Row],[(STORGE DIFF.) AJD]]*1000)+Table6[[#This Row],[AJD_Evaporation]]+(Table6[[#This Row],[(A/B + A/S) AJD]]*1000))</f>
        <v>0</v>
      </c>
      <c r="AE350" s="41"/>
      <c r="AF350" s="43"/>
      <c r="AG350" s="43"/>
      <c r="AH350" s="6">
        <f>Table6[[#This Row],[ (RESV. STORGE) BER]]/10</f>
        <v>0</v>
      </c>
      <c r="AI350" s="41"/>
      <c r="AJ350" s="43">
        <f>Table6[[#This Row],[(A/B) AJD]]-TABL12345[[#This Row],[BER_IN]]</f>
        <v>0</v>
      </c>
      <c r="AK350" s="43"/>
      <c r="AL350" s="43"/>
      <c r="AM350" s="32"/>
      <c r="AN350" s="32">
        <f>Table6[[#This Row],[ (RESV. STORGE) SER]]/10</f>
        <v>0</v>
      </c>
      <c r="AO350" s="68"/>
      <c r="AP350" s="103">
        <f>Table6[[#This Row],[(A/S) AJD]]-Table6[[#This Row],[SER_IN]]</f>
        <v>0</v>
      </c>
    </row>
    <row r="351" spans="1:42" ht="18.75" x14ac:dyDescent="0.25">
      <c r="A351" s="10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Table6[[#This Row],[ (T/B) SAR]]+Table6[[#This Row],[ (S/S) SAR]]</f>
        <v>0</v>
      </c>
      <c r="L351" s="45"/>
      <c r="M351" s="46"/>
      <c r="N351" s="46"/>
      <c r="O351" s="40"/>
      <c r="P351" s="9">
        <f>Table6[[#This Row],[ (S/S) SAR]]-Table6[[#This Row],[(S/S) AJD]]</f>
        <v>0</v>
      </c>
      <c r="Q351" s="40"/>
      <c r="R351" s="9">
        <f>Table6[[#This Row],[ (T/B) SAR]]-Table6[[#This Row],[(T/B) AJD]]</f>
        <v>0</v>
      </c>
      <c r="S351" s="9">
        <f>Table6[[#This Row],[S/S_CON.]]+Table6[[#This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Table6[[#This Row],[(RESV. STORGE) AJD]]/10</f>
        <v>0</v>
      </c>
      <c r="AB351" s="3">
        <f t="shared" si="23"/>
        <v>0</v>
      </c>
      <c r="AC351" s="5"/>
      <c r="AD351" s="40">
        <f>(Table6[[#This Row],[( S/S+T/B) AJD]]*1000)-((Table6[[#This Row],[(STORGE DIFF.) AJD]]*1000)+Table6[[#This Row],[AJD_Evaporation]]+(Table6[[#This Row],[(A/B + A/S) AJD]]*1000))</f>
        <v>0</v>
      </c>
      <c r="AE351" s="44"/>
      <c r="AF351" s="45"/>
      <c r="AG351" s="45"/>
      <c r="AH351" s="6">
        <f>Table6[[#This Row],[ (RESV. STORGE) BER]]/10</f>
        <v>0</v>
      </c>
      <c r="AI351" s="44"/>
      <c r="AJ351" s="45">
        <f>Table6[[#This Row],[(A/B) AJD]]-TABL12345[[#This Row],[BER_IN]]</f>
        <v>0</v>
      </c>
      <c r="AK351" s="45"/>
      <c r="AL351" s="45"/>
      <c r="AM351" s="32"/>
      <c r="AN351" s="32">
        <f>Table6[[#This Row],[ (RESV. STORGE) SER]]/10</f>
        <v>0</v>
      </c>
      <c r="AO351" s="68"/>
      <c r="AP351" s="103">
        <f>Table6[[#This Row],[(A/S) AJD]]-Table6[[#This Row],[SER_IN]]</f>
        <v>0</v>
      </c>
    </row>
    <row r="352" spans="1:42" ht="18.75" x14ac:dyDescent="0.25">
      <c r="A352" s="10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Table6[[#This Row],[ (T/B) SAR]]+Table6[[#This Row],[ (S/S) SAR]]</f>
        <v>0</v>
      </c>
      <c r="L352" s="41"/>
      <c r="M352" s="42"/>
      <c r="N352" s="42"/>
      <c r="O352" s="39"/>
      <c r="P352" s="9">
        <f>Table6[[#This Row],[ (S/S) SAR]]-Table6[[#This Row],[(S/S) AJD]]</f>
        <v>0</v>
      </c>
      <c r="Q352" s="39"/>
      <c r="R352" s="9">
        <f>Table6[[#This Row],[ (T/B) SAR]]-Table6[[#This Row],[(T/B) AJD]]</f>
        <v>0</v>
      </c>
      <c r="S352" s="9">
        <f>Table6[[#This Row],[S/S_CON.]]+Table6[[#This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Table6[[#This Row],[(RESV. STORGE) AJD]]/10</f>
        <v>0</v>
      </c>
      <c r="AB352" s="3">
        <f t="shared" si="23"/>
        <v>0</v>
      </c>
      <c r="AC352" s="5"/>
      <c r="AD352" s="39">
        <f>(Table6[[#This Row],[( S/S+T/B) AJD]]*1000)-((Table6[[#This Row],[(STORGE DIFF.) AJD]]*1000)+Table6[[#This Row],[AJD_Evaporation]]+(Table6[[#This Row],[(A/B + A/S) AJD]]*1000))</f>
        <v>0</v>
      </c>
      <c r="AE352" s="41"/>
      <c r="AF352" s="43"/>
      <c r="AG352" s="43"/>
      <c r="AH352" s="6">
        <f>Table6[[#This Row],[ (RESV. STORGE) BER]]/10</f>
        <v>0</v>
      </c>
      <c r="AI352" s="41"/>
      <c r="AJ352" s="43">
        <f>Table6[[#This Row],[(A/B) AJD]]-TABL12345[[#This Row],[BER_IN]]</f>
        <v>0</v>
      </c>
      <c r="AK352" s="43"/>
      <c r="AL352" s="43"/>
      <c r="AM352" s="32"/>
      <c r="AN352" s="32">
        <f>Table6[[#This Row],[ (RESV. STORGE) SER]]/10</f>
        <v>0</v>
      </c>
      <c r="AO352" s="68"/>
      <c r="AP352" s="103">
        <f>Table6[[#This Row],[(A/S) AJD]]-Table6[[#This Row],[SER_IN]]</f>
        <v>0</v>
      </c>
    </row>
    <row r="353" spans="1:42" ht="18.75" x14ac:dyDescent="0.25">
      <c r="A353" s="10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Table6[[#This Row],[ (T/B) SAR]]+Table6[[#This Row],[ (S/S) SAR]]</f>
        <v>0</v>
      </c>
      <c r="L353" s="45"/>
      <c r="M353" s="46"/>
      <c r="N353" s="46"/>
      <c r="O353" s="40"/>
      <c r="P353" s="9">
        <f>Table6[[#This Row],[ (S/S) SAR]]-Table6[[#This Row],[(S/S) AJD]]</f>
        <v>0</v>
      </c>
      <c r="Q353" s="40"/>
      <c r="R353" s="9">
        <f>Table6[[#This Row],[ (T/B) SAR]]-Table6[[#This Row],[(T/B) AJD]]</f>
        <v>0</v>
      </c>
      <c r="S353" s="9">
        <f>Table6[[#This Row],[S/S_CON.]]+Table6[[#This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Table6[[#This Row],[(RESV. STORGE) AJD]]/10</f>
        <v>0</v>
      </c>
      <c r="AB353" s="3">
        <f t="shared" si="23"/>
        <v>0</v>
      </c>
      <c r="AC353" s="5"/>
      <c r="AD353" s="40">
        <f>(Table6[[#This Row],[( S/S+T/B) AJD]]*1000)-((Table6[[#This Row],[(STORGE DIFF.) AJD]]*1000)+Table6[[#This Row],[AJD_Evaporation]]+(Table6[[#This Row],[(A/B + A/S) AJD]]*1000))</f>
        <v>0</v>
      </c>
      <c r="AE353" s="44"/>
      <c r="AF353" s="45"/>
      <c r="AG353" s="45"/>
      <c r="AH353" s="6">
        <f>Table6[[#This Row],[ (RESV. STORGE) BER]]/10</f>
        <v>0</v>
      </c>
      <c r="AI353" s="44"/>
      <c r="AJ353" s="45">
        <f>Table6[[#This Row],[(A/B) AJD]]-TABL12345[[#This Row],[BER_IN]]</f>
        <v>0</v>
      </c>
      <c r="AK353" s="45"/>
      <c r="AL353" s="45"/>
      <c r="AM353" s="32"/>
      <c r="AN353" s="32">
        <f>Table6[[#This Row],[ (RESV. STORGE) SER]]/10</f>
        <v>0</v>
      </c>
      <c r="AO353" s="68"/>
      <c r="AP353" s="103">
        <f>Table6[[#This Row],[(A/S) AJD]]-Table6[[#This Row],[SER_IN]]</f>
        <v>0</v>
      </c>
    </row>
    <row r="354" spans="1:42" ht="18.75" x14ac:dyDescent="0.25">
      <c r="A354" s="10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Table6[[#This Row],[ (T/B) SAR]]+Table6[[#This Row],[ (S/S) SAR]]</f>
        <v>0</v>
      </c>
      <c r="L354" s="41"/>
      <c r="M354" s="42"/>
      <c r="N354" s="42"/>
      <c r="O354" s="39"/>
      <c r="P354" s="9">
        <f>Table6[[#This Row],[ (S/S) SAR]]-Table6[[#This Row],[(S/S) AJD]]</f>
        <v>0</v>
      </c>
      <c r="Q354" s="39"/>
      <c r="R354" s="9">
        <f>Table6[[#This Row],[ (T/B) SAR]]-Table6[[#This Row],[(T/B) AJD]]</f>
        <v>0</v>
      </c>
      <c r="S354" s="9">
        <f>Table6[[#This Row],[S/S_CON.]]+Table6[[#This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Table6[[#This Row],[(RESV. STORGE) AJD]]/10</f>
        <v>0</v>
      </c>
      <c r="AB354" s="3">
        <f t="shared" si="23"/>
        <v>0</v>
      </c>
      <c r="AC354" s="5"/>
      <c r="AD354" s="39">
        <f>(Table6[[#This Row],[( S/S+T/B) AJD]]*1000)-((Table6[[#This Row],[(STORGE DIFF.) AJD]]*1000)+Table6[[#This Row],[AJD_Evaporation]]+(Table6[[#This Row],[(A/B + A/S) AJD]]*1000))</f>
        <v>0</v>
      </c>
      <c r="AE354" s="41"/>
      <c r="AF354" s="43"/>
      <c r="AG354" s="43"/>
      <c r="AH354" s="6">
        <f>Table6[[#This Row],[ (RESV. STORGE) BER]]/10</f>
        <v>0</v>
      </c>
      <c r="AI354" s="41"/>
      <c r="AJ354" s="43">
        <f>Table6[[#This Row],[(A/B) AJD]]-TABL12345[[#This Row],[BER_IN]]</f>
        <v>0</v>
      </c>
      <c r="AK354" s="43"/>
      <c r="AL354" s="43"/>
      <c r="AM354" s="32"/>
      <c r="AN354" s="32">
        <f>Table6[[#This Row],[ (RESV. STORGE) SER]]/10</f>
        <v>0</v>
      </c>
      <c r="AO354" s="68"/>
      <c r="AP354" s="103">
        <f>Table6[[#This Row],[(A/S) AJD]]-Table6[[#This Row],[SER_IN]]</f>
        <v>0</v>
      </c>
    </row>
    <row r="355" spans="1:42" ht="18.75" x14ac:dyDescent="0.25">
      <c r="A355" s="10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Table6[[#This Row],[ (T/B) SAR]]+Table6[[#This Row],[ (S/S) SAR]]</f>
        <v>0</v>
      </c>
      <c r="L355" s="45"/>
      <c r="M355" s="46"/>
      <c r="N355" s="46"/>
      <c r="O355" s="40"/>
      <c r="P355" s="9">
        <f>Table6[[#This Row],[ (S/S) SAR]]-Table6[[#This Row],[(S/S) AJD]]</f>
        <v>0</v>
      </c>
      <c r="Q355" s="40"/>
      <c r="R355" s="9">
        <f>Table6[[#This Row],[ (T/B) SAR]]-Table6[[#This Row],[(T/B) AJD]]</f>
        <v>0</v>
      </c>
      <c r="S355" s="9">
        <f>Table6[[#This Row],[S/S_CON.]]+Table6[[#This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Table6[[#This Row],[(RESV. STORGE) AJD]]/10</f>
        <v>0</v>
      </c>
      <c r="AB355" s="3">
        <f t="shared" si="23"/>
        <v>0</v>
      </c>
      <c r="AC355" s="5"/>
      <c r="AD355" s="40">
        <f>(Table6[[#This Row],[( S/S+T/B) AJD]]*1000)-((Table6[[#This Row],[(STORGE DIFF.) AJD]]*1000)+Table6[[#This Row],[AJD_Evaporation]]+(Table6[[#This Row],[(A/B + A/S) AJD]]*1000))</f>
        <v>0</v>
      </c>
      <c r="AE355" s="44"/>
      <c r="AF355" s="45"/>
      <c r="AG355" s="45"/>
      <c r="AH355" s="6">
        <f>Table6[[#This Row],[ (RESV. STORGE) BER]]/10</f>
        <v>0</v>
      </c>
      <c r="AI355" s="44"/>
      <c r="AJ355" s="45">
        <f>Table6[[#This Row],[(A/B) AJD]]-TABL12345[[#This Row],[BER_IN]]</f>
        <v>0</v>
      </c>
      <c r="AK355" s="45"/>
      <c r="AL355" s="45"/>
      <c r="AM355" s="32"/>
      <c r="AN355" s="32">
        <f>Table6[[#This Row],[ (RESV. STORGE) SER]]/10</f>
        <v>0</v>
      </c>
      <c r="AO355" s="68"/>
      <c r="AP355" s="103">
        <f>Table6[[#This Row],[(A/S) AJD]]-Table6[[#This Row],[SER_IN]]</f>
        <v>0</v>
      </c>
    </row>
    <row r="356" spans="1:42" ht="18.75" x14ac:dyDescent="0.25">
      <c r="A356" s="10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Table6[[#This Row],[ (T/B) SAR]]+Table6[[#This Row],[ (S/S) SAR]]</f>
        <v>0</v>
      </c>
      <c r="L356" s="41"/>
      <c r="M356" s="42"/>
      <c r="N356" s="42"/>
      <c r="O356" s="39"/>
      <c r="P356" s="9">
        <f>Table6[[#This Row],[ (S/S) SAR]]-Table6[[#This Row],[(S/S) AJD]]</f>
        <v>0</v>
      </c>
      <c r="Q356" s="39"/>
      <c r="R356" s="9">
        <f>Table6[[#This Row],[ (T/B) SAR]]-Table6[[#This Row],[(T/B) AJD]]</f>
        <v>0</v>
      </c>
      <c r="S356" s="9">
        <f>Table6[[#This Row],[S/S_CON.]]+Table6[[#This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Table6[[#This Row],[(RESV. STORGE) AJD]]/10</f>
        <v>0</v>
      </c>
      <c r="AB356" s="3">
        <f t="shared" si="23"/>
        <v>0</v>
      </c>
      <c r="AC356" s="5"/>
      <c r="AD356" s="39">
        <f>(Table6[[#This Row],[( S/S+T/B) AJD]]*1000)-((Table6[[#This Row],[(STORGE DIFF.) AJD]]*1000)+Table6[[#This Row],[AJD_Evaporation]]+(Table6[[#This Row],[(A/B + A/S) AJD]]*1000))</f>
        <v>0</v>
      </c>
      <c r="AE356" s="41"/>
      <c r="AF356" s="43"/>
      <c r="AG356" s="43"/>
      <c r="AH356" s="6">
        <f>Table6[[#This Row],[ (RESV. STORGE) BER]]/10</f>
        <v>0</v>
      </c>
      <c r="AI356" s="41"/>
      <c r="AJ356" s="43">
        <f>Table6[[#This Row],[(A/B) AJD]]-TABL12345[[#This Row],[BER_IN]]</f>
        <v>0</v>
      </c>
      <c r="AK356" s="43"/>
      <c r="AL356" s="43"/>
      <c r="AM356" s="32"/>
      <c r="AN356" s="32">
        <f>Table6[[#This Row],[ (RESV. STORGE) SER]]/10</f>
        <v>0</v>
      </c>
      <c r="AO356" s="68"/>
      <c r="AP356" s="103">
        <f>Table6[[#This Row],[(A/S) AJD]]-Table6[[#This Row],[SER_IN]]</f>
        <v>0</v>
      </c>
    </row>
    <row r="357" spans="1:42" ht="18.75" x14ac:dyDescent="0.25">
      <c r="A357" s="10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Table6[[#This Row],[ (T/B) SAR]]+Table6[[#This Row],[ (S/S) SAR]]</f>
        <v>0</v>
      </c>
      <c r="L357" s="45"/>
      <c r="M357" s="46"/>
      <c r="N357" s="46"/>
      <c r="O357" s="40"/>
      <c r="P357" s="9">
        <f>Table6[[#This Row],[ (S/S) SAR]]-Table6[[#This Row],[(S/S) AJD]]</f>
        <v>0</v>
      </c>
      <c r="Q357" s="40"/>
      <c r="R357" s="9">
        <f>Table6[[#This Row],[ (T/B) SAR]]-Table6[[#This Row],[(T/B) AJD]]</f>
        <v>0</v>
      </c>
      <c r="S357" s="9">
        <f>Table6[[#This Row],[S/S_CON.]]+Table6[[#This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Table6[[#This Row],[(RESV. STORGE) AJD]]/10</f>
        <v>0</v>
      </c>
      <c r="AB357" s="3">
        <f t="shared" si="23"/>
        <v>0</v>
      </c>
      <c r="AC357" s="5"/>
      <c r="AD357" s="40">
        <f>(Table6[[#This Row],[( S/S+T/B) AJD]]*1000)-((Table6[[#This Row],[(STORGE DIFF.) AJD]]*1000)+Table6[[#This Row],[AJD_Evaporation]]+(Table6[[#This Row],[(A/B + A/S) AJD]]*1000))</f>
        <v>0</v>
      </c>
      <c r="AE357" s="44"/>
      <c r="AF357" s="45"/>
      <c r="AG357" s="45"/>
      <c r="AH357" s="6">
        <f>Table6[[#This Row],[ (RESV. STORGE) BER]]/10</f>
        <v>0</v>
      </c>
      <c r="AI357" s="44"/>
      <c r="AJ357" s="45">
        <f>Table6[[#This Row],[(A/B) AJD]]-TABL12345[[#This Row],[BER_IN]]</f>
        <v>0</v>
      </c>
      <c r="AK357" s="45"/>
      <c r="AL357" s="45"/>
      <c r="AM357" s="32"/>
      <c r="AN357" s="32">
        <f>Table6[[#This Row],[ (RESV. STORGE) SER]]/10</f>
        <v>0</v>
      </c>
      <c r="AO357" s="68"/>
      <c r="AP357" s="103">
        <f>Table6[[#This Row],[(A/S) AJD]]-Table6[[#This Row],[SER_IN]]</f>
        <v>0</v>
      </c>
    </row>
    <row r="358" spans="1:42" ht="18.75" x14ac:dyDescent="0.25">
      <c r="A358" s="10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Table6[[#This Row],[ (T/B) SAR]]+Table6[[#This Row],[ (S/S) SAR]]</f>
        <v>0</v>
      </c>
      <c r="L358" s="41"/>
      <c r="M358" s="42"/>
      <c r="N358" s="42"/>
      <c r="O358" s="39"/>
      <c r="P358" s="9">
        <f>Table6[[#This Row],[ (S/S) SAR]]-Table6[[#This Row],[(S/S) AJD]]</f>
        <v>0</v>
      </c>
      <c r="Q358" s="39"/>
      <c r="R358" s="9">
        <f>Table6[[#This Row],[ (T/B) SAR]]-Table6[[#This Row],[(T/B) AJD]]</f>
        <v>0</v>
      </c>
      <c r="S358" s="9">
        <f>Table6[[#This Row],[S/S_CON.]]+Table6[[#This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Table6[[#This Row],[(RESV. STORGE) AJD]]/10</f>
        <v>0</v>
      </c>
      <c r="AB358" s="3">
        <f t="shared" si="23"/>
        <v>0</v>
      </c>
      <c r="AC358" s="5"/>
      <c r="AD358" s="39">
        <f>(Table6[[#This Row],[( S/S+T/B) AJD]]*1000)-((Table6[[#This Row],[(STORGE DIFF.) AJD]]*1000)+Table6[[#This Row],[AJD_Evaporation]]+(Table6[[#This Row],[(A/B + A/S) AJD]]*1000))</f>
        <v>0</v>
      </c>
      <c r="AE358" s="41"/>
      <c r="AF358" s="43"/>
      <c r="AG358" s="43"/>
      <c r="AH358" s="6">
        <f>Table6[[#This Row],[ (RESV. STORGE) BER]]/10</f>
        <v>0</v>
      </c>
      <c r="AI358" s="41"/>
      <c r="AJ358" s="43">
        <f>Table6[[#This Row],[(A/B) AJD]]-TABL12345[[#This Row],[BER_IN]]</f>
        <v>0</v>
      </c>
      <c r="AK358" s="43"/>
      <c r="AL358" s="43"/>
      <c r="AM358" s="32"/>
      <c r="AN358" s="32">
        <f>Table6[[#This Row],[ (RESV. STORGE) SER]]/10</f>
        <v>0</v>
      </c>
      <c r="AO358" s="68"/>
      <c r="AP358" s="103">
        <f>Table6[[#This Row],[(A/S) AJD]]-Table6[[#This Row],[SER_IN]]</f>
        <v>0</v>
      </c>
    </row>
    <row r="359" spans="1:42" ht="18.75" x14ac:dyDescent="0.25">
      <c r="A359" s="10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Table6[[#This Row],[ (T/B) SAR]]+Table6[[#This Row],[ (S/S) SAR]]</f>
        <v>0</v>
      </c>
      <c r="L359" s="45"/>
      <c r="M359" s="46"/>
      <c r="N359" s="46"/>
      <c r="O359" s="40"/>
      <c r="P359" s="9">
        <f>Table6[[#This Row],[ (S/S) SAR]]-Table6[[#This Row],[(S/S) AJD]]</f>
        <v>0</v>
      </c>
      <c r="Q359" s="40"/>
      <c r="R359" s="9">
        <f>Table6[[#This Row],[ (T/B) SAR]]-Table6[[#This Row],[(T/B) AJD]]</f>
        <v>0</v>
      </c>
      <c r="S359" s="9">
        <f>Table6[[#This Row],[S/S_CON.]]+Table6[[#This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Table6[[#This Row],[(RESV. STORGE) AJD]]/10</f>
        <v>0</v>
      </c>
      <c r="AB359" s="3">
        <f t="shared" si="23"/>
        <v>0</v>
      </c>
      <c r="AC359" s="5"/>
      <c r="AD359" s="40">
        <f>(Table6[[#This Row],[( S/S+T/B) AJD]]*1000)-((Table6[[#This Row],[(STORGE DIFF.) AJD]]*1000)+Table6[[#This Row],[AJD_Evaporation]]+(Table6[[#This Row],[(A/B + A/S) AJD]]*1000))</f>
        <v>0</v>
      </c>
      <c r="AE359" s="44"/>
      <c r="AF359" s="45"/>
      <c r="AG359" s="45"/>
      <c r="AH359" s="6">
        <f>Table6[[#This Row],[ (RESV. STORGE) BER]]/10</f>
        <v>0</v>
      </c>
      <c r="AI359" s="44"/>
      <c r="AJ359" s="45">
        <f>Table6[[#This Row],[(A/B) AJD]]-TABL12345[[#This Row],[BER_IN]]</f>
        <v>0</v>
      </c>
      <c r="AK359" s="45"/>
      <c r="AL359" s="45"/>
      <c r="AM359" s="32"/>
      <c r="AN359" s="32">
        <f>Table6[[#This Row],[ (RESV. STORGE) SER]]/10</f>
        <v>0</v>
      </c>
      <c r="AO359" s="68"/>
      <c r="AP359" s="103">
        <f>Table6[[#This Row],[(A/S) AJD]]-Table6[[#This Row],[SER_IN]]</f>
        <v>0</v>
      </c>
    </row>
    <row r="360" spans="1:42" ht="18.75" x14ac:dyDescent="0.25">
      <c r="A360" s="10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Table6[[#This Row],[ (T/B) SAR]]+Table6[[#This Row],[ (S/S) SAR]]</f>
        <v>0</v>
      </c>
      <c r="L360" s="41"/>
      <c r="M360" s="42"/>
      <c r="N360" s="42"/>
      <c r="O360" s="39"/>
      <c r="P360" s="9">
        <f>Table6[[#This Row],[ (S/S) SAR]]-Table6[[#This Row],[(S/S) AJD]]</f>
        <v>0</v>
      </c>
      <c r="Q360" s="39"/>
      <c r="R360" s="9">
        <f>Table6[[#This Row],[ (T/B) SAR]]-Table6[[#This Row],[(T/B) AJD]]</f>
        <v>0</v>
      </c>
      <c r="S360" s="9">
        <f>Table6[[#This Row],[S/S_CON.]]+Table6[[#This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Table6[[#This Row],[(RESV. STORGE) AJD]]/10</f>
        <v>0</v>
      </c>
      <c r="AB360" s="3">
        <f t="shared" si="23"/>
        <v>0</v>
      </c>
      <c r="AC360" s="5"/>
      <c r="AD360" s="39">
        <f>(Table6[[#This Row],[( S/S+T/B) AJD]]*1000)-((Table6[[#This Row],[(STORGE DIFF.) AJD]]*1000)+Table6[[#This Row],[AJD_Evaporation]]+(Table6[[#This Row],[(A/B + A/S) AJD]]*1000))</f>
        <v>0</v>
      </c>
      <c r="AE360" s="41"/>
      <c r="AF360" s="43"/>
      <c r="AG360" s="43"/>
      <c r="AH360" s="6">
        <f>Table6[[#This Row],[ (RESV. STORGE) BER]]/10</f>
        <v>0</v>
      </c>
      <c r="AI360" s="41"/>
      <c r="AJ360" s="43">
        <f>Table6[[#This Row],[(A/B) AJD]]-TABL12345[[#This Row],[BER_IN]]</f>
        <v>0</v>
      </c>
      <c r="AK360" s="43"/>
      <c r="AL360" s="43"/>
      <c r="AM360" s="32"/>
      <c r="AN360" s="32">
        <f>Table6[[#This Row],[ (RESV. STORGE) SER]]/10</f>
        <v>0</v>
      </c>
      <c r="AO360" s="68"/>
      <c r="AP360" s="103">
        <f>Table6[[#This Row],[(A/S) AJD]]-Table6[[#This Row],[SER_IN]]</f>
        <v>0</v>
      </c>
    </row>
    <row r="361" spans="1:42" ht="18.75" x14ac:dyDescent="0.25">
      <c r="A361" s="10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Table6[[#This Row],[ (T/B) SAR]]+Table6[[#This Row],[ (S/S) SAR]]</f>
        <v>0</v>
      </c>
      <c r="L361" s="45"/>
      <c r="M361" s="46"/>
      <c r="N361" s="46"/>
      <c r="O361" s="40"/>
      <c r="P361" s="9">
        <f>Table6[[#This Row],[ (S/S) SAR]]-Table6[[#This Row],[(S/S) AJD]]</f>
        <v>0</v>
      </c>
      <c r="Q361" s="40"/>
      <c r="R361" s="9">
        <f>Table6[[#This Row],[ (T/B) SAR]]-Table6[[#This Row],[(T/B) AJD]]</f>
        <v>0</v>
      </c>
      <c r="S361" s="9">
        <f>Table6[[#This Row],[S/S_CON.]]+Table6[[#This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Table6[[#This Row],[(RESV. STORGE) AJD]]/10</f>
        <v>0</v>
      </c>
      <c r="AB361" s="3">
        <f t="shared" si="23"/>
        <v>0</v>
      </c>
      <c r="AC361" s="5"/>
      <c r="AD361" s="40">
        <f>(Table6[[#This Row],[( S/S+T/B) AJD]]*1000)-((Table6[[#This Row],[(STORGE DIFF.) AJD]]*1000)+Table6[[#This Row],[AJD_Evaporation]]+(Table6[[#This Row],[(A/B + A/S) AJD]]*1000))</f>
        <v>0</v>
      </c>
      <c r="AE361" s="44"/>
      <c r="AF361" s="45"/>
      <c r="AG361" s="45"/>
      <c r="AH361" s="6">
        <f>Table6[[#This Row],[ (RESV. STORGE) BER]]/10</f>
        <v>0</v>
      </c>
      <c r="AI361" s="44"/>
      <c r="AJ361" s="45">
        <f>Table6[[#This Row],[(A/B) AJD]]-TABL12345[[#This Row],[BER_IN]]</f>
        <v>0</v>
      </c>
      <c r="AK361" s="45"/>
      <c r="AL361" s="45"/>
      <c r="AM361" s="32"/>
      <c r="AN361" s="32">
        <f>Table6[[#This Row],[ (RESV. STORGE) SER]]/10</f>
        <v>0</v>
      </c>
      <c r="AO361" s="68"/>
      <c r="AP361" s="103">
        <f>Table6[[#This Row],[(A/S) AJD]]-Table6[[#This Row],[SER_IN]]</f>
        <v>0</v>
      </c>
    </row>
    <row r="362" spans="1:42" ht="18.75" x14ac:dyDescent="0.25">
      <c r="A362" s="10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Table6[[#This Row],[ (T/B) SAR]]+Table6[[#This Row],[ (S/S) SAR]]</f>
        <v>0</v>
      </c>
      <c r="L362" s="41"/>
      <c r="M362" s="42"/>
      <c r="N362" s="42"/>
      <c r="O362" s="39"/>
      <c r="P362" s="9">
        <f>Table6[[#This Row],[ (S/S) SAR]]-Table6[[#This Row],[(S/S) AJD]]</f>
        <v>0</v>
      </c>
      <c r="Q362" s="39"/>
      <c r="R362" s="9">
        <f>Table6[[#This Row],[ (T/B) SAR]]-Table6[[#This Row],[(T/B) AJD]]</f>
        <v>0</v>
      </c>
      <c r="S362" s="9">
        <f>Table6[[#This Row],[S/S_CON.]]+Table6[[#This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Table6[[#This Row],[(RESV. STORGE) AJD]]/10</f>
        <v>0</v>
      </c>
      <c r="AB362" s="3">
        <f t="shared" si="23"/>
        <v>0</v>
      </c>
      <c r="AC362" s="5"/>
      <c r="AD362" s="39">
        <f>(Table6[[#This Row],[( S/S+T/B) AJD]]*1000)-((Table6[[#This Row],[(STORGE DIFF.) AJD]]*1000)+Table6[[#This Row],[AJD_Evaporation]]+(Table6[[#This Row],[(A/B + A/S) AJD]]*1000))</f>
        <v>0</v>
      </c>
      <c r="AE362" s="41"/>
      <c r="AF362" s="43"/>
      <c r="AG362" s="43"/>
      <c r="AH362" s="6">
        <f>Table6[[#This Row],[ (RESV. STORGE) BER]]/10</f>
        <v>0</v>
      </c>
      <c r="AI362" s="41"/>
      <c r="AJ362" s="43">
        <f>Table6[[#This Row],[(A/B) AJD]]-TABL12345[[#This Row],[BER_IN]]</f>
        <v>0</v>
      </c>
      <c r="AK362" s="43"/>
      <c r="AL362" s="43"/>
      <c r="AM362" s="32"/>
      <c r="AN362" s="32">
        <f>Table6[[#This Row],[ (RESV. STORGE) SER]]/10</f>
        <v>0</v>
      </c>
      <c r="AO362" s="68"/>
      <c r="AP362" s="103">
        <f>Table6[[#This Row],[(A/S) AJD]]-Table6[[#This Row],[SER_IN]]</f>
        <v>0</v>
      </c>
    </row>
    <row r="363" spans="1:42" ht="18.75" x14ac:dyDescent="0.25">
      <c r="A363" s="10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Table6[[#This Row],[ (T/B) SAR]]+Table6[[#This Row],[ (S/S) SAR]]</f>
        <v>0</v>
      </c>
      <c r="L363" s="45"/>
      <c r="M363" s="46"/>
      <c r="N363" s="46"/>
      <c r="O363" s="40"/>
      <c r="P363" s="9">
        <f>Table6[[#This Row],[ (S/S) SAR]]-Table6[[#This Row],[(S/S) AJD]]</f>
        <v>0</v>
      </c>
      <c r="Q363" s="40"/>
      <c r="R363" s="9">
        <f>Table6[[#This Row],[ (T/B) SAR]]-Table6[[#This Row],[(T/B) AJD]]</f>
        <v>0</v>
      </c>
      <c r="S363" s="9">
        <f>Table6[[#This Row],[S/S_CON.]]+Table6[[#This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Table6[[#This Row],[(RESV. STORGE) AJD]]/10</f>
        <v>0</v>
      </c>
      <c r="AB363" s="3">
        <f t="shared" si="23"/>
        <v>0</v>
      </c>
      <c r="AC363" s="5"/>
      <c r="AD363" s="40">
        <f>(Table6[[#This Row],[( S/S+T/B) AJD]]*1000)-((Table6[[#This Row],[(STORGE DIFF.) AJD]]*1000)+Table6[[#This Row],[AJD_Evaporation]]+(Table6[[#This Row],[(A/B + A/S) AJD]]*1000))</f>
        <v>0</v>
      </c>
      <c r="AE363" s="44"/>
      <c r="AF363" s="45"/>
      <c r="AG363" s="45"/>
      <c r="AH363" s="6">
        <f>Table6[[#This Row],[ (RESV. STORGE) BER]]/10</f>
        <v>0</v>
      </c>
      <c r="AI363" s="44"/>
      <c r="AJ363" s="45">
        <f>Table6[[#This Row],[(A/B) AJD]]-TABL12345[[#This Row],[BER_IN]]</f>
        <v>0</v>
      </c>
      <c r="AK363" s="45"/>
      <c r="AL363" s="45"/>
      <c r="AM363" s="32"/>
      <c r="AN363" s="32">
        <f>Table6[[#This Row],[ (RESV. STORGE) SER]]/10</f>
        <v>0</v>
      </c>
      <c r="AO363" s="68"/>
      <c r="AP363" s="103">
        <f>Table6[[#This Row],[(A/S) AJD]]-Table6[[#This Row],[SER_IN]]</f>
        <v>0</v>
      </c>
    </row>
    <row r="364" spans="1:42" ht="18.75" x14ac:dyDescent="0.25">
      <c r="A364" s="10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Table6[[#This Row],[ (T/B) SAR]]+Table6[[#This Row],[ (S/S) SAR]]</f>
        <v>0</v>
      </c>
      <c r="L364" s="41"/>
      <c r="M364" s="42"/>
      <c r="N364" s="42"/>
      <c r="O364" s="39"/>
      <c r="P364" s="9">
        <f>Table6[[#This Row],[ (S/S) SAR]]-Table6[[#This Row],[(S/S) AJD]]</f>
        <v>0</v>
      </c>
      <c r="Q364" s="39"/>
      <c r="R364" s="9">
        <f>Table6[[#This Row],[ (T/B) SAR]]-Table6[[#This Row],[(T/B) AJD]]</f>
        <v>0</v>
      </c>
      <c r="S364" s="9">
        <f>Table6[[#This Row],[S/S_CON.]]+Table6[[#This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Table6[[#This Row],[(RESV. STORGE) AJD]]/10</f>
        <v>0</v>
      </c>
      <c r="AB364" s="3">
        <f t="shared" si="23"/>
        <v>0</v>
      </c>
      <c r="AC364" s="5"/>
      <c r="AD364" s="39">
        <f>(Table6[[#This Row],[( S/S+T/B) AJD]]*1000)-((Table6[[#This Row],[(STORGE DIFF.) AJD]]*1000)+Table6[[#This Row],[AJD_Evaporation]]+(Table6[[#This Row],[(A/B + A/S) AJD]]*1000))</f>
        <v>0</v>
      </c>
      <c r="AE364" s="41"/>
      <c r="AF364" s="43"/>
      <c r="AG364" s="43"/>
      <c r="AH364" s="6">
        <f>Table6[[#This Row],[ (RESV. STORGE) BER]]/10</f>
        <v>0</v>
      </c>
      <c r="AI364" s="41"/>
      <c r="AJ364" s="43">
        <f>Table6[[#This Row],[(A/B) AJD]]-TABL12345[[#This Row],[BER_IN]]</f>
        <v>0</v>
      </c>
      <c r="AK364" s="43"/>
      <c r="AL364" s="43"/>
      <c r="AM364" s="32"/>
      <c r="AN364" s="32">
        <f>Table6[[#This Row],[ (RESV. STORGE) SER]]/10</f>
        <v>0</v>
      </c>
      <c r="AO364" s="68"/>
      <c r="AP364" s="103">
        <f>Table6[[#This Row],[(A/S) AJD]]-Table6[[#This Row],[SER_IN]]</f>
        <v>0</v>
      </c>
    </row>
    <row r="365" spans="1:42" ht="18.75" x14ac:dyDescent="0.25">
      <c r="A365" s="10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Table6[[#This Row],[ (T/B) SAR]]+Table6[[#This Row],[ (S/S) SAR]]</f>
        <v>0</v>
      </c>
      <c r="L365" s="45"/>
      <c r="M365" s="46"/>
      <c r="N365" s="46"/>
      <c r="O365" s="40"/>
      <c r="P365" s="9">
        <f>Table6[[#This Row],[ (S/S) SAR]]-Table6[[#This Row],[(S/S) AJD]]</f>
        <v>0</v>
      </c>
      <c r="Q365" s="40"/>
      <c r="R365" s="9">
        <f>Table6[[#This Row],[ (T/B) SAR]]-Table6[[#This Row],[(T/B) AJD]]</f>
        <v>0</v>
      </c>
      <c r="S365" s="9">
        <f>Table6[[#This Row],[S/S_CON.]]+Table6[[#This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Table6[[#This Row],[(RESV. STORGE) AJD]]/10</f>
        <v>0</v>
      </c>
      <c r="AB365" s="3">
        <f t="shared" si="23"/>
        <v>0</v>
      </c>
      <c r="AC365" s="5"/>
      <c r="AD365" s="50">
        <f>(Table6[[#This Row],[( S/S+T/B) AJD]]*1000)-((Table6[[#This Row],[(STORGE DIFF.) AJD]]*1000)+Table6[[#This Row],[AJD_Evaporation]]+(Table6[[#This Row],[(A/B + A/S) AJD]]*1000))</f>
        <v>0</v>
      </c>
      <c r="AE365" s="44"/>
      <c r="AF365" s="45"/>
      <c r="AG365" s="45"/>
      <c r="AH365" s="6">
        <f>Table6[[#This Row],[ (RESV. STORGE) BER]]/10</f>
        <v>0</v>
      </c>
      <c r="AI365" s="44"/>
      <c r="AJ365" s="91">
        <f>Table6[[#This Row],[(A/B) AJD]]-TABL12345[[#This Row],[BER_IN]]</f>
        <v>0</v>
      </c>
      <c r="AK365" s="45"/>
      <c r="AL365" s="45"/>
      <c r="AM365" s="32"/>
      <c r="AN365" s="32">
        <f>Table6[[#This Row],[ (RESV. STORGE) SER]]/10</f>
        <v>0</v>
      </c>
      <c r="AO365" s="68"/>
      <c r="AP365" s="103">
        <f>Table6[[#This Row],[(A/S) AJD]]-Table6[[#This Row],[SER_IN]]</f>
        <v>0</v>
      </c>
    </row>
    <row r="366" spans="1:42" ht="18.75" x14ac:dyDescent="0.25">
      <c r="A366" s="10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Table6[[#This Row],[ (T/B) SAR]]+Table6[[#This Row],[ (S/S) SAR]]</f>
        <v>0</v>
      </c>
      <c r="L366" s="41"/>
      <c r="M366" s="42"/>
      <c r="N366" s="42"/>
      <c r="O366" s="39"/>
      <c r="P366" s="19">
        <f>Table6[[#This Row],[ (S/S) SAR]]-Table6[[#This Row],[(S/S) AJD]]</f>
        <v>0</v>
      </c>
      <c r="Q366" s="39"/>
      <c r="R366" s="19">
        <f>Table6[[#This Row],[ (T/B) SAR]]-Table6[[#This Row],[(T/B) AJD]]</f>
        <v>0</v>
      </c>
      <c r="S366" s="19">
        <f>Table6[[#This Row],[S/S_CON.]]+Table6[[#This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Table6[[#This Row],[(RESV. STORGE) AJD]]/10</f>
        <v>0</v>
      </c>
      <c r="AB366" s="3">
        <f t="shared" si="23"/>
        <v>0</v>
      </c>
      <c r="AC366" s="5"/>
      <c r="AD366" s="50">
        <f>(Table6[[#This Row],[( S/S+T/B) AJD]]*1000)-((Table6[[#This Row],[(STORGE DIFF.) AJD]]*1000)+Table6[[#This Row],[AJD_Evaporation]]+(Table6[[#This Row],[(A/B + A/S) AJD]]*1000))</f>
        <v>0</v>
      </c>
      <c r="AE366" s="41"/>
      <c r="AF366" s="43"/>
      <c r="AG366" s="43"/>
      <c r="AH366" s="21">
        <f>Table6[[#This Row],[ (RESV. STORGE) BER]]/10</f>
        <v>0</v>
      </c>
      <c r="AI366" s="41"/>
      <c r="AJ366" s="43">
        <f>Table6[[#This Row],[(A/B) AJD]]-TABL12345[[#This Row],[BER_IN]]</f>
        <v>0</v>
      </c>
      <c r="AK366" s="43"/>
      <c r="AL366" s="43"/>
      <c r="AM366" s="32"/>
      <c r="AN366" s="32">
        <f>Table6[[#This Row],[ (RESV. STORGE) SER]]/10</f>
        <v>0</v>
      </c>
      <c r="AO366" s="82"/>
      <c r="AP366" s="103">
        <f>Table6[[#This Row],[(A/S) AJD]]-Table6[[#This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my_job - 2025</vt:lpstr>
      <vt:lpstr>my_job2 - 2026</vt:lpstr>
      <vt:lpstr>my_job - 2027</vt:lpstr>
      <vt:lpstr>my_job - 2028</vt:lpstr>
      <vt:lpstr>my_job - 2029</vt:lpstr>
      <vt:lpstr>my_job - 2030</vt:lpstr>
      <vt:lpstr>Table123456</vt:lpstr>
      <vt:lpstr>Table1234567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2026-10-25T19:48:08Z</dcterms:modified>
</cp:coreProperties>
</file>