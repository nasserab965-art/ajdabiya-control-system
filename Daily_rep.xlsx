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660" windowWidth="12240" windowHeight="9240" tabRatio="587"/>
  </bookViews>
  <sheets>
    <sheet name="ورقة1" sheetId="1" r:id="rId1"/>
    <sheet name="ورقة2" sheetId="2" r:id="rId2"/>
    <sheet name="ورقة3" sheetId="3" r:id="rId3"/>
  </sheets>
  <definedNames>
    <definedName name="_xlnm.Print_Area" localSheetId="0">ورقة1!$A$1:$O$36</definedName>
  </definedNames>
  <calcPr calcId="145621"/>
</workbook>
</file>

<file path=xl/calcChain.xml><?xml version="1.0" encoding="utf-8"?>
<calcChain xmlns="http://schemas.openxmlformats.org/spreadsheetml/2006/main">
  <c r="E22" i="1" l="1"/>
  <c r="J10" i="1" l="1"/>
  <c r="E28" i="1" l="1"/>
</calcChain>
</file>

<file path=xl/comments1.xml><?xml version="1.0" encoding="utf-8"?>
<comments xmlns="http://schemas.openxmlformats.org/spreadsheetml/2006/main">
  <authors>
    <author>mhpoop</author>
  </authors>
  <commentList>
    <comment ref="R8" authorId="0">
      <text>
        <r>
          <rPr>
            <b/>
            <sz val="9"/>
            <color indexed="81"/>
            <rFont val="Tahoma"/>
            <family val="2"/>
          </rPr>
          <t>mhpoop: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3" authorId="0">
      <text>
        <r>
          <rPr>
            <b/>
            <sz val="9"/>
            <color indexed="81"/>
            <rFont val="Tahoma"/>
            <family val="2"/>
          </rPr>
          <t>mhpoop: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<sst xmlns="http://schemas.openxmlformats.org/spreadsheetml/2006/main" count="98" uniqueCount="87">
  <si>
    <t>اليوم : -</t>
  </si>
  <si>
    <t>صباحاً</t>
  </si>
  <si>
    <t>معدل الزيادة أو النقصان</t>
  </si>
  <si>
    <t>1000*م3</t>
  </si>
  <si>
    <t>إجمالي كمية المياه الداخلة للخزان من خط : -</t>
  </si>
  <si>
    <t>إجمالي كمية المياه الداخلة للخزان من خطى : -</t>
  </si>
  <si>
    <t xml:space="preserve"> (ت / ب + س / س )</t>
  </si>
  <si>
    <t>إجمالي كمية المياه الخارجة من الخزان لخط : -</t>
  </si>
  <si>
    <t>إجدابيا - بنغازي</t>
  </si>
  <si>
    <t>إجدابيا - سرت</t>
  </si>
  <si>
    <t>إجمالي كمية المياه الخارجة من الخزان لخطى  : -</t>
  </si>
  <si>
    <t>إجدابيا - بنغازي و إجدابيا - سرت</t>
  </si>
  <si>
    <t>س / س</t>
  </si>
  <si>
    <t>الخزان</t>
  </si>
  <si>
    <t xml:space="preserve">إجمالي المخزون </t>
  </si>
  <si>
    <t>إجمالي الداخل</t>
  </si>
  <si>
    <t>م . ف .م . س . ب</t>
  </si>
  <si>
    <t>عمر المختار ( سلوق )</t>
  </si>
  <si>
    <t>القرضابية ( سرت )</t>
  </si>
  <si>
    <t>الداخل لخزان الطلحية</t>
  </si>
  <si>
    <t>إستهلاك مدينة إجدابيا</t>
  </si>
  <si>
    <t>ثالثاً : حقلى آبار السرير وتازربو</t>
  </si>
  <si>
    <t>عدد الأبار العاملة</t>
  </si>
  <si>
    <t xml:space="preserve">حقل السرير </t>
  </si>
  <si>
    <t>حقل تازربو</t>
  </si>
  <si>
    <t>م</t>
  </si>
  <si>
    <t>.</t>
  </si>
  <si>
    <t xml:space="preserve">انتاجية السرير </t>
  </si>
  <si>
    <t xml:space="preserve">انتاجية تازربو </t>
  </si>
  <si>
    <t>الخط</t>
  </si>
  <si>
    <t>التدفق اللحظي</t>
  </si>
  <si>
    <t>الأجمالي</t>
  </si>
  <si>
    <t>كمية المياه الداخل لخط ت / ب</t>
  </si>
  <si>
    <t>كمية المياه الداخل لخط س / س</t>
  </si>
  <si>
    <t>كمية المياه الواصل لصمام 
التحكم النهائي (E. C. V)</t>
  </si>
  <si>
    <r>
      <t>1000 * م</t>
    </r>
    <r>
      <rPr>
        <b/>
        <vertAlign val="superscript"/>
        <sz val="9"/>
        <color theme="1"/>
        <rFont val="Arial"/>
        <family val="2"/>
        <scheme val="minor"/>
      </rPr>
      <t>3</t>
    </r>
  </si>
  <si>
    <r>
      <t>1000 * م</t>
    </r>
    <r>
      <rPr>
        <b/>
        <vertAlign val="superscript"/>
        <sz val="12"/>
        <color theme="1"/>
        <rFont val="Arial"/>
        <family val="2"/>
        <scheme val="minor"/>
      </rPr>
      <t>3</t>
    </r>
  </si>
  <si>
    <t xml:space="preserve"> في المخزون 1000 * م3</t>
  </si>
  <si>
    <t xml:space="preserve">زيادة معدل الداخل لخزان سلوق النهائى من 50الف الى 60 الف متر مكعب الساعه 21:00 </t>
  </si>
  <si>
    <t xml:space="preserve">حدوث مفيض(over flow) من السـ1:13ـاعة ليلا الى السـ7:46ـاعة من صباح يوم الأثنين 19/05/2025 </t>
  </si>
  <si>
    <t>وكانت كمية المياه المهدرة (7000) متر مكعب</t>
  </si>
  <si>
    <t xml:space="preserve">إنقطاع التيار الكهربائي عن محطة الضخ (سلوق) أكثر من مرة - من السـ13:00ـاعة وإعادة تشغيل المحطة </t>
  </si>
  <si>
    <t>السـ13:26ـاعة , وإنقطاع الكهرباء مرة أخرى السـ13:37ـاعة وإعادة تشغيل المحطة السـ14:06ـاعة</t>
  </si>
  <si>
    <t>ت / ب</t>
  </si>
  <si>
    <r>
      <rPr>
        <sz val="12"/>
        <color theme="1" tint="4.9989318521683403E-2"/>
        <rFont val="Arial"/>
        <family val="2"/>
        <scheme val="minor"/>
      </rPr>
      <t>تخفيض نسبة الفتح لصمام التحكم النهائي (E.C.V ) من ( 22.1% ) الي (20.8 % ) عند ساعة (15:30</t>
    </r>
    <r>
      <rPr>
        <sz val="12"/>
        <color theme="1"/>
        <rFont val="Arial"/>
        <family val="2"/>
        <scheme val="minor"/>
      </rPr>
      <t>)</t>
    </r>
  </si>
  <si>
    <t xml:space="preserve">إجمالي المخزون(م3): </t>
  </si>
  <si>
    <t>غلق الصمام الداخل لخزان سرت النهائي بالكامل عند الساعة</t>
  </si>
  <si>
    <t>ا</t>
  </si>
  <si>
    <t>وضعية  الأبار</t>
  </si>
  <si>
    <t>تم زيادة نسبة فتحة الدخول لصمام القرضابية النهائي ليسمح بدخول ( 40,000 )م3 بدلا من ( 20,000 )م3</t>
  </si>
  <si>
    <t>وذلك عند الساعة ( 12:15 )</t>
  </si>
  <si>
    <t>منسوب  المياه</t>
  </si>
  <si>
    <t xml:space="preserve">  </t>
  </si>
  <si>
    <t xml:space="preserve"> فتح صمام تغذية مدينة اجدابيا ( 25 + 800 ) الساعة ( 6:13 ) صباح هذا اليوم الأثنين</t>
  </si>
  <si>
    <t>المنسوب المائي للخزان(م.ف.م.س.ب)</t>
  </si>
  <si>
    <t>اطفاء عدد ( 4 ) ابار بحقل الابار السرير ليصبح الاجمالي الابار العاملة بالسرير ( 53 ) بئر عند الساعة ( 12:00 )</t>
  </si>
  <si>
    <t>تم صباح اليوم ( 12/10/2025 ) غلق صمام التغذية لمدينة اجدابيا عند الساعة ( 06:00 )</t>
  </si>
  <si>
    <t>البخــــــــــــــــــــــــــــــــــــــر       ( 334 ) م3</t>
  </si>
  <si>
    <t>* أستهلاك مدينة بنغازي       (   278   ) *1000 م3</t>
  </si>
  <si>
    <t>* أرتفاع المياه في غرفة الخروج     (9.26 )متر</t>
  </si>
  <si>
    <t>UP+DOWN STREAM</t>
  </si>
  <si>
    <t>وضعية خطوط المنظومة : -</t>
  </si>
  <si>
    <t xml:space="preserve"> ثانياً : وضعية الخزانات النهائيه : -</t>
  </si>
  <si>
    <t>اجمالي كمية الخارجة من الخزان لخط:-</t>
  </si>
  <si>
    <t>...............................................................</t>
  </si>
  <si>
    <t>حدوث هزة كهربائية بحقل أبار تازربو أدت إلى إطفاء (3) آبار السـ15:37ـاعة وتم إعادة التشغيل السـ16:00ـاعة</t>
  </si>
  <si>
    <t>زيادة معدل الداخل لخزان سرت النهائى من ( 10 ) الف الى ( 20 ) الف متر مكعب الساعه 09:00 صباحاً</t>
  </si>
  <si>
    <t xml:space="preserve">تخفيض معدل الداخل لخزان سلوق  ( عمر المختارالنهائي ) ليصبح  ( 50 ) الف بدلا من ( 90 ) الف عند الساعة 11:00 ) </t>
  </si>
  <si>
    <t xml:space="preserve">تخفيض معدل الداخل لخزان سرت ( القرضابيه النهائي ) ليصبح  ( 40 ) الف بدلا من  ( 70 ) الف  عند الساعة11:30 </t>
  </si>
  <si>
    <t>انقطاع التيار الكهربائي ( BLacK Out ) علي حقل ابار السرير بالكامل عند الساعة ( 00:46 ) صباحا</t>
  </si>
  <si>
    <t>انقطاع التيار الكهربائي ( BLacK Out ) علي حقل ابار تازربو عند الساعة ( 00:46 ) صباحا</t>
  </si>
  <si>
    <t>إنقطاع التيار الكهربائي عن محطة الضخ (سلوق/طلحيه)  عند الساعة(04:45) وإعادة تشغيل المحطة عند</t>
  </si>
  <si>
    <t>السعة (05:15) فجر اليوم   الجمعه (24-07-26م)</t>
  </si>
  <si>
    <t xml:space="preserve"> أولا : خزان التجميع والموازنة اجدابيــــــــا</t>
  </si>
  <si>
    <t xml:space="preserve">التقرير اليومي لغرفة التحكم - أجدابيـــــــــــــا </t>
  </si>
  <si>
    <t xml:space="preserve"> وضعية  خطوط المنظومـــة :-</t>
  </si>
  <si>
    <t>وضعية  الخــــزان</t>
  </si>
  <si>
    <t>إنقطاع التيار الكهربائي عن محطة الضخ (سلوق) من السـ00:26ـاعة وإعادة تشغيل المحطة السـ00:54ـاعة</t>
  </si>
  <si>
    <r>
      <rPr>
        <b/>
        <i/>
        <sz val="11"/>
        <color theme="1"/>
        <rFont val="Arial"/>
        <family val="2"/>
        <scheme val="minor"/>
      </rPr>
      <t>إعتمــــــــاد</t>
    </r>
    <r>
      <rPr>
        <b/>
        <sz val="11"/>
        <color theme="1"/>
        <rFont val="Arial"/>
        <family val="2"/>
        <scheme val="minor"/>
      </rPr>
      <t xml:space="preserve"> : مشرف الوحدة</t>
    </r>
  </si>
  <si>
    <t>بخر خزان اجدابيا (            )</t>
  </si>
  <si>
    <t>17+</t>
  </si>
  <si>
    <t>ملاحظــــــات :- يوم السبت الموافــــق ( 2026/10/17م )</t>
  </si>
  <si>
    <t>الأحد</t>
  </si>
  <si>
    <t>استهلاك مدينة بنغــــــــازي  (289 ) الف متر مكعب</t>
  </si>
  <si>
    <t>تخفيض نسبة الفتح لصمام التحكم النهائي (E.C.V ) من ( 23.6% ) الي (22.7 % ) عند ساعة (08:05) من صباح</t>
  </si>
  <si>
    <t>هذا اليوم الأحد (18/10/2026)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</si>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</sst>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\ _د_._ل_._‏_-;\-* #,##0\ _د_._ل_._‏_-;_-* &quot;-&quot;\ _د_._ل_._‏_-;_-@_-"/>
    <numFmt numFmtId="164" formatCode="#,##0;[Red]#,##0"/>
    <numFmt numFmtId="165" formatCode="#,##0.000"/>
    <numFmt numFmtId="166" formatCode="yyyy/mm/dd"/>
    <numFmt numFmtId="167" formatCode="0.000"/>
  </numFmts>
  <fonts count="26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charset val="178"/>
      <scheme val="minor"/>
    </font>
    <font>
      <sz val="14"/>
      <color theme="1"/>
      <name val="PT Bold Heading"/>
      <charset val="178"/>
    </font>
    <font>
      <sz val="13"/>
      <color theme="1"/>
      <name val="PT Bold Heading"/>
      <charset val="178"/>
    </font>
    <font>
      <b/>
      <vertAlign val="superscript"/>
      <sz val="9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vertAlign val="superscript"/>
      <sz val="12"/>
      <color theme="1"/>
      <name val="Arial"/>
      <family val="2"/>
      <scheme val="minor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sz val="12"/>
      <color theme="1" tint="4.9989318521683403E-2"/>
      <name val="Arial"/>
      <family val="2"/>
      <scheme val="minor"/>
    </font>
    <font>
      <b/>
      <sz val="24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Arial"/>
      <family val="2"/>
      <scheme val="minor"/>
    </font>
    <font>
      <sz val="8"/>
      <color theme="1"/>
      <name val="Arial"/>
      <family val="2"/>
      <charset val="178"/>
      <scheme val="minor"/>
    </font>
    <font>
      <b/>
      <sz val="8"/>
      <color theme="1"/>
      <name val="Arial"/>
      <family val="2"/>
      <scheme val="minor"/>
    </font>
    <font>
      <b/>
      <sz val="12"/>
      <color theme="1" tint="4.9989318521683403E-2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b/>
      <sz val="26"/>
      <color theme="1"/>
      <name val="Microsoft Sans Serif"/>
      <family val="2"/>
    </font>
    <font>
      <sz val="20"/>
      <color theme="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/>
      <top style="dashDotDot">
        <color auto="1"/>
      </top>
      <bottom/>
      <diagonal/>
    </border>
    <border>
      <left style="dashDotDot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thick">
        <color indexed="64"/>
      </right>
      <top/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 style="thick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 style="thick">
        <color indexed="64"/>
      </right>
      <top/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/>
      <diagonal/>
    </border>
    <border>
      <left/>
      <right style="thick">
        <color indexed="64"/>
      </right>
      <top style="dashDotDot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DotDot">
        <color indexed="64"/>
      </right>
      <top style="dashDotDot">
        <color indexed="64"/>
      </top>
      <bottom style="dashed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ed">
        <color indexed="64"/>
      </bottom>
      <diagonal/>
    </border>
    <border>
      <left style="dashDotDot">
        <color indexed="64"/>
      </left>
      <right style="thick">
        <color indexed="64"/>
      </right>
      <top style="dashDotDot">
        <color indexed="64"/>
      </top>
      <bottom style="dashed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thick">
        <color indexed="64"/>
      </right>
      <top style="dashDotDot">
        <color indexed="64"/>
      </top>
      <bottom/>
      <diagonal/>
    </border>
    <border>
      <left style="thick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/>
      <top style="dashDotDot">
        <color auto="1"/>
      </top>
      <bottom style="thick">
        <color auto="1"/>
      </bottom>
      <diagonal/>
    </border>
    <border>
      <left/>
      <right/>
      <top style="dashDotDot">
        <color auto="1"/>
      </top>
      <bottom style="thick">
        <color auto="1"/>
      </bottom>
      <diagonal/>
    </border>
    <border>
      <left/>
      <right style="thick">
        <color auto="1"/>
      </right>
      <top style="dashDotDot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dashDotDot">
        <color auto="1"/>
      </bottom>
      <diagonal/>
    </border>
    <border>
      <left/>
      <right/>
      <top style="thick">
        <color auto="1"/>
      </top>
      <bottom style="dashDotDot">
        <color auto="1"/>
      </bottom>
      <diagonal/>
    </border>
    <border>
      <left/>
      <right style="thick">
        <color auto="1"/>
      </right>
      <top style="thick">
        <color auto="1"/>
      </top>
      <bottom style="dashDotDot">
        <color auto="1"/>
      </bottom>
      <diagonal/>
    </border>
    <border>
      <left style="dashDotDot">
        <color indexed="64"/>
      </left>
      <right style="dashDotDot">
        <color indexed="64"/>
      </right>
      <top style="dashDot">
        <color indexed="64"/>
      </top>
      <bottom style="dashDot">
        <color indexed="64"/>
      </bottom>
      <diagonal/>
    </border>
    <border>
      <left style="dashDotDot">
        <color indexed="64"/>
      </left>
      <right style="thick">
        <color indexed="64"/>
      </right>
      <top style="dashDot">
        <color indexed="64"/>
      </top>
      <bottom style="dashDot">
        <color indexed="64"/>
      </bottom>
      <diagonal/>
    </border>
    <border>
      <left style="mediumDashDotDot">
        <color indexed="64"/>
      </left>
      <right style="dashDotDot">
        <color indexed="64"/>
      </right>
      <top style="dashDotDot">
        <color indexed="64"/>
      </top>
      <bottom style="mediumDashDotDot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mediumDashDotDot">
        <color indexed="64"/>
      </bottom>
      <diagonal/>
    </border>
    <border>
      <left style="dashDotDot">
        <color indexed="64"/>
      </left>
      <right style="thick">
        <color indexed="64"/>
      </right>
      <top style="dashDotDot">
        <color indexed="64"/>
      </top>
      <bottom style="mediumDashDotDot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ashDotDot">
        <color indexed="64"/>
      </right>
      <top style="dashDot">
        <color indexed="64"/>
      </top>
      <bottom style="dashDot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dashDotDot">
        <color indexed="64"/>
      </left>
      <right style="medium">
        <color indexed="64"/>
      </right>
      <top style="dashDotDot">
        <color indexed="64"/>
      </top>
      <bottom/>
      <diagonal/>
    </border>
    <border>
      <left style="dashDotDot">
        <color indexed="64"/>
      </left>
      <right style="medium">
        <color indexed="64"/>
      </right>
      <top/>
      <bottom style="dashDotDot">
        <color indexed="64"/>
      </bottom>
      <diagonal/>
    </border>
    <border>
      <left style="mediumDashDotDot">
        <color auto="1"/>
      </left>
      <right style="dashDotDot">
        <color indexed="64"/>
      </right>
      <top style="mediumDashDot">
        <color auto="1"/>
      </top>
      <bottom style="mediumDashDotDot">
        <color auto="1"/>
      </bottom>
      <diagonal/>
    </border>
    <border>
      <left style="dashDotDot">
        <color indexed="64"/>
      </left>
      <right style="dashDotDot">
        <color indexed="64"/>
      </right>
      <top style="mediumDashDot">
        <color auto="1"/>
      </top>
      <bottom style="mediumDashDotDot">
        <color auto="1"/>
      </bottom>
      <diagonal/>
    </border>
    <border>
      <left style="dashDotDot">
        <color indexed="64"/>
      </left>
      <right style="medium">
        <color auto="1"/>
      </right>
      <top style="mediumDashDot">
        <color auto="1"/>
      </top>
      <bottom style="mediumDashDotDot">
        <color auto="1"/>
      </bottom>
      <diagonal/>
    </border>
    <border>
      <left style="medium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mediumDashDotDot">
        <color indexed="64"/>
      </left>
      <right style="dashDotDot">
        <color indexed="64"/>
      </right>
      <top style="mediumDashDotDot">
        <color indexed="64"/>
      </top>
      <bottom style="mediumDashDotDot">
        <color indexed="64"/>
      </bottom>
      <diagonal/>
    </border>
    <border>
      <left style="dashDotDot">
        <color indexed="64"/>
      </left>
      <right style="dashDotDot">
        <color indexed="64"/>
      </right>
      <top style="mediumDashDotDot">
        <color indexed="64"/>
      </top>
      <bottom style="mediumDashDotDot">
        <color indexed="64"/>
      </bottom>
      <diagonal/>
    </border>
    <border>
      <left style="dashDotDot">
        <color indexed="64"/>
      </left>
      <right style="thick">
        <color indexed="64"/>
      </right>
      <top style="mediumDashDotDot">
        <color indexed="64"/>
      </top>
      <bottom style="mediumDashDotDot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mediumDashDotDot">
        <color indexed="64"/>
      </top>
      <bottom/>
      <diagonal/>
    </border>
    <border>
      <left/>
      <right style="thick">
        <color indexed="64"/>
      </right>
      <top style="mediumDashDotDot">
        <color indexed="64"/>
      </top>
      <bottom/>
      <diagonal/>
    </border>
    <border>
      <left style="mediumDashDotDot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DashDotDot">
        <color indexed="64"/>
      </left>
      <right/>
      <top style="mediumDashDotDot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 style="dashDotDot">
        <color indexed="64"/>
      </right>
      <top/>
      <bottom/>
      <diagonal/>
    </border>
    <border>
      <left style="thick">
        <color indexed="64"/>
      </left>
      <right style="medium">
        <color auto="1"/>
      </right>
      <top/>
      <bottom/>
      <diagonal/>
    </border>
    <border>
      <left style="dashDotDot">
        <color indexed="64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 style="medium">
        <color auto="1"/>
      </right>
      <top style="dashDot">
        <color auto="1"/>
      </top>
      <bottom/>
      <diagonal/>
    </border>
    <border>
      <left style="medium">
        <color auto="1"/>
      </left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 style="medium">
        <color auto="1"/>
      </right>
      <top/>
      <bottom style="dashDot">
        <color auto="1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1" fontId="3" fillId="0" borderId="10" xfId="0" applyNumberFormat="1" applyFont="1" applyBorder="1" applyAlignment="1">
      <alignment vertical="center"/>
    </xf>
    <xf numFmtId="1" fontId="3" fillId="0" borderId="9" xfId="0" applyNumberFormat="1" applyFont="1" applyBorder="1" applyAlignment="1">
      <alignment horizontal="left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5" fillId="3" borderId="2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readingOrder="2"/>
    </xf>
    <xf numFmtId="0" fontId="3" fillId="0" borderId="0" xfId="0" applyFont="1" applyBorder="1" applyAlignment="1">
      <alignment horizontal="right" vertical="center" readingOrder="2"/>
    </xf>
    <xf numFmtId="0" fontId="0" fillId="0" borderId="26" xfId="0" applyBorder="1" applyAlignment="1">
      <alignment readingOrder="2"/>
    </xf>
    <xf numFmtId="0" fontId="5" fillId="0" borderId="0" xfId="0" applyFont="1" applyBorder="1" applyAlignment="1">
      <alignment horizontal="right" vertical="center" readingOrder="2"/>
    </xf>
    <xf numFmtId="0" fontId="6" fillId="0" borderId="0" xfId="0" applyFont="1" applyBorder="1" applyAlignment="1">
      <alignment horizontal="right" vertical="center" readingOrder="2"/>
    </xf>
    <xf numFmtId="0" fontId="3" fillId="0" borderId="60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0" xfId="0" applyFont="1" applyBorder="1" applyAlignment="1">
      <alignment vertical="center" readingOrder="2"/>
    </xf>
    <xf numFmtId="0" fontId="0" fillId="0" borderId="26" xfId="0" applyBorder="1"/>
    <xf numFmtId="0" fontId="0" fillId="0" borderId="81" xfId="0" applyBorder="1" applyAlignment="1"/>
    <xf numFmtId="0" fontId="3" fillId="4" borderId="0" xfId="0" applyFont="1" applyFill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0" fillId="0" borderId="83" xfId="0" applyBorder="1"/>
    <xf numFmtId="0" fontId="0" fillId="0" borderId="84" xfId="0" applyBorder="1"/>
    <xf numFmtId="0" fontId="0" fillId="0" borderId="81" xfId="0" applyBorder="1"/>
    <xf numFmtId="0" fontId="0" fillId="0" borderId="81" xfId="0" applyBorder="1" applyAlignment="1">
      <alignment horizontal="center"/>
    </xf>
    <xf numFmtId="0" fontId="3" fillId="0" borderId="81" xfId="0" applyFont="1" applyBorder="1" applyAlignment="1">
      <alignment vertical="center" readingOrder="2"/>
    </xf>
    <xf numFmtId="0" fontId="19" fillId="0" borderId="81" xfId="0" applyFont="1" applyBorder="1"/>
    <xf numFmtId="0" fontId="5" fillId="0" borderId="85" xfId="0" applyFont="1" applyBorder="1" applyAlignment="1">
      <alignment vertical="center"/>
    </xf>
    <xf numFmtId="0" fontId="5" fillId="3" borderId="35" xfId="0" applyFont="1" applyFill="1" applyBorder="1" applyAlignment="1">
      <alignment horizontal="center" vertical="center" readingOrder="2"/>
    </xf>
    <xf numFmtId="0" fontId="5" fillId="3" borderId="48" xfId="0" applyFont="1" applyFill="1" applyBorder="1" applyAlignment="1">
      <alignment horizontal="center" vertical="center" readingOrder="2"/>
    </xf>
    <xf numFmtId="0" fontId="3" fillId="3" borderId="82" xfId="0" applyFont="1" applyFill="1" applyBorder="1" applyAlignment="1">
      <alignment vertical="center" readingOrder="2"/>
    </xf>
    <xf numFmtId="0" fontId="3" fillId="0" borderId="0" xfId="0" applyFont="1" applyBorder="1" applyAlignment="1">
      <alignment horizontal="center" vertical="center"/>
    </xf>
    <xf numFmtId="0" fontId="3" fillId="0" borderId="58" xfId="0" applyFont="1" applyBorder="1" applyAlignment="1">
      <alignment vertical="center"/>
    </xf>
    <xf numFmtId="0" fontId="18" fillId="0" borderId="58" xfId="0" applyFont="1" applyBorder="1" applyAlignment="1">
      <alignment vertical="center"/>
    </xf>
    <xf numFmtId="0" fontId="1" fillId="0" borderId="58" xfId="0" applyFont="1" applyBorder="1" applyAlignment="1">
      <alignment horizontal="center" vertical="top"/>
    </xf>
    <xf numFmtId="0" fontId="3" fillId="0" borderId="107" xfId="0" applyFont="1" applyBorder="1" applyAlignment="1">
      <alignment vertical="center"/>
    </xf>
    <xf numFmtId="0" fontId="5" fillId="0" borderId="81" xfId="0" applyFont="1" applyBorder="1" applyAlignment="1">
      <alignment vertical="center" readingOrder="2"/>
    </xf>
    <xf numFmtId="0" fontId="3" fillId="0" borderId="0" xfId="0" applyFont="1" applyBorder="1" applyAlignment="1">
      <alignment horizontal="center" vertical="top"/>
    </xf>
    <xf numFmtId="0" fontId="0" fillId="0" borderId="58" xfId="0" applyBorder="1"/>
    <xf numFmtId="0" fontId="4" fillId="0" borderId="1" xfId="0" applyFont="1" applyBorder="1" applyAlignment="1">
      <alignment horizontal="center" vertical="center" readingOrder="2"/>
    </xf>
    <xf numFmtId="0" fontId="0" fillId="0" borderId="109" xfId="0" applyBorder="1"/>
    <xf numFmtId="0" fontId="3" fillId="0" borderId="110" xfId="0" applyFont="1" applyBorder="1"/>
    <xf numFmtId="0" fontId="25" fillId="0" borderId="113" xfId="0" applyFont="1" applyBorder="1" applyAlignment="1">
      <alignment horizontal="center" vertical="center"/>
    </xf>
    <xf numFmtId="20" fontId="3" fillId="0" borderId="91" xfId="0" applyNumberFormat="1" applyFont="1" applyBorder="1" applyAlignment="1">
      <alignment horizontal="right" vertical="center"/>
    </xf>
    <xf numFmtId="0" fontId="3" fillId="0" borderId="64" xfId="0" applyFont="1" applyBorder="1" applyAlignment="1">
      <alignment horizontal="right" vertical="center"/>
    </xf>
    <xf numFmtId="0" fontId="3" fillId="0" borderId="65" xfId="0" applyFont="1" applyBorder="1" applyAlignment="1">
      <alignment horizontal="right" vertical="center"/>
    </xf>
    <xf numFmtId="20" fontId="3" fillId="0" borderId="92" xfId="0" applyNumberFormat="1" applyFont="1" applyBorder="1" applyAlignment="1">
      <alignment horizontal="right" vertical="center"/>
    </xf>
    <xf numFmtId="0" fontId="3" fillId="0" borderId="93" xfId="0" applyFont="1" applyBorder="1" applyAlignment="1">
      <alignment horizontal="right" vertical="center"/>
    </xf>
    <xf numFmtId="0" fontId="3" fillId="0" borderId="94" xfId="0" applyFont="1" applyBorder="1" applyAlignment="1">
      <alignment horizontal="right" vertical="center"/>
    </xf>
    <xf numFmtId="20" fontId="3" fillId="0" borderId="88" xfId="0" applyNumberFormat="1" applyFont="1" applyBorder="1" applyAlignment="1">
      <alignment horizontal="right" vertical="center"/>
    </xf>
    <xf numFmtId="0" fontId="3" fillId="0" borderId="89" xfId="0" applyFont="1" applyBorder="1" applyAlignment="1">
      <alignment horizontal="right" vertical="center"/>
    </xf>
    <xf numFmtId="0" fontId="3" fillId="0" borderId="90" xfId="0" applyFont="1" applyBorder="1" applyAlignment="1">
      <alignment horizontal="right" vertical="center"/>
    </xf>
    <xf numFmtId="20" fontId="3" fillId="0" borderId="64" xfId="0" applyNumberFormat="1" applyFont="1" applyBorder="1" applyAlignment="1">
      <alignment horizontal="right" vertical="center"/>
    </xf>
    <xf numFmtId="20" fontId="3" fillId="0" borderId="101" xfId="0" applyNumberFormat="1" applyFont="1" applyBorder="1" applyAlignment="1">
      <alignment horizontal="right" vertical="center"/>
    </xf>
    <xf numFmtId="20" fontId="3" fillId="0" borderId="96" xfId="0" applyNumberFormat="1" applyFont="1" applyBorder="1" applyAlignment="1">
      <alignment horizontal="right" vertical="center"/>
    </xf>
    <xf numFmtId="20" fontId="3" fillId="0" borderId="97" xfId="0" applyNumberFormat="1" applyFont="1" applyBorder="1" applyAlignment="1">
      <alignment horizontal="right" vertical="center"/>
    </xf>
    <xf numFmtId="0" fontId="8" fillId="2" borderId="2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3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 readingOrder="2"/>
    </xf>
    <xf numFmtId="0" fontId="5" fillId="3" borderId="46" xfId="0" applyFont="1" applyFill="1" applyBorder="1" applyAlignment="1">
      <alignment horizontal="center" vertical="center" readingOrder="2"/>
    </xf>
    <xf numFmtId="20" fontId="3" fillId="0" borderId="55" xfId="0" applyNumberFormat="1" applyFont="1" applyBorder="1" applyAlignment="1">
      <alignment horizontal="right" vertical="center"/>
    </xf>
    <xf numFmtId="0" fontId="3" fillId="0" borderId="55" xfId="0" applyFont="1" applyBorder="1" applyAlignment="1">
      <alignment horizontal="right" vertical="center"/>
    </xf>
    <xf numFmtId="0" fontId="3" fillId="0" borderId="54" xfId="0" applyFont="1" applyBorder="1" applyAlignment="1">
      <alignment horizontal="right" vertical="center"/>
    </xf>
    <xf numFmtId="20" fontId="2" fillId="0" borderId="61" xfId="0" applyNumberFormat="1" applyFont="1" applyBorder="1" applyAlignment="1">
      <alignment horizontal="right" vertical="center"/>
    </xf>
    <xf numFmtId="0" fontId="3" fillId="0" borderId="62" xfId="0" applyFont="1" applyBorder="1" applyAlignment="1">
      <alignment horizontal="right" vertical="center"/>
    </xf>
    <xf numFmtId="0" fontId="3" fillId="0" borderId="63" xfId="0" applyFont="1" applyBorder="1" applyAlignment="1">
      <alignment horizontal="right" vertical="center"/>
    </xf>
    <xf numFmtId="20" fontId="3" fillId="0" borderId="98" xfId="0" applyNumberFormat="1" applyFont="1" applyBorder="1" applyAlignment="1">
      <alignment horizontal="right" vertical="center"/>
    </xf>
    <xf numFmtId="20" fontId="3" fillId="0" borderId="0" xfId="0" applyNumberFormat="1" applyFont="1" applyBorder="1" applyAlignment="1">
      <alignment horizontal="right" vertical="center"/>
    </xf>
    <xf numFmtId="20" fontId="3" fillId="0" borderId="95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14" fontId="1" fillId="3" borderId="16" xfId="0" applyNumberFormat="1" applyFont="1" applyFill="1" applyBorder="1" applyAlignment="1">
      <alignment horizontal="right" vertical="center" wrapText="1" readingOrder="2"/>
    </xf>
    <xf numFmtId="14" fontId="1" fillId="3" borderId="17" xfId="0" applyNumberFormat="1" applyFont="1" applyFill="1" applyBorder="1" applyAlignment="1">
      <alignment horizontal="right" vertical="center" wrapText="1" readingOrder="2"/>
    </xf>
    <xf numFmtId="14" fontId="1" fillId="3" borderId="19" xfId="0" applyNumberFormat="1" applyFont="1" applyFill="1" applyBorder="1" applyAlignment="1">
      <alignment horizontal="right" vertical="center" wrapText="1" readingOrder="2"/>
    </xf>
    <xf numFmtId="14" fontId="1" fillId="3" borderId="99" xfId="0" applyNumberFormat="1" applyFont="1" applyFill="1" applyBorder="1" applyAlignment="1">
      <alignment horizontal="right" vertical="center" wrapText="1" readingOrder="2"/>
    </xf>
    <xf numFmtId="14" fontId="1" fillId="3" borderId="26" xfId="0" applyNumberFormat="1" applyFont="1" applyFill="1" applyBorder="1" applyAlignment="1">
      <alignment horizontal="right" vertical="center" wrapText="1" readingOrder="2"/>
    </xf>
    <xf numFmtId="14" fontId="1" fillId="3" borderId="100" xfId="0" applyNumberFormat="1" applyFont="1" applyFill="1" applyBorder="1" applyAlignment="1">
      <alignment horizontal="right" vertical="center" wrapText="1" readingOrder="2"/>
    </xf>
    <xf numFmtId="20" fontId="5" fillId="0" borderId="76" xfId="0" applyNumberFormat="1" applyFont="1" applyBorder="1" applyAlignment="1">
      <alignment horizontal="right" vertical="center"/>
    </xf>
    <xf numFmtId="0" fontId="5" fillId="0" borderId="77" xfId="0" applyFont="1" applyBorder="1" applyAlignment="1">
      <alignment horizontal="right" vertical="center"/>
    </xf>
    <xf numFmtId="0" fontId="5" fillId="0" borderId="78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 readingOrder="2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0" borderId="9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readingOrder="2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readingOrder="2"/>
    </xf>
    <xf numFmtId="0" fontId="18" fillId="0" borderId="29" xfId="0" applyFont="1" applyBorder="1" applyAlignment="1">
      <alignment horizontal="center" vertical="center" readingOrder="2"/>
    </xf>
    <xf numFmtId="0" fontId="4" fillId="3" borderId="13" xfId="0" applyFont="1" applyFill="1" applyBorder="1" applyAlignment="1">
      <alignment horizontal="center" vertical="center" readingOrder="2"/>
    </xf>
    <xf numFmtId="0" fontId="4" fillId="3" borderId="14" xfId="0" applyFont="1" applyFill="1" applyBorder="1" applyAlignment="1">
      <alignment horizontal="center" vertical="center" readingOrder="2"/>
    </xf>
    <xf numFmtId="0" fontId="4" fillId="3" borderId="33" xfId="0" applyFont="1" applyFill="1" applyBorder="1" applyAlignment="1">
      <alignment horizontal="center" vertical="center" readingOrder="2"/>
    </xf>
    <xf numFmtId="0" fontId="4" fillId="3" borderId="29" xfId="0" applyFont="1" applyFill="1" applyBorder="1" applyAlignment="1">
      <alignment horizontal="center" vertical="center" readingOrder="2"/>
    </xf>
    <xf numFmtId="0" fontId="4" fillId="3" borderId="34" xfId="0" applyFont="1" applyFill="1" applyBorder="1" applyAlignment="1">
      <alignment horizontal="center" vertical="center" readingOrder="2"/>
    </xf>
    <xf numFmtId="0" fontId="4" fillId="3" borderId="35" xfId="0" applyFont="1" applyFill="1" applyBorder="1" applyAlignment="1">
      <alignment horizontal="center" vertical="center" readingOrder="2"/>
    </xf>
    <xf numFmtId="0" fontId="4" fillId="3" borderId="38" xfId="0" applyFont="1" applyFill="1" applyBorder="1" applyAlignment="1">
      <alignment horizontal="center" vertical="center" readingOrder="2"/>
    </xf>
    <xf numFmtId="0" fontId="4" fillId="3" borderId="37" xfId="0" applyFont="1" applyFill="1" applyBorder="1" applyAlignment="1">
      <alignment horizontal="center" vertical="center" readingOrder="2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6" fontId="18" fillId="0" borderId="3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66" fontId="18" fillId="0" borderId="7" xfId="0" applyNumberFormat="1" applyFont="1" applyBorder="1" applyAlignment="1">
      <alignment horizontal="center" vertical="center"/>
    </xf>
    <xf numFmtId="166" fontId="18" fillId="0" borderId="8" xfId="0" applyNumberFormat="1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readingOrder="2"/>
    </xf>
    <xf numFmtId="0" fontId="18" fillId="0" borderId="37" xfId="0" applyFont="1" applyBorder="1" applyAlignment="1">
      <alignment horizontal="center" vertical="center" readingOrder="2"/>
    </xf>
    <xf numFmtId="165" fontId="1" fillId="0" borderId="2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7" fontId="1" fillId="0" borderId="22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41" fontId="18" fillId="0" borderId="6" xfId="0" applyNumberFormat="1" applyFont="1" applyBorder="1" applyAlignment="1">
      <alignment horizontal="center" vertical="center"/>
    </xf>
    <xf numFmtId="41" fontId="18" fillId="0" borderId="7" xfId="0" applyNumberFormat="1" applyFont="1" applyBorder="1" applyAlignment="1">
      <alignment horizontal="center" vertical="center"/>
    </xf>
    <xf numFmtId="41" fontId="18" fillId="0" borderId="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1" fillId="3" borderId="2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right" vertical="center"/>
    </xf>
    <xf numFmtId="0" fontId="15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 shrinkToFit="1" readingOrder="2"/>
    </xf>
    <xf numFmtId="0" fontId="2" fillId="3" borderId="13" xfId="0" applyFont="1" applyFill="1" applyBorder="1" applyAlignment="1">
      <alignment horizontal="center" vertical="center" shrinkToFit="1" readingOrder="2"/>
    </xf>
    <xf numFmtId="0" fontId="6" fillId="3" borderId="71" xfId="0" applyFont="1" applyFill="1" applyBorder="1" applyAlignment="1">
      <alignment horizontal="right" vertical="center" readingOrder="2"/>
    </xf>
    <xf numFmtId="0" fontId="6" fillId="3" borderId="72" xfId="0" applyFont="1" applyFill="1" applyBorder="1" applyAlignment="1">
      <alignment horizontal="right" vertical="center" readingOrder="2"/>
    </xf>
    <xf numFmtId="0" fontId="6" fillId="3" borderId="73" xfId="0" applyFont="1" applyFill="1" applyBorder="1" applyAlignment="1">
      <alignment horizontal="right" vertical="center" readingOrder="2"/>
    </xf>
    <xf numFmtId="0" fontId="6" fillId="3" borderId="66" xfId="0" applyFont="1" applyFill="1" applyBorder="1" applyAlignment="1">
      <alignment horizontal="center" vertical="center" readingOrder="2"/>
    </xf>
    <xf numFmtId="0" fontId="6" fillId="3" borderId="43" xfId="0" applyFont="1" applyFill="1" applyBorder="1" applyAlignment="1">
      <alignment horizontal="center" vertical="center" readingOrder="2"/>
    </xf>
    <xf numFmtId="0" fontId="6" fillId="3" borderId="67" xfId="0" applyFont="1" applyFill="1" applyBorder="1" applyAlignment="1">
      <alignment horizontal="center" vertical="center" readingOrder="2"/>
    </xf>
    <xf numFmtId="0" fontId="6" fillId="3" borderId="68" xfId="0" applyFont="1" applyFill="1" applyBorder="1" applyAlignment="1">
      <alignment horizontal="center" vertical="center" readingOrder="2"/>
    </xf>
    <xf numFmtId="0" fontId="6" fillId="3" borderId="69" xfId="0" applyFont="1" applyFill="1" applyBorder="1" applyAlignment="1">
      <alignment horizontal="center" vertical="center" readingOrder="2"/>
    </xf>
    <xf numFmtId="0" fontId="6" fillId="3" borderId="70" xfId="0" applyFont="1" applyFill="1" applyBorder="1" applyAlignment="1">
      <alignment horizontal="center" vertical="center" readingOrder="2"/>
    </xf>
    <xf numFmtId="0" fontId="2" fillId="3" borderId="28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18" fillId="0" borderId="39" xfId="0" applyFont="1" applyBorder="1" applyAlignment="1">
      <alignment horizontal="center" vertical="center" readingOrder="2"/>
    </xf>
    <xf numFmtId="0" fontId="3" fillId="0" borderId="86" xfId="0" applyFont="1" applyBorder="1" applyAlignment="1">
      <alignment horizontal="right" vertical="center"/>
    </xf>
    <xf numFmtId="0" fontId="3" fillId="0" borderId="87" xfId="0" applyFont="1" applyBorder="1" applyAlignment="1">
      <alignment horizontal="right" vertical="center"/>
    </xf>
    <xf numFmtId="0" fontId="6" fillId="3" borderId="47" xfId="0" applyFont="1" applyFill="1" applyBorder="1" applyAlignment="1">
      <alignment horizontal="right" vertical="center" readingOrder="2"/>
    </xf>
    <xf numFmtId="0" fontId="6" fillId="3" borderId="79" xfId="0" applyFont="1" applyFill="1" applyBorder="1" applyAlignment="1">
      <alignment horizontal="right" vertical="center" readingOrder="2"/>
    </xf>
    <xf numFmtId="0" fontId="6" fillId="3" borderId="48" xfId="0" applyFont="1" applyFill="1" applyBorder="1" applyAlignment="1">
      <alignment horizontal="right" vertical="center" readingOrder="2"/>
    </xf>
    <xf numFmtId="0" fontId="6" fillId="3" borderId="47" xfId="0" applyFont="1" applyFill="1" applyBorder="1" applyAlignment="1">
      <alignment horizontal="center" vertical="center" shrinkToFit="1" readingOrder="2"/>
    </xf>
    <xf numFmtId="0" fontId="6" fillId="3" borderId="79" xfId="0" applyFont="1" applyFill="1" applyBorder="1" applyAlignment="1">
      <alignment horizontal="center" vertical="center" shrinkToFit="1" readingOrder="2"/>
    </xf>
    <xf numFmtId="0" fontId="6" fillId="3" borderId="48" xfId="0" applyFont="1" applyFill="1" applyBorder="1" applyAlignment="1">
      <alignment horizontal="center" vertical="center" shrinkToFit="1" readingOrder="2"/>
    </xf>
    <xf numFmtId="20" fontId="21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81" xfId="0" applyFont="1" applyBorder="1" applyAlignment="1">
      <alignment horizontal="right" vertical="center"/>
    </xf>
    <xf numFmtId="20" fontId="3" fillId="0" borderId="81" xfId="0" applyNumberFormat="1" applyFont="1" applyBorder="1" applyAlignment="1">
      <alignment horizontal="right" vertical="center"/>
    </xf>
    <xf numFmtId="20" fontId="3" fillId="0" borderId="105" xfId="0" applyNumberFormat="1" applyFont="1" applyBorder="1" applyAlignment="1">
      <alignment horizontal="right" vertical="center"/>
    </xf>
    <xf numFmtId="0" fontId="3" fillId="0" borderId="106" xfId="0" applyFont="1" applyBorder="1" applyAlignment="1">
      <alignment horizontal="right" vertical="center"/>
    </xf>
    <xf numFmtId="0" fontId="3" fillId="0" borderId="108" xfId="0" applyFont="1" applyBorder="1" applyAlignment="1">
      <alignment horizontal="right" vertical="center"/>
    </xf>
    <xf numFmtId="0" fontId="4" fillId="0" borderId="40" xfId="0" applyFont="1" applyBorder="1" applyAlignment="1">
      <alignment horizontal="center" vertical="center" readingOrder="2"/>
    </xf>
    <xf numFmtId="0" fontId="4" fillId="0" borderId="36" xfId="0" applyFont="1" applyBorder="1" applyAlignment="1">
      <alignment horizontal="center" vertical="center" readingOrder="2"/>
    </xf>
    <xf numFmtId="0" fontId="10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81" xfId="0" applyFont="1" applyBorder="1" applyAlignment="1">
      <alignment horizontal="right"/>
    </xf>
    <xf numFmtId="0" fontId="23" fillId="2" borderId="0" xfId="0" applyFont="1" applyFill="1" applyBorder="1" applyAlignment="1">
      <alignment horizontal="right" vertical="center"/>
    </xf>
    <xf numFmtId="0" fontId="4" fillId="0" borderId="28" xfId="0" applyFont="1" applyBorder="1" applyAlignment="1">
      <alignment horizontal="center" vertical="center" readingOrder="2"/>
    </xf>
    <xf numFmtId="0" fontId="4" fillId="0" borderId="27" xfId="0" applyFont="1" applyBorder="1" applyAlignment="1">
      <alignment horizontal="center" vertical="center" readingOrder="2"/>
    </xf>
    <xf numFmtId="20" fontId="3" fillId="0" borderId="61" xfId="0" applyNumberFormat="1" applyFont="1" applyBorder="1" applyAlignment="1">
      <alignment horizontal="right" vertical="center"/>
    </xf>
    <xf numFmtId="20" fontId="3" fillId="0" borderId="104" xfId="0" applyNumberFormat="1" applyFont="1" applyBorder="1" applyAlignment="1">
      <alignment horizontal="right" vertical="center"/>
    </xf>
    <xf numFmtId="20" fontId="3" fillId="0" borderId="102" xfId="0" applyNumberFormat="1" applyFont="1" applyBorder="1" applyAlignment="1">
      <alignment horizontal="right" vertical="center"/>
    </xf>
    <xf numFmtId="20" fontId="3" fillId="0" borderId="103" xfId="0" applyNumberFormat="1" applyFont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 readingOrder="2"/>
    </xf>
    <xf numFmtId="0" fontId="4" fillId="0" borderId="14" xfId="0" applyFont="1" applyBorder="1" applyAlignment="1">
      <alignment horizontal="center" vertical="center" readingOrder="2"/>
    </xf>
    <xf numFmtId="0" fontId="4" fillId="0" borderId="37" xfId="0" applyFont="1" applyBorder="1" applyAlignment="1">
      <alignment horizontal="center" vertical="center" readingOrder="2"/>
    </xf>
    <xf numFmtId="0" fontId="20" fillId="0" borderId="0" xfId="0" applyFont="1" applyBorder="1" applyAlignment="1">
      <alignment horizontal="center" readingOrder="2"/>
    </xf>
    <xf numFmtId="0" fontId="5" fillId="0" borderId="81" xfId="0" applyFont="1" applyBorder="1" applyAlignment="1">
      <alignment horizontal="center" readingOrder="2"/>
    </xf>
    <xf numFmtId="20" fontId="3" fillId="0" borderId="52" xfId="0" applyNumberFormat="1" applyFont="1" applyBorder="1" applyAlignment="1">
      <alignment horizontal="right" vertical="center"/>
    </xf>
    <xf numFmtId="0" fontId="3" fillId="0" borderId="52" xfId="0" applyFont="1" applyBorder="1" applyAlignment="1">
      <alignment horizontal="right" vertical="center"/>
    </xf>
    <xf numFmtId="0" fontId="3" fillId="0" borderId="53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0" borderId="114" xfId="0" applyFont="1" applyBorder="1" applyAlignment="1">
      <alignment horizontal="right" vertical="center"/>
    </xf>
    <xf numFmtId="0" fontId="6" fillId="0" borderId="115" xfId="0" applyFont="1" applyBorder="1" applyAlignment="1">
      <alignment horizontal="right" vertical="center"/>
    </xf>
    <xf numFmtId="0" fontId="6" fillId="0" borderId="111" xfId="0" applyFont="1" applyBorder="1" applyAlignment="1">
      <alignment horizontal="right" vertical="center"/>
    </xf>
    <xf numFmtId="0" fontId="6" fillId="0" borderId="112" xfId="0" applyFont="1" applyBorder="1" applyAlignment="1">
      <alignment horizontal="right" vertical="center"/>
    </xf>
    <xf numFmtId="20" fontId="5" fillId="0" borderId="80" xfId="0" applyNumberFormat="1" applyFont="1" applyBorder="1" applyAlignment="1">
      <alignment horizontal="right" vertical="center"/>
    </xf>
    <xf numFmtId="0" fontId="5" fillId="0" borderId="74" xfId="0" applyFont="1" applyBorder="1" applyAlignment="1">
      <alignment horizontal="right" vertical="center"/>
    </xf>
    <xf numFmtId="0" fontId="5" fillId="0" borderId="75" xfId="0" applyFont="1" applyBorder="1" applyAlignment="1">
      <alignment horizontal="right" vertical="center"/>
    </xf>
    <xf numFmtId="20" fontId="3" fillId="0" borderId="56" xfId="0" applyNumberFormat="1" applyFont="1" applyBorder="1" applyAlignment="1">
      <alignment horizontal="right" vertical="center"/>
    </xf>
    <xf numFmtId="20" fontId="3" fillId="0" borderId="44" xfId="0" applyNumberFormat="1" applyFont="1" applyBorder="1" applyAlignment="1">
      <alignment horizontal="right" vertical="center"/>
    </xf>
    <xf numFmtId="20" fontId="3" fillId="0" borderId="57" xfId="0" applyNumberFormat="1" applyFont="1" applyBorder="1" applyAlignment="1">
      <alignment horizontal="right" vertical="center"/>
    </xf>
    <xf numFmtId="0" fontId="3" fillId="0" borderId="49" xfId="0" applyFont="1" applyBorder="1" applyAlignment="1">
      <alignment horizontal="right" vertical="center"/>
    </xf>
    <xf numFmtId="0" fontId="3" fillId="0" borderId="50" xfId="0" applyFont="1" applyBorder="1" applyAlignment="1">
      <alignment horizontal="right" vertical="center"/>
    </xf>
    <xf numFmtId="0" fontId="3" fillId="0" borderId="5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3" fillId="0" borderId="4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0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8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137584</xdr:colOff>
      <xdr:row>14</xdr:row>
      <xdr:rowOff>328082</xdr:rowOff>
    </xdr:from>
    <xdr:to>
      <xdr:col>4</xdr:col>
      <xdr:colOff>243422</xdr:colOff>
      <xdr:row>16</xdr:row>
      <xdr:rowOff>201083</xdr:rowOff>
    </xdr:to>
    <xdr:sp macro="" textlink="">
      <xdr:nvSpPr>
        <xdr:cNvPr id="3" name="سهم لأعلى 2"/>
        <xdr:cNvSpPr/>
      </xdr:nvSpPr>
      <xdr:spPr>
        <a:xfrm>
          <a:off x="11442202578" y="2539999"/>
          <a:ext cx="571504" cy="423334"/>
        </a:xfrm>
        <a:prstGeom prst="upArrow">
          <a:avLst>
            <a:gd name="adj1" fmla="val 50000"/>
            <a:gd name="adj2" fmla="val 71162"/>
          </a:avLst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ورقة1"/>
  <dimension ref="A1:AM54"/>
  <sheetViews>
    <sheetView showGridLines="0" rightToLeft="1" tabSelected="1" showWhiteSpace="0" view="pageLayout" zoomScale="90" zoomScaleNormal="100" zoomScaleSheetLayoutView="50" zoomScalePageLayoutView="90" workbookViewId="0">
      <pane xSplit="25395" topLeftCell="AB1"/>
      <selection activeCell="J29" sqref="J29:O29"/>
      <selection pane="topRight" activeCell="AB50" sqref="AB50"/>
    </sheetView>
  </sheetViews>
  <sheetFormatPr defaultRowHeight="14.25" x14ac:dyDescent="0.2"/>
  <cols>
    <col min="1" max="1" width="7.75" customWidth="1"/>
    <col min="3" max="3" width="7.25" customWidth="1"/>
    <col min="4" max="4" width="6" customWidth="1"/>
    <col min="5" max="5" width="6.125" customWidth="1"/>
    <col min="6" max="6" width="6.375" customWidth="1"/>
    <col min="7" max="7" width="7.25" customWidth="1"/>
    <col min="8" max="8" width="6.5" customWidth="1"/>
    <col min="9" max="9" width="2.625" customWidth="1"/>
    <col min="10" max="10" width="11" bestFit="1" customWidth="1"/>
    <col min="11" max="11" width="8.5" customWidth="1"/>
    <col min="12" max="12" width="10.5" customWidth="1"/>
    <col min="13" max="13" width="9.375" customWidth="1"/>
    <col min="14" max="14" width="10.625" customWidth="1"/>
    <col min="15" max="15" width="26" style="23" customWidth="1"/>
    <col min="16" max="16" width="8.5" customWidth="1"/>
    <col min="19" max="19" width="16.5" customWidth="1"/>
  </cols>
  <sheetData>
    <row r="1" spans="1:24" ht="11.25" customHeight="1" thickTop="1" x14ac:dyDescent="0.2">
      <c r="A1" s="136" t="s">
        <v>74</v>
      </c>
      <c r="B1" s="137"/>
      <c r="C1" s="137"/>
      <c r="D1" s="137"/>
      <c r="E1" s="137"/>
      <c r="F1" s="137"/>
      <c r="G1" s="137"/>
      <c r="H1" s="138"/>
      <c r="I1" s="7"/>
      <c r="J1" s="191" t="s">
        <v>21</v>
      </c>
      <c r="K1" s="191"/>
      <c r="L1" s="191"/>
      <c r="M1" s="191"/>
      <c r="N1" s="7"/>
      <c r="O1" s="24"/>
      <c r="R1" s="197" t="s">
        <v>57</v>
      </c>
      <c r="S1" s="198"/>
      <c r="T1" s="198"/>
      <c r="U1" s="199"/>
    </row>
    <row r="2" spans="1:24" ht="11.25" customHeight="1" x14ac:dyDescent="0.2">
      <c r="A2" s="139"/>
      <c r="B2" s="140"/>
      <c r="C2" s="140"/>
      <c r="D2" s="140"/>
      <c r="E2" s="140"/>
      <c r="F2" s="140"/>
      <c r="G2" s="140"/>
      <c r="H2" s="141"/>
      <c r="I2" s="1"/>
      <c r="J2" s="192"/>
      <c r="K2" s="192"/>
      <c r="L2" s="192"/>
      <c r="M2" s="192"/>
      <c r="N2" s="1"/>
      <c r="O2" s="25"/>
      <c r="R2" s="200" t="s">
        <v>58</v>
      </c>
      <c r="S2" s="201"/>
      <c r="T2" s="201"/>
      <c r="U2" s="202"/>
    </row>
    <row r="3" spans="1:24" ht="11.25" customHeight="1" thickBot="1" x14ac:dyDescent="0.25">
      <c r="A3" s="142"/>
      <c r="B3" s="143"/>
      <c r="C3" s="143"/>
      <c r="D3" s="143"/>
      <c r="E3" s="143"/>
      <c r="F3" s="143"/>
      <c r="G3" s="143"/>
      <c r="H3" s="144"/>
      <c r="I3" s="1"/>
      <c r="J3" s="192"/>
      <c r="K3" s="192"/>
      <c r="L3" s="192"/>
      <c r="M3" s="192"/>
      <c r="N3" s="1"/>
      <c r="O3" s="25"/>
      <c r="R3" s="203" t="s">
        <v>59</v>
      </c>
      <c r="S3" s="204"/>
      <c r="T3" s="204"/>
      <c r="U3" s="205"/>
    </row>
    <row r="4" spans="1:24" ht="8.25" customHeight="1" thickTop="1" thickBot="1" x14ac:dyDescent="0.25">
      <c r="A4" s="8"/>
      <c r="B4" s="1"/>
      <c r="C4" s="1"/>
      <c r="D4" s="1"/>
      <c r="E4" s="1"/>
      <c r="F4" s="1"/>
      <c r="G4" s="1"/>
      <c r="H4" s="1"/>
      <c r="I4" s="1"/>
      <c r="J4" s="192"/>
      <c r="K4" s="192"/>
      <c r="L4" s="192"/>
      <c r="M4" s="192"/>
      <c r="N4" s="1"/>
      <c r="O4" s="25"/>
    </row>
    <row r="5" spans="1:24" ht="22.5" customHeight="1" thickBot="1" x14ac:dyDescent="0.25">
      <c r="A5" s="159" t="s">
        <v>0</v>
      </c>
      <c r="B5" s="147" t="s">
        <v>82</v>
      </c>
      <c r="C5" s="165">
        <v>46313</v>
      </c>
      <c r="D5" s="165"/>
      <c r="E5" s="165"/>
      <c r="F5" s="166"/>
      <c r="G5" s="161">
        <v>0.25</v>
      </c>
      <c r="H5" s="163" t="s">
        <v>1</v>
      </c>
      <c r="I5" s="1"/>
      <c r="J5" s="1"/>
      <c r="K5" s="1"/>
      <c r="L5" s="1"/>
      <c r="M5" s="1"/>
      <c r="N5" s="1"/>
      <c r="O5" s="25"/>
      <c r="Q5" s="55" t="s">
        <v>71</v>
      </c>
      <c r="R5" s="56"/>
      <c r="S5" s="56"/>
      <c r="T5" s="56"/>
      <c r="U5" s="56"/>
      <c r="V5" s="57"/>
    </row>
    <row r="6" spans="1:24" ht="10.5" customHeight="1" x14ac:dyDescent="0.2">
      <c r="A6" s="160"/>
      <c r="B6" s="148"/>
      <c r="C6" s="167"/>
      <c r="D6" s="167"/>
      <c r="E6" s="167"/>
      <c r="F6" s="168"/>
      <c r="G6" s="162"/>
      <c r="H6" s="164"/>
      <c r="I6" s="1"/>
      <c r="J6" s="145" t="s">
        <v>48</v>
      </c>
      <c r="K6" s="1"/>
      <c r="L6" s="2"/>
      <c r="M6" s="2"/>
      <c r="N6" s="1"/>
      <c r="O6" s="25"/>
      <c r="Q6" s="91" t="s">
        <v>72</v>
      </c>
      <c r="R6" s="92"/>
      <c r="S6" s="92"/>
      <c r="T6" s="92"/>
      <c r="U6" s="92"/>
      <c r="V6" s="93"/>
    </row>
    <row r="7" spans="1:24" ht="9" customHeight="1" thickBot="1" x14ac:dyDescent="0.25">
      <c r="A7" s="8"/>
      <c r="B7" s="1"/>
      <c r="C7" s="1"/>
      <c r="D7" s="1"/>
      <c r="E7" s="1"/>
      <c r="F7" s="1"/>
      <c r="G7" s="1"/>
      <c r="H7" s="1"/>
      <c r="I7" s="1"/>
      <c r="J7" s="146"/>
      <c r="K7" s="1"/>
      <c r="L7" s="2"/>
      <c r="M7" s="2"/>
      <c r="N7" s="1"/>
      <c r="O7" s="25"/>
    </row>
    <row r="8" spans="1:24" ht="13.5" customHeight="1" x14ac:dyDescent="0.2">
      <c r="A8" s="58" t="s">
        <v>73</v>
      </c>
      <c r="B8" s="59"/>
      <c r="C8" s="59"/>
      <c r="D8" s="59"/>
      <c r="E8" s="59"/>
      <c r="F8" s="59"/>
      <c r="G8" s="1"/>
      <c r="H8" s="1"/>
      <c r="I8" s="1"/>
      <c r="J8" s="195" t="s">
        <v>22</v>
      </c>
      <c r="K8" s="193" t="s">
        <v>23</v>
      </c>
      <c r="L8" s="193" t="s">
        <v>27</v>
      </c>
      <c r="M8" s="193" t="s">
        <v>24</v>
      </c>
      <c r="N8" s="206" t="s">
        <v>28</v>
      </c>
      <c r="O8" s="26"/>
      <c r="R8" s="54" t="s">
        <v>49</v>
      </c>
      <c r="S8" s="46"/>
      <c r="T8" s="46"/>
      <c r="U8" s="46"/>
      <c r="V8" s="46"/>
      <c r="W8" s="47"/>
    </row>
    <row r="9" spans="1:24" ht="15.75" customHeight="1" thickBot="1" x14ac:dyDescent="0.25">
      <c r="A9" s="58"/>
      <c r="B9" s="59"/>
      <c r="C9" s="59"/>
      <c r="D9" s="59"/>
      <c r="E9" s="59"/>
      <c r="F9" s="59"/>
      <c r="G9" s="1"/>
      <c r="H9" s="1"/>
      <c r="I9" s="1"/>
      <c r="J9" s="196"/>
      <c r="K9" s="194"/>
      <c r="L9" s="194"/>
      <c r="M9" s="194"/>
      <c r="N9" s="207"/>
      <c r="O9" s="20"/>
      <c r="R9" s="85" t="s">
        <v>50</v>
      </c>
      <c r="S9" s="86"/>
      <c r="T9" s="86"/>
      <c r="U9" s="86"/>
      <c r="V9" s="86"/>
      <c r="W9" s="87"/>
    </row>
    <row r="10" spans="1:24" ht="7.5" hidden="1" customHeight="1" x14ac:dyDescent="0.2">
      <c r="A10" s="8"/>
      <c r="B10" s="1"/>
      <c r="C10" s="1"/>
      <c r="D10" s="1"/>
      <c r="E10" s="1"/>
      <c r="F10" s="1"/>
      <c r="G10" s="1"/>
      <c r="H10" s="1"/>
      <c r="I10" s="1"/>
      <c r="J10" s="68">
        <f>K10+M10</f>
        <v>128</v>
      </c>
      <c r="K10" s="70">
        <v>93</v>
      </c>
      <c r="L10" s="70">
        <v>617</v>
      </c>
      <c r="M10" s="70">
        <v>35</v>
      </c>
      <c r="N10" s="66">
        <v>273</v>
      </c>
      <c r="O10" s="20"/>
    </row>
    <row r="11" spans="1:24" ht="18.75" customHeight="1" thickBot="1" x14ac:dyDescent="0.25">
      <c r="A11" s="72" t="s">
        <v>76</v>
      </c>
      <c r="B11" s="73"/>
      <c r="C11" s="73"/>
      <c r="D11" s="1"/>
      <c r="E11" s="1"/>
      <c r="F11" s="1"/>
      <c r="G11" s="1"/>
      <c r="H11" s="1"/>
      <c r="I11" s="1"/>
      <c r="J11" s="69"/>
      <c r="K11" s="71"/>
      <c r="L11" s="71"/>
      <c r="M11" s="71"/>
      <c r="N11" s="67"/>
      <c r="O11" s="20"/>
    </row>
    <row r="12" spans="1:24" ht="6" customHeight="1" x14ac:dyDescent="0.2">
      <c r="A12" s="72"/>
      <c r="B12" s="73"/>
      <c r="C12" s="73"/>
      <c r="D12" s="1"/>
      <c r="I12" s="1"/>
      <c r="J12" s="1"/>
      <c r="K12" s="1"/>
      <c r="L12" s="1"/>
      <c r="M12" s="1"/>
      <c r="N12" s="1"/>
      <c r="O12" s="25"/>
    </row>
    <row r="13" spans="1:24" ht="6" customHeight="1" x14ac:dyDescent="0.2">
      <c r="A13" s="9"/>
      <c r="B13" s="10"/>
      <c r="C13" s="1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5"/>
      <c r="S13" s="85" t="s">
        <v>66</v>
      </c>
      <c r="T13" s="86"/>
      <c r="U13" s="86"/>
      <c r="V13" s="86"/>
      <c r="W13" s="86"/>
      <c r="X13" s="210"/>
    </row>
    <row r="14" spans="1:24" ht="28.5" customHeight="1" thickBot="1" x14ac:dyDescent="0.25">
      <c r="A14" s="74" t="s">
        <v>54</v>
      </c>
      <c r="B14" s="75"/>
      <c r="C14" s="75"/>
      <c r="D14" s="76"/>
      <c r="E14" s="171" t="s">
        <v>45</v>
      </c>
      <c r="F14" s="172"/>
      <c r="G14" s="172"/>
      <c r="H14" s="173"/>
      <c r="I14" s="1"/>
      <c r="J14" s="229" t="s">
        <v>75</v>
      </c>
      <c r="K14" s="229"/>
      <c r="L14" s="229"/>
      <c r="M14" s="1"/>
      <c r="N14" s="1"/>
      <c r="O14" s="25"/>
    </row>
    <row r="15" spans="1:24" ht="25.5" customHeight="1" thickBot="1" x14ac:dyDescent="0.25">
      <c r="A15" s="174">
        <v>92.652000000000001</v>
      </c>
      <c r="B15" s="175"/>
      <c r="C15" s="175"/>
      <c r="D15" s="176"/>
      <c r="E15" s="177">
        <v>587262</v>
      </c>
      <c r="F15" s="178"/>
      <c r="G15" s="178"/>
      <c r="H15" s="179"/>
      <c r="I15" s="1"/>
      <c r="J15" s="83" t="s">
        <v>29</v>
      </c>
      <c r="K15" s="84"/>
      <c r="L15" s="30" t="s">
        <v>30</v>
      </c>
      <c r="M15" s="31" t="s">
        <v>31</v>
      </c>
      <c r="N15" s="32" t="s">
        <v>36</v>
      </c>
      <c r="O15" s="27"/>
      <c r="R15" s="88" t="s">
        <v>44</v>
      </c>
      <c r="S15" s="89"/>
      <c r="T15" s="89"/>
      <c r="U15" s="89"/>
      <c r="V15" s="89"/>
      <c r="W15" s="90"/>
    </row>
    <row r="16" spans="1:24" ht="17.25" customHeight="1" thickBot="1" x14ac:dyDescent="0.25">
      <c r="A16" s="159" t="s">
        <v>2</v>
      </c>
      <c r="B16" s="180"/>
      <c r="C16" s="163"/>
      <c r="D16" s="244"/>
      <c r="E16" s="245"/>
      <c r="F16" s="185" t="s">
        <v>80</v>
      </c>
      <c r="G16" s="186"/>
      <c r="H16" s="187"/>
      <c r="I16" s="1"/>
      <c r="J16" s="155" t="s">
        <v>33</v>
      </c>
      <c r="K16" s="156"/>
      <c r="L16" s="169">
        <v>485</v>
      </c>
      <c r="M16" s="169">
        <v>480</v>
      </c>
      <c r="N16" s="225" t="s">
        <v>35</v>
      </c>
      <c r="O16" s="25"/>
      <c r="P16" t="s">
        <v>47</v>
      </c>
    </row>
    <row r="17" spans="1:39" ht="17.25" customHeight="1" thickBot="1" x14ac:dyDescent="0.25">
      <c r="A17" s="63" t="s">
        <v>37</v>
      </c>
      <c r="B17" s="64"/>
      <c r="C17" s="65"/>
      <c r="D17" s="246"/>
      <c r="E17" s="247"/>
      <c r="F17" s="188"/>
      <c r="G17" s="189"/>
      <c r="H17" s="190"/>
      <c r="I17" s="1"/>
      <c r="J17" s="157"/>
      <c r="K17" s="158"/>
      <c r="L17" s="170"/>
      <c r="M17" s="170"/>
      <c r="N17" s="230"/>
      <c r="O17" s="25"/>
      <c r="S17" s="54" t="s">
        <v>67</v>
      </c>
      <c r="T17" s="46"/>
      <c r="U17" s="46"/>
      <c r="V17" s="46"/>
      <c r="W17" s="46"/>
      <c r="X17" s="47"/>
      <c r="Y17" s="51"/>
      <c r="Z17" s="52"/>
      <c r="AA17" s="52"/>
      <c r="AB17" s="52"/>
      <c r="AC17" s="52"/>
      <c r="AD17" s="53"/>
    </row>
    <row r="18" spans="1:39" ht="17.100000000000001" customHeight="1" thickBot="1" x14ac:dyDescent="0.25">
      <c r="A18" s="181" t="s">
        <v>61</v>
      </c>
      <c r="B18" s="182"/>
      <c r="C18" s="182"/>
      <c r="D18" s="182"/>
      <c r="E18" s="6"/>
      <c r="F18" s="1"/>
      <c r="G18" s="1"/>
      <c r="H18" s="1"/>
      <c r="I18" s="1"/>
      <c r="J18" s="151" t="s">
        <v>32</v>
      </c>
      <c r="K18" s="152"/>
      <c r="L18" s="149">
        <v>474</v>
      </c>
      <c r="M18" s="149">
        <v>470</v>
      </c>
      <c r="N18" s="231" t="s">
        <v>35</v>
      </c>
      <c r="O18" s="25"/>
      <c r="Q18" s="232" t="s">
        <v>46</v>
      </c>
      <c r="R18" s="89"/>
      <c r="S18" s="89"/>
      <c r="T18" s="89"/>
      <c r="U18" s="89"/>
      <c r="V18" s="90"/>
    </row>
    <row r="19" spans="1:39" ht="17.100000000000001" customHeight="1" x14ac:dyDescent="0.2">
      <c r="A19" s="183"/>
      <c r="B19" s="184"/>
      <c r="C19" s="184"/>
      <c r="D19" s="184"/>
      <c r="E19" s="1"/>
      <c r="F19" s="1"/>
      <c r="G19" s="1"/>
      <c r="H19" s="1"/>
      <c r="I19" s="1"/>
      <c r="J19" s="153"/>
      <c r="K19" s="154"/>
      <c r="L19" s="150"/>
      <c r="M19" s="150"/>
      <c r="N19" s="230"/>
      <c r="O19" s="25"/>
      <c r="P19" s="252" t="s">
        <v>53</v>
      </c>
      <c r="Q19" s="253"/>
      <c r="R19" s="253"/>
      <c r="S19" s="253"/>
      <c r="T19" s="253"/>
      <c r="U19" s="254"/>
    </row>
    <row r="20" spans="1:39" ht="17.100000000000001" customHeight="1" thickBot="1" x14ac:dyDescent="0.25">
      <c r="A20" s="60" t="s">
        <v>4</v>
      </c>
      <c r="B20" s="61"/>
      <c r="C20" s="61"/>
      <c r="D20" s="62"/>
      <c r="E20" s="115" t="s">
        <v>12</v>
      </c>
      <c r="F20" s="116"/>
      <c r="G20" s="115" t="s">
        <v>43</v>
      </c>
      <c r="H20" s="116"/>
      <c r="I20" s="1"/>
      <c r="J20" s="79" t="s">
        <v>34</v>
      </c>
      <c r="K20" s="80"/>
      <c r="L20" s="208">
        <v>302</v>
      </c>
      <c r="M20" s="208">
        <v>297</v>
      </c>
      <c r="N20" s="224" t="s">
        <v>35</v>
      </c>
      <c r="O20" s="25"/>
      <c r="P20" s="1"/>
    </row>
    <row r="21" spans="1:39" ht="23.25" customHeight="1" thickBot="1" x14ac:dyDescent="0.25">
      <c r="A21" s="63" t="s">
        <v>3</v>
      </c>
      <c r="B21" s="64"/>
      <c r="C21" s="64"/>
      <c r="D21" s="65"/>
      <c r="E21" s="117">
        <v>393</v>
      </c>
      <c r="F21" s="78"/>
      <c r="G21" s="77">
        <v>426</v>
      </c>
      <c r="H21" s="78"/>
      <c r="I21" s="5"/>
      <c r="J21" s="81"/>
      <c r="K21" s="82"/>
      <c r="L21" s="169"/>
      <c r="M21" s="169"/>
      <c r="N21" s="225"/>
      <c r="O21" s="28"/>
      <c r="P21" s="1"/>
      <c r="S21" s="233" t="s">
        <v>77</v>
      </c>
      <c r="T21" s="234"/>
      <c r="U21" s="234"/>
      <c r="V21" s="234"/>
      <c r="W21" s="234"/>
      <c r="X21" s="235"/>
      <c r="AF21" s="45" t="s">
        <v>69</v>
      </c>
      <c r="AG21" s="46"/>
      <c r="AH21" s="46"/>
      <c r="AI21" s="46"/>
      <c r="AJ21" s="46"/>
      <c r="AK21" s="47"/>
    </row>
    <row r="22" spans="1:39" ht="18" customHeight="1" thickBot="1" x14ac:dyDescent="0.4">
      <c r="A22" s="60" t="s">
        <v>5</v>
      </c>
      <c r="B22" s="61"/>
      <c r="C22" s="61"/>
      <c r="D22" s="61"/>
      <c r="E22" s="96">
        <f>E21+G21</f>
        <v>819</v>
      </c>
      <c r="F22" s="97"/>
      <c r="G22" s="97"/>
      <c r="H22" s="237" t="s">
        <v>35</v>
      </c>
      <c r="I22" s="1"/>
      <c r="J22" s="226" t="s">
        <v>52</v>
      </c>
      <c r="K22" s="227"/>
      <c r="L22" s="227"/>
      <c r="M22" s="227"/>
      <c r="N22" s="227"/>
      <c r="O22" s="228"/>
      <c r="P22" s="1"/>
    </row>
    <row r="23" spans="1:39" ht="18" customHeight="1" thickTop="1" thickBot="1" x14ac:dyDescent="0.25">
      <c r="A23" s="63" t="s">
        <v>6</v>
      </c>
      <c r="B23" s="64"/>
      <c r="C23" s="64"/>
      <c r="D23" s="64"/>
      <c r="E23" s="98"/>
      <c r="F23" s="99"/>
      <c r="G23" s="99"/>
      <c r="H23" s="238"/>
      <c r="I23" s="1"/>
      <c r="J23" s="105" t="s">
        <v>81</v>
      </c>
      <c r="K23" s="106"/>
      <c r="L23" s="106"/>
      <c r="M23" s="106"/>
      <c r="N23" s="107"/>
      <c r="O23" s="20"/>
      <c r="P23" s="1"/>
      <c r="R23" s="241" t="s">
        <v>67</v>
      </c>
      <c r="S23" s="242"/>
      <c r="T23" s="242"/>
      <c r="U23" s="242"/>
      <c r="V23" s="242"/>
      <c r="W23" s="243"/>
    </row>
    <row r="24" spans="1:39" ht="18" customHeight="1" thickBot="1" x14ac:dyDescent="0.25">
      <c r="A24" s="60" t="s">
        <v>63</v>
      </c>
      <c r="B24" s="61"/>
      <c r="C24" s="61"/>
      <c r="D24" s="61"/>
      <c r="E24" s="122">
        <v>565</v>
      </c>
      <c r="F24" s="123"/>
      <c r="G24" s="123"/>
      <c r="H24" s="261" t="s">
        <v>35</v>
      </c>
      <c r="I24" s="33"/>
      <c r="J24" s="108"/>
      <c r="K24" s="109"/>
      <c r="L24" s="109"/>
      <c r="M24" s="109"/>
      <c r="N24" s="110"/>
      <c r="O24" s="37"/>
      <c r="P24" s="1"/>
      <c r="Q24" s="241" t="s">
        <v>38</v>
      </c>
      <c r="R24" s="242"/>
      <c r="S24" s="242"/>
      <c r="T24" s="242"/>
      <c r="U24" s="242"/>
      <c r="V24" s="243"/>
      <c r="AH24" s="48" t="s">
        <v>70</v>
      </c>
      <c r="AI24" s="49"/>
      <c r="AJ24" s="49"/>
      <c r="AK24" s="49"/>
      <c r="AL24" s="49"/>
      <c r="AM24" s="50"/>
    </row>
    <row r="25" spans="1:39" ht="18" customHeight="1" thickTop="1" thickBot="1" x14ac:dyDescent="0.25">
      <c r="A25" s="63" t="s">
        <v>8</v>
      </c>
      <c r="B25" s="64"/>
      <c r="C25" s="64"/>
      <c r="D25" s="64"/>
      <c r="E25" s="124"/>
      <c r="F25" s="125"/>
      <c r="G25" s="125"/>
      <c r="H25" s="261"/>
      <c r="I25" s="34"/>
      <c r="J25" s="221"/>
      <c r="K25" s="222"/>
      <c r="L25" s="222"/>
      <c r="M25" s="222"/>
      <c r="N25" s="222"/>
      <c r="O25" s="223"/>
      <c r="P25" s="1"/>
      <c r="Q25" s="264" t="s">
        <v>39</v>
      </c>
      <c r="R25" s="265"/>
      <c r="S25" s="265"/>
      <c r="T25" s="265"/>
      <c r="U25" s="265"/>
      <c r="V25" s="265"/>
      <c r="W25" s="265"/>
      <c r="Y25" s="51" t="s">
        <v>68</v>
      </c>
      <c r="Z25" s="52"/>
      <c r="AA25" s="52"/>
      <c r="AB25" s="52"/>
      <c r="AC25" s="52"/>
      <c r="AD25" s="53"/>
    </row>
    <row r="26" spans="1:39" ht="18" customHeight="1" x14ac:dyDescent="0.25">
      <c r="A26" s="60" t="s">
        <v>7</v>
      </c>
      <c r="B26" s="61"/>
      <c r="C26" s="61"/>
      <c r="D26" s="61"/>
      <c r="E26" s="122">
        <v>217</v>
      </c>
      <c r="F26" s="123"/>
      <c r="G26" s="123"/>
      <c r="H26" s="133" t="s">
        <v>35</v>
      </c>
      <c r="I26" s="43" t="s">
        <v>86</v>
      </c>
      <c r="J26" s="250" t="s">
        <v>84</v>
      </c>
      <c r="K26" s="250"/>
      <c r="L26" s="250"/>
      <c r="M26" s="250"/>
      <c r="N26" s="250"/>
      <c r="O26" s="251"/>
      <c r="Q26" s="86" t="s">
        <v>40</v>
      </c>
      <c r="R26" s="86"/>
      <c r="S26" s="86"/>
      <c r="T26" s="86"/>
      <c r="U26" s="86"/>
      <c r="V26" s="87"/>
    </row>
    <row r="27" spans="1:39" ht="18" customHeight="1" x14ac:dyDescent="0.2">
      <c r="A27" s="63" t="s">
        <v>9</v>
      </c>
      <c r="B27" s="64"/>
      <c r="C27" s="64"/>
      <c r="D27" s="64"/>
      <c r="E27" s="124"/>
      <c r="F27" s="125"/>
      <c r="G27" s="125"/>
      <c r="H27" s="133"/>
      <c r="I27" s="44"/>
      <c r="J27" s="248" t="s">
        <v>85</v>
      </c>
      <c r="K27" s="248"/>
      <c r="L27" s="248"/>
      <c r="M27" s="248"/>
      <c r="N27" s="248"/>
      <c r="O27" s="249"/>
      <c r="Q27" s="114"/>
      <c r="R27" s="114"/>
      <c r="S27" s="114"/>
      <c r="T27" s="114"/>
      <c r="U27" s="114"/>
      <c r="V27" s="12"/>
    </row>
    <row r="28" spans="1:39" ht="18" customHeight="1" thickBot="1" x14ac:dyDescent="0.25">
      <c r="A28" s="60" t="s">
        <v>10</v>
      </c>
      <c r="B28" s="61"/>
      <c r="C28" s="61"/>
      <c r="D28" s="62"/>
      <c r="E28" s="96">
        <f>E24+E26</f>
        <v>782</v>
      </c>
      <c r="F28" s="97"/>
      <c r="G28" s="97"/>
      <c r="H28" s="133" t="s">
        <v>35</v>
      </c>
      <c r="I28" s="42"/>
      <c r="J28" s="218"/>
      <c r="K28" s="218"/>
      <c r="L28" s="218"/>
      <c r="M28" s="218"/>
      <c r="N28" s="218"/>
      <c r="O28" s="219"/>
      <c r="P28" s="1"/>
      <c r="Q28" s="14"/>
      <c r="R28" s="12"/>
      <c r="S28" s="111" t="s">
        <v>56</v>
      </c>
      <c r="T28" s="112"/>
      <c r="U28" s="112"/>
      <c r="V28" s="112"/>
      <c r="W28" s="112"/>
      <c r="X28" s="113"/>
    </row>
    <row r="29" spans="1:39" ht="18" customHeight="1" x14ac:dyDescent="0.2">
      <c r="A29" s="63" t="s">
        <v>11</v>
      </c>
      <c r="B29" s="64"/>
      <c r="C29" s="64"/>
      <c r="D29" s="65"/>
      <c r="E29" s="98"/>
      <c r="F29" s="99"/>
      <c r="G29" s="99"/>
      <c r="H29" s="133"/>
      <c r="I29" s="40"/>
      <c r="J29" s="266"/>
      <c r="K29" s="267"/>
      <c r="L29" s="267"/>
      <c r="M29" s="267"/>
      <c r="N29" s="267"/>
      <c r="O29" s="268"/>
      <c r="P29" s="1"/>
      <c r="Q29" s="100" t="s">
        <v>60</v>
      </c>
      <c r="R29" s="101"/>
      <c r="S29" s="101"/>
      <c r="T29" s="101"/>
      <c r="U29" s="101"/>
      <c r="V29" s="101"/>
      <c r="W29" s="101"/>
    </row>
    <row r="30" spans="1:39" ht="16.899999999999999" customHeight="1" x14ac:dyDescent="0.2">
      <c r="A30" s="58" t="s">
        <v>62</v>
      </c>
      <c r="B30" s="59"/>
      <c r="C30" s="59"/>
      <c r="D30" s="59"/>
      <c r="E30" s="2"/>
      <c r="F30" s="2"/>
      <c r="G30" s="2"/>
      <c r="H30" s="16"/>
      <c r="I30" s="39"/>
      <c r="J30" s="92"/>
      <c r="K30" s="92"/>
      <c r="L30" s="92"/>
      <c r="M30" s="92"/>
      <c r="N30" s="92"/>
      <c r="O30" s="220"/>
      <c r="P30" s="1"/>
      <c r="Q30" s="102"/>
      <c r="R30" s="103"/>
      <c r="S30" s="103"/>
      <c r="T30" s="103"/>
      <c r="U30" s="103"/>
      <c r="V30" s="104"/>
    </row>
    <row r="31" spans="1:39" ht="20.25" customHeight="1" x14ac:dyDescent="0.2">
      <c r="A31" s="128" t="s">
        <v>13</v>
      </c>
      <c r="B31" s="129"/>
      <c r="C31" s="129" t="s">
        <v>51</v>
      </c>
      <c r="D31" s="129"/>
      <c r="E31" s="129" t="s">
        <v>14</v>
      </c>
      <c r="F31" s="129"/>
      <c r="G31" s="126" t="s">
        <v>15</v>
      </c>
      <c r="H31" s="127"/>
      <c r="I31" s="36"/>
      <c r="J31" s="218"/>
      <c r="K31" s="218"/>
      <c r="L31" s="218"/>
      <c r="M31" s="218"/>
      <c r="N31" s="218"/>
      <c r="O31" s="219"/>
      <c r="P31" s="1" t="s">
        <v>26</v>
      </c>
      <c r="R31" s="15"/>
      <c r="S31" s="15"/>
      <c r="T31" s="15"/>
      <c r="U31" s="45" t="s">
        <v>69</v>
      </c>
      <c r="V31" s="46"/>
      <c r="W31" s="46"/>
      <c r="X31" s="46"/>
      <c r="Y31" s="46"/>
      <c r="Z31" s="47"/>
    </row>
    <row r="32" spans="1:39" ht="15" customHeight="1" x14ac:dyDescent="0.2">
      <c r="A32" s="128"/>
      <c r="B32" s="129"/>
      <c r="C32" s="131" t="s">
        <v>16</v>
      </c>
      <c r="D32" s="131"/>
      <c r="E32" s="4" t="s">
        <v>25</v>
      </c>
      <c r="F32" s="3">
        <v>3</v>
      </c>
      <c r="G32" s="262" t="s">
        <v>36</v>
      </c>
      <c r="H32" s="263"/>
      <c r="I32" s="34"/>
      <c r="J32" s="92"/>
      <c r="K32" s="92"/>
      <c r="L32" s="92"/>
      <c r="M32" s="92"/>
      <c r="N32" s="92"/>
      <c r="O32" s="220"/>
      <c r="Q32" s="255" t="s">
        <v>41</v>
      </c>
      <c r="R32" s="256"/>
      <c r="S32" s="256"/>
      <c r="T32" s="256"/>
      <c r="U32" s="256"/>
      <c r="V32" s="257"/>
    </row>
    <row r="33" spans="1:27" ht="24.75" customHeight="1" x14ac:dyDescent="0.2">
      <c r="A33" s="128" t="s">
        <v>17</v>
      </c>
      <c r="B33" s="129"/>
      <c r="C33" s="120">
        <v>58.545000000000002</v>
      </c>
      <c r="D33" s="121"/>
      <c r="E33" s="94">
        <v>1324151</v>
      </c>
      <c r="F33" s="95"/>
      <c r="G33" s="134">
        <v>60</v>
      </c>
      <c r="H33" s="135"/>
      <c r="I33" s="35"/>
      <c r="J33" s="217"/>
      <c r="K33" s="218"/>
      <c r="L33" s="218"/>
      <c r="M33" s="218"/>
      <c r="N33" s="218"/>
      <c r="O33" s="219"/>
      <c r="Q33" s="258" t="s">
        <v>42</v>
      </c>
      <c r="R33" s="259"/>
      <c r="S33" s="259"/>
      <c r="T33" s="259"/>
      <c r="U33" s="259"/>
      <c r="V33" s="260"/>
    </row>
    <row r="34" spans="1:27" ht="24.75" customHeight="1" thickBot="1" x14ac:dyDescent="0.25">
      <c r="A34" s="128" t="s">
        <v>18</v>
      </c>
      <c r="B34" s="129"/>
      <c r="C34" s="120">
        <v>42.338999999999999</v>
      </c>
      <c r="D34" s="120"/>
      <c r="E34" s="94">
        <v>2752210</v>
      </c>
      <c r="F34" s="95"/>
      <c r="G34" s="94">
        <v>29</v>
      </c>
      <c r="H34" s="130"/>
      <c r="I34" s="17"/>
      <c r="J34" s="236"/>
      <c r="K34" s="236"/>
      <c r="L34" s="236"/>
      <c r="M34" s="236"/>
      <c r="N34" s="18"/>
      <c r="O34" s="38" t="s">
        <v>78</v>
      </c>
    </row>
    <row r="35" spans="1:27" ht="24.75" customHeight="1" thickBot="1" x14ac:dyDescent="0.3">
      <c r="A35" s="128" t="s">
        <v>19</v>
      </c>
      <c r="B35" s="129"/>
      <c r="C35" s="131">
        <v>236</v>
      </c>
      <c r="D35" s="131"/>
      <c r="E35" s="41" t="s">
        <v>3</v>
      </c>
      <c r="F35" s="21"/>
      <c r="G35" s="21"/>
      <c r="H35" s="21"/>
      <c r="I35" s="21"/>
      <c r="J35" s="214" t="s">
        <v>79</v>
      </c>
      <c r="K35" s="215"/>
      <c r="L35" s="215"/>
      <c r="M35" s="216"/>
      <c r="N35" s="239" t="s">
        <v>64</v>
      </c>
      <c r="O35" s="240"/>
      <c r="V35" s="241" t="s">
        <v>55</v>
      </c>
      <c r="W35" s="242"/>
      <c r="X35" s="242"/>
      <c r="Y35" s="242"/>
      <c r="Z35" s="242"/>
      <c r="AA35" s="243"/>
    </row>
    <row r="36" spans="1:27" ht="24.75" customHeight="1" thickBot="1" x14ac:dyDescent="0.25">
      <c r="A36" s="118" t="s">
        <v>20</v>
      </c>
      <c r="B36" s="119"/>
      <c r="C36" s="132">
        <v>60</v>
      </c>
      <c r="D36" s="132"/>
      <c r="E36" s="11" t="s">
        <v>35</v>
      </c>
      <c r="F36" s="13"/>
      <c r="G36" s="13"/>
      <c r="H36" s="19"/>
      <c r="I36" s="19"/>
      <c r="J36" s="211" t="s">
        <v>83</v>
      </c>
      <c r="K36" s="212"/>
      <c r="L36" s="212"/>
      <c r="M36" s="213"/>
      <c r="N36" s="22"/>
      <c r="O36" s="29"/>
      <c r="S36" s="54" t="s">
        <v>65</v>
      </c>
      <c r="T36" s="46"/>
      <c r="U36" s="46"/>
      <c r="V36" s="46"/>
      <c r="W36" s="46"/>
      <c r="X36" s="209"/>
    </row>
    <row r="37" spans="1:27" ht="15" thickTop="1" x14ac:dyDescent="0.2">
      <c r="I37" s="1"/>
      <c r="O37" s="7"/>
    </row>
    <row r="52" spans="11:14" ht="15" thickBot="1" x14ac:dyDescent="0.25"/>
    <row r="53" spans="11:14" ht="16.5" thickBot="1" x14ac:dyDescent="0.25">
      <c r="K53" s="211"/>
      <c r="L53" s="212"/>
      <c r="M53" s="212"/>
      <c r="N53" s="213"/>
    </row>
    <row r="54" spans="11:14" ht="16.5" thickBot="1" x14ac:dyDescent="0.25">
      <c r="K54" s="211"/>
      <c r="L54" s="212"/>
      <c r="M54" s="212"/>
      <c r="N54" s="213"/>
    </row>
  </sheetData>
  <mergeCells count="131">
    <mergeCell ref="J34:M34"/>
    <mergeCell ref="K53:N53"/>
    <mergeCell ref="L20:L21"/>
    <mergeCell ref="H22:H23"/>
    <mergeCell ref="N35:O35"/>
    <mergeCell ref="V35:AA35"/>
    <mergeCell ref="D16:E17"/>
    <mergeCell ref="Q24:V24"/>
    <mergeCell ref="J27:O27"/>
    <mergeCell ref="J28:O28"/>
    <mergeCell ref="J26:O26"/>
    <mergeCell ref="P19:U19"/>
    <mergeCell ref="R23:W23"/>
    <mergeCell ref="U31:Z31"/>
    <mergeCell ref="Q32:V32"/>
    <mergeCell ref="Q33:V33"/>
    <mergeCell ref="A28:D28"/>
    <mergeCell ref="A29:D29"/>
    <mergeCell ref="H24:H25"/>
    <mergeCell ref="C31:D31"/>
    <mergeCell ref="A33:B33"/>
    <mergeCell ref="G32:H32"/>
    <mergeCell ref="Q25:W25"/>
    <mergeCell ref="J29:O29"/>
    <mergeCell ref="R1:U1"/>
    <mergeCell ref="R2:U2"/>
    <mergeCell ref="R3:U3"/>
    <mergeCell ref="N8:N9"/>
    <mergeCell ref="M20:M21"/>
    <mergeCell ref="S36:X36"/>
    <mergeCell ref="S13:X13"/>
    <mergeCell ref="K54:N54"/>
    <mergeCell ref="J35:M35"/>
    <mergeCell ref="J36:M36"/>
    <mergeCell ref="J33:O33"/>
    <mergeCell ref="J31:O31"/>
    <mergeCell ref="J32:O32"/>
    <mergeCell ref="J30:O30"/>
    <mergeCell ref="J25:O25"/>
    <mergeCell ref="N20:N21"/>
    <mergeCell ref="J22:O22"/>
    <mergeCell ref="J14:L14"/>
    <mergeCell ref="M10:M11"/>
    <mergeCell ref="N16:N17"/>
    <mergeCell ref="N18:N19"/>
    <mergeCell ref="M16:M17"/>
    <mergeCell ref="Q18:V18"/>
    <mergeCell ref="S21:X21"/>
    <mergeCell ref="A1:H3"/>
    <mergeCell ref="J6:J7"/>
    <mergeCell ref="B5:B6"/>
    <mergeCell ref="L18:L19"/>
    <mergeCell ref="J18:K19"/>
    <mergeCell ref="J16:K17"/>
    <mergeCell ref="A5:A6"/>
    <mergeCell ref="G5:G6"/>
    <mergeCell ref="H5:H6"/>
    <mergeCell ref="C5:F6"/>
    <mergeCell ref="L16:L17"/>
    <mergeCell ref="E14:H14"/>
    <mergeCell ref="A15:D15"/>
    <mergeCell ref="E15:H15"/>
    <mergeCell ref="A17:C17"/>
    <mergeCell ref="A16:C16"/>
    <mergeCell ref="A18:D19"/>
    <mergeCell ref="F16:H17"/>
    <mergeCell ref="J1:M4"/>
    <mergeCell ref="L8:L9"/>
    <mergeCell ref="M8:M9"/>
    <mergeCell ref="J8:J9"/>
    <mergeCell ref="K8:K9"/>
    <mergeCell ref="M18:M19"/>
    <mergeCell ref="A36:B36"/>
    <mergeCell ref="C33:D33"/>
    <mergeCell ref="A25:D25"/>
    <mergeCell ref="A26:D26"/>
    <mergeCell ref="E26:G27"/>
    <mergeCell ref="E24:G25"/>
    <mergeCell ref="G31:H31"/>
    <mergeCell ref="A35:B35"/>
    <mergeCell ref="G34:H34"/>
    <mergeCell ref="C35:D35"/>
    <mergeCell ref="C36:D36"/>
    <mergeCell ref="H28:H29"/>
    <mergeCell ref="A30:D30"/>
    <mergeCell ref="H26:H27"/>
    <mergeCell ref="A27:D27"/>
    <mergeCell ref="E28:G29"/>
    <mergeCell ref="C34:D34"/>
    <mergeCell ref="E34:F34"/>
    <mergeCell ref="A34:B34"/>
    <mergeCell ref="C32:D32"/>
    <mergeCell ref="E31:F31"/>
    <mergeCell ref="A31:B32"/>
    <mergeCell ref="A24:D24"/>
    <mergeCell ref="G33:H33"/>
    <mergeCell ref="E33:F33"/>
    <mergeCell ref="E22:G23"/>
    <mergeCell ref="Q29:W29"/>
    <mergeCell ref="Q30:V30"/>
    <mergeCell ref="J23:N24"/>
    <mergeCell ref="S28:X28"/>
    <mergeCell ref="Q27:U27"/>
    <mergeCell ref="Q26:V26"/>
    <mergeCell ref="E20:F20"/>
    <mergeCell ref="G20:H20"/>
    <mergeCell ref="E21:F21"/>
    <mergeCell ref="AF21:AK21"/>
    <mergeCell ref="AH24:AM24"/>
    <mergeCell ref="Y17:AD17"/>
    <mergeCell ref="S17:X17"/>
    <mergeCell ref="Y25:AD25"/>
    <mergeCell ref="Q5:V5"/>
    <mergeCell ref="A8:F9"/>
    <mergeCell ref="A20:D20"/>
    <mergeCell ref="A21:D21"/>
    <mergeCell ref="N10:N11"/>
    <mergeCell ref="J10:J11"/>
    <mergeCell ref="L10:L11"/>
    <mergeCell ref="A11:C12"/>
    <mergeCell ref="A14:D14"/>
    <mergeCell ref="G21:H21"/>
    <mergeCell ref="K10:K11"/>
    <mergeCell ref="J20:K21"/>
    <mergeCell ref="J15:K15"/>
    <mergeCell ref="R9:W9"/>
    <mergeCell ref="R15:W15"/>
    <mergeCell ref="R8:W8"/>
    <mergeCell ref="Q6:V6"/>
    <mergeCell ref="A22:D22"/>
    <mergeCell ref="A23:D23"/>
  </mergeCells>
  <printOptions horizontalCentered="1" verticalCentered="1"/>
  <pageMargins left="0" right="0" top="0" bottom="0" header="0" footer="0"/>
  <pageSetup paperSize="9" scale="98" fitToWidth="2" fitToHeight="2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2"/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3"/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1</vt:i4>
      </vt:variant>
    </vt:vector>
  </HeadingPairs>
  <TitlesOfParts>
    <vt:vector size="4" baseType="lpstr">
      <vt:lpstr>ورقة1</vt:lpstr>
      <vt:lpstr>ورقة2</vt:lpstr>
      <vt:lpstr>ورقة3</vt:lpstr>
      <vt:lpstr>ورقة1!Print_Area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mhpoop</dc:creator>
  <cp:lastModifiedBy>mhpoop</cp:lastModifiedBy>
  <cp:lastPrinted>2026-10-16T07:46:14Z</cp:lastPrinted>
  <dcterms:created xsi:type="dcterms:W3CDTF">2020-07-20T06:02:13Z</dcterms:created>
  <dcterms:modified xsi:type="dcterms:W3CDTF">2026-10-18T07:18:27Z</dcterms:modified>
</cp:coreProperties>
</file>